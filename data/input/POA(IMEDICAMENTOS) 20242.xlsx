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jurado/Documents/Malitzin/1datosSeguroUniversitario/BWO/"/>
    </mc:Choice>
  </mc:AlternateContent>
  <xr:revisionPtr revIDLastSave="0" documentId="8_{171C2523-ADAC-254D-B94E-9BBC63CE96BA}" xr6:coauthVersionLast="47" xr6:coauthVersionMax="47" xr10:uidLastSave="{00000000-0000-0000-0000-000000000000}"/>
  <bookViews>
    <workbookView xWindow="0" yWindow="0" windowWidth="28800" windowHeight="18000" xr2:uid="{7D9AF158-0511-2547-B4A3-B38843731B7D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2" i="1"/>
</calcChain>
</file>

<file path=xl/sharedStrings.xml><?xml version="1.0" encoding="utf-8"?>
<sst xmlns="http://schemas.openxmlformats.org/spreadsheetml/2006/main" count="394" uniqueCount="394">
  <si>
    <t>Código</t>
  </si>
  <si>
    <t>A-02-01</t>
  </si>
  <si>
    <t>A-02-02</t>
  </si>
  <si>
    <t>A-02-03</t>
  </si>
  <si>
    <t>A-02-04</t>
  </si>
  <si>
    <t>A-02-05</t>
  </si>
  <si>
    <t>A-03-01</t>
  </si>
  <si>
    <t>A-03-02</t>
  </si>
  <si>
    <t>A-03-04</t>
  </si>
  <si>
    <t>A-03-06</t>
  </si>
  <si>
    <t>A-03-07</t>
  </si>
  <si>
    <t>A-03-08</t>
  </si>
  <si>
    <t>A-03-09</t>
  </si>
  <si>
    <t>A-03-10</t>
  </si>
  <si>
    <t>A-03-11</t>
  </si>
  <si>
    <t>A-03-12</t>
  </si>
  <si>
    <t>A-03-13</t>
  </si>
  <si>
    <t>A-04-01</t>
  </si>
  <si>
    <t>A-05-01</t>
  </si>
  <si>
    <t>A-06-01</t>
  </si>
  <si>
    <t>A-06-02</t>
  </si>
  <si>
    <t>A-06-04</t>
  </si>
  <si>
    <t>A-06-05</t>
  </si>
  <si>
    <t>A-06-06</t>
  </si>
  <si>
    <t>A-06-07</t>
  </si>
  <si>
    <t>A-07-02</t>
  </si>
  <si>
    <t>A-07-04</t>
  </si>
  <si>
    <t>A-07-06</t>
  </si>
  <si>
    <t>A-07-07</t>
  </si>
  <si>
    <t>A-09-01</t>
  </si>
  <si>
    <t>A-10-01</t>
  </si>
  <si>
    <t>A-10-02</t>
  </si>
  <si>
    <t>A-10-03</t>
  </si>
  <si>
    <t>A-10-04</t>
  </si>
  <si>
    <t>A-10-05</t>
  </si>
  <si>
    <t>A-10-07</t>
  </si>
  <si>
    <t>A-11-02</t>
  </si>
  <si>
    <t>A-11-03</t>
  </si>
  <si>
    <t>A-11-04</t>
  </si>
  <si>
    <t>A-11-06</t>
  </si>
  <si>
    <t>A-11-07</t>
  </si>
  <si>
    <t>A-11-09</t>
  </si>
  <si>
    <t>A-11-10</t>
  </si>
  <si>
    <t>A-11-11</t>
  </si>
  <si>
    <t>A-11-13</t>
  </si>
  <si>
    <t>A-11-17</t>
  </si>
  <si>
    <t>A-11-19</t>
  </si>
  <si>
    <t>A-12-01</t>
  </si>
  <si>
    <t>A-12-02</t>
  </si>
  <si>
    <t>A-12-03</t>
  </si>
  <si>
    <t>A-12-05</t>
  </si>
  <si>
    <t>A-12-06</t>
  </si>
  <si>
    <t>B-01-01</t>
  </si>
  <si>
    <t>B-01-03</t>
  </si>
  <si>
    <t>B-01-031</t>
  </si>
  <si>
    <t>B-01-04</t>
  </si>
  <si>
    <t>B-01-05</t>
  </si>
  <si>
    <t>B-01-06</t>
  </si>
  <si>
    <t>B-02-02</t>
  </si>
  <si>
    <t>B-03-01</t>
  </si>
  <si>
    <t>B-03-02</t>
  </si>
  <si>
    <t>B-03-04</t>
  </si>
  <si>
    <t>B-03-05</t>
  </si>
  <si>
    <t>B-03-07</t>
  </si>
  <si>
    <t>B-03-08</t>
  </si>
  <si>
    <t>B-03-09</t>
  </si>
  <si>
    <t>B-05-01</t>
  </si>
  <si>
    <t>B-05-02</t>
  </si>
  <si>
    <t>B-05-03</t>
  </si>
  <si>
    <t>B-05-04</t>
  </si>
  <si>
    <t>B-05-06</t>
  </si>
  <si>
    <t>B-05-07</t>
  </si>
  <si>
    <t>B-05-10</t>
  </si>
  <si>
    <t>B-05-11</t>
  </si>
  <si>
    <t>B-05-15</t>
  </si>
  <si>
    <t>B-05-16</t>
  </si>
  <si>
    <t>B-05-17</t>
  </si>
  <si>
    <t>B-05-18</t>
  </si>
  <si>
    <t>B-05-19</t>
  </si>
  <si>
    <t>B-05-20</t>
  </si>
  <si>
    <t>B-05-21</t>
  </si>
  <si>
    <t>B-05-22</t>
  </si>
  <si>
    <t>B-05-23</t>
  </si>
  <si>
    <t>B-05-25</t>
  </si>
  <si>
    <t>B-05-29</t>
  </si>
  <si>
    <t>B-05-30</t>
  </si>
  <si>
    <t>B-05-31</t>
  </si>
  <si>
    <t>B-05-32</t>
  </si>
  <si>
    <t>B-05-33</t>
  </si>
  <si>
    <t>C-01-02</t>
  </si>
  <si>
    <t>C-01-03</t>
  </si>
  <si>
    <t>C-01-04</t>
  </si>
  <si>
    <t>C-01-06</t>
  </si>
  <si>
    <t>C-01-10</t>
  </si>
  <si>
    <t>C-01-11</t>
  </si>
  <si>
    <t>C-02-08</t>
  </si>
  <si>
    <t>C-03-01</t>
  </si>
  <si>
    <t>C-03-02</t>
  </si>
  <si>
    <t>C-03-04</t>
  </si>
  <si>
    <t>C-03-05</t>
  </si>
  <si>
    <t>C-03-06</t>
  </si>
  <si>
    <t>C-03-07</t>
  </si>
  <si>
    <t>C-05-01</t>
  </si>
  <si>
    <t>C-05-02</t>
  </si>
  <si>
    <t>C-07-01</t>
  </si>
  <si>
    <t>C-07-02</t>
  </si>
  <si>
    <t>C-07-04</t>
  </si>
  <si>
    <t>C-07-05</t>
  </si>
  <si>
    <t>C-07-06</t>
  </si>
  <si>
    <t>C-08-02</t>
  </si>
  <si>
    <t>C-08-07</t>
  </si>
  <si>
    <t>C-09-01</t>
  </si>
  <si>
    <t>C-09-02</t>
  </si>
  <si>
    <t>C-10-01</t>
  </si>
  <si>
    <t>C-10-02</t>
  </si>
  <si>
    <t>C-10-04</t>
  </si>
  <si>
    <t>C-10-05</t>
  </si>
  <si>
    <t>D-01-02</t>
  </si>
  <si>
    <t>D-01-03</t>
  </si>
  <si>
    <t>D-01-04</t>
  </si>
  <si>
    <t>D-01-06</t>
  </si>
  <si>
    <t>D-01-07</t>
  </si>
  <si>
    <t>D-02-02</t>
  </si>
  <si>
    <t>D-04-01</t>
  </si>
  <si>
    <t>D-06-02</t>
  </si>
  <si>
    <t>D-06-03</t>
  </si>
  <si>
    <t>D-07-01</t>
  </si>
  <si>
    <t>D-07-02</t>
  </si>
  <si>
    <t>D-07-03</t>
  </si>
  <si>
    <t>D-07-04</t>
  </si>
  <si>
    <t>D-10-01</t>
  </si>
  <si>
    <t>D-10-03</t>
  </si>
  <si>
    <t>D-10-04</t>
  </si>
  <si>
    <t>EX-01-021</t>
  </si>
  <si>
    <t>EX-01-04</t>
  </si>
  <si>
    <t>EX-01-042</t>
  </si>
  <si>
    <t>EX-01-11</t>
  </si>
  <si>
    <t>EX-01-15</t>
  </si>
  <si>
    <t>EX-01-16</t>
  </si>
  <si>
    <t>G-01-02</t>
  </si>
  <si>
    <t>G-01-03</t>
  </si>
  <si>
    <t>G-01-04</t>
  </si>
  <si>
    <t>G-01-05</t>
  </si>
  <si>
    <t>G-02-03</t>
  </si>
  <si>
    <t>G-02-04</t>
  </si>
  <si>
    <t>G-02-09</t>
  </si>
  <si>
    <t>G-03-02</t>
  </si>
  <si>
    <t>G-03-09</t>
  </si>
  <si>
    <t>G-03-12</t>
  </si>
  <si>
    <t>G-03-13</t>
  </si>
  <si>
    <t>G-03-18</t>
  </si>
  <si>
    <t>G-04-01</t>
  </si>
  <si>
    <t>H-02-01</t>
  </si>
  <si>
    <t>H-02-03</t>
  </si>
  <si>
    <t>H-02-04</t>
  </si>
  <si>
    <t>H-02-05</t>
  </si>
  <si>
    <t>H-02-06</t>
  </si>
  <si>
    <t>H-02-07</t>
  </si>
  <si>
    <t>H-02-08</t>
  </si>
  <si>
    <t>H-02-09</t>
  </si>
  <si>
    <t>H-03-01</t>
  </si>
  <si>
    <t>J-01-01</t>
  </si>
  <si>
    <t>J-01-02</t>
  </si>
  <si>
    <t>J-01-04</t>
  </si>
  <si>
    <t>J-01-05</t>
  </si>
  <si>
    <t>J-01-06</t>
  </si>
  <si>
    <t>J-01-09</t>
  </si>
  <si>
    <t>J-01-10</t>
  </si>
  <si>
    <t>J-01-13</t>
  </si>
  <si>
    <t>J-01-15</t>
  </si>
  <si>
    <t>J-01-16</t>
  </si>
  <si>
    <t>J-01-18</t>
  </si>
  <si>
    <t>J-01-21</t>
  </si>
  <si>
    <t>J-01-22</t>
  </si>
  <si>
    <t>J-01-23</t>
  </si>
  <si>
    <t>J-01-25</t>
  </si>
  <si>
    <t>J-01-26</t>
  </si>
  <si>
    <t>J-01-27</t>
  </si>
  <si>
    <t>J-01-28</t>
  </si>
  <si>
    <t>J-01-29</t>
  </si>
  <si>
    <t>J-01-36</t>
  </si>
  <si>
    <t>J-01-37</t>
  </si>
  <si>
    <t>J-01-38</t>
  </si>
  <si>
    <t>J-01-41</t>
  </si>
  <si>
    <t>J-01-44</t>
  </si>
  <si>
    <t>J-01-45</t>
  </si>
  <si>
    <t>J-01-50</t>
  </si>
  <si>
    <t>J-01-51</t>
  </si>
  <si>
    <t>J-01-54</t>
  </si>
  <si>
    <t>J-01-55</t>
  </si>
  <si>
    <t>J-01-57</t>
  </si>
  <si>
    <t>J-01-58</t>
  </si>
  <si>
    <t>J-01-62</t>
  </si>
  <si>
    <t>J-01-63</t>
  </si>
  <si>
    <t>J-01-64</t>
  </si>
  <si>
    <t>J-01-66</t>
  </si>
  <si>
    <t>J-01-68</t>
  </si>
  <si>
    <t>J-01-71</t>
  </si>
  <si>
    <t>J-02-02</t>
  </si>
  <si>
    <t>J-02-08</t>
  </si>
  <si>
    <t>J-05-04</t>
  </si>
  <si>
    <t>J-05-36</t>
  </si>
  <si>
    <t>L-01-24</t>
  </si>
  <si>
    <t>L-01-26</t>
  </si>
  <si>
    <t>L-02-01</t>
  </si>
  <si>
    <t>L-02-03</t>
  </si>
  <si>
    <t>L-02-05</t>
  </si>
  <si>
    <t>L-02-07</t>
  </si>
  <si>
    <t>L-02-08</t>
  </si>
  <si>
    <t>L-03-01</t>
  </si>
  <si>
    <t>L-04-01</t>
  </si>
  <si>
    <t>L-04-07</t>
  </si>
  <si>
    <t>L-04-10</t>
  </si>
  <si>
    <t>L-04-12</t>
  </si>
  <si>
    <t>M-01-01</t>
  </si>
  <si>
    <t>M-01-02</t>
  </si>
  <si>
    <t>M-01-03</t>
  </si>
  <si>
    <t>M-01-04</t>
  </si>
  <si>
    <t>M-01-05</t>
  </si>
  <si>
    <t>M-01-06</t>
  </si>
  <si>
    <t>M-01-07</t>
  </si>
  <si>
    <t>M-01-09</t>
  </si>
  <si>
    <t>M-01-10</t>
  </si>
  <si>
    <t>M-01-11</t>
  </si>
  <si>
    <t>M-03-01</t>
  </si>
  <si>
    <t>M-04-01</t>
  </si>
  <si>
    <t>M-04-02</t>
  </si>
  <si>
    <t>M-05-03</t>
  </si>
  <si>
    <t>N-01-02</t>
  </si>
  <si>
    <t>N-01-05</t>
  </si>
  <si>
    <t>N-01-12</t>
  </si>
  <si>
    <t>N-01-13</t>
  </si>
  <si>
    <t>N-01-15</t>
  </si>
  <si>
    <t>N-01-16</t>
  </si>
  <si>
    <t>N-02-03</t>
  </si>
  <si>
    <t>N-02-05</t>
  </si>
  <si>
    <t>N-02-07</t>
  </si>
  <si>
    <t>N-02-08</t>
  </si>
  <si>
    <t>N-02-09</t>
  </si>
  <si>
    <t>N-02-10</t>
  </si>
  <si>
    <t>N-02-11</t>
  </si>
  <si>
    <t>N-02-14</t>
  </si>
  <si>
    <t>N-02-15</t>
  </si>
  <si>
    <t>N-02-17</t>
  </si>
  <si>
    <t>N-03-03</t>
  </si>
  <si>
    <t>N-03-04</t>
  </si>
  <si>
    <t>N-03-06</t>
  </si>
  <si>
    <t>N-03-07</t>
  </si>
  <si>
    <t>N-03-08</t>
  </si>
  <si>
    <t>N-03-12</t>
  </si>
  <si>
    <t>N-03-21</t>
  </si>
  <si>
    <t>N-03-22</t>
  </si>
  <si>
    <t>N-04-01</t>
  </si>
  <si>
    <t>N-04-02</t>
  </si>
  <si>
    <t>N-05-01</t>
  </si>
  <si>
    <t>N-05-05</t>
  </si>
  <si>
    <t>N-05-11</t>
  </si>
  <si>
    <t>N-06-01</t>
  </si>
  <si>
    <t>N-06-04</t>
  </si>
  <si>
    <t>N-06-08</t>
  </si>
  <si>
    <t>N-07-01</t>
  </si>
  <si>
    <t>N-07-05</t>
  </si>
  <si>
    <t>N-07-08</t>
  </si>
  <si>
    <t>P-01-06</t>
  </si>
  <si>
    <t>P-01-07</t>
  </si>
  <si>
    <t>P-01-09</t>
  </si>
  <si>
    <t>P-01-11</t>
  </si>
  <si>
    <t>P-01-27</t>
  </si>
  <si>
    <t>P-02-01</t>
  </si>
  <si>
    <t>P-02-03</t>
  </si>
  <si>
    <t>P-02-05</t>
  </si>
  <si>
    <t>P-02-08</t>
  </si>
  <si>
    <t>P-02-14</t>
  </si>
  <si>
    <t>P-03-01</t>
  </si>
  <si>
    <t>R-03-03</t>
  </si>
  <si>
    <t>R-03-04</t>
  </si>
  <si>
    <t>R-03-06</t>
  </si>
  <si>
    <t>R-03-11</t>
  </si>
  <si>
    <t>R-03-13</t>
  </si>
  <si>
    <t>R-05-01</t>
  </si>
  <si>
    <t>R-05-02</t>
  </si>
  <si>
    <t>R-05-03</t>
  </si>
  <si>
    <t>R-06-01</t>
  </si>
  <si>
    <t>R-06-02</t>
  </si>
  <si>
    <t>R-06-03</t>
  </si>
  <si>
    <t>R-06-04</t>
  </si>
  <si>
    <t>R-06-07</t>
  </si>
  <si>
    <t>R-06-08</t>
  </si>
  <si>
    <t>S-01-04</t>
  </si>
  <si>
    <t>S-01-05</t>
  </si>
  <si>
    <t>S-01-06</t>
  </si>
  <si>
    <t>S-01-09</t>
  </si>
  <si>
    <t>S-01-12</t>
  </si>
  <si>
    <t>S-01-15</t>
  </si>
  <si>
    <t>S-01-16</t>
  </si>
  <si>
    <t>S-01-18</t>
  </si>
  <si>
    <t>S-01-19</t>
  </si>
  <si>
    <t>S-01-22</t>
  </si>
  <si>
    <t>S-01-24</t>
  </si>
  <si>
    <t>S-01-25</t>
  </si>
  <si>
    <t>S-01-27</t>
  </si>
  <si>
    <t>S-02-01</t>
  </si>
  <si>
    <t>V-03-01</t>
  </si>
  <si>
    <t>V-06-01</t>
  </si>
  <si>
    <t>V-06-04</t>
  </si>
  <si>
    <t>V-06-05</t>
  </si>
  <si>
    <t>V-06-06</t>
  </si>
  <si>
    <t>V-08-02</t>
  </si>
  <si>
    <t>V-08-05</t>
  </si>
  <si>
    <t>V-08-06</t>
  </si>
  <si>
    <t>V-08-07</t>
  </si>
  <si>
    <t>V-08-08</t>
  </si>
  <si>
    <t>B-05-09</t>
  </si>
  <si>
    <t>B-05-24</t>
  </si>
  <si>
    <t>C-01-15</t>
  </si>
  <si>
    <t>C-02-04</t>
  </si>
  <si>
    <t>G-01-01</t>
  </si>
  <si>
    <t>J-01-24</t>
  </si>
  <si>
    <t>J-01-30</t>
  </si>
  <si>
    <t>J-01-42</t>
  </si>
  <si>
    <t>J-01-46</t>
  </si>
  <si>
    <t>J-06-02</t>
  </si>
  <si>
    <t>L-01-03</t>
  </si>
  <si>
    <t>L-01-04</t>
  </si>
  <si>
    <t>L-01-06</t>
  </si>
  <si>
    <t>L-01-18</t>
  </si>
  <si>
    <t>L-01-28</t>
  </si>
  <si>
    <t>L-01-38</t>
  </si>
  <si>
    <t>L-02-11</t>
  </si>
  <si>
    <t>M-05-04</t>
  </si>
  <si>
    <t>N-03-20</t>
  </si>
  <si>
    <t>N-05-18</t>
  </si>
  <si>
    <t>N-07-06</t>
  </si>
  <si>
    <t>P-02-02</t>
  </si>
  <si>
    <t>S-01-26</t>
  </si>
  <si>
    <t>V-03-08</t>
  </si>
  <si>
    <t>V-08-03</t>
  </si>
  <si>
    <t>A-04-02</t>
  </si>
  <si>
    <t>A-11-18</t>
  </si>
  <si>
    <t>B-01-07</t>
  </si>
  <si>
    <t>B-02-06</t>
  </si>
  <si>
    <t>B-05-34</t>
  </si>
  <si>
    <t>C-01-13</t>
  </si>
  <si>
    <t>C-10-03</t>
  </si>
  <si>
    <t>D-02-04</t>
  </si>
  <si>
    <t>EX-01-19</t>
  </si>
  <si>
    <t>J-01-67</t>
  </si>
  <si>
    <t>J-01-69</t>
  </si>
  <si>
    <t>J-01-75</t>
  </si>
  <si>
    <t>J-05-43</t>
  </si>
  <si>
    <t>L-01-17</t>
  </si>
  <si>
    <t>L-01-21</t>
  </si>
  <si>
    <t>L-01-30</t>
  </si>
  <si>
    <t>L-01-34</t>
  </si>
  <si>
    <t>L-01-35</t>
  </si>
  <si>
    <t>L-01-36</t>
  </si>
  <si>
    <t>L-01-48</t>
  </si>
  <si>
    <t>L-01-52</t>
  </si>
  <si>
    <t>L-01-60</t>
  </si>
  <si>
    <t>N-03-17</t>
  </si>
  <si>
    <t>V-03-07</t>
  </si>
  <si>
    <t>C-03-03</t>
  </si>
  <si>
    <t>G-03-03</t>
  </si>
  <si>
    <t>H-03-02</t>
  </si>
  <si>
    <t>J-05-30</t>
  </si>
  <si>
    <t>L-01-09</t>
  </si>
  <si>
    <t>L-01-19</t>
  </si>
  <si>
    <t>L-02-04</t>
  </si>
  <si>
    <t>L-02-12</t>
  </si>
  <si>
    <t>N-03-18</t>
  </si>
  <si>
    <t>G-02-11</t>
  </si>
  <si>
    <t>J-01-11</t>
  </si>
  <si>
    <t>J-01-12</t>
  </si>
  <si>
    <t>J-05-45</t>
  </si>
  <si>
    <t>L-01-40</t>
  </si>
  <si>
    <t>L-01-50</t>
  </si>
  <si>
    <t>L-01-57</t>
  </si>
  <si>
    <t>L-02-09</t>
  </si>
  <si>
    <t>N-01-01</t>
  </si>
  <si>
    <t>R-07-01</t>
  </si>
  <si>
    <t>V-08-11</t>
  </si>
  <si>
    <t>A-02-07</t>
  </si>
  <si>
    <t>B-02-03</t>
  </si>
  <si>
    <t>C-08-04</t>
  </si>
  <si>
    <t>D-08-01</t>
  </si>
  <si>
    <t>D-08-02</t>
  </si>
  <si>
    <t>D-08-08</t>
  </si>
  <si>
    <t>D-08-10</t>
  </si>
  <si>
    <t>J-05-34</t>
  </si>
  <si>
    <t>N-01-09</t>
  </si>
  <si>
    <t>R-03-01</t>
  </si>
  <si>
    <t>CATIDAD A PEDIR</t>
  </si>
  <si>
    <t>COSTO UNITARIO</t>
  </si>
  <si>
    <t>TOTAL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</si>
</sst>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tinjurado/Documents/Malitzin/1datosSeguroUniversitario/BWO/POA(IMEDICAMENTOS)%202024.xlsx" TargetMode="External"/><Relationship Id="rId1" Type="http://schemas.openxmlformats.org/officeDocument/2006/relationships/externalLinkPath" Target="POA(IMEDICAMENTOS)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A2" t="str">
            <v>A-02-01</v>
          </cell>
          <cell r="B2" t="str">
            <v>HIDROXIDO DE ALUMINIO Y MAGNESIO .:. 1 : 1</v>
          </cell>
          <cell r="C2" t="str">
            <v>Suspensión</v>
          </cell>
          <cell r="D2">
            <v>259</v>
          </cell>
          <cell r="E2">
            <v>800</v>
          </cell>
          <cell r="F2">
            <v>6080</v>
          </cell>
          <cell r="G2">
            <v>488</v>
          </cell>
          <cell r="H2">
            <v>976</v>
          </cell>
          <cell r="I2">
            <v>3802.8262239999999</v>
          </cell>
          <cell r="J2">
            <v>83</v>
          </cell>
          <cell r="K2">
            <v>7.6167666830122593</v>
          </cell>
          <cell r="L2">
            <v>4349.1737759999996</v>
          </cell>
          <cell r="M2">
            <v>81.333333333333329</v>
          </cell>
          <cell r="N2">
            <v>374.00000000000006</v>
          </cell>
          <cell r="O2">
            <v>7.6167666830122593</v>
          </cell>
          <cell r="P2">
            <v>2848.6707394465852</v>
          </cell>
        </row>
        <row r="3">
          <cell r="A3" t="str">
            <v>A-02-02</v>
          </cell>
          <cell r="B3" t="str">
            <v>OMEPRAZOL .:. 20 mg</v>
          </cell>
          <cell r="C3" t="str">
            <v>Cápsula</v>
          </cell>
          <cell r="D3">
            <v>17098</v>
          </cell>
          <cell r="E3">
            <v>30000</v>
          </cell>
          <cell r="F3">
            <v>5400</v>
          </cell>
          <cell r="G3">
            <v>25009</v>
          </cell>
          <cell r="H3">
            <v>50018</v>
          </cell>
          <cell r="I3">
            <v>5746.8538090000002</v>
          </cell>
          <cell r="J3">
            <v>4991</v>
          </cell>
          <cell r="K3">
            <v>0.19469363787405497</v>
          </cell>
          <cell r="L3">
            <v>4300.587767</v>
          </cell>
          <cell r="M3">
            <v>4168.166666666667</v>
          </cell>
          <cell r="N3">
            <v>35200</v>
          </cell>
          <cell r="O3">
            <v>0.19469363787405497</v>
          </cell>
          <cell r="P3">
            <v>6853.216053166735</v>
          </cell>
        </row>
        <row r="4">
          <cell r="A4" t="str">
            <v>A-02-03</v>
          </cell>
          <cell r="B4" t="str">
            <v>RANITIDINA .:. 150 mg</v>
          </cell>
          <cell r="C4" t="str">
            <v>Comprimido</v>
          </cell>
          <cell r="D4">
            <v>1037</v>
          </cell>
          <cell r="E4">
            <v>0</v>
          </cell>
          <cell r="F4">
            <v>0</v>
          </cell>
          <cell r="G4">
            <v>970</v>
          </cell>
          <cell r="H4">
            <v>1940</v>
          </cell>
          <cell r="I4">
            <v>355.50887999999998</v>
          </cell>
          <cell r="J4">
            <v>530</v>
          </cell>
          <cell r="K4">
            <v>0.366504</v>
          </cell>
          <cell r="L4">
            <v>24.555768</v>
          </cell>
          <cell r="M4">
            <v>161.66666666666666</v>
          </cell>
          <cell r="N4">
            <v>3300.0000000000005</v>
          </cell>
          <cell r="O4">
            <v>0.366504</v>
          </cell>
          <cell r="P4">
            <v>1209.4632000000001</v>
          </cell>
        </row>
        <row r="5">
          <cell r="A5" t="str">
            <v>A-02-04</v>
          </cell>
          <cell r="B5" t="str">
            <v>RANITIDINA .:. 50 mg</v>
          </cell>
          <cell r="C5" t="str">
            <v>Inyectable</v>
          </cell>
          <cell r="D5">
            <v>221</v>
          </cell>
          <cell r="E5">
            <v>0</v>
          </cell>
          <cell r="F5">
            <v>0</v>
          </cell>
          <cell r="G5">
            <v>199</v>
          </cell>
          <cell r="H5">
            <v>398</v>
          </cell>
          <cell r="I5">
            <v>238.30647999999999</v>
          </cell>
          <cell r="J5">
            <v>238.30647999999999</v>
          </cell>
          <cell r="K5">
            <v>1.1975199999999999</v>
          </cell>
          <cell r="L5">
            <v>34.728079999999999</v>
          </cell>
          <cell r="M5">
            <v>33.166666666666664</v>
          </cell>
          <cell r="N5">
            <v>660</v>
          </cell>
          <cell r="O5">
            <v>1.1975199999999999</v>
          </cell>
          <cell r="P5">
            <v>790.36319999999989</v>
          </cell>
        </row>
        <row r="6">
          <cell r="A6" t="str">
            <v>A-02-05</v>
          </cell>
          <cell r="B6" t="str">
            <v>OMEPRAZOL .:. 40 mg/ml</v>
          </cell>
          <cell r="C6" t="str">
            <v>Inyectable</v>
          </cell>
          <cell r="D6">
            <v>484</v>
          </cell>
          <cell r="E6">
            <v>2000</v>
          </cell>
          <cell r="F6">
            <v>8400</v>
          </cell>
          <cell r="G6">
            <v>1527</v>
          </cell>
          <cell r="H6">
            <v>3054</v>
          </cell>
          <cell r="I6">
            <v>7798.3710090000004</v>
          </cell>
          <cell r="J6">
            <v>473</v>
          </cell>
          <cell r="K6">
            <v>4.2010814730127573</v>
          </cell>
          <cell r="L6">
            <v>4280.9020209999999</v>
          </cell>
          <cell r="M6">
            <v>254.5</v>
          </cell>
          <cell r="N6">
            <v>2860.0000000000005</v>
          </cell>
          <cell r="O6">
            <v>4.2010814730127573</v>
          </cell>
          <cell r="P6">
            <v>12015.093012816487</v>
          </cell>
        </row>
        <row r="7">
          <cell r="A7" t="str">
            <v>A-02-07</v>
          </cell>
          <cell r="B7" t="str">
            <v>SUCRALFATO.:. 1 g/5ml</v>
          </cell>
          <cell r="C7" t="str">
            <v>Suspensión</v>
          </cell>
          <cell r="N7">
            <v>300</v>
          </cell>
          <cell r="O7">
            <v>68.3</v>
          </cell>
          <cell r="P7">
            <v>20490</v>
          </cell>
        </row>
        <row r="8">
          <cell r="A8" t="str">
            <v>A-03-01</v>
          </cell>
          <cell r="B8" t="str">
            <v>ATROPINA SULFATO .:. 1 mg/ml</v>
          </cell>
          <cell r="C8" t="str">
            <v>Inyectable</v>
          </cell>
          <cell r="D8">
            <v>65</v>
          </cell>
          <cell r="E8">
            <v>0</v>
          </cell>
          <cell r="F8">
            <v>0</v>
          </cell>
          <cell r="G8">
            <v>25</v>
          </cell>
          <cell r="H8">
            <v>50</v>
          </cell>
          <cell r="I8">
            <v>59.502099999999999</v>
          </cell>
          <cell r="J8">
            <v>15</v>
          </cell>
          <cell r="K8">
            <v>2.3800840000000001</v>
          </cell>
          <cell r="L8">
            <v>95.203360000000004</v>
          </cell>
          <cell r="M8">
            <v>4.166666666666667</v>
          </cell>
          <cell r="N8">
            <v>20</v>
          </cell>
          <cell r="O8">
            <v>2.3800840000000001</v>
          </cell>
          <cell r="P8">
            <v>47.601680000000002</v>
          </cell>
        </row>
        <row r="9">
          <cell r="A9" t="str">
            <v>A-03-02</v>
          </cell>
          <cell r="B9" t="str">
            <v>BUTILBROMURO DE HIOSCINA (BUTILESCOPOLAMINA) .:. 10 mg</v>
          </cell>
          <cell r="C9" t="str">
            <v>Comprimido</v>
          </cell>
          <cell r="D9">
            <v>317</v>
          </cell>
          <cell r="E9">
            <v>0</v>
          </cell>
          <cell r="F9">
            <v>0</v>
          </cell>
          <cell r="G9">
            <v>317</v>
          </cell>
          <cell r="H9">
            <v>634</v>
          </cell>
          <cell r="I9">
            <v>410.14220799999998</v>
          </cell>
          <cell r="J9">
            <v>410.14220799999998</v>
          </cell>
          <cell r="K9">
            <v>0</v>
          </cell>
          <cell r="L9">
            <v>0</v>
          </cell>
          <cell r="M9">
            <v>52.833333333333336</v>
          </cell>
          <cell r="N9">
            <v>1100</v>
          </cell>
          <cell r="O9">
            <v>1.2938239999999999</v>
          </cell>
          <cell r="P9">
            <v>1423.2063999999998</v>
          </cell>
        </row>
        <row r="10">
          <cell r="A10" t="str">
            <v>A-03-04</v>
          </cell>
          <cell r="B10" t="str">
            <v>BUTILBROMURO DE HIOSCINA (BUTILESCOPOLAMINA) .:. 20 mg/ml</v>
          </cell>
          <cell r="C10" t="str">
            <v>Inyectable</v>
          </cell>
          <cell r="D10">
            <v>244</v>
          </cell>
          <cell r="E10">
            <v>400</v>
          </cell>
          <cell r="F10">
            <v>1396</v>
          </cell>
          <cell r="G10">
            <v>227</v>
          </cell>
          <cell r="H10">
            <v>454</v>
          </cell>
          <cell r="I10">
            <v>923.51316399999996</v>
          </cell>
          <cell r="J10">
            <v>202</v>
          </cell>
          <cell r="K10">
            <v>3.6085937249417248</v>
          </cell>
          <cell r="L10">
            <v>1548.086708</v>
          </cell>
          <cell r="M10">
            <v>37.833333333333336</v>
          </cell>
          <cell r="N10">
            <v>252</v>
          </cell>
          <cell r="O10">
            <v>3.6085937249417248</v>
          </cell>
          <cell r="P10">
            <v>909.36561868531464</v>
          </cell>
        </row>
        <row r="11">
          <cell r="A11" t="str">
            <v>A-03-06</v>
          </cell>
          <cell r="B11" t="str">
            <v>DOMPERIDONA .:. 10 mg</v>
          </cell>
          <cell r="C11" t="str">
            <v>Comprimido</v>
          </cell>
          <cell r="D11">
            <v>13135</v>
          </cell>
          <cell r="E11">
            <v>18000</v>
          </cell>
          <cell r="F11">
            <v>1800</v>
          </cell>
          <cell r="G11">
            <v>13467</v>
          </cell>
          <cell r="H11">
            <v>26934</v>
          </cell>
          <cell r="I11">
            <v>3371.9568789999998</v>
          </cell>
          <cell r="J11">
            <v>4201</v>
          </cell>
          <cell r="K11">
            <v>0.16379573924609464</v>
          </cell>
          <cell r="L11">
            <v>2893.9431209999998</v>
          </cell>
          <cell r="M11">
            <v>2244.5</v>
          </cell>
          <cell r="N11">
            <v>5900</v>
          </cell>
          <cell r="O11">
            <v>0.16379573924609464</v>
          </cell>
          <cell r="P11">
            <v>966.39486155195834</v>
          </cell>
        </row>
        <row r="12">
          <cell r="A12" t="str">
            <v>A-03-07</v>
          </cell>
          <cell r="B12" t="str">
            <v>METOCLOPRAMIDA .:. 10 mg</v>
          </cell>
          <cell r="C12" t="str">
            <v>Comprimido</v>
          </cell>
          <cell r="D12">
            <v>1377</v>
          </cell>
          <cell r="E12">
            <v>0</v>
          </cell>
          <cell r="F12">
            <v>0</v>
          </cell>
          <cell r="G12">
            <v>497</v>
          </cell>
          <cell r="H12">
            <v>994</v>
          </cell>
          <cell r="I12">
            <v>117.195582</v>
          </cell>
          <cell r="J12">
            <v>383</v>
          </cell>
          <cell r="K12">
            <v>0.23580599999999999</v>
          </cell>
          <cell r="L12">
            <v>207.50927999999999</v>
          </cell>
          <cell r="M12">
            <v>82.833333333333329</v>
          </cell>
          <cell r="N12">
            <v>611</v>
          </cell>
          <cell r="O12">
            <v>0.23580599999999999</v>
          </cell>
          <cell r="P12">
            <v>144.07746599999999</v>
          </cell>
        </row>
        <row r="13">
          <cell r="A13" t="str">
            <v>A-03-08</v>
          </cell>
          <cell r="B13" t="str">
            <v>METOCLOPRAMIDA .:. 10 mg/2ml</v>
          </cell>
          <cell r="C13" t="str">
            <v>Inyectable</v>
          </cell>
          <cell r="D13">
            <v>338</v>
          </cell>
          <cell r="E13">
            <v>1200</v>
          </cell>
          <cell r="F13">
            <v>3000</v>
          </cell>
          <cell r="G13">
            <v>843</v>
          </cell>
          <cell r="H13">
            <v>1686</v>
          </cell>
          <cell r="I13">
            <v>1593.0669559999999</v>
          </cell>
          <cell r="J13">
            <v>1593.0669559999999</v>
          </cell>
          <cell r="K13">
            <v>2.4338465013333335</v>
          </cell>
          <cell r="L13">
            <v>1825.3848760000001</v>
          </cell>
          <cell r="M13">
            <v>140.5</v>
          </cell>
          <cell r="N13">
            <v>1320</v>
          </cell>
          <cell r="O13">
            <v>2.4338465013333335</v>
          </cell>
          <cell r="P13">
            <v>3212.6773817600001</v>
          </cell>
        </row>
        <row r="14">
          <cell r="A14" t="str">
            <v>A-03-09</v>
          </cell>
          <cell r="B14" t="str">
            <v>METOCLOPRAMIDA .:. 0,35% o 0,5%</v>
          </cell>
          <cell r="C14" t="str">
            <v>Solución oral gotas</v>
          </cell>
          <cell r="D14">
            <v>7</v>
          </cell>
          <cell r="E14">
            <v>40</v>
          </cell>
          <cell r="F14">
            <v>232</v>
          </cell>
          <cell r="G14">
            <v>39</v>
          </cell>
          <cell r="H14">
            <v>78</v>
          </cell>
          <cell r="I14">
            <v>227.6</v>
          </cell>
          <cell r="J14">
            <v>227.6</v>
          </cell>
          <cell r="K14">
            <v>5.8</v>
          </cell>
          <cell r="L14">
            <v>46.4</v>
          </cell>
          <cell r="M14">
            <v>6.5</v>
          </cell>
          <cell r="N14">
            <v>154</v>
          </cell>
          <cell r="O14">
            <v>5.8</v>
          </cell>
          <cell r="P14">
            <v>893.19999999999993</v>
          </cell>
        </row>
        <row r="15">
          <cell r="A15" t="str">
            <v>A-03-10</v>
          </cell>
          <cell r="B15" t="str">
            <v>PROPINOXATO .:. 10 mg</v>
          </cell>
          <cell r="C15" t="str">
            <v>Comprimido</v>
          </cell>
          <cell r="D15">
            <v>1353</v>
          </cell>
          <cell r="E15">
            <v>0</v>
          </cell>
          <cell r="F15">
            <v>0</v>
          </cell>
          <cell r="G15">
            <v>887</v>
          </cell>
          <cell r="H15">
            <v>1774</v>
          </cell>
          <cell r="I15">
            <v>1340.300463</v>
          </cell>
          <cell r="J15">
            <v>1340.300463</v>
          </cell>
          <cell r="K15">
            <v>1.5110490000000001</v>
          </cell>
          <cell r="L15">
            <v>704.14883399999997</v>
          </cell>
          <cell r="M15">
            <v>147.83333333333334</v>
          </cell>
          <cell r="N15">
            <v>2200</v>
          </cell>
          <cell r="O15">
            <v>1.5110490000000001</v>
          </cell>
          <cell r="P15">
            <v>3324.3078</v>
          </cell>
        </row>
        <row r="16">
          <cell r="A16" t="str">
            <v>A-03-11</v>
          </cell>
          <cell r="B16" t="str">
            <v>PROPINOXATO .:. 5 mg/ml</v>
          </cell>
          <cell r="C16" t="str">
            <v>Inyectable</v>
          </cell>
          <cell r="D16">
            <v>70</v>
          </cell>
          <cell r="E16">
            <v>500</v>
          </cell>
          <cell r="F16">
            <v>3060</v>
          </cell>
          <cell r="G16">
            <v>207</v>
          </cell>
          <cell r="H16">
            <v>414</v>
          </cell>
          <cell r="I16">
            <v>1153.6185009999999</v>
          </cell>
          <cell r="J16">
            <v>156</v>
          </cell>
          <cell r="K16">
            <v>6.1966388126721759</v>
          </cell>
          <cell r="L16">
            <v>2249.3798889999998</v>
          </cell>
          <cell r="M16">
            <v>34.5</v>
          </cell>
          <cell r="N16">
            <v>258</v>
          </cell>
          <cell r="O16">
            <v>6.1966388126721759</v>
          </cell>
          <cell r="P16">
            <v>1598.7328136694214</v>
          </cell>
        </row>
        <row r="17">
          <cell r="A17" t="str">
            <v>A-03-12</v>
          </cell>
          <cell r="B17" t="str">
            <v>SIMETICONA .:. 3% o 4%</v>
          </cell>
          <cell r="C17" t="str">
            <v>Suspensión</v>
          </cell>
          <cell r="D17">
            <v>27</v>
          </cell>
          <cell r="E17">
            <v>100</v>
          </cell>
          <cell r="F17">
            <v>1600</v>
          </cell>
          <cell r="G17">
            <v>84</v>
          </cell>
          <cell r="H17">
            <v>168</v>
          </cell>
          <cell r="I17">
            <v>1344</v>
          </cell>
          <cell r="J17">
            <v>1344</v>
          </cell>
          <cell r="K17">
            <v>16</v>
          </cell>
          <cell r="L17">
            <v>688</v>
          </cell>
          <cell r="M17">
            <v>14</v>
          </cell>
          <cell r="N17">
            <v>220.00000000000003</v>
          </cell>
          <cell r="O17">
            <v>16</v>
          </cell>
          <cell r="P17">
            <v>3520.0000000000005</v>
          </cell>
        </row>
        <row r="18">
          <cell r="A18" t="str">
            <v>A-03-13</v>
          </cell>
          <cell r="B18" t="str">
            <v>SIMETICONA .:. 100 mg</v>
          </cell>
          <cell r="C18" t="str">
            <v>Comprimido</v>
          </cell>
          <cell r="D18">
            <v>4308</v>
          </cell>
          <cell r="E18">
            <v>27000</v>
          </cell>
          <cell r="F18">
            <v>31050</v>
          </cell>
          <cell r="G18">
            <v>9300</v>
          </cell>
          <cell r="H18">
            <v>18600</v>
          </cell>
          <cell r="I18">
            <v>10673.037816</v>
          </cell>
          <cell r="J18">
            <v>12708</v>
          </cell>
          <cell r="K18">
            <v>1.1499999999999999</v>
          </cell>
          <cell r="L18">
            <v>25309.200000000001</v>
          </cell>
          <cell r="M18">
            <v>1550</v>
          </cell>
          <cell r="N18">
            <v>6300</v>
          </cell>
          <cell r="O18">
            <v>1.1499999999999999</v>
          </cell>
          <cell r="P18">
            <v>7244.9999999999991</v>
          </cell>
        </row>
        <row r="19">
          <cell r="A19" t="str">
            <v>A-04-01</v>
          </cell>
          <cell r="B19" t="str">
            <v>ONDANSETRON .:. 8 mg</v>
          </cell>
          <cell r="C19" t="str">
            <v>Inyectable</v>
          </cell>
          <cell r="D19">
            <v>146</v>
          </cell>
          <cell r="E19">
            <v>200</v>
          </cell>
          <cell r="F19">
            <v>1280</v>
          </cell>
          <cell r="G19">
            <v>259</v>
          </cell>
          <cell r="H19">
            <v>518</v>
          </cell>
          <cell r="I19">
            <v>1342</v>
          </cell>
          <cell r="J19">
            <v>1342</v>
          </cell>
          <cell r="K19">
            <v>6</v>
          </cell>
          <cell r="L19">
            <v>534</v>
          </cell>
          <cell r="M19">
            <v>43.166666666666664</v>
          </cell>
          <cell r="N19">
            <v>658.90000000000009</v>
          </cell>
          <cell r="O19">
            <v>6</v>
          </cell>
          <cell r="P19">
            <v>3953.4000000000005</v>
          </cell>
        </row>
        <row r="20">
          <cell r="A20" t="str">
            <v>A-04-02</v>
          </cell>
          <cell r="B20" t="str">
            <v>ONDANSETRON .:. 8 mg</v>
          </cell>
          <cell r="C20" t="str">
            <v>Comprimido</v>
          </cell>
          <cell r="D20">
            <v>258</v>
          </cell>
          <cell r="E20">
            <v>0</v>
          </cell>
          <cell r="F20">
            <v>0</v>
          </cell>
          <cell r="G20">
            <v>67</v>
          </cell>
          <cell r="H20">
            <v>134</v>
          </cell>
          <cell r="I20">
            <v>462.3</v>
          </cell>
          <cell r="J20">
            <v>124</v>
          </cell>
          <cell r="K20">
            <v>6.9</v>
          </cell>
          <cell r="L20">
            <v>1317.9</v>
          </cell>
          <cell r="M20">
            <v>11.166666666666666</v>
          </cell>
          <cell r="N20">
            <v>20</v>
          </cell>
          <cell r="O20">
            <v>6.9</v>
          </cell>
          <cell r="P20">
            <v>138</v>
          </cell>
        </row>
        <row r="21">
          <cell r="A21" t="str">
            <v>A-05-01</v>
          </cell>
          <cell r="B21" t="str">
            <v xml:space="preserve">ACIDO URSODEOXICOLICO   ACIDO URSODESOXICOLICO  250 MG .:. 250 MG. </v>
          </cell>
          <cell r="C21" t="str">
            <v>Comprimido o Cápsula</v>
          </cell>
          <cell r="D21">
            <v>395</v>
          </cell>
          <cell r="E21">
            <v>1200</v>
          </cell>
          <cell r="F21">
            <v>11112</v>
          </cell>
          <cell r="G21">
            <v>1595</v>
          </cell>
          <cell r="H21">
            <v>3190</v>
          </cell>
          <cell r="I21">
            <v>14430</v>
          </cell>
          <cell r="J21">
            <v>405</v>
          </cell>
          <cell r="K21">
            <v>0</v>
          </cell>
          <cell r="L21">
            <v>0</v>
          </cell>
          <cell r="M21">
            <v>265.83333333333331</v>
          </cell>
          <cell r="N21">
            <v>5500</v>
          </cell>
          <cell r="O21">
            <v>9.0470219435736681</v>
          </cell>
          <cell r="P21">
            <v>49758.620689655174</v>
          </cell>
        </row>
        <row r="22">
          <cell r="A22" t="str">
            <v>A-06-01</v>
          </cell>
          <cell r="B22" t="str">
            <v>ACEITE MINERAL .:. 0.4</v>
          </cell>
          <cell r="C22" t="str">
            <v>Emulsión oral</v>
          </cell>
          <cell r="D22">
            <v>96</v>
          </cell>
          <cell r="E22">
            <v>180</v>
          </cell>
          <cell r="F22">
            <v>2338.1999999999998</v>
          </cell>
          <cell r="G22">
            <v>101</v>
          </cell>
          <cell r="H22">
            <v>202</v>
          </cell>
          <cell r="I22">
            <v>1359.0097740000001</v>
          </cell>
          <cell r="J22">
            <v>74</v>
          </cell>
          <cell r="K22">
            <v>13.001087005714286</v>
          </cell>
          <cell r="L22">
            <v>2275.1902260000002</v>
          </cell>
          <cell r="M22">
            <v>16.833333333333332</v>
          </cell>
          <cell r="N22">
            <v>128</v>
          </cell>
          <cell r="O22">
            <v>13.001087005714286</v>
          </cell>
          <cell r="P22">
            <v>1664.1391367314286</v>
          </cell>
        </row>
        <row r="23">
          <cell r="A23" t="str">
            <v>A-06-02</v>
          </cell>
          <cell r="B23" t="str">
            <v>BISACODILO .:. 5 mg</v>
          </cell>
          <cell r="C23" t="str">
            <v>Comprimido</v>
          </cell>
          <cell r="D23">
            <v>118</v>
          </cell>
          <cell r="E23">
            <v>0</v>
          </cell>
          <cell r="F23">
            <v>0</v>
          </cell>
          <cell r="G23">
            <v>118</v>
          </cell>
          <cell r="H23">
            <v>236</v>
          </cell>
          <cell r="I23">
            <v>41.3</v>
          </cell>
          <cell r="J23">
            <v>41.3</v>
          </cell>
          <cell r="K23">
            <v>0</v>
          </cell>
          <cell r="L23">
            <v>0</v>
          </cell>
          <cell r="M23">
            <v>30</v>
          </cell>
          <cell r="N23">
            <v>660</v>
          </cell>
          <cell r="O23">
            <v>0.35</v>
          </cell>
          <cell r="P23">
            <v>230.99999999999997</v>
          </cell>
        </row>
        <row r="24">
          <cell r="A24" t="str">
            <v>A-06-04</v>
          </cell>
          <cell r="B24" t="str">
            <v>FIBRA NATURAL .:. Según disponibilidad</v>
          </cell>
          <cell r="C24" t="str">
            <v>Polvo o granulado</v>
          </cell>
          <cell r="D24">
            <v>2106</v>
          </cell>
          <cell r="E24">
            <v>5000</v>
          </cell>
          <cell r="F24">
            <v>14500</v>
          </cell>
          <cell r="G24">
            <v>2726</v>
          </cell>
          <cell r="H24">
            <v>5452</v>
          </cell>
          <cell r="I24">
            <v>8449.2593780000007</v>
          </cell>
          <cell r="J24">
            <v>1654</v>
          </cell>
          <cell r="K24">
            <v>2.9681599593607304</v>
          </cell>
          <cell r="L24">
            <v>13000.540622</v>
          </cell>
          <cell r="M24">
            <v>454.33333333333331</v>
          </cell>
          <cell r="N24">
            <v>3798</v>
          </cell>
          <cell r="O24">
            <v>2.9681599593607304</v>
          </cell>
          <cell r="P24">
            <v>11273.071525652054</v>
          </cell>
        </row>
        <row r="25">
          <cell r="A25" t="str">
            <v>A-06-05</v>
          </cell>
          <cell r="B25" t="str">
            <v>GLICEROL (GLICERINA) .:. 2 g a 4 g (adulto)</v>
          </cell>
          <cell r="C25" t="str">
            <v>Supositorio</v>
          </cell>
          <cell r="D25">
            <v>147</v>
          </cell>
          <cell r="E25">
            <v>0</v>
          </cell>
          <cell r="F25">
            <v>0</v>
          </cell>
          <cell r="G25">
            <v>23</v>
          </cell>
          <cell r="H25">
            <v>46</v>
          </cell>
          <cell r="I25">
            <v>48.042768000000002</v>
          </cell>
          <cell r="J25">
            <v>101</v>
          </cell>
          <cell r="K25">
            <v>2.088816</v>
          </cell>
          <cell r="L25">
            <v>259.01318400000002</v>
          </cell>
          <cell r="M25">
            <v>3.8333333333333335</v>
          </cell>
          <cell r="N25">
            <v>1</v>
          </cell>
          <cell r="O25">
            <v>2.088816</v>
          </cell>
          <cell r="P25">
            <v>2.088816</v>
          </cell>
        </row>
        <row r="26">
          <cell r="A26" t="str">
            <v>A-06-06</v>
          </cell>
          <cell r="B26" t="str">
            <v>GLICEROL (GLICERINA) .:. 1 g a 1,80 g (infantil)</v>
          </cell>
          <cell r="C26" t="str">
            <v>Supositorio</v>
          </cell>
          <cell r="D26">
            <v>31</v>
          </cell>
          <cell r="E26">
            <v>0</v>
          </cell>
          <cell r="F26">
            <v>0</v>
          </cell>
          <cell r="G26">
            <v>2</v>
          </cell>
          <cell r="H26">
            <v>4</v>
          </cell>
          <cell r="I26">
            <v>3.0874999999999999</v>
          </cell>
          <cell r="J26">
            <v>27</v>
          </cell>
          <cell r="K26">
            <v>1.54375</v>
          </cell>
          <cell r="L26">
            <v>44.768749999999997</v>
          </cell>
          <cell r="M26">
            <v>0.33333333333333331</v>
          </cell>
          <cell r="N26">
            <v>30</v>
          </cell>
          <cell r="O26">
            <v>1.54375</v>
          </cell>
          <cell r="P26">
            <v>46.3125</v>
          </cell>
        </row>
        <row r="27">
          <cell r="A27" t="str">
            <v>A-06-07</v>
          </cell>
          <cell r="B27" t="str">
            <v>LACTULOSA .:. 65% hasta 66.7%</v>
          </cell>
          <cell r="C27" t="str">
            <v>Solución oral</v>
          </cell>
          <cell r="D27">
            <v>54</v>
          </cell>
          <cell r="E27">
            <v>360</v>
          </cell>
          <cell r="F27">
            <v>14397</v>
          </cell>
          <cell r="G27">
            <v>203</v>
          </cell>
          <cell r="H27">
            <v>406</v>
          </cell>
          <cell r="I27">
            <v>8045.3258910000004</v>
          </cell>
          <cell r="J27">
            <v>8</v>
          </cell>
          <cell r="K27">
            <v>39.990909142180094</v>
          </cell>
          <cell r="L27">
            <v>8438.0818290000007</v>
          </cell>
          <cell r="M27">
            <v>33.833333333333336</v>
          </cell>
          <cell r="N27">
            <v>220.00000000000003</v>
          </cell>
          <cell r="O27">
            <v>39.990909142180094</v>
          </cell>
          <cell r="P27">
            <v>8798.0000112796224</v>
          </cell>
        </row>
        <row r="28">
          <cell r="A28" t="str">
            <v>A-07-02</v>
          </cell>
          <cell r="B28" t="str">
            <v>LOPERAMIDA .:. 2 mg</v>
          </cell>
          <cell r="C28" t="str">
            <v>Cápsula o Comprimido</v>
          </cell>
          <cell r="D28">
            <v>395</v>
          </cell>
          <cell r="E28">
            <v>0</v>
          </cell>
          <cell r="F28">
            <v>0</v>
          </cell>
          <cell r="G28">
            <v>361</v>
          </cell>
          <cell r="H28">
            <v>722</v>
          </cell>
          <cell r="I28">
            <v>144.4</v>
          </cell>
          <cell r="J28">
            <v>144.4</v>
          </cell>
          <cell r="K28">
            <v>0.4</v>
          </cell>
          <cell r="L28">
            <v>13.6</v>
          </cell>
          <cell r="M28">
            <v>60.166666666666664</v>
          </cell>
          <cell r="N28">
            <v>1540.0000000000002</v>
          </cell>
          <cell r="O28">
            <v>0.4</v>
          </cell>
          <cell r="P28">
            <v>616.00000000000011</v>
          </cell>
        </row>
        <row r="29">
          <cell r="A29" t="str">
            <v>A-07-04</v>
          </cell>
          <cell r="B29" t="str">
            <v>NISTATINA .:. 500.000 UI/5 ml</v>
          </cell>
          <cell r="C29" t="str">
            <v>Suspensión</v>
          </cell>
          <cell r="D29">
            <v>8</v>
          </cell>
          <cell r="E29">
            <v>30</v>
          </cell>
          <cell r="F29">
            <v>360</v>
          </cell>
          <cell r="G29">
            <v>35</v>
          </cell>
          <cell r="H29">
            <v>70</v>
          </cell>
          <cell r="I29">
            <v>420</v>
          </cell>
          <cell r="J29">
            <v>420</v>
          </cell>
          <cell r="K29">
            <v>12</v>
          </cell>
          <cell r="L29">
            <v>36</v>
          </cell>
          <cell r="M29">
            <v>5.833333333333333</v>
          </cell>
          <cell r="N29">
            <v>108.9</v>
          </cell>
          <cell r="O29">
            <v>12</v>
          </cell>
          <cell r="P29">
            <v>1306.8000000000002</v>
          </cell>
        </row>
        <row r="30">
          <cell r="A30" t="str">
            <v>A-07-06</v>
          </cell>
          <cell r="B30" t="str">
            <v>SALES DE REHIDRATACION ORAL (SRO) BAJA OSMOLARIDAD .:. Según concentración eestándar</v>
          </cell>
          <cell r="C30" t="str">
            <v>Sobres</v>
          </cell>
          <cell r="D30">
            <v>506</v>
          </cell>
          <cell r="E30">
            <v>0</v>
          </cell>
          <cell r="F30">
            <v>0</v>
          </cell>
          <cell r="G30">
            <v>501</v>
          </cell>
          <cell r="H30">
            <v>1002</v>
          </cell>
          <cell r="I30">
            <v>508.93433700000003</v>
          </cell>
          <cell r="J30">
            <v>499</v>
          </cell>
          <cell r="K30">
            <v>1.0158370000000001</v>
          </cell>
          <cell r="L30">
            <v>5.0791849999999998</v>
          </cell>
          <cell r="M30">
            <v>83.5</v>
          </cell>
          <cell r="N30">
            <v>503</v>
          </cell>
          <cell r="O30">
            <v>1.0158370000000001</v>
          </cell>
          <cell r="P30">
            <v>510.96601100000004</v>
          </cell>
        </row>
        <row r="31">
          <cell r="A31" t="str">
            <v>A-07-07</v>
          </cell>
          <cell r="B31" t="str">
            <v>MESALAZINA .:. 500 mg</v>
          </cell>
          <cell r="C31" t="str">
            <v>Comprimido</v>
          </cell>
          <cell r="D31">
            <v>450</v>
          </cell>
          <cell r="E31">
            <v>2000</v>
          </cell>
          <cell r="F31">
            <v>16000</v>
          </cell>
          <cell r="G31">
            <v>1170</v>
          </cell>
          <cell r="H31">
            <v>2340</v>
          </cell>
          <cell r="I31">
            <v>8280</v>
          </cell>
          <cell r="J31">
            <v>110</v>
          </cell>
          <cell r="K31">
            <v>8</v>
          </cell>
          <cell r="L31">
            <v>10240</v>
          </cell>
          <cell r="M31">
            <v>195</v>
          </cell>
          <cell r="N31">
            <v>1100</v>
          </cell>
          <cell r="O31">
            <v>8</v>
          </cell>
          <cell r="P31">
            <v>8800</v>
          </cell>
        </row>
        <row r="32">
          <cell r="A32" t="str">
            <v>A-09-01</v>
          </cell>
          <cell r="B32" t="str">
            <v>ENZIMAS PANCREATICAS (LIPASA, PROTEASA Y AMILASA EN COMBINACION) .:. Según disponibilidad</v>
          </cell>
          <cell r="C32" t="str">
            <v>Comprimido</v>
          </cell>
          <cell r="D32">
            <v>1754</v>
          </cell>
          <cell r="E32">
            <v>6000</v>
          </cell>
          <cell r="F32">
            <v>6600</v>
          </cell>
          <cell r="G32">
            <v>3924</v>
          </cell>
          <cell r="H32">
            <v>7848</v>
          </cell>
          <cell r="I32">
            <v>3877.9</v>
          </cell>
          <cell r="J32">
            <v>3877.9</v>
          </cell>
          <cell r="K32">
            <v>1.1000000000000001</v>
          </cell>
          <cell r="L32">
            <v>4213</v>
          </cell>
          <cell r="M32">
            <v>654</v>
          </cell>
          <cell r="N32">
            <v>5100</v>
          </cell>
          <cell r="O32">
            <v>1.1000000000000001</v>
          </cell>
          <cell r="P32">
            <v>5610</v>
          </cell>
        </row>
        <row r="33">
          <cell r="A33" t="str">
            <v>A-10-01</v>
          </cell>
          <cell r="B33" t="str">
            <v>GLIBENCLAMIDA .:. 5 mg</v>
          </cell>
          <cell r="C33" t="str">
            <v>Comprimido</v>
          </cell>
          <cell r="D33">
            <v>1907</v>
          </cell>
          <cell r="E33">
            <v>17000</v>
          </cell>
          <cell r="F33">
            <v>910</v>
          </cell>
          <cell r="G33">
            <v>7156</v>
          </cell>
          <cell r="H33">
            <v>14312</v>
          </cell>
          <cell r="I33">
            <v>485.57664</v>
          </cell>
          <cell r="J33">
            <v>4624</v>
          </cell>
          <cell r="K33">
            <v>5.182217453310696E-2</v>
          </cell>
          <cell r="L33">
            <v>610.46521600000005</v>
          </cell>
          <cell r="M33">
            <v>1192.6666666666667</v>
          </cell>
          <cell r="N33">
            <v>10000</v>
          </cell>
          <cell r="O33">
            <v>5.182217453310696E-2</v>
          </cell>
          <cell r="P33">
            <v>518.22174533106966</v>
          </cell>
        </row>
        <row r="34">
          <cell r="A34" t="str">
            <v>A-10-02</v>
          </cell>
          <cell r="B34" t="str">
            <v>INSULINA RECOMBINANTE HUMANA NPH .:. 100 UI/ml</v>
          </cell>
          <cell r="C34" t="str">
            <v>Inyectable</v>
          </cell>
          <cell r="D34">
            <v>87</v>
          </cell>
          <cell r="E34">
            <v>100</v>
          </cell>
          <cell r="F34">
            <v>6999</v>
          </cell>
          <cell r="G34">
            <v>144</v>
          </cell>
          <cell r="H34">
            <v>288</v>
          </cell>
          <cell r="I34">
            <v>8459.6037959999994</v>
          </cell>
          <cell r="J34">
            <v>8459.6037959999994</v>
          </cell>
          <cell r="K34">
            <v>69.989999999999995</v>
          </cell>
          <cell r="L34">
            <v>3009.57</v>
          </cell>
          <cell r="M34">
            <v>24</v>
          </cell>
          <cell r="N34">
            <v>385.00000000000006</v>
          </cell>
          <cell r="O34">
            <v>125</v>
          </cell>
          <cell r="P34">
            <v>48125.000000000007</v>
          </cell>
        </row>
        <row r="35">
          <cell r="A35" t="str">
            <v>A-10-03</v>
          </cell>
          <cell r="B35" t="str">
            <v>INSULINA ZINC CRISTALINA  RECOMBINANTE HUMANA .:. 100 UI/ml</v>
          </cell>
          <cell r="C35" t="str">
            <v>Inyectable</v>
          </cell>
          <cell r="D35">
            <v>35</v>
          </cell>
          <cell r="E35">
            <v>0</v>
          </cell>
          <cell r="F35">
            <v>0</v>
          </cell>
          <cell r="G35">
            <v>33</v>
          </cell>
          <cell r="H35">
            <v>66</v>
          </cell>
          <cell r="I35">
            <v>2314.62</v>
          </cell>
          <cell r="J35">
            <v>2314.62</v>
          </cell>
          <cell r="K35">
            <v>70.14</v>
          </cell>
          <cell r="L35">
            <v>140.28</v>
          </cell>
          <cell r="M35">
            <v>5.5</v>
          </cell>
          <cell r="N35">
            <v>110.00000000000001</v>
          </cell>
          <cell r="O35">
            <v>75</v>
          </cell>
          <cell r="P35">
            <v>8250.0000000000018</v>
          </cell>
        </row>
        <row r="36">
          <cell r="A36" t="str">
            <v>A-10-04</v>
          </cell>
          <cell r="B36" t="str">
            <v>METFORMINA .:. 850 mg</v>
          </cell>
          <cell r="C36" t="str">
            <v>Comprimido</v>
          </cell>
          <cell r="D36">
            <v>21952</v>
          </cell>
          <cell r="E36">
            <v>30000</v>
          </cell>
          <cell r="F36">
            <v>9000</v>
          </cell>
          <cell r="G36">
            <v>40629</v>
          </cell>
          <cell r="H36">
            <v>81258</v>
          </cell>
          <cell r="I36">
            <v>12328.181293</v>
          </cell>
          <cell r="J36">
            <v>13371</v>
          </cell>
          <cell r="K36">
            <v>0.30091522202596482</v>
          </cell>
          <cell r="L36">
            <v>3407.2630589999999</v>
          </cell>
          <cell r="M36">
            <v>6771.5</v>
          </cell>
          <cell r="N36">
            <v>110000.00000000001</v>
          </cell>
          <cell r="O36">
            <v>0.30091522202596482</v>
          </cell>
          <cell r="P36">
            <v>33100.674422856137</v>
          </cell>
        </row>
        <row r="37">
          <cell r="A37" t="str">
            <v>A-10-05</v>
          </cell>
          <cell r="B37" t="str">
            <v>INSULINA GLARGINA .:. 100 U.I / ml</v>
          </cell>
          <cell r="C37" t="str">
            <v>Inyectable</v>
          </cell>
          <cell r="D37">
            <v>17</v>
          </cell>
          <cell r="E37">
            <v>115</v>
          </cell>
          <cell r="F37">
            <v>27464.3</v>
          </cell>
          <cell r="G37">
            <v>61</v>
          </cell>
          <cell r="H37">
            <v>122</v>
          </cell>
          <cell r="I37">
            <v>14570.044602</v>
          </cell>
          <cell r="J37">
            <v>10</v>
          </cell>
          <cell r="K37">
            <v>239.06923095774647</v>
          </cell>
          <cell r="L37">
            <v>16973.915398000001</v>
          </cell>
          <cell r="M37">
            <v>10.166666666666666</v>
          </cell>
          <cell r="N37">
            <v>150</v>
          </cell>
          <cell r="O37">
            <v>411</v>
          </cell>
          <cell r="P37">
            <v>61650</v>
          </cell>
        </row>
        <row r="38">
          <cell r="A38" t="str">
            <v>A-10-07</v>
          </cell>
          <cell r="B38" t="str">
            <v>METFORMINA .:. 500 mg</v>
          </cell>
          <cell r="C38" t="str">
            <v>Comprimido</v>
          </cell>
          <cell r="D38">
            <v>710</v>
          </cell>
          <cell r="E38">
            <v>1200</v>
          </cell>
          <cell r="F38">
            <v>816</v>
          </cell>
          <cell r="G38">
            <v>1220</v>
          </cell>
          <cell r="H38">
            <v>2440</v>
          </cell>
          <cell r="I38">
            <v>829.6</v>
          </cell>
          <cell r="J38">
            <v>829.6</v>
          </cell>
          <cell r="K38">
            <v>0.68</v>
          </cell>
          <cell r="L38">
            <v>469.2</v>
          </cell>
          <cell r="M38">
            <v>203.33333333333334</v>
          </cell>
          <cell r="N38">
            <v>2640</v>
          </cell>
          <cell r="O38">
            <v>0.68</v>
          </cell>
          <cell r="P38">
            <v>1795.2</v>
          </cell>
        </row>
        <row r="39">
          <cell r="A39" t="str">
            <v>A-11-02</v>
          </cell>
          <cell r="B39" t="str">
            <v>ACIDO ASCORBICO (VITAMINA C) .:. 500 mg/ml (2 ml)</v>
          </cell>
          <cell r="C39" t="str">
            <v>Inyectable</v>
          </cell>
          <cell r="D39">
            <v>1569</v>
          </cell>
          <cell r="E39">
            <v>0</v>
          </cell>
          <cell r="F39">
            <v>0</v>
          </cell>
          <cell r="G39">
            <v>934</v>
          </cell>
          <cell r="H39">
            <v>1868</v>
          </cell>
          <cell r="I39">
            <v>2318.184264</v>
          </cell>
          <cell r="J39">
            <v>2318.184264</v>
          </cell>
          <cell r="K39">
            <v>2.4819960000000001</v>
          </cell>
          <cell r="L39">
            <v>1645.5633479999999</v>
          </cell>
          <cell r="M39">
            <v>155.66666666666666</v>
          </cell>
          <cell r="N39">
            <v>1760.0000000000002</v>
          </cell>
          <cell r="O39">
            <v>2.4819960000000001</v>
          </cell>
          <cell r="P39">
            <v>4368.3129600000011</v>
          </cell>
        </row>
        <row r="40">
          <cell r="A40" t="str">
            <v>A-11-03</v>
          </cell>
          <cell r="B40" t="str">
            <v>ACIDO ASCORBICO (VITAMINA C) .:. Según disponibilidad</v>
          </cell>
          <cell r="C40" t="str">
            <v>Solución oral gotas</v>
          </cell>
          <cell r="D40">
            <v>10</v>
          </cell>
          <cell r="E40">
            <v>20</v>
          </cell>
          <cell r="F40">
            <v>309.60000000000002</v>
          </cell>
          <cell r="G40">
            <v>24</v>
          </cell>
          <cell r="H40">
            <v>48</v>
          </cell>
          <cell r="I40">
            <v>364.37216999999998</v>
          </cell>
          <cell r="J40">
            <v>364.37216999999998</v>
          </cell>
          <cell r="K40">
            <v>15.48</v>
          </cell>
          <cell r="L40">
            <v>92.88</v>
          </cell>
          <cell r="M40">
            <v>4</v>
          </cell>
          <cell r="N40">
            <v>88</v>
          </cell>
          <cell r="O40">
            <v>15.48</v>
          </cell>
          <cell r="P40">
            <v>1362.24</v>
          </cell>
        </row>
        <row r="41">
          <cell r="A41" t="str">
            <v>A-11-04</v>
          </cell>
          <cell r="B41" t="str">
            <v>CIANOCOBALAMINA (VITAMINA B12) .:. 1 mg/ml</v>
          </cell>
          <cell r="C41" t="str">
            <v>Inyectable</v>
          </cell>
          <cell r="D41">
            <v>282</v>
          </cell>
          <cell r="E41">
            <v>1400</v>
          </cell>
          <cell r="F41">
            <v>6300</v>
          </cell>
          <cell r="G41">
            <v>539</v>
          </cell>
          <cell r="H41">
            <v>1078</v>
          </cell>
          <cell r="I41">
            <v>2497.9950060000001</v>
          </cell>
          <cell r="J41">
            <v>604</v>
          </cell>
          <cell r="K41">
            <v>4.5134110393700784</v>
          </cell>
          <cell r="L41">
            <v>5158.828818</v>
          </cell>
          <cell r="M41">
            <v>89.833333333333329</v>
          </cell>
          <cell r="N41">
            <v>474</v>
          </cell>
          <cell r="O41">
            <v>4.5134110393700784</v>
          </cell>
          <cell r="P41">
            <v>2139.3568326614172</v>
          </cell>
        </row>
        <row r="42">
          <cell r="A42" t="str">
            <v>A-11-06</v>
          </cell>
          <cell r="B42" t="str">
            <v>COMPLEJO  B (B1 + B6 + B12) .:. Según concentración eestándar</v>
          </cell>
          <cell r="C42" t="str">
            <v>Comprimido</v>
          </cell>
          <cell r="D42">
            <v>5911</v>
          </cell>
          <cell r="E42">
            <v>11000</v>
          </cell>
          <cell r="F42">
            <v>1430</v>
          </cell>
          <cell r="G42">
            <v>6246</v>
          </cell>
          <cell r="H42">
            <v>12492</v>
          </cell>
          <cell r="I42">
            <v>911.69857000000002</v>
          </cell>
          <cell r="J42">
            <v>4419</v>
          </cell>
          <cell r="K42">
            <v>0.13</v>
          </cell>
          <cell r="L42">
            <v>1386.45</v>
          </cell>
          <cell r="M42">
            <v>1041</v>
          </cell>
          <cell r="N42">
            <v>8500</v>
          </cell>
          <cell r="O42">
            <v>0.13</v>
          </cell>
          <cell r="P42">
            <v>1105</v>
          </cell>
        </row>
        <row r="43">
          <cell r="A43" t="str">
            <v>A-11-07</v>
          </cell>
          <cell r="B43" t="str">
            <v>COMPLEJO  B (B1 + B6 + B12) .:. Según concentración eestándar</v>
          </cell>
          <cell r="C43" t="str">
            <v>Inyectable</v>
          </cell>
          <cell r="D43">
            <v>1274</v>
          </cell>
          <cell r="E43">
            <v>2200</v>
          </cell>
          <cell r="F43">
            <v>3080</v>
          </cell>
          <cell r="G43">
            <v>1597</v>
          </cell>
          <cell r="H43">
            <v>3194</v>
          </cell>
          <cell r="I43">
            <v>2146.5938329999999</v>
          </cell>
          <cell r="J43">
            <v>307</v>
          </cell>
          <cell r="K43">
            <v>1.3772830992647058</v>
          </cell>
          <cell r="L43">
            <v>2622.347021</v>
          </cell>
          <cell r="M43">
            <v>266.16666666666669</v>
          </cell>
          <cell r="N43">
            <v>1100</v>
          </cell>
          <cell r="O43">
            <v>1.3772830992647058</v>
          </cell>
          <cell r="P43">
            <v>1515.0114091911764</v>
          </cell>
        </row>
        <row r="44">
          <cell r="A44" t="str">
            <v>A-11-09</v>
          </cell>
          <cell r="B44" t="str">
            <v>MULTIVITAMINAS .:. Según concentración estándar</v>
          </cell>
          <cell r="C44" t="str">
            <v>Comprimido</v>
          </cell>
          <cell r="D44">
            <v>17243</v>
          </cell>
          <cell r="E44">
            <v>0</v>
          </cell>
          <cell r="F44">
            <v>0</v>
          </cell>
          <cell r="G44">
            <v>7975</v>
          </cell>
          <cell r="H44">
            <v>15950</v>
          </cell>
          <cell r="I44">
            <v>2606.3895000000002</v>
          </cell>
          <cell r="J44">
            <v>1293</v>
          </cell>
          <cell r="K44">
            <v>0.32682</v>
          </cell>
          <cell r="L44">
            <v>3028.96776</v>
          </cell>
          <cell r="M44">
            <v>1329.1666666666667</v>
          </cell>
          <cell r="N44">
            <v>6000</v>
          </cell>
          <cell r="O44">
            <v>0.32682</v>
          </cell>
          <cell r="P44">
            <v>1960.92</v>
          </cell>
        </row>
        <row r="45">
          <cell r="A45" t="str">
            <v>A-11-10</v>
          </cell>
          <cell r="B45" t="str">
            <v>MULTIVITAMINAS .:. Según concentración estándar</v>
          </cell>
          <cell r="C45" t="str">
            <v>Jarabe</v>
          </cell>
          <cell r="D45">
            <v>1</v>
          </cell>
          <cell r="E45">
            <v>70</v>
          </cell>
          <cell r="F45">
            <v>1050</v>
          </cell>
          <cell r="G45">
            <v>8</v>
          </cell>
          <cell r="H45">
            <v>16</v>
          </cell>
          <cell r="I45">
            <v>125.43</v>
          </cell>
          <cell r="J45">
            <v>55</v>
          </cell>
          <cell r="K45">
            <v>15</v>
          </cell>
          <cell r="L45">
            <v>945</v>
          </cell>
          <cell r="M45">
            <v>1.3333333333333333</v>
          </cell>
          <cell r="N45">
            <v>10</v>
          </cell>
          <cell r="O45">
            <v>15</v>
          </cell>
          <cell r="P45">
            <v>150</v>
          </cell>
        </row>
        <row r="46">
          <cell r="A46" t="str">
            <v>A-11-13</v>
          </cell>
          <cell r="B46" t="str">
            <v>RETINOL (VITAMINA A) .:. 10.000 UI</v>
          </cell>
          <cell r="C46" t="str">
            <v>Cápsula o Perla</v>
          </cell>
          <cell r="D46">
            <v>229</v>
          </cell>
          <cell r="E46">
            <v>0</v>
          </cell>
          <cell r="F46">
            <v>0</v>
          </cell>
          <cell r="G46">
            <v>108</v>
          </cell>
          <cell r="H46">
            <v>216</v>
          </cell>
          <cell r="I46">
            <v>60.475464000000002</v>
          </cell>
          <cell r="J46">
            <v>13</v>
          </cell>
          <cell r="K46">
            <v>0.55995799999999996</v>
          </cell>
          <cell r="L46">
            <v>67.754918000000004</v>
          </cell>
          <cell r="M46">
            <v>18</v>
          </cell>
          <cell r="N46">
            <v>110.00000000000001</v>
          </cell>
          <cell r="O46">
            <v>0.55995799999999996</v>
          </cell>
          <cell r="P46">
            <v>61.595380000000006</v>
          </cell>
        </row>
        <row r="47">
          <cell r="A47" t="str">
            <v>A-11-17</v>
          </cell>
          <cell r="B47" t="str">
            <v>TIAMINA (VITAMINA B 1) .:. 300 mg</v>
          </cell>
          <cell r="C47" t="str">
            <v>Comprimido</v>
          </cell>
          <cell r="D47">
            <v>589</v>
          </cell>
          <cell r="E47">
            <v>0</v>
          </cell>
          <cell r="F47">
            <v>0</v>
          </cell>
          <cell r="G47">
            <v>367</v>
          </cell>
          <cell r="H47">
            <v>734</v>
          </cell>
          <cell r="I47">
            <v>400.03</v>
          </cell>
          <cell r="J47">
            <v>400.03</v>
          </cell>
          <cell r="K47">
            <v>1.0900000000000001</v>
          </cell>
          <cell r="L47">
            <v>241.98</v>
          </cell>
          <cell r="M47">
            <v>61.166666666666664</v>
          </cell>
          <cell r="N47">
            <v>770.00000000000011</v>
          </cell>
          <cell r="O47">
            <v>1.0900000000000001</v>
          </cell>
          <cell r="P47">
            <v>839.30000000000018</v>
          </cell>
        </row>
        <row r="48">
          <cell r="A48" t="str">
            <v>A-11-18</v>
          </cell>
          <cell r="B48" t="str">
            <v>TIAMINA (VITAMINA B 1) .:. 100 mg/ml</v>
          </cell>
          <cell r="C48" t="str">
            <v>Inyectable</v>
          </cell>
          <cell r="D48">
            <v>97</v>
          </cell>
          <cell r="E48">
            <v>152</v>
          </cell>
          <cell r="F48">
            <v>462.08</v>
          </cell>
          <cell r="G48">
            <v>102</v>
          </cell>
          <cell r="H48">
            <v>204</v>
          </cell>
          <cell r="I48">
            <v>310.08</v>
          </cell>
          <cell r="J48">
            <v>48</v>
          </cell>
          <cell r="K48">
            <v>3.04</v>
          </cell>
          <cell r="L48">
            <v>456</v>
          </cell>
          <cell r="M48">
            <v>17</v>
          </cell>
          <cell r="N48">
            <v>6.6000000000000005</v>
          </cell>
          <cell r="O48">
            <v>3.04</v>
          </cell>
          <cell r="P48">
            <v>20.064000000000004</v>
          </cell>
        </row>
        <row r="49">
          <cell r="A49" t="str">
            <v>A-11-19</v>
          </cell>
          <cell r="B49" t="str">
            <v>TOCOFEROL (VITAMINA E) .:. 1.000 UI</v>
          </cell>
          <cell r="C49" t="str">
            <v>Cápsula blanda</v>
          </cell>
          <cell r="D49">
            <v>3197</v>
          </cell>
          <cell r="E49">
            <v>8000</v>
          </cell>
          <cell r="F49">
            <v>11600</v>
          </cell>
          <cell r="G49">
            <v>9576</v>
          </cell>
          <cell r="H49">
            <v>19152</v>
          </cell>
          <cell r="I49">
            <v>13886.680211000001</v>
          </cell>
          <cell r="J49">
            <v>1424</v>
          </cell>
          <cell r="K49">
            <v>1.45</v>
          </cell>
          <cell r="L49">
            <v>2350.4499999999998</v>
          </cell>
          <cell r="M49">
            <v>1596</v>
          </cell>
          <cell r="N49">
            <v>30800.000000000004</v>
          </cell>
          <cell r="O49">
            <v>1.45</v>
          </cell>
          <cell r="P49">
            <v>44660.000000000007</v>
          </cell>
        </row>
        <row r="50">
          <cell r="A50" t="str">
            <v>A-12-01</v>
          </cell>
          <cell r="B50" t="str">
            <v>CALCIO (CARBONATO O CITRATO) .:. 500 mg (ión calcio)</v>
          </cell>
          <cell r="C50" t="str">
            <v>Comprimido</v>
          </cell>
          <cell r="D50">
            <v>0</v>
          </cell>
          <cell r="E50">
            <v>3800</v>
          </cell>
          <cell r="F50">
            <v>2212</v>
          </cell>
          <cell r="G50">
            <v>940</v>
          </cell>
          <cell r="H50">
            <v>1880</v>
          </cell>
          <cell r="I50">
            <v>656.59998399999995</v>
          </cell>
          <cell r="J50">
            <v>1920</v>
          </cell>
          <cell r="K50">
            <v>0.54384615944055947</v>
          </cell>
          <cell r="L50">
            <v>1555.4000160000001</v>
          </cell>
          <cell r="M50">
            <v>156.66666666666666</v>
          </cell>
          <cell r="N50">
            <v>500</v>
          </cell>
          <cell r="O50">
            <v>0.54384615944055947</v>
          </cell>
          <cell r="P50">
            <v>271.92307972027976</v>
          </cell>
        </row>
        <row r="51">
          <cell r="A51" t="str">
            <v>A-12-02</v>
          </cell>
          <cell r="B51" t="str">
            <v>CALCIO + VITAMINA D .:. 500 mg (ión calcio); Según disponibilidad</v>
          </cell>
          <cell r="C51" t="str">
            <v>Comprimido o Cápsula</v>
          </cell>
          <cell r="D51">
            <v>5241</v>
          </cell>
          <cell r="E51">
            <v>14200</v>
          </cell>
          <cell r="F51">
            <v>5680</v>
          </cell>
          <cell r="G51">
            <v>13635</v>
          </cell>
          <cell r="H51">
            <v>27270</v>
          </cell>
          <cell r="I51">
            <v>6193.7951149999999</v>
          </cell>
          <cell r="J51">
            <v>3365</v>
          </cell>
          <cell r="K51">
            <v>0.39895709352394076</v>
          </cell>
          <cell r="L51">
            <v>2316.344885</v>
          </cell>
          <cell r="M51">
            <v>2272.5</v>
          </cell>
          <cell r="N51">
            <v>33000</v>
          </cell>
          <cell r="O51">
            <v>0.39895709352394076</v>
          </cell>
          <cell r="P51">
            <v>13165.584086290046</v>
          </cell>
        </row>
        <row r="52">
          <cell r="A52" t="str">
            <v>A-12-05</v>
          </cell>
          <cell r="B52" t="str">
            <v>ZINC .:. 20 mg/5 ml (Como zinc elemental)</v>
          </cell>
          <cell r="C52" t="str">
            <v>Jarabe</v>
          </cell>
          <cell r="D52">
            <v>62</v>
          </cell>
          <cell r="E52">
            <v>0</v>
          </cell>
          <cell r="F52">
            <v>0</v>
          </cell>
          <cell r="G52">
            <v>51</v>
          </cell>
          <cell r="H52">
            <v>102</v>
          </cell>
          <cell r="I52">
            <v>353.43</v>
          </cell>
          <cell r="J52">
            <v>353.43</v>
          </cell>
          <cell r="K52">
            <v>6.93</v>
          </cell>
          <cell r="L52">
            <v>76.23</v>
          </cell>
          <cell r="M52">
            <v>8.5</v>
          </cell>
          <cell r="N52">
            <v>154</v>
          </cell>
          <cell r="O52">
            <v>6.93</v>
          </cell>
          <cell r="P52">
            <v>1067.22</v>
          </cell>
        </row>
        <row r="53">
          <cell r="A53" t="str">
            <v>A-12-06</v>
          </cell>
          <cell r="B53" t="str">
            <v>ZINC (COMO SULFATO) .:. 20 mg</v>
          </cell>
          <cell r="C53" t="str">
            <v>Comprimido</v>
          </cell>
          <cell r="D53">
            <v>4711</v>
          </cell>
          <cell r="E53">
            <v>0</v>
          </cell>
          <cell r="F53">
            <v>0</v>
          </cell>
          <cell r="G53">
            <v>3694</v>
          </cell>
          <cell r="H53">
            <v>7388</v>
          </cell>
          <cell r="I53">
            <v>1047.448476</v>
          </cell>
          <cell r="J53">
            <v>1047.448476</v>
          </cell>
          <cell r="K53">
            <v>0.28355399999999997</v>
          </cell>
          <cell r="L53">
            <v>288.37441799999999</v>
          </cell>
          <cell r="M53">
            <v>615.66666666666663</v>
          </cell>
          <cell r="N53">
            <v>10200</v>
          </cell>
          <cell r="O53">
            <v>0.28355399999999997</v>
          </cell>
          <cell r="P53">
            <v>2892.2507999999998</v>
          </cell>
        </row>
        <row r="54">
          <cell r="A54" t="str">
            <v>B-01-01</v>
          </cell>
          <cell r="B54" t="str">
            <v>ACIDO ACETIL SALICILICO .:. 100 mg</v>
          </cell>
          <cell r="C54" t="str">
            <v>Comprimido</v>
          </cell>
          <cell r="D54">
            <v>9108</v>
          </cell>
          <cell r="E54">
            <v>34000</v>
          </cell>
          <cell r="F54">
            <v>5100</v>
          </cell>
          <cell r="G54">
            <v>18103</v>
          </cell>
          <cell r="H54">
            <v>36206</v>
          </cell>
          <cell r="I54">
            <v>2864.6805559999998</v>
          </cell>
          <cell r="J54">
            <v>6902</v>
          </cell>
          <cell r="K54">
            <v>0.15041358144371125</v>
          </cell>
          <cell r="L54">
            <v>3761.0916040000002</v>
          </cell>
          <cell r="M54">
            <v>3017.1666666666665</v>
          </cell>
          <cell r="N54">
            <v>5500</v>
          </cell>
          <cell r="O54">
            <v>0.15041358144371125</v>
          </cell>
          <cell r="P54">
            <v>827.2746979404119</v>
          </cell>
        </row>
        <row r="55">
          <cell r="A55" t="str">
            <v>B-01-03</v>
          </cell>
          <cell r="B55" t="str">
            <v>HEPARINA DE BAJO PESO MOLECULAR .:. 40 M.G.</v>
          </cell>
          <cell r="C55" t="str">
            <v>Inyectable</v>
          </cell>
          <cell r="D55">
            <v>164</v>
          </cell>
          <cell r="E55">
            <v>150</v>
          </cell>
          <cell r="F55">
            <v>6000</v>
          </cell>
          <cell r="G55">
            <v>229</v>
          </cell>
          <cell r="H55">
            <v>458</v>
          </cell>
          <cell r="I55">
            <v>8759.4391899999991</v>
          </cell>
          <cell r="J55">
            <v>8759.4391899999991</v>
          </cell>
          <cell r="K55">
            <v>39.060291100000001</v>
          </cell>
          <cell r="L55">
            <v>3515.426199</v>
          </cell>
          <cell r="M55">
            <v>38.166666666666664</v>
          </cell>
          <cell r="N55">
            <v>557.70000000000005</v>
          </cell>
          <cell r="O55">
            <v>39.060291100000001</v>
          </cell>
          <cell r="P55">
            <v>21783.924346470001</v>
          </cell>
        </row>
        <row r="56">
          <cell r="A56" t="str">
            <v>B-01-031</v>
          </cell>
          <cell r="B56" t="str">
            <v>HEPARINA DE BAJO PESO MOLECULAR  60 MG .:. 60 MG</v>
          </cell>
          <cell r="C56" t="str">
            <v>Inyectable</v>
          </cell>
          <cell r="D56">
            <v>136</v>
          </cell>
          <cell r="E56">
            <v>0</v>
          </cell>
          <cell r="F56">
            <v>0</v>
          </cell>
          <cell r="G56">
            <v>96</v>
          </cell>
          <cell r="H56">
            <v>192</v>
          </cell>
          <cell r="I56">
            <v>5591.2939200000001</v>
          </cell>
          <cell r="J56">
            <v>5591.2939200000001</v>
          </cell>
          <cell r="K56">
            <v>58.242645000000003</v>
          </cell>
          <cell r="L56">
            <v>2446.1910899999998</v>
          </cell>
          <cell r="M56">
            <v>16</v>
          </cell>
          <cell r="N56">
            <v>224.4</v>
          </cell>
          <cell r="O56">
            <v>58.242645000000003</v>
          </cell>
          <cell r="P56">
            <v>13069.649538000001</v>
          </cell>
        </row>
        <row r="57">
          <cell r="A57" t="str">
            <v>B-01-04</v>
          </cell>
          <cell r="B57" t="str">
            <v>HEPARINA SODICA .:. 5.000 UI/ml</v>
          </cell>
          <cell r="C57" t="str">
            <v>Inyectable</v>
          </cell>
          <cell r="D57">
            <v>11</v>
          </cell>
          <cell r="E57">
            <v>30</v>
          </cell>
          <cell r="F57">
            <v>1020</v>
          </cell>
          <cell r="G57">
            <v>11</v>
          </cell>
          <cell r="H57">
            <v>22</v>
          </cell>
          <cell r="I57">
            <v>396</v>
          </cell>
          <cell r="J57">
            <v>19</v>
          </cell>
          <cell r="K57">
            <v>34</v>
          </cell>
          <cell r="L57">
            <v>1020</v>
          </cell>
          <cell r="M57">
            <v>1.8333333333333333</v>
          </cell>
          <cell r="N57">
            <v>20</v>
          </cell>
          <cell r="O57">
            <v>34</v>
          </cell>
          <cell r="P57">
            <v>680</v>
          </cell>
        </row>
        <row r="58">
          <cell r="A58" t="str">
            <v>B-01-05</v>
          </cell>
          <cell r="B58" t="str">
            <v>WARFARINA .:. 5 mg</v>
          </cell>
          <cell r="C58" t="str">
            <v>Comprimido ranurado</v>
          </cell>
          <cell r="D58">
            <v>1225</v>
          </cell>
          <cell r="E58">
            <v>0</v>
          </cell>
          <cell r="F58">
            <v>0</v>
          </cell>
          <cell r="G58">
            <v>844</v>
          </cell>
          <cell r="H58">
            <v>1688</v>
          </cell>
          <cell r="I58">
            <v>437.06708800000001</v>
          </cell>
          <cell r="J58">
            <v>437.06708800000001</v>
          </cell>
          <cell r="K58">
            <v>0.51785199999999998</v>
          </cell>
          <cell r="L58">
            <v>197.30161200000001</v>
          </cell>
          <cell r="M58">
            <v>140.66666666666666</v>
          </cell>
          <cell r="N58">
            <v>2200</v>
          </cell>
          <cell r="O58">
            <v>0.51785199999999998</v>
          </cell>
          <cell r="P58">
            <v>1139.2744</v>
          </cell>
        </row>
        <row r="59">
          <cell r="A59" t="str">
            <v>B-01-06</v>
          </cell>
          <cell r="B59" t="str">
            <v>CLOPIDOGREL .:. 75 mg</v>
          </cell>
          <cell r="C59" t="str">
            <v>Comprimido</v>
          </cell>
          <cell r="D59">
            <v>2881</v>
          </cell>
          <cell r="E59">
            <v>10000</v>
          </cell>
          <cell r="F59">
            <v>14000</v>
          </cell>
          <cell r="G59">
            <v>5427</v>
          </cell>
          <cell r="H59">
            <v>10854</v>
          </cell>
          <cell r="I59">
            <v>8342.3608540000005</v>
          </cell>
          <cell r="J59">
            <v>2027</v>
          </cell>
          <cell r="K59">
            <v>1.4135796832573115</v>
          </cell>
          <cell r="L59">
            <v>10536.822958999999</v>
          </cell>
          <cell r="M59">
            <v>904.5</v>
          </cell>
          <cell r="N59">
            <v>1760.0000000000002</v>
          </cell>
          <cell r="O59">
            <v>1.4135796832573115</v>
          </cell>
          <cell r="P59">
            <v>2487.9002425328686</v>
          </cell>
        </row>
        <row r="60">
          <cell r="A60" t="str">
            <v>B-01-07</v>
          </cell>
          <cell r="B60" t="str">
            <v xml:space="preserve">RIBAROXABAN  .:. 10 MG </v>
          </cell>
          <cell r="C60" t="str">
            <v>Comprimido</v>
          </cell>
          <cell r="D60">
            <v>413</v>
          </cell>
          <cell r="E60">
            <v>1000</v>
          </cell>
          <cell r="F60">
            <v>6990</v>
          </cell>
          <cell r="G60">
            <v>1204</v>
          </cell>
          <cell r="H60">
            <v>2408</v>
          </cell>
          <cell r="I60">
            <v>8420.09</v>
          </cell>
          <cell r="J60">
            <v>8420.09</v>
          </cell>
          <cell r="K60">
            <v>6.99</v>
          </cell>
          <cell r="L60">
            <v>1460.91</v>
          </cell>
          <cell r="M60">
            <v>200.66666666666666</v>
          </cell>
          <cell r="N60">
            <v>3800</v>
          </cell>
          <cell r="O60">
            <v>6.99</v>
          </cell>
          <cell r="P60">
            <v>26562</v>
          </cell>
        </row>
        <row r="61">
          <cell r="A61" t="str">
            <v>B-02-02</v>
          </cell>
          <cell r="B61" t="str">
            <v>FITOMENADIONA  (VITAMINA K1) .:. 10 mg/ml</v>
          </cell>
          <cell r="C61" t="str">
            <v>Inyectable</v>
          </cell>
          <cell r="D61">
            <v>211</v>
          </cell>
          <cell r="E61">
            <v>0</v>
          </cell>
          <cell r="F61">
            <v>0</v>
          </cell>
          <cell r="G61">
            <v>64</v>
          </cell>
          <cell r="H61">
            <v>128</v>
          </cell>
          <cell r="I61">
            <v>153.441408</v>
          </cell>
          <cell r="J61">
            <v>84</v>
          </cell>
          <cell r="K61">
            <v>2.3975219999999999</v>
          </cell>
          <cell r="L61">
            <v>354.83325600000001</v>
          </cell>
          <cell r="M61">
            <v>10.666666666666666</v>
          </cell>
          <cell r="N61">
            <v>10</v>
          </cell>
          <cell r="O61">
            <v>2.3975219999999999</v>
          </cell>
          <cell r="P61">
            <v>23.97522</v>
          </cell>
        </row>
        <row r="62">
          <cell r="A62" t="str">
            <v>B-02-03</v>
          </cell>
          <cell r="B62" t="str">
            <v>ETAMSILATO  250mg/2ml. Inyectable</v>
          </cell>
          <cell r="C62" t="str">
            <v>Inyectable</v>
          </cell>
          <cell r="N62">
            <v>50</v>
          </cell>
          <cell r="O62">
            <v>31.36</v>
          </cell>
          <cell r="P62">
            <v>1568</v>
          </cell>
        </row>
        <row r="63">
          <cell r="A63" t="str">
            <v>B-02-06</v>
          </cell>
          <cell r="B63" t="str">
            <v>ACIDO TRANEXAMICO .:. 500 mg</v>
          </cell>
          <cell r="C63" t="str">
            <v>Inyectable</v>
          </cell>
          <cell r="D63">
            <v>20</v>
          </cell>
          <cell r="E63">
            <v>140</v>
          </cell>
          <cell r="F63">
            <v>3548</v>
          </cell>
          <cell r="G63">
            <v>100</v>
          </cell>
          <cell r="H63">
            <v>200</v>
          </cell>
          <cell r="I63">
            <v>2516.3934260000001</v>
          </cell>
          <cell r="J63">
            <v>2516.3934260000001</v>
          </cell>
          <cell r="K63">
            <v>25.746083369230771</v>
          </cell>
          <cell r="L63">
            <v>1673.4954190000001</v>
          </cell>
          <cell r="M63">
            <v>16.666666666666668</v>
          </cell>
          <cell r="N63">
            <v>220.00000000000003</v>
          </cell>
          <cell r="O63">
            <v>25.746083369230771</v>
          </cell>
          <cell r="P63">
            <v>5664.1383412307705</v>
          </cell>
        </row>
        <row r="64">
          <cell r="A64" t="str">
            <v>B-03-01</v>
          </cell>
          <cell r="B64" t="str">
            <v>ACIDO FOLICO .:. 5 mg</v>
          </cell>
          <cell r="C64" t="str">
            <v>Comprimido</v>
          </cell>
          <cell r="D64">
            <v>473</v>
          </cell>
          <cell r="E64">
            <v>4200</v>
          </cell>
          <cell r="F64">
            <v>504</v>
          </cell>
          <cell r="G64">
            <v>2713</v>
          </cell>
          <cell r="H64">
            <v>5426</v>
          </cell>
          <cell r="I64">
            <v>396.51</v>
          </cell>
          <cell r="J64">
            <v>396.51</v>
          </cell>
          <cell r="K64">
            <v>0.12</v>
          </cell>
          <cell r="L64">
            <v>235.2</v>
          </cell>
          <cell r="M64">
            <v>452.16666666666669</v>
          </cell>
          <cell r="N64">
            <v>5500</v>
          </cell>
          <cell r="O64">
            <v>0.12</v>
          </cell>
          <cell r="P64">
            <v>660</v>
          </cell>
        </row>
        <row r="65">
          <cell r="A65" t="str">
            <v>B-03-02</v>
          </cell>
          <cell r="B65" t="str">
            <v>ERITROPOYETINA .:. 10.000 UI</v>
          </cell>
          <cell r="C65" t="str">
            <v>Inyectable</v>
          </cell>
          <cell r="D65">
            <v>4</v>
          </cell>
          <cell r="E65">
            <v>50</v>
          </cell>
          <cell r="F65">
            <v>2480</v>
          </cell>
          <cell r="G65">
            <v>44</v>
          </cell>
          <cell r="H65">
            <v>88</v>
          </cell>
          <cell r="I65">
            <v>2225.1999989999999</v>
          </cell>
          <cell r="J65">
            <v>2225.1999989999999</v>
          </cell>
          <cell r="K65">
            <v>48.000000100000001</v>
          </cell>
          <cell r="L65">
            <v>480.000001</v>
          </cell>
          <cell r="M65">
            <v>7.333333333333333</v>
          </cell>
          <cell r="N65">
            <v>154</v>
          </cell>
          <cell r="O65">
            <v>48.000000100000001</v>
          </cell>
          <cell r="P65">
            <v>7392.0000153999999</v>
          </cell>
        </row>
        <row r="66">
          <cell r="A66" t="str">
            <v>B-03-04</v>
          </cell>
          <cell r="B66" t="str">
            <v>HIERRO .:. 100 mg - IM o IV</v>
          </cell>
          <cell r="C66" t="str">
            <v>Inyectable</v>
          </cell>
          <cell r="D66">
            <v>9</v>
          </cell>
          <cell r="E66">
            <v>110</v>
          </cell>
          <cell r="F66">
            <v>1850</v>
          </cell>
          <cell r="G66">
            <v>64</v>
          </cell>
          <cell r="H66">
            <v>128</v>
          </cell>
          <cell r="I66">
            <v>1223.981432</v>
          </cell>
          <cell r="J66">
            <v>1223.981432</v>
          </cell>
          <cell r="K66">
            <v>15</v>
          </cell>
          <cell r="L66">
            <v>825</v>
          </cell>
          <cell r="M66">
            <v>10.666666666666666</v>
          </cell>
          <cell r="N66">
            <v>110.00000000000001</v>
          </cell>
          <cell r="O66">
            <v>15</v>
          </cell>
          <cell r="P66">
            <v>1650.0000000000002</v>
          </cell>
        </row>
        <row r="67">
          <cell r="A67" t="str">
            <v>B-03-05</v>
          </cell>
          <cell r="B67" t="str">
            <v>MICRONUTRIENTES (VIT. C + VIT A + FE + ZN + AC. FOLICO) (CHISPITAS NUTRICIONALES) .:. Según concentración estándard</v>
          </cell>
          <cell r="C67" t="str">
            <v>Polvo</v>
          </cell>
          <cell r="D67">
            <v>300</v>
          </cell>
          <cell r="E67">
            <v>0</v>
          </cell>
          <cell r="F67">
            <v>0</v>
          </cell>
          <cell r="G67">
            <v>300</v>
          </cell>
          <cell r="H67">
            <v>600</v>
          </cell>
          <cell r="I67">
            <v>114</v>
          </cell>
          <cell r="J67">
            <v>114</v>
          </cell>
          <cell r="K67">
            <v>0</v>
          </cell>
          <cell r="L67">
            <v>0</v>
          </cell>
          <cell r="M67">
            <v>50</v>
          </cell>
          <cell r="N67">
            <v>990.00000000000011</v>
          </cell>
          <cell r="O67">
            <v>0.38</v>
          </cell>
          <cell r="P67">
            <v>376.20000000000005</v>
          </cell>
        </row>
        <row r="68">
          <cell r="A68" t="str">
            <v>B-03-07</v>
          </cell>
          <cell r="B68" t="str">
            <v>SULFATO FERROSO .:. 125 mg/ml</v>
          </cell>
          <cell r="C68" t="str">
            <v>Solución oral</v>
          </cell>
          <cell r="D68">
            <v>2</v>
          </cell>
          <cell r="E68">
            <v>0</v>
          </cell>
          <cell r="F68">
            <v>0</v>
          </cell>
          <cell r="G68">
            <v>3</v>
          </cell>
          <cell r="H68">
            <v>6</v>
          </cell>
          <cell r="I68">
            <v>38.58</v>
          </cell>
          <cell r="J68">
            <v>38.58</v>
          </cell>
          <cell r="K68">
            <v>0</v>
          </cell>
          <cell r="L68">
            <v>-12.86</v>
          </cell>
          <cell r="M68">
            <v>0.5</v>
          </cell>
          <cell r="N68">
            <v>12.100000000000001</v>
          </cell>
          <cell r="O68">
            <v>12.86</v>
          </cell>
          <cell r="P68">
            <v>155.60600000000002</v>
          </cell>
        </row>
        <row r="69">
          <cell r="A69" t="str">
            <v>B-03-08</v>
          </cell>
          <cell r="B69" t="str">
            <v>SULFATO FERROSO + AC. FOLICO + VITAMINA C .:. 200 mg + 0,5 mg + 150 mg</v>
          </cell>
          <cell r="C69" t="str">
            <v>Comprimido</v>
          </cell>
          <cell r="D69">
            <v>1237</v>
          </cell>
          <cell r="E69">
            <v>0</v>
          </cell>
          <cell r="F69">
            <v>0</v>
          </cell>
          <cell r="G69">
            <v>1237</v>
          </cell>
          <cell r="H69">
            <v>2474</v>
          </cell>
          <cell r="I69">
            <v>211.909233</v>
          </cell>
          <cell r="J69">
            <v>1763</v>
          </cell>
          <cell r="K69">
            <v>0</v>
          </cell>
          <cell r="L69">
            <v>0</v>
          </cell>
          <cell r="M69">
            <v>206.16666666666666</v>
          </cell>
          <cell r="N69">
            <v>711</v>
          </cell>
          <cell r="O69">
            <v>0.17130899999999999</v>
          </cell>
          <cell r="P69">
            <v>121.80069899999999</v>
          </cell>
        </row>
        <row r="70">
          <cell r="A70" t="str">
            <v>B-03-09</v>
          </cell>
          <cell r="B70" t="str">
            <v>SULFATO FERROSO + AC. FOLICO + VITAMINA C .:. 125 mg + 0,25 mg + 30 mg</v>
          </cell>
          <cell r="C70" t="str">
            <v>Solución oral</v>
          </cell>
          <cell r="D70">
            <v>20</v>
          </cell>
          <cell r="E70">
            <v>0</v>
          </cell>
          <cell r="F70">
            <v>0</v>
          </cell>
          <cell r="G70">
            <v>10</v>
          </cell>
          <cell r="H70">
            <v>20</v>
          </cell>
          <cell r="I70">
            <v>59.8</v>
          </cell>
          <cell r="J70">
            <v>0</v>
          </cell>
          <cell r="K70">
            <v>5.98</v>
          </cell>
          <cell r="L70">
            <v>59.8</v>
          </cell>
          <cell r="M70">
            <v>1.6666666666666667</v>
          </cell>
          <cell r="N70">
            <v>11</v>
          </cell>
          <cell r="O70">
            <v>5.98</v>
          </cell>
          <cell r="P70">
            <v>65.78</v>
          </cell>
        </row>
        <row r="71">
          <cell r="A71" t="str">
            <v>B-05-01</v>
          </cell>
          <cell r="B71" t="str">
            <v>AGUA PARA INYECCION .:. 5 ml</v>
          </cell>
          <cell r="C71" t="str">
            <v>Inyectable</v>
          </cell>
          <cell r="D71">
            <v>2044</v>
          </cell>
          <cell r="E71">
            <v>0</v>
          </cell>
          <cell r="F71">
            <v>0</v>
          </cell>
          <cell r="G71">
            <v>1949</v>
          </cell>
          <cell r="H71">
            <v>3898</v>
          </cell>
          <cell r="I71">
            <v>1538.199525</v>
          </cell>
          <cell r="J71">
            <v>1538.199525</v>
          </cell>
          <cell r="K71">
            <v>0.78922499999999995</v>
          </cell>
          <cell r="L71">
            <v>111.280725</v>
          </cell>
          <cell r="M71">
            <v>324.83333333333331</v>
          </cell>
          <cell r="N71">
            <v>5900</v>
          </cell>
          <cell r="O71">
            <v>0.78922499999999995</v>
          </cell>
          <cell r="P71">
            <v>4656.4274999999998</v>
          </cell>
        </row>
        <row r="72">
          <cell r="A72" t="str">
            <v>B-05-02</v>
          </cell>
          <cell r="B72" t="str">
            <v>ALBUMINA HUMANA .:. 0.2</v>
          </cell>
          <cell r="C72" t="str">
            <v>Inyectable</v>
          </cell>
          <cell r="D72">
            <v>17</v>
          </cell>
          <cell r="E72">
            <v>310</v>
          </cell>
          <cell r="F72">
            <v>85700</v>
          </cell>
          <cell r="G72">
            <v>140</v>
          </cell>
          <cell r="H72">
            <v>280</v>
          </cell>
          <cell r="I72">
            <v>38250.819659000001</v>
          </cell>
          <cell r="J72">
            <v>20</v>
          </cell>
          <cell r="K72">
            <v>278.1967213809524</v>
          </cell>
          <cell r="L72">
            <v>52579.180340999999</v>
          </cell>
          <cell r="M72">
            <v>23.333333333333332</v>
          </cell>
          <cell r="N72">
            <v>350</v>
          </cell>
          <cell r="O72">
            <v>305</v>
          </cell>
          <cell r="P72">
            <v>106750</v>
          </cell>
        </row>
        <row r="73">
          <cell r="A73" t="str">
            <v>B-05-03</v>
          </cell>
          <cell r="B73" t="str">
            <v>AMINOACIDOS .:. 0.1</v>
          </cell>
          <cell r="C73" t="str">
            <v>Solución parenteral de gran volumen</v>
          </cell>
          <cell r="D73">
            <v>23</v>
          </cell>
          <cell r="E73">
            <v>5</v>
          </cell>
          <cell r="F73">
            <v>585</v>
          </cell>
          <cell r="G73">
            <v>32</v>
          </cell>
          <cell r="H73">
            <v>64</v>
          </cell>
          <cell r="I73">
            <v>3777.3749950000001</v>
          </cell>
          <cell r="J73">
            <v>0</v>
          </cell>
          <cell r="K73">
            <v>117.20601866666667</v>
          </cell>
          <cell r="L73">
            <v>351.61805600000002</v>
          </cell>
          <cell r="M73">
            <v>5.333333333333333</v>
          </cell>
          <cell r="N73">
            <v>100</v>
          </cell>
          <cell r="O73">
            <v>117.20601866666667</v>
          </cell>
          <cell r="P73">
            <v>11720.601866666666</v>
          </cell>
        </row>
        <row r="74">
          <cell r="A74" t="str">
            <v>B-05-04</v>
          </cell>
          <cell r="B74" t="str">
            <v>BICARBONATO DE SODIO .:. 0.08</v>
          </cell>
          <cell r="C74" t="str">
            <v>Inyectable</v>
          </cell>
          <cell r="D74">
            <v>80</v>
          </cell>
          <cell r="E74">
            <v>0</v>
          </cell>
          <cell r="F74">
            <v>0</v>
          </cell>
          <cell r="G74">
            <v>65</v>
          </cell>
          <cell r="H74">
            <v>130</v>
          </cell>
          <cell r="I74">
            <v>520</v>
          </cell>
          <cell r="J74">
            <v>520</v>
          </cell>
          <cell r="K74">
            <v>8</v>
          </cell>
          <cell r="L74">
            <v>120</v>
          </cell>
          <cell r="M74">
            <v>10.833333333333334</v>
          </cell>
          <cell r="N74">
            <v>440.00000000000006</v>
          </cell>
          <cell r="O74">
            <v>8</v>
          </cell>
          <cell r="P74">
            <v>3520.0000000000005</v>
          </cell>
        </row>
        <row r="75">
          <cell r="A75" t="str">
            <v>B-05-06</v>
          </cell>
          <cell r="B75" t="str">
            <v>CLORURO DE POTASIO .:. 0.2</v>
          </cell>
          <cell r="C75" t="str">
            <v>Inyectable</v>
          </cell>
          <cell r="D75">
            <v>25</v>
          </cell>
          <cell r="E75">
            <v>610</v>
          </cell>
          <cell r="F75">
            <v>1342</v>
          </cell>
          <cell r="G75">
            <v>388</v>
          </cell>
          <cell r="H75">
            <v>776</v>
          </cell>
          <cell r="I75">
            <v>879.00988299999995</v>
          </cell>
          <cell r="J75">
            <v>879.00988299999995</v>
          </cell>
          <cell r="K75">
            <v>2.2000000655737706</v>
          </cell>
          <cell r="L75">
            <v>671.00001999999995</v>
          </cell>
          <cell r="M75">
            <v>64.666666666666671</v>
          </cell>
          <cell r="N75">
            <v>660</v>
          </cell>
          <cell r="O75">
            <v>2.2000000655737706</v>
          </cell>
          <cell r="P75">
            <v>1452.0000432786885</v>
          </cell>
        </row>
        <row r="76">
          <cell r="A76" t="str">
            <v>B-05-07</v>
          </cell>
          <cell r="B76" t="str">
            <v>CLORURO DE SODIO .:. 0.2</v>
          </cell>
          <cell r="C76" t="str">
            <v>Inyectable</v>
          </cell>
          <cell r="D76">
            <v>74</v>
          </cell>
          <cell r="E76">
            <v>0</v>
          </cell>
          <cell r="F76">
            <v>0</v>
          </cell>
          <cell r="G76">
            <v>58</v>
          </cell>
          <cell r="H76">
            <v>116</v>
          </cell>
          <cell r="I76">
            <v>197.22592599999999</v>
          </cell>
          <cell r="J76">
            <v>197.22592599999999</v>
          </cell>
          <cell r="K76">
            <v>3.4004470000000002</v>
          </cell>
          <cell r="L76">
            <v>71.409386999999995</v>
          </cell>
          <cell r="M76">
            <v>9.6666666666666661</v>
          </cell>
          <cell r="N76">
            <v>220.00000000000003</v>
          </cell>
          <cell r="O76">
            <v>3.4004470000000002</v>
          </cell>
          <cell r="P76">
            <v>748.09834000000012</v>
          </cell>
        </row>
        <row r="77">
          <cell r="A77" t="str">
            <v>B-05-09</v>
          </cell>
          <cell r="B77" t="str">
            <v>EMULSION DE LIPIDOS .:. Según disponibilidad</v>
          </cell>
          <cell r="C77" t="str">
            <v>Emulsión inyectable</v>
          </cell>
          <cell r="D77">
            <v>7</v>
          </cell>
          <cell r="E77">
            <v>5</v>
          </cell>
          <cell r="F77">
            <v>700</v>
          </cell>
          <cell r="G77">
            <v>11</v>
          </cell>
          <cell r="H77">
            <v>22</v>
          </cell>
          <cell r="I77">
            <v>1540</v>
          </cell>
          <cell r="J77">
            <v>5</v>
          </cell>
          <cell r="K77">
            <v>140</v>
          </cell>
          <cell r="L77">
            <v>840</v>
          </cell>
          <cell r="M77">
            <v>1.8333333333333333</v>
          </cell>
          <cell r="N77">
            <v>30</v>
          </cell>
          <cell r="O77">
            <v>140</v>
          </cell>
          <cell r="P77">
            <v>4200</v>
          </cell>
        </row>
        <row r="78">
          <cell r="A78" t="str">
            <v>B-05-10</v>
          </cell>
          <cell r="B78" t="str">
            <v>GLUCONATO CALCICO (CALCIO GLUCONATO) .:. 0.1</v>
          </cell>
          <cell r="C78" t="str">
            <v>Inyectable</v>
          </cell>
          <cell r="D78">
            <v>37</v>
          </cell>
          <cell r="E78">
            <v>100</v>
          </cell>
          <cell r="F78">
            <v>300</v>
          </cell>
          <cell r="G78">
            <v>59</v>
          </cell>
          <cell r="H78">
            <v>118</v>
          </cell>
          <cell r="I78">
            <v>177</v>
          </cell>
          <cell r="J78">
            <v>19</v>
          </cell>
          <cell r="K78">
            <v>3</v>
          </cell>
          <cell r="L78">
            <v>234</v>
          </cell>
          <cell r="M78">
            <v>9.8333333333333339</v>
          </cell>
          <cell r="N78">
            <v>33</v>
          </cell>
          <cell r="O78">
            <v>3</v>
          </cell>
          <cell r="P78">
            <v>99</v>
          </cell>
        </row>
        <row r="79">
          <cell r="A79" t="str">
            <v>B-05-11</v>
          </cell>
          <cell r="B79" t="str">
            <v>OLIGOELEMENTOS PARA NUTRICION PARENTERAL .:. Según disponibilidad</v>
          </cell>
          <cell r="C79" t="str">
            <v>Solucion parenteral de gran volumen</v>
          </cell>
          <cell r="D79">
            <v>28</v>
          </cell>
          <cell r="E79">
            <v>0</v>
          </cell>
          <cell r="F79">
            <v>0</v>
          </cell>
          <cell r="G79">
            <v>12</v>
          </cell>
          <cell r="H79">
            <v>24</v>
          </cell>
          <cell r="I79">
            <v>599.28</v>
          </cell>
          <cell r="J79">
            <v>4</v>
          </cell>
          <cell r="K79">
            <v>49.94</v>
          </cell>
          <cell r="L79">
            <v>799.04</v>
          </cell>
          <cell r="M79">
            <v>2</v>
          </cell>
          <cell r="N79">
            <v>4.4000000000000004</v>
          </cell>
          <cell r="O79">
            <v>49.94</v>
          </cell>
          <cell r="P79">
            <v>219.73600000000002</v>
          </cell>
        </row>
        <row r="80">
          <cell r="A80" t="str">
            <v>B-05-15</v>
          </cell>
          <cell r="B80" t="str">
            <v>SOLUCION DE GLUCOSA .:. 5% (500 ml)</v>
          </cell>
          <cell r="C80" t="str">
            <v>Solución parenteral de gran volumen</v>
          </cell>
          <cell r="D80">
            <v>90</v>
          </cell>
          <cell r="E80">
            <v>0</v>
          </cell>
          <cell r="F80">
            <v>0</v>
          </cell>
          <cell r="G80">
            <v>91</v>
          </cell>
          <cell r="H80">
            <v>182</v>
          </cell>
          <cell r="I80">
            <v>783.31007299999999</v>
          </cell>
          <cell r="J80">
            <v>89</v>
          </cell>
          <cell r="K80">
            <v>8.6078030000000005</v>
          </cell>
          <cell r="L80">
            <v>17.215606000000001</v>
          </cell>
          <cell r="M80">
            <v>15.166666666666666</v>
          </cell>
          <cell r="N80">
            <v>93</v>
          </cell>
          <cell r="O80">
            <v>8.6078030000000005</v>
          </cell>
          <cell r="P80">
            <v>800.52567900000008</v>
          </cell>
        </row>
        <row r="81">
          <cell r="A81" t="str">
            <v>B-05-16</v>
          </cell>
          <cell r="B81" t="str">
            <v>SOLUCION DE GLUCOSA .:. 5% (1.000 ml)</v>
          </cell>
          <cell r="C81" t="str">
            <v>Solución parenteral de gran volumen</v>
          </cell>
          <cell r="D81">
            <v>238</v>
          </cell>
          <cell r="E81">
            <v>0</v>
          </cell>
          <cell r="F81">
            <v>0</v>
          </cell>
          <cell r="G81">
            <v>90</v>
          </cell>
          <cell r="H81">
            <v>180</v>
          </cell>
          <cell r="I81">
            <v>1045.0929599999999</v>
          </cell>
          <cell r="J81">
            <v>70</v>
          </cell>
          <cell r="K81">
            <v>11.612144000000001</v>
          </cell>
          <cell r="L81">
            <v>1857.9430400000001</v>
          </cell>
          <cell r="M81">
            <v>15</v>
          </cell>
          <cell r="N81">
            <v>200</v>
          </cell>
          <cell r="O81">
            <v>11.612144000000001</v>
          </cell>
          <cell r="P81">
            <v>2322.4288000000001</v>
          </cell>
        </row>
        <row r="82">
          <cell r="A82" t="str">
            <v>B-05-17</v>
          </cell>
          <cell r="B82" t="str">
            <v>SOLUCION DE GLUCOSA .:. 10% (500 ml)</v>
          </cell>
          <cell r="C82" t="str">
            <v>Solución parenteral de gran volumen</v>
          </cell>
          <cell r="D82">
            <v>7</v>
          </cell>
          <cell r="E82">
            <v>70</v>
          </cell>
          <cell r="F82">
            <v>620.9</v>
          </cell>
          <cell r="G82">
            <v>36</v>
          </cell>
          <cell r="H82">
            <v>72</v>
          </cell>
          <cell r="I82">
            <v>318.919736</v>
          </cell>
          <cell r="J82">
            <v>9</v>
          </cell>
          <cell r="K82">
            <v>8.8699999999999992</v>
          </cell>
          <cell r="L82">
            <v>399.15</v>
          </cell>
          <cell r="M82">
            <v>6</v>
          </cell>
          <cell r="N82">
            <v>19.8</v>
          </cell>
          <cell r="O82">
            <v>8.8699999999999992</v>
          </cell>
          <cell r="P82">
            <v>175.626</v>
          </cell>
        </row>
        <row r="83">
          <cell r="A83" t="str">
            <v>B-05-18</v>
          </cell>
          <cell r="B83" t="str">
            <v>SOLUCION DE GLUCOSA .:. 10% (1.000 ml)</v>
          </cell>
          <cell r="C83" t="str">
            <v>Solución parenteral de gran volumen</v>
          </cell>
          <cell r="D83">
            <v>82</v>
          </cell>
          <cell r="E83">
            <v>0</v>
          </cell>
          <cell r="F83">
            <v>0</v>
          </cell>
          <cell r="G83">
            <v>18</v>
          </cell>
          <cell r="H83">
            <v>36</v>
          </cell>
          <cell r="I83">
            <v>225.02789999999999</v>
          </cell>
          <cell r="J83">
            <v>48</v>
          </cell>
          <cell r="K83">
            <v>12.50155</v>
          </cell>
          <cell r="L83">
            <v>825.10230000000001</v>
          </cell>
          <cell r="M83">
            <v>3</v>
          </cell>
          <cell r="N83">
            <v>50</v>
          </cell>
          <cell r="O83">
            <v>12.50155</v>
          </cell>
          <cell r="P83">
            <v>625.07749999999999</v>
          </cell>
        </row>
        <row r="84">
          <cell r="A84" t="str">
            <v>B-05-19</v>
          </cell>
          <cell r="B84" t="str">
            <v>SOLUCION DE GLUCOSA .:. 50% (500 ml)</v>
          </cell>
          <cell r="C84" t="str">
            <v>Solución parenteral de gran volumen</v>
          </cell>
          <cell r="D84">
            <v>20</v>
          </cell>
          <cell r="E84">
            <v>0</v>
          </cell>
          <cell r="F84">
            <v>0</v>
          </cell>
          <cell r="G84">
            <v>22</v>
          </cell>
          <cell r="H84">
            <v>44</v>
          </cell>
          <cell r="I84">
            <v>426.8</v>
          </cell>
          <cell r="J84">
            <v>426.8</v>
          </cell>
          <cell r="K84">
            <v>19.399999999999999</v>
          </cell>
          <cell r="L84">
            <v>58.2</v>
          </cell>
          <cell r="M84">
            <v>3.6666666666666665</v>
          </cell>
          <cell r="N84">
            <v>80</v>
          </cell>
          <cell r="O84">
            <v>19.399999999999999</v>
          </cell>
          <cell r="P84">
            <v>1552</v>
          </cell>
        </row>
        <row r="85">
          <cell r="A85" t="str">
            <v>B-05-20</v>
          </cell>
          <cell r="B85" t="str">
            <v>SOLUCION DE GLUCOSA .:. 50% (20 ml)</v>
          </cell>
          <cell r="C85" t="str">
            <v>Inyectable</v>
          </cell>
          <cell r="D85">
            <v>17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17</v>
          </cell>
          <cell r="K85">
            <v>6.72</v>
          </cell>
          <cell r="L85">
            <v>114.24</v>
          </cell>
          <cell r="M85">
            <v>0</v>
          </cell>
          <cell r="N85">
            <v>2</v>
          </cell>
          <cell r="O85">
            <v>6.72</v>
          </cell>
          <cell r="P85">
            <v>13.44</v>
          </cell>
        </row>
        <row r="86">
          <cell r="A86" t="str">
            <v>B-05-21</v>
          </cell>
          <cell r="B86" t="str">
            <v>SOLUCION DE MANITOL .:. 20% (500 ml)</v>
          </cell>
          <cell r="C86" t="str">
            <v>Solución parenteral de gran volumen</v>
          </cell>
          <cell r="D86">
            <v>11</v>
          </cell>
          <cell r="E86">
            <v>60</v>
          </cell>
          <cell r="F86">
            <v>1434</v>
          </cell>
          <cell r="G86">
            <v>21</v>
          </cell>
          <cell r="H86">
            <v>42</v>
          </cell>
          <cell r="I86">
            <v>501.82413300000002</v>
          </cell>
          <cell r="J86">
            <v>29</v>
          </cell>
          <cell r="K86">
            <v>23.9</v>
          </cell>
          <cell r="L86">
            <v>1195</v>
          </cell>
          <cell r="M86">
            <v>3.5</v>
          </cell>
          <cell r="N86">
            <v>40</v>
          </cell>
          <cell r="O86">
            <v>23.9</v>
          </cell>
          <cell r="P86">
            <v>956</v>
          </cell>
        </row>
        <row r="87">
          <cell r="A87" t="str">
            <v>B-05-22</v>
          </cell>
          <cell r="B87" t="str">
            <v>SOLUCION FISIOLOGICA .:. 0,9% (500 ml)</v>
          </cell>
          <cell r="C87" t="str">
            <v>Solución parenteral de gran volumen</v>
          </cell>
          <cell r="D87">
            <v>663</v>
          </cell>
          <cell r="E87">
            <v>400</v>
          </cell>
          <cell r="F87">
            <v>3596</v>
          </cell>
          <cell r="G87">
            <v>422</v>
          </cell>
          <cell r="H87">
            <v>844</v>
          </cell>
          <cell r="I87">
            <v>3433.8206220000002</v>
          </cell>
          <cell r="J87">
            <v>227</v>
          </cell>
          <cell r="K87">
            <v>8.3567608659476118</v>
          </cell>
          <cell r="L87">
            <v>5423.5378019999998</v>
          </cell>
          <cell r="M87">
            <v>70.333333333333329</v>
          </cell>
          <cell r="N87">
            <v>800</v>
          </cell>
          <cell r="O87">
            <v>8.3567608659476118</v>
          </cell>
          <cell r="P87">
            <v>6685.4086927580893</v>
          </cell>
        </row>
        <row r="88">
          <cell r="A88" t="str">
            <v>B-05-23</v>
          </cell>
          <cell r="B88" t="str">
            <v>SOLUCION FISIOLOGICA .:. 0,9% (1.000 ml)</v>
          </cell>
          <cell r="C88" t="str">
            <v>Solución parenteral de gran volumen</v>
          </cell>
          <cell r="D88">
            <v>433</v>
          </cell>
          <cell r="E88">
            <v>700</v>
          </cell>
          <cell r="F88">
            <v>6300</v>
          </cell>
          <cell r="G88">
            <v>727</v>
          </cell>
          <cell r="H88">
            <v>1454</v>
          </cell>
          <cell r="I88">
            <v>6559.2252369999997</v>
          </cell>
          <cell r="J88">
            <v>6559.2252369999997</v>
          </cell>
          <cell r="K88">
            <v>9.0083875237020319</v>
          </cell>
          <cell r="L88">
            <v>3990.7156730000002</v>
          </cell>
          <cell r="M88">
            <v>121.16666666666667</v>
          </cell>
          <cell r="N88">
            <v>1760.0000000000002</v>
          </cell>
          <cell r="O88">
            <v>9.0083875237020319</v>
          </cell>
          <cell r="P88">
            <v>15854.762041715578</v>
          </cell>
        </row>
        <row r="89">
          <cell r="A89" t="str">
            <v>B-05-24</v>
          </cell>
          <cell r="B89" t="str">
            <v>SOLUCION GLUCOSADA CLORURADA .:. 500 ml</v>
          </cell>
          <cell r="C89" t="str">
            <v>Solución parenteral de gran volumen</v>
          </cell>
          <cell r="D89">
            <v>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2</v>
          </cell>
          <cell r="K89">
            <v>6.88</v>
          </cell>
          <cell r="L89">
            <v>13.76</v>
          </cell>
          <cell r="M89">
            <v>0</v>
          </cell>
          <cell r="N89">
            <v>2</v>
          </cell>
          <cell r="O89">
            <v>6.88</v>
          </cell>
          <cell r="P89">
            <v>13.76</v>
          </cell>
        </row>
        <row r="90">
          <cell r="A90" t="str">
            <v>B-05-25</v>
          </cell>
          <cell r="B90" t="str">
            <v>SOLUCION GLUCOSADA CLORURADA .:. 1.000 ml</v>
          </cell>
          <cell r="C90" t="str">
            <v>Solución parenteral de gran volumen</v>
          </cell>
          <cell r="D90">
            <v>4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4</v>
          </cell>
          <cell r="K90">
            <v>9.048</v>
          </cell>
          <cell r="L90">
            <v>36.192</v>
          </cell>
          <cell r="M90">
            <v>0</v>
          </cell>
          <cell r="N90">
            <v>2</v>
          </cell>
          <cell r="O90">
            <v>9.048</v>
          </cell>
          <cell r="P90">
            <v>18.096</v>
          </cell>
        </row>
        <row r="91">
          <cell r="A91" t="str">
            <v>B-05-29</v>
          </cell>
          <cell r="B91" t="str">
            <v>SOLUCION RINGER LACTATO .:. 500 ml</v>
          </cell>
          <cell r="C91" t="str">
            <v>Solución parenteral de gran volumen</v>
          </cell>
          <cell r="D91">
            <v>21</v>
          </cell>
          <cell r="E91">
            <v>0</v>
          </cell>
          <cell r="F91">
            <v>0</v>
          </cell>
          <cell r="G91">
            <v>17</v>
          </cell>
          <cell r="H91">
            <v>34</v>
          </cell>
          <cell r="I91">
            <v>136.16999999999999</v>
          </cell>
          <cell r="J91">
            <v>136.16999999999999</v>
          </cell>
          <cell r="K91">
            <v>8.01</v>
          </cell>
          <cell r="L91">
            <v>32.04</v>
          </cell>
          <cell r="M91">
            <v>2.8333333333333335</v>
          </cell>
          <cell r="N91">
            <v>110.00000000000001</v>
          </cell>
          <cell r="O91">
            <v>8.01</v>
          </cell>
          <cell r="P91">
            <v>881.10000000000014</v>
          </cell>
        </row>
        <row r="92">
          <cell r="A92" t="str">
            <v>B-05-30</v>
          </cell>
          <cell r="B92" t="str">
            <v>SOLUCION RINGER LACTATO .:. 1.000 ml</v>
          </cell>
          <cell r="C92" t="str">
            <v>Solución parenteral de gran volumen</v>
          </cell>
          <cell r="D92">
            <v>102</v>
          </cell>
          <cell r="E92">
            <v>0</v>
          </cell>
          <cell r="F92">
            <v>0</v>
          </cell>
          <cell r="G92">
            <v>107</v>
          </cell>
          <cell r="H92">
            <v>214</v>
          </cell>
          <cell r="I92">
            <v>1165.23749</v>
          </cell>
          <cell r="J92">
            <v>1165.23749</v>
          </cell>
          <cell r="K92">
            <v>0</v>
          </cell>
          <cell r="L92">
            <v>0</v>
          </cell>
          <cell r="M92">
            <v>17.833333333333332</v>
          </cell>
          <cell r="N92">
            <v>321</v>
          </cell>
          <cell r="O92">
            <v>10.89007</v>
          </cell>
          <cell r="P92">
            <v>3495.7124699999999</v>
          </cell>
        </row>
        <row r="93">
          <cell r="A93" t="str">
            <v>B-05-31</v>
          </cell>
          <cell r="B93" t="str">
            <v>SOLUCION RINGER NORMAL .:. 500 ml</v>
          </cell>
          <cell r="C93" t="str">
            <v>Solución parenteral de gran volumen</v>
          </cell>
          <cell r="D93">
            <v>82</v>
          </cell>
          <cell r="E93">
            <v>0</v>
          </cell>
          <cell r="F93">
            <v>0</v>
          </cell>
          <cell r="G93">
            <v>75</v>
          </cell>
          <cell r="H93">
            <v>150</v>
          </cell>
          <cell r="I93">
            <v>660</v>
          </cell>
          <cell r="J93">
            <v>660</v>
          </cell>
          <cell r="K93">
            <v>8.8000000000000007</v>
          </cell>
          <cell r="L93">
            <v>70.400000000000006</v>
          </cell>
          <cell r="M93">
            <v>12.5</v>
          </cell>
          <cell r="N93">
            <v>229.9</v>
          </cell>
          <cell r="O93">
            <v>8.8000000000000007</v>
          </cell>
          <cell r="P93">
            <v>2023.1200000000001</v>
          </cell>
        </row>
        <row r="94">
          <cell r="A94" t="str">
            <v>B-05-32</v>
          </cell>
          <cell r="B94" t="str">
            <v>SOLUCION RINGER NORMAL .:. 1.000 ml</v>
          </cell>
          <cell r="C94" t="str">
            <v>Solución parenteral de gran volumen</v>
          </cell>
          <cell r="D94">
            <v>578</v>
          </cell>
          <cell r="E94">
            <v>800</v>
          </cell>
          <cell r="F94">
            <v>8000</v>
          </cell>
          <cell r="G94">
            <v>781</v>
          </cell>
          <cell r="H94">
            <v>1562</v>
          </cell>
          <cell r="I94">
            <v>8113.7068740000004</v>
          </cell>
          <cell r="J94">
            <v>8113.7068740000004</v>
          </cell>
          <cell r="K94">
            <v>10.189638837349397</v>
          </cell>
          <cell r="L94">
            <v>6765.9201880000001</v>
          </cell>
          <cell r="M94">
            <v>130.16666666666666</v>
          </cell>
          <cell r="N94">
            <v>1350</v>
          </cell>
          <cell r="O94">
            <v>10.189638837349397</v>
          </cell>
          <cell r="P94">
            <v>13756.012430421686</v>
          </cell>
        </row>
        <row r="95">
          <cell r="A95" t="str">
            <v>B-05-33</v>
          </cell>
          <cell r="B95" t="str">
            <v>SULFATO DE MAGNESIO .:. 0.1</v>
          </cell>
          <cell r="C95" t="str">
            <v>Inyectable</v>
          </cell>
          <cell r="D95">
            <v>133</v>
          </cell>
          <cell r="E95">
            <v>200</v>
          </cell>
          <cell r="F95">
            <v>998</v>
          </cell>
          <cell r="G95">
            <v>266</v>
          </cell>
          <cell r="H95">
            <v>532</v>
          </cell>
          <cell r="I95">
            <v>1327.1356129999999</v>
          </cell>
          <cell r="J95">
            <v>1327.1356129999999</v>
          </cell>
          <cell r="K95">
            <v>4.9900070000000003</v>
          </cell>
          <cell r="L95">
            <v>404.19056699999999</v>
          </cell>
          <cell r="M95">
            <v>44.333333333333336</v>
          </cell>
          <cell r="N95">
            <v>770.00000000000011</v>
          </cell>
          <cell r="O95">
            <v>4.9900070000000003</v>
          </cell>
          <cell r="P95">
            <v>3842.3053900000009</v>
          </cell>
        </row>
        <row r="96">
          <cell r="A96" t="str">
            <v>B-05-34</v>
          </cell>
          <cell r="B96" t="str">
            <v>SOLUCION FISIOLOGICA .:. 0.009</v>
          </cell>
          <cell r="C96" t="str">
            <v>Frasco infusor x 150 ml</v>
          </cell>
          <cell r="D96">
            <v>97</v>
          </cell>
          <cell r="E96">
            <v>0</v>
          </cell>
          <cell r="F96">
            <v>0</v>
          </cell>
          <cell r="G96">
            <v>60</v>
          </cell>
          <cell r="H96">
            <v>120</v>
          </cell>
          <cell r="I96">
            <v>438</v>
          </cell>
          <cell r="J96">
            <v>438</v>
          </cell>
          <cell r="K96">
            <v>7.3</v>
          </cell>
          <cell r="L96">
            <v>270.10000000000002</v>
          </cell>
          <cell r="M96">
            <v>10</v>
          </cell>
          <cell r="N96">
            <v>132</v>
          </cell>
          <cell r="O96">
            <v>7.3</v>
          </cell>
          <cell r="P96">
            <v>963.6</v>
          </cell>
        </row>
        <row r="97">
          <cell r="A97" t="str">
            <v>C-01-02</v>
          </cell>
          <cell r="B97" t="str">
            <v>AMIODARONA (CLORHIDRATO) .:. 200 mg</v>
          </cell>
          <cell r="C97" t="str">
            <v>Comprimido</v>
          </cell>
          <cell r="D97">
            <v>1203</v>
          </cell>
          <cell r="E97">
            <v>4300</v>
          </cell>
          <cell r="F97">
            <v>4300</v>
          </cell>
          <cell r="G97">
            <v>2582</v>
          </cell>
          <cell r="H97">
            <v>5164</v>
          </cell>
          <cell r="I97">
            <v>2801.341023</v>
          </cell>
          <cell r="J97">
            <v>379</v>
          </cell>
          <cell r="K97">
            <v>1</v>
          </cell>
          <cell r="L97">
            <v>2961</v>
          </cell>
          <cell r="M97">
            <v>430.33333333333331</v>
          </cell>
          <cell r="N97">
            <v>2200</v>
          </cell>
          <cell r="O97">
            <v>1</v>
          </cell>
          <cell r="P97">
            <v>2200</v>
          </cell>
        </row>
        <row r="98">
          <cell r="A98" t="str">
            <v>C-01-03</v>
          </cell>
          <cell r="B98" t="str">
            <v>AMIODARONA (CLORHIDRATO) .:. 50 mg/ml</v>
          </cell>
          <cell r="C98" t="str">
            <v>Inyectable</v>
          </cell>
          <cell r="D98">
            <v>16</v>
          </cell>
          <cell r="E98">
            <v>100</v>
          </cell>
          <cell r="F98">
            <v>690</v>
          </cell>
          <cell r="G98">
            <v>98</v>
          </cell>
          <cell r="H98">
            <v>196</v>
          </cell>
          <cell r="I98">
            <v>676.2</v>
          </cell>
          <cell r="J98">
            <v>676.2</v>
          </cell>
          <cell r="K98">
            <v>6.9</v>
          </cell>
          <cell r="L98">
            <v>227.7</v>
          </cell>
          <cell r="M98">
            <v>16.333333333333332</v>
          </cell>
          <cell r="N98">
            <v>330</v>
          </cell>
          <cell r="O98">
            <v>6.9</v>
          </cell>
          <cell r="P98">
            <v>2277</v>
          </cell>
        </row>
        <row r="99">
          <cell r="A99" t="str">
            <v>C-01-06</v>
          </cell>
          <cell r="B99" t="str">
            <v>DIGOXINA .:. 0,25 mg</v>
          </cell>
          <cell r="C99" t="str">
            <v>Comprimido ranurado</v>
          </cell>
          <cell r="D99">
            <v>133</v>
          </cell>
          <cell r="E99">
            <v>0</v>
          </cell>
          <cell r="F99">
            <v>0</v>
          </cell>
          <cell r="G99">
            <v>133</v>
          </cell>
          <cell r="H99">
            <v>266</v>
          </cell>
          <cell r="I99">
            <v>69.16</v>
          </cell>
          <cell r="J99">
            <v>69.16</v>
          </cell>
          <cell r="K99">
            <v>0</v>
          </cell>
          <cell r="L99">
            <v>0</v>
          </cell>
          <cell r="M99">
            <v>22.166666666666668</v>
          </cell>
          <cell r="N99">
            <v>1100</v>
          </cell>
          <cell r="O99">
            <v>0.6</v>
          </cell>
          <cell r="P99">
            <v>660</v>
          </cell>
        </row>
        <row r="100">
          <cell r="A100" t="str">
            <v>C-01-10</v>
          </cell>
          <cell r="B100" t="str">
            <v>EPINEFRINA (ADRENALINA) .:. 1 mg/ml</v>
          </cell>
          <cell r="C100" t="str">
            <v>Inyectable</v>
          </cell>
          <cell r="D100">
            <v>1</v>
          </cell>
          <cell r="E100">
            <v>130</v>
          </cell>
          <cell r="F100">
            <v>767</v>
          </cell>
          <cell r="G100">
            <v>53</v>
          </cell>
          <cell r="H100">
            <v>106</v>
          </cell>
          <cell r="I100">
            <v>312.8</v>
          </cell>
          <cell r="J100">
            <v>25</v>
          </cell>
          <cell r="K100">
            <v>5.9</v>
          </cell>
          <cell r="L100">
            <v>460.2</v>
          </cell>
          <cell r="M100">
            <v>8.8333333333333339</v>
          </cell>
          <cell r="N100">
            <v>3.3000000000000003</v>
          </cell>
          <cell r="O100">
            <v>5.9</v>
          </cell>
          <cell r="P100">
            <v>19.470000000000002</v>
          </cell>
        </row>
        <row r="101">
          <cell r="A101" t="str">
            <v>C-01-11</v>
          </cell>
          <cell r="B101" t="str">
            <v>ISOSORBIDA MONONITRATO .:. 20 mg</v>
          </cell>
          <cell r="C101" t="str">
            <v>Comprimido</v>
          </cell>
          <cell r="D101">
            <v>440</v>
          </cell>
          <cell r="E101">
            <v>0</v>
          </cell>
          <cell r="F101">
            <v>0</v>
          </cell>
          <cell r="G101">
            <v>250</v>
          </cell>
          <cell r="H101">
            <v>500</v>
          </cell>
          <cell r="I101">
            <v>475</v>
          </cell>
          <cell r="J101">
            <v>475</v>
          </cell>
          <cell r="K101">
            <v>1.9</v>
          </cell>
          <cell r="L101">
            <v>361</v>
          </cell>
          <cell r="M101">
            <v>41.666666666666664</v>
          </cell>
          <cell r="N101">
            <v>440.00000000000006</v>
          </cell>
          <cell r="O101">
            <v>1.9</v>
          </cell>
          <cell r="P101">
            <v>836.00000000000011</v>
          </cell>
        </row>
        <row r="102">
          <cell r="A102" t="str">
            <v>C-01-13</v>
          </cell>
          <cell r="B102" t="str">
            <v>ETILEFRINA .:. 10 mg/ml</v>
          </cell>
          <cell r="C102" t="str">
            <v>Inyectable</v>
          </cell>
          <cell r="D102">
            <v>8</v>
          </cell>
          <cell r="E102">
            <v>20</v>
          </cell>
          <cell r="F102">
            <v>276</v>
          </cell>
          <cell r="G102">
            <v>16</v>
          </cell>
          <cell r="H102">
            <v>32</v>
          </cell>
          <cell r="I102">
            <v>220.8</v>
          </cell>
          <cell r="J102">
            <v>220.8</v>
          </cell>
          <cell r="K102">
            <v>13.8</v>
          </cell>
          <cell r="L102">
            <v>165.6</v>
          </cell>
          <cell r="M102">
            <v>2.6666666666666665</v>
          </cell>
          <cell r="N102">
            <v>33</v>
          </cell>
          <cell r="O102">
            <v>13.8</v>
          </cell>
          <cell r="P102">
            <v>455.40000000000003</v>
          </cell>
        </row>
        <row r="103">
          <cell r="A103" t="str">
            <v>C-01-15</v>
          </cell>
          <cell r="B103" t="str">
            <v>NORADRENALINA .:. 1 mg/ml</v>
          </cell>
          <cell r="C103" t="str">
            <v>Inyectable</v>
          </cell>
          <cell r="D103">
            <v>9</v>
          </cell>
          <cell r="E103">
            <v>140</v>
          </cell>
          <cell r="F103">
            <v>740</v>
          </cell>
          <cell r="G103">
            <v>144</v>
          </cell>
          <cell r="H103">
            <v>288</v>
          </cell>
          <cell r="I103">
            <v>810</v>
          </cell>
          <cell r="J103">
            <v>810</v>
          </cell>
          <cell r="K103">
            <v>4</v>
          </cell>
          <cell r="L103">
            <v>20</v>
          </cell>
          <cell r="M103">
            <v>24</v>
          </cell>
          <cell r="N103">
            <v>110.00000000000001</v>
          </cell>
          <cell r="O103">
            <v>4</v>
          </cell>
          <cell r="P103">
            <v>440.00000000000006</v>
          </cell>
        </row>
        <row r="104">
          <cell r="A104" t="str">
            <v>C-02-04</v>
          </cell>
          <cell r="B104" t="str">
            <v>METILDOPA (ALFAMETILDOPA) .:. 500 mg</v>
          </cell>
          <cell r="C104" t="str">
            <v>Comprimido</v>
          </cell>
          <cell r="D104">
            <v>29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29</v>
          </cell>
          <cell r="K104">
            <v>1.1682349999999999</v>
          </cell>
          <cell r="L104">
            <v>33.878815000000003</v>
          </cell>
          <cell r="M104">
            <v>0</v>
          </cell>
          <cell r="N104">
            <v>2</v>
          </cell>
          <cell r="O104">
            <v>1.1682349999999999</v>
          </cell>
          <cell r="P104">
            <v>2.3364699999999998</v>
          </cell>
        </row>
        <row r="105">
          <cell r="A105" t="str">
            <v>C-03-01</v>
          </cell>
          <cell r="B105" t="str">
            <v>ACETAZOLAMIDA .:. 250 mg</v>
          </cell>
          <cell r="C105" t="str">
            <v>Comprimido</v>
          </cell>
          <cell r="D105">
            <v>300</v>
          </cell>
          <cell r="E105">
            <v>0</v>
          </cell>
          <cell r="F105">
            <v>0</v>
          </cell>
          <cell r="G105">
            <v>110</v>
          </cell>
          <cell r="H105">
            <v>220</v>
          </cell>
          <cell r="I105">
            <v>132.51061999999999</v>
          </cell>
          <cell r="J105">
            <v>80</v>
          </cell>
          <cell r="K105">
            <v>1.204642</v>
          </cell>
          <cell r="L105">
            <v>228.88198</v>
          </cell>
          <cell r="M105">
            <v>18.333333333333332</v>
          </cell>
          <cell r="N105">
            <v>140</v>
          </cell>
          <cell r="O105">
            <v>1.204642</v>
          </cell>
          <cell r="P105">
            <v>168.64988</v>
          </cell>
        </row>
        <row r="106">
          <cell r="A106" t="str">
            <v>C-03-02</v>
          </cell>
          <cell r="B106" t="str">
            <v>ESPIRONOLACTONA .:. 100 mg</v>
          </cell>
          <cell r="C106" t="str">
            <v>Comprimido</v>
          </cell>
          <cell r="D106">
            <v>205</v>
          </cell>
          <cell r="E106">
            <v>2300</v>
          </cell>
          <cell r="F106">
            <v>1840</v>
          </cell>
          <cell r="G106">
            <v>1084</v>
          </cell>
          <cell r="H106">
            <v>2168</v>
          </cell>
          <cell r="I106">
            <v>952.13541899999996</v>
          </cell>
          <cell r="J106">
            <v>337</v>
          </cell>
          <cell r="K106">
            <v>0.79561073258268822</v>
          </cell>
          <cell r="L106">
            <v>1130.5628509999999</v>
          </cell>
          <cell r="M106">
            <v>180.66666666666666</v>
          </cell>
          <cell r="N106">
            <v>550</v>
          </cell>
          <cell r="O106">
            <v>0.79561073258268822</v>
          </cell>
          <cell r="P106">
            <v>437.58590292047853</v>
          </cell>
        </row>
        <row r="107">
          <cell r="A107" t="str">
            <v>C-03-04</v>
          </cell>
          <cell r="B107" t="str">
            <v>FUROSEMIDA .:. 40 mg</v>
          </cell>
          <cell r="C107" t="str">
            <v>Comprimido ranurado</v>
          </cell>
          <cell r="D107">
            <v>960</v>
          </cell>
          <cell r="E107">
            <v>2200</v>
          </cell>
          <cell r="F107">
            <v>396</v>
          </cell>
          <cell r="G107">
            <v>1753</v>
          </cell>
          <cell r="H107">
            <v>3506</v>
          </cell>
          <cell r="I107">
            <v>307.85039999999998</v>
          </cell>
          <cell r="J107">
            <v>307.85039999999998</v>
          </cell>
          <cell r="K107">
            <v>0.18</v>
          </cell>
          <cell r="L107">
            <v>254.7</v>
          </cell>
          <cell r="M107">
            <v>292.16666666666669</v>
          </cell>
          <cell r="N107">
            <v>2860.0000000000005</v>
          </cell>
          <cell r="O107">
            <v>0.18</v>
          </cell>
          <cell r="P107">
            <v>514.80000000000007</v>
          </cell>
        </row>
        <row r="108">
          <cell r="A108" t="str">
            <v>C-03-05</v>
          </cell>
          <cell r="B108" t="str">
            <v>FUROSEMIDA .:. 10 mg/ml</v>
          </cell>
          <cell r="C108" t="str">
            <v>Inyectable</v>
          </cell>
          <cell r="D108">
            <v>239</v>
          </cell>
          <cell r="E108">
            <v>550</v>
          </cell>
          <cell r="F108">
            <v>990</v>
          </cell>
          <cell r="G108">
            <v>270</v>
          </cell>
          <cell r="H108">
            <v>540</v>
          </cell>
          <cell r="I108">
            <v>483.05954600000001</v>
          </cell>
          <cell r="J108">
            <v>255</v>
          </cell>
          <cell r="K108">
            <v>1.7999341314285715</v>
          </cell>
          <cell r="L108">
            <v>944.965419</v>
          </cell>
          <cell r="M108">
            <v>45</v>
          </cell>
          <cell r="N108">
            <v>285</v>
          </cell>
          <cell r="O108">
            <v>1.7999341314285715</v>
          </cell>
          <cell r="P108">
            <v>512.98122745714284</v>
          </cell>
        </row>
        <row r="109">
          <cell r="A109" t="str">
            <v>C-03-06</v>
          </cell>
          <cell r="B109" t="str">
            <v>HIDROCLOROTIAZIDA .:. 50 mg</v>
          </cell>
          <cell r="C109" t="str">
            <v>Comprimido ranurado</v>
          </cell>
          <cell r="D109">
            <v>538</v>
          </cell>
          <cell r="E109">
            <v>5500</v>
          </cell>
          <cell r="F109">
            <v>825</v>
          </cell>
          <cell r="G109">
            <v>2818</v>
          </cell>
          <cell r="H109">
            <v>5636</v>
          </cell>
          <cell r="I109">
            <v>426.37126699999999</v>
          </cell>
          <cell r="J109">
            <v>402</v>
          </cell>
          <cell r="K109">
            <v>0.14987386801242236</v>
          </cell>
          <cell r="L109">
            <v>482.59385500000002</v>
          </cell>
          <cell r="M109">
            <v>469.66666666666669</v>
          </cell>
          <cell r="N109">
            <v>2420</v>
          </cell>
          <cell r="O109">
            <v>0.14987386801242236</v>
          </cell>
          <cell r="P109">
            <v>362.69476059006212</v>
          </cell>
        </row>
        <row r="110">
          <cell r="A110" t="str">
            <v>C-03-07</v>
          </cell>
          <cell r="B110" t="str">
            <v>HIDROCLOROTIAZIDA + AMILORIDA .:. 50 mg + 5 mg</v>
          </cell>
          <cell r="C110" t="str">
            <v>Comprimido</v>
          </cell>
          <cell r="D110">
            <v>473</v>
          </cell>
          <cell r="E110">
            <v>0</v>
          </cell>
          <cell r="F110">
            <v>0</v>
          </cell>
          <cell r="G110">
            <v>84</v>
          </cell>
          <cell r="H110">
            <v>168</v>
          </cell>
          <cell r="I110">
            <v>62.941704000000001</v>
          </cell>
          <cell r="J110">
            <v>305</v>
          </cell>
          <cell r="K110">
            <v>0.74930600000000003</v>
          </cell>
          <cell r="L110">
            <v>291.48003399999999</v>
          </cell>
          <cell r="M110">
            <v>14</v>
          </cell>
          <cell r="N110">
            <v>100</v>
          </cell>
          <cell r="O110">
            <v>0.74930600000000003</v>
          </cell>
          <cell r="P110">
            <v>74.930599999999998</v>
          </cell>
        </row>
        <row r="111">
          <cell r="A111" t="str">
            <v>C-05-01</v>
          </cell>
          <cell r="B111" t="str">
            <v>CORTICOIDE + ANESTESICO .:. Según disponibilidad</v>
          </cell>
          <cell r="C111" t="str">
            <v>Supositorio</v>
          </cell>
          <cell r="D111">
            <v>8</v>
          </cell>
          <cell r="E111">
            <v>1200</v>
          </cell>
          <cell r="F111">
            <v>3600</v>
          </cell>
          <cell r="G111">
            <v>277</v>
          </cell>
          <cell r="H111">
            <v>554</v>
          </cell>
          <cell r="I111">
            <v>831.06172800000002</v>
          </cell>
          <cell r="J111">
            <v>654</v>
          </cell>
          <cell r="K111">
            <v>3</v>
          </cell>
          <cell r="L111">
            <v>2793</v>
          </cell>
          <cell r="M111">
            <v>46.166666666666664</v>
          </cell>
          <cell r="N111">
            <v>300</v>
          </cell>
          <cell r="O111">
            <v>3</v>
          </cell>
          <cell r="P111">
            <v>900</v>
          </cell>
        </row>
        <row r="112">
          <cell r="A112" t="str">
            <v>C-05-02</v>
          </cell>
          <cell r="B112" t="str">
            <v>CORTICOIDE + ANESTESICO .:. Según disponibilidad</v>
          </cell>
          <cell r="C112" t="str">
            <v>Crema o Pomada</v>
          </cell>
          <cell r="D112">
            <v>24</v>
          </cell>
          <cell r="E112">
            <v>70</v>
          </cell>
          <cell r="F112">
            <v>2943.5</v>
          </cell>
          <cell r="G112">
            <v>39</v>
          </cell>
          <cell r="H112">
            <v>78</v>
          </cell>
          <cell r="I112">
            <v>1639.71</v>
          </cell>
          <cell r="J112">
            <v>16</v>
          </cell>
          <cell r="K112">
            <v>42.05</v>
          </cell>
          <cell r="L112">
            <v>2312.75</v>
          </cell>
          <cell r="M112">
            <v>6.5</v>
          </cell>
          <cell r="N112">
            <v>7.7000000000000011</v>
          </cell>
          <cell r="O112">
            <v>42.05</v>
          </cell>
          <cell r="P112">
            <v>323.78500000000003</v>
          </cell>
        </row>
        <row r="113">
          <cell r="A113" t="str">
            <v>C-07-01</v>
          </cell>
          <cell r="B113" t="str">
            <v>ATENOLOL .:. 100 mg</v>
          </cell>
          <cell r="C113" t="str">
            <v>Comprimido ranurado</v>
          </cell>
          <cell r="D113">
            <v>1026</v>
          </cell>
          <cell r="E113">
            <v>0</v>
          </cell>
          <cell r="F113">
            <v>0</v>
          </cell>
          <cell r="G113">
            <v>405</v>
          </cell>
          <cell r="H113">
            <v>810</v>
          </cell>
          <cell r="I113">
            <v>109.09728</v>
          </cell>
          <cell r="J113">
            <v>216</v>
          </cell>
          <cell r="K113">
            <v>0.269376</v>
          </cell>
          <cell r="L113">
            <v>167.28249600000001</v>
          </cell>
          <cell r="M113">
            <v>67.5</v>
          </cell>
          <cell r="N113">
            <v>594</v>
          </cell>
          <cell r="O113">
            <v>0.269376</v>
          </cell>
          <cell r="P113">
            <v>160.009344</v>
          </cell>
        </row>
        <row r="114">
          <cell r="A114" t="str">
            <v>C-07-02</v>
          </cell>
          <cell r="B114" t="str">
            <v>PROPRANOLOL .:. 40 mg</v>
          </cell>
          <cell r="C114" t="str">
            <v>Comprimido</v>
          </cell>
          <cell r="D114">
            <v>126</v>
          </cell>
          <cell r="E114">
            <v>800</v>
          </cell>
          <cell r="F114">
            <v>232</v>
          </cell>
          <cell r="G114">
            <v>486</v>
          </cell>
          <cell r="H114">
            <v>972</v>
          </cell>
          <cell r="I114">
            <v>142.19999999999999</v>
          </cell>
          <cell r="J114">
            <v>142.19999999999999</v>
          </cell>
          <cell r="K114">
            <v>0.28999999999999998</v>
          </cell>
          <cell r="L114">
            <v>127.6</v>
          </cell>
          <cell r="M114">
            <v>81</v>
          </cell>
          <cell r="N114">
            <v>660</v>
          </cell>
          <cell r="O114">
            <v>0.28999999999999998</v>
          </cell>
          <cell r="P114">
            <v>191.39999999999998</v>
          </cell>
        </row>
        <row r="115">
          <cell r="A115" t="str">
            <v>C-07-04</v>
          </cell>
          <cell r="B115" t="str">
            <v>CARVEDILOL .:. 6,25 mg</v>
          </cell>
          <cell r="C115" t="str">
            <v>Comprimido</v>
          </cell>
          <cell r="D115">
            <v>3961</v>
          </cell>
          <cell r="E115">
            <v>12000</v>
          </cell>
          <cell r="F115">
            <v>5760</v>
          </cell>
          <cell r="G115">
            <v>10311</v>
          </cell>
          <cell r="H115">
            <v>20622</v>
          </cell>
          <cell r="I115">
            <v>4831.4283409999998</v>
          </cell>
          <cell r="J115">
            <v>1689</v>
          </cell>
          <cell r="K115">
            <v>0.48000000460176989</v>
          </cell>
          <cell r="L115">
            <v>2712.0000260000002</v>
          </cell>
          <cell r="M115">
            <v>1718.5</v>
          </cell>
          <cell r="N115">
            <v>22000</v>
          </cell>
          <cell r="O115">
            <v>0.48000000460176989</v>
          </cell>
          <cell r="P115">
            <v>10560.000101238938</v>
          </cell>
        </row>
        <row r="116">
          <cell r="A116" t="str">
            <v>C-07-05</v>
          </cell>
          <cell r="B116" t="str">
            <v>CARVEDILOL .:. 12,5 mg</v>
          </cell>
          <cell r="C116" t="str">
            <v>Comprimido</v>
          </cell>
          <cell r="D116">
            <v>2453</v>
          </cell>
          <cell r="E116">
            <v>10000</v>
          </cell>
          <cell r="F116">
            <v>10000</v>
          </cell>
          <cell r="G116">
            <v>8800</v>
          </cell>
          <cell r="H116">
            <v>17600</v>
          </cell>
          <cell r="I116">
            <v>8741.1893249999994</v>
          </cell>
          <cell r="J116">
            <v>1200</v>
          </cell>
          <cell r="K116">
            <v>1</v>
          </cell>
          <cell r="L116">
            <v>3676</v>
          </cell>
          <cell r="M116">
            <v>1466.6666666666667</v>
          </cell>
          <cell r="N116">
            <v>22000</v>
          </cell>
          <cell r="O116">
            <v>1</v>
          </cell>
          <cell r="P116">
            <v>22000</v>
          </cell>
        </row>
        <row r="117">
          <cell r="A117" t="str">
            <v>C-07-06</v>
          </cell>
          <cell r="B117" t="str">
            <v>BISOPROLOL .:. 5 mg</v>
          </cell>
          <cell r="C117" t="str">
            <v>Comprimido</v>
          </cell>
          <cell r="D117">
            <v>616</v>
          </cell>
          <cell r="E117">
            <v>4800</v>
          </cell>
          <cell r="F117">
            <v>11220</v>
          </cell>
          <cell r="G117">
            <v>2978</v>
          </cell>
          <cell r="H117">
            <v>5956</v>
          </cell>
          <cell r="I117">
            <v>6824.4945690000004</v>
          </cell>
          <cell r="J117">
            <v>22</v>
          </cell>
          <cell r="K117">
            <v>2.3640884294503692</v>
          </cell>
          <cell r="L117">
            <v>5763.6475909999999</v>
          </cell>
          <cell r="M117">
            <v>496.33333333333331</v>
          </cell>
          <cell r="N117">
            <v>5000</v>
          </cell>
          <cell r="O117">
            <v>2.3640884294503692</v>
          </cell>
          <cell r="P117">
            <v>11820.442147251846</v>
          </cell>
        </row>
        <row r="118">
          <cell r="A118" t="str">
            <v>C-08-02</v>
          </cell>
          <cell r="B118" t="str">
            <v>NIMODIPINA .:. 30 mg</v>
          </cell>
          <cell r="C118" t="str">
            <v>Comprimido</v>
          </cell>
          <cell r="D118">
            <v>3001</v>
          </cell>
          <cell r="E118">
            <v>8300</v>
          </cell>
          <cell r="F118">
            <v>2905</v>
          </cell>
          <cell r="G118">
            <v>5266</v>
          </cell>
          <cell r="H118">
            <v>10532</v>
          </cell>
          <cell r="I118">
            <v>1943.6654860000001</v>
          </cell>
          <cell r="J118">
            <v>769</v>
          </cell>
          <cell r="K118">
            <v>0.35294547605633803</v>
          </cell>
          <cell r="L118">
            <v>2130.025948</v>
          </cell>
          <cell r="M118">
            <v>877.66666666666663</v>
          </cell>
          <cell r="N118">
            <v>4400</v>
          </cell>
          <cell r="O118">
            <v>0.35294547605633803</v>
          </cell>
          <cell r="P118">
            <v>1552.9600946478872</v>
          </cell>
        </row>
        <row r="119">
          <cell r="A119" t="str">
            <v>C-08-04</v>
          </cell>
          <cell r="B119" t="str">
            <v>VERAPAMILO .:. 80 mg</v>
          </cell>
          <cell r="C119" t="str">
            <v>Comprimido</v>
          </cell>
          <cell r="D119">
            <v>36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36</v>
          </cell>
          <cell r="K119">
            <v>1.9252769999999999</v>
          </cell>
          <cell r="L119">
            <v>69.309972000000002</v>
          </cell>
          <cell r="M119">
            <v>0</v>
          </cell>
          <cell r="N119">
            <v>2</v>
          </cell>
          <cell r="O119">
            <v>1.9252769999999999</v>
          </cell>
          <cell r="P119">
            <v>3.8505539999999998</v>
          </cell>
        </row>
        <row r="120">
          <cell r="A120" t="str">
            <v>C-08-07</v>
          </cell>
          <cell r="B120" t="str">
            <v>AMLODIPINA .:. 10 mg</v>
          </cell>
          <cell r="C120" t="str">
            <v>Comprimido</v>
          </cell>
          <cell r="D120">
            <v>0</v>
          </cell>
          <cell r="E120">
            <v>20000</v>
          </cell>
          <cell r="F120">
            <v>2600</v>
          </cell>
          <cell r="G120">
            <v>9327</v>
          </cell>
          <cell r="H120">
            <v>18654</v>
          </cell>
          <cell r="I120">
            <v>1212.51</v>
          </cell>
          <cell r="J120">
            <v>1346</v>
          </cell>
          <cell r="K120">
            <v>0.13</v>
          </cell>
          <cell r="L120">
            <v>1387.49</v>
          </cell>
          <cell r="M120">
            <v>1554.5</v>
          </cell>
          <cell r="N120">
            <v>7800</v>
          </cell>
          <cell r="O120">
            <v>0.13</v>
          </cell>
          <cell r="P120">
            <v>1014</v>
          </cell>
        </row>
        <row r="121">
          <cell r="A121" t="str">
            <v>C-09-01</v>
          </cell>
          <cell r="B121" t="str">
            <v>ENALAPRIL MALEATO .:. 10 mg</v>
          </cell>
          <cell r="C121" t="str">
            <v>Comprimido ranurado</v>
          </cell>
          <cell r="D121">
            <v>0</v>
          </cell>
          <cell r="E121">
            <v>4000</v>
          </cell>
          <cell r="F121">
            <v>800</v>
          </cell>
          <cell r="G121">
            <v>3175</v>
          </cell>
          <cell r="H121">
            <v>6350</v>
          </cell>
          <cell r="I121">
            <v>635</v>
          </cell>
          <cell r="J121">
            <v>635</v>
          </cell>
          <cell r="K121">
            <v>0.2</v>
          </cell>
          <cell r="L121">
            <v>165</v>
          </cell>
          <cell r="M121">
            <v>529.16666666666663</v>
          </cell>
          <cell r="N121">
            <v>8800</v>
          </cell>
          <cell r="O121">
            <v>0.2</v>
          </cell>
          <cell r="P121">
            <v>1760</v>
          </cell>
        </row>
        <row r="122">
          <cell r="A122" t="str">
            <v>C-09-02</v>
          </cell>
          <cell r="B122" t="str">
            <v>LOSARTAN .:. 50 mg</v>
          </cell>
          <cell r="C122" t="str">
            <v>Comprimido</v>
          </cell>
          <cell r="D122">
            <v>37107</v>
          </cell>
          <cell r="E122">
            <v>92000</v>
          </cell>
          <cell r="F122">
            <v>61640</v>
          </cell>
          <cell r="G122">
            <v>65618</v>
          </cell>
          <cell r="H122">
            <v>131236</v>
          </cell>
          <cell r="I122">
            <v>40631.220150000001</v>
          </cell>
          <cell r="J122">
            <v>17382</v>
          </cell>
          <cell r="K122">
            <v>0.65990866085463629</v>
          </cell>
          <cell r="L122">
            <v>41896.940969000003</v>
          </cell>
          <cell r="M122">
            <v>10936.333333333334</v>
          </cell>
          <cell r="N122">
            <v>77000</v>
          </cell>
          <cell r="O122">
            <v>0.65990866085463629</v>
          </cell>
          <cell r="P122">
            <v>50812.966885806993</v>
          </cell>
        </row>
        <row r="123">
          <cell r="A123" t="str">
            <v>C-10-01</v>
          </cell>
          <cell r="B123" t="str">
            <v>ATORVASTATINA .:. 10 mg</v>
          </cell>
          <cell r="C123" t="str">
            <v>Comprimido</v>
          </cell>
          <cell r="D123">
            <v>3467</v>
          </cell>
          <cell r="E123">
            <v>11000</v>
          </cell>
          <cell r="F123">
            <v>1100</v>
          </cell>
          <cell r="G123">
            <v>7553</v>
          </cell>
          <cell r="H123">
            <v>15106</v>
          </cell>
          <cell r="I123">
            <v>1030.2504349999999</v>
          </cell>
          <cell r="J123">
            <v>1030.2504349999999</v>
          </cell>
          <cell r="K123">
            <v>0.1</v>
          </cell>
          <cell r="L123">
            <v>691.4</v>
          </cell>
          <cell r="M123">
            <v>1258.8333333333333</v>
          </cell>
          <cell r="N123">
            <v>11000</v>
          </cell>
          <cell r="O123">
            <v>0.1</v>
          </cell>
          <cell r="P123">
            <v>1100</v>
          </cell>
        </row>
        <row r="124">
          <cell r="A124" t="str">
            <v>C-10-02</v>
          </cell>
          <cell r="B124" t="str">
            <v>GENFIBROZILO .:. 600 mg</v>
          </cell>
          <cell r="C124" t="str">
            <v>Comprimido</v>
          </cell>
          <cell r="D124">
            <v>1656</v>
          </cell>
          <cell r="E124">
            <v>6000</v>
          </cell>
          <cell r="F124">
            <v>4800</v>
          </cell>
          <cell r="G124">
            <v>3685</v>
          </cell>
          <cell r="H124">
            <v>7370</v>
          </cell>
          <cell r="I124">
            <v>3170.7918749999999</v>
          </cell>
          <cell r="J124">
            <v>286</v>
          </cell>
          <cell r="K124">
            <v>0.8012722732309242</v>
          </cell>
          <cell r="L124">
            <v>3181.8521970000002</v>
          </cell>
          <cell r="M124">
            <v>614.16666666666663</v>
          </cell>
          <cell r="N124">
            <v>3520.0000000000005</v>
          </cell>
          <cell r="O124">
            <v>0.8012722732309242</v>
          </cell>
          <cell r="P124">
            <v>2820.4784017728534</v>
          </cell>
        </row>
        <row r="125">
          <cell r="A125" t="str">
            <v>C-10-03</v>
          </cell>
          <cell r="B125" t="str">
            <v>ROSUVASTATINA .:. 20 mg</v>
          </cell>
          <cell r="C125" t="str">
            <v>Comprimido</v>
          </cell>
          <cell r="D125">
            <v>0</v>
          </cell>
          <cell r="E125">
            <v>1500</v>
          </cell>
          <cell r="F125">
            <v>1857</v>
          </cell>
          <cell r="G125">
            <v>1500</v>
          </cell>
          <cell r="H125">
            <v>3000</v>
          </cell>
          <cell r="I125">
            <v>1856.9999849999999</v>
          </cell>
          <cell r="J125">
            <v>0</v>
          </cell>
          <cell r="K125">
            <v>0</v>
          </cell>
          <cell r="L125">
            <v>1.5E-5</v>
          </cell>
          <cell r="M125">
            <v>250</v>
          </cell>
          <cell r="N125">
            <v>5500</v>
          </cell>
          <cell r="O125">
            <v>5</v>
          </cell>
          <cell r="P125">
            <v>27500</v>
          </cell>
        </row>
        <row r="126">
          <cell r="A126" t="str">
            <v>C-10-04</v>
          </cell>
          <cell r="B126" t="str">
            <v>FENOFIBRATO .:. 200 mg</v>
          </cell>
          <cell r="C126" t="str">
            <v>Cápsula o Comprimido</v>
          </cell>
          <cell r="D126">
            <v>1790</v>
          </cell>
          <cell r="E126">
            <v>4500</v>
          </cell>
          <cell r="F126">
            <v>17550</v>
          </cell>
          <cell r="G126">
            <v>2635</v>
          </cell>
          <cell r="H126">
            <v>5270</v>
          </cell>
          <cell r="I126">
            <v>10380.480353999999</v>
          </cell>
          <cell r="J126">
            <v>1020</v>
          </cell>
          <cell r="K126">
            <v>3.913561106976744</v>
          </cell>
          <cell r="L126">
            <v>14304.065846</v>
          </cell>
          <cell r="M126">
            <v>439.16666666666669</v>
          </cell>
          <cell r="N126">
            <v>660</v>
          </cell>
          <cell r="O126">
            <v>3.913561106976744</v>
          </cell>
          <cell r="P126">
            <v>2582.9503306046508</v>
          </cell>
        </row>
        <row r="127">
          <cell r="A127" t="str">
            <v>C-10-05</v>
          </cell>
          <cell r="B127" t="str">
            <v>ATORVASTATINA .:. 20 mg.</v>
          </cell>
          <cell r="C127" t="str">
            <v>Comprimido</v>
          </cell>
          <cell r="D127">
            <v>9234</v>
          </cell>
          <cell r="E127">
            <v>20300</v>
          </cell>
          <cell r="F127">
            <v>10150</v>
          </cell>
          <cell r="G127">
            <v>22671</v>
          </cell>
          <cell r="H127">
            <v>45342</v>
          </cell>
          <cell r="I127">
            <v>10696.082436000001</v>
          </cell>
          <cell r="J127">
            <v>6329</v>
          </cell>
          <cell r="K127">
            <v>0.5</v>
          </cell>
          <cell r="L127">
            <v>3431.5</v>
          </cell>
          <cell r="M127">
            <v>3778.5</v>
          </cell>
          <cell r="N127">
            <v>61600.000000000007</v>
          </cell>
          <cell r="O127">
            <v>0.5</v>
          </cell>
          <cell r="P127">
            <v>30800.000000000004</v>
          </cell>
        </row>
        <row r="128">
          <cell r="A128" t="str">
            <v>D-01-02</v>
          </cell>
          <cell r="B128" t="str">
            <v>BACITRACINA + NEOMICINA SULFATO .:. 500 UI + 5 mg/g</v>
          </cell>
          <cell r="C128" t="str">
            <v>Crema o Pomada</v>
          </cell>
          <cell r="D128">
            <v>82</v>
          </cell>
          <cell r="E128">
            <v>0</v>
          </cell>
          <cell r="F128">
            <v>0</v>
          </cell>
          <cell r="G128">
            <v>33</v>
          </cell>
          <cell r="H128">
            <v>66</v>
          </cell>
          <cell r="I128">
            <v>221.1</v>
          </cell>
          <cell r="J128">
            <v>16</v>
          </cell>
          <cell r="K128">
            <v>6.7</v>
          </cell>
          <cell r="L128">
            <v>328.3</v>
          </cell>
          <cell r="M128">
            <v>5.5</v>
          </cell>
          <cell r="N128">
            <v>1.1000000000000001</v>
          </cell>
          <cell r="O128">
            <v>6.7</v>
          </cell>
          <cell r="P128">
            <v>7.370000000000001</v>
          </cell>
        </row>
        <row r="129">
          <cell r="A129" t="str">
            <v>D-01-03</v>
          </cell>
          <cell r="B129" t="str">
            <v>CLOTRIMAZOL .:. 0.01</v>
          </cell>
          <cell r="C129" t="str">
            <v>Crema o Pomada</v>
          </cell>
          <cell r="D129">
            <v>170</v>
          </cell>
          <cell r="E129">
            <v>0</v>
          </cell>
          <cell r="F129">
            <v>0</v>
          </cell>
          <cell r="G129">
            <v>132</v>
          </cell>
          <cell r="H129">
            <v>264</v>
          </cell>
          <cell r="I129">
            <v>462</v>
          </cell>
          <cell r="J129">
            <v>462</v>
          </cell>
          <cell r="K129">
            <v>3.5</v>
          </cell>
          <cell r="L129">
            <v>133</v>
          </cell>
          <cell r="M129">
            <v>22</v>
          </cell>
          <cell r="N129">
            <v>352</v>
          </cell>
          <cell r="O129">
            <v>3.5</v>
          </cell>
          <cell r="P129">
            <v>1232</v>
          </cell>
        </row>
        <row r="130">
          <cell r="A130" t="str">
            <v>D-01-06</v>
          </cell>
          <cell r="B130" t="str">
            <v>TOLNAFTATO .:. 0.01</v>
          </cell>
          <cell r="C130" t="str">
            <v>Solución</v>
          </cell>
          <cell r="D130">
            <v>13</v>
          </cell>
          <cell r="E130">
            <v>40</v>
          </cell>
          <cell r="F130">
            <v>920</v>
          </cell>
          <cell r="G130">
            <v>18</v>
          </cell>
          <cell r="H130">
            <v>36</v>
          </cell>
          <cell r="I130">
            <v>412.7</v>
          </cell>
          <cell r="J130">
            <v>17</v>
          </cell>
          <cell r="K130">
            <v>23</v>
          </cell>
          <cell r="L130">
            <v>805</v>
          </cell>
          <cell r="M130">
            <v>3</v>
          </cell>
          <cell r="N130">
            <v>25</v>
          </cell>
          <cell r="O130">
            <v>23</v>
          </cell>
          <cell r="P130">
            <v>575</v>
          </cell>
        </row>
        <row r="131">
          <cell r="A131" t="str">
            <v>D-01-07</v>
          </cell>
          <cell r="B131" t="str">
            <v>VIOLETA DE GENCIANA (CLORURO DE METILROSANILINA) .:. 0.01</v>
          </cell>
          <cell r="C131" t="str">
            <v>Solución</v>
          </cell>
          <cell r="D131">
            <v>1</v>
          </cell>
          <cell r="E131">
            <v>20</v>
          </cell>
          <cell r="F131">
            <v>54</v>
          </cell>
          <cell r="G131">
            <v>4</v>
          </cell>
          <cell r="H131">
            <v>8</v>
          </cell>
          <cell r="I131">
            <v>10.9</v>
          </cell>
          <cell r="J131">
            <v>13</v>
          </cell>
          <cell r="K131">
            <v>2.7</v>
          </cell>
          <cell r="L131">
            <v>45.9</v>
          </cell>
          <cell r="M131">
            <v>0.66666666666666663</v>
          </cell>
          <cell r="N131">
            <v>2</v>
          </cell>
          <cell r="O131">
            <v>2.7</v>
          </cell>
          <cell r="P131">
            <v>5.4</v>
          </cell>
        </row>
        <row r="132">
          <cell r="A132" t="str">
            <v>D-02-02</v>
          </cell>
          <cell r="B132" t="str">
            <v>OXIDO DE ZINC CON O SIN ACEITE .:. Según disponibilidad</v>
          </cell>
          <cell r="C132" t="str">
            <v>Pasta o Pomada</v>
          </cell>
          <cell r="D132">
            <v>18</v>
          </cell>
          <cell r="E132">
            <v>0</v>
          </cell>
          <cell r="F132">
            <v>0</v>
          </cell>
          <cell r="G132">
            <v>15</v>
          </cell>
          <cell r="H132">
            <v>30</v>
          </cell>
          <cell r="I132">
            <v>243.75</v>
          </cell>
          <cell r="J132">
            <v>243.75</v>
          </cell>
          <cell r="K132">
            <v>16.25</v>
          </cell>
          <cell r="L132">
            <v>48.75</v>
          </cell>
          <cell r="M132">
            <v>2.5</v>
          </cell>
          <cell r="N132">
            <v>42.900000000000006</v>
          </cell>
          <cell r="O132">
            <v>16.25</v>
          </cell>
          <cell r="P132">
            <v>697.12500000000011</v>
          </cell>
        </row>
        <row r="133">
          <cell r="A133" t="str">
            <v>D-02-04</v>
          </cell>
          <cell r="B133" t="str">
            <v>VASELINA LIQUIDA .:. Según disponibilidad</v>
          </cell>
          <cell r="C133" t="str">
            <v>Solución 1 l</v>
          </cell>
          <cell r="D133">
            <v>11</v>
          </cell>
          <cell r="E133">
            <v>0</v>
          </cell>
          <cell r="F133">
            <v>0</v>
          </cell>
          <cell r="G133">
            <v>11</v>
          </cell>
          <cell r="H133">
            <v>22</v>
          </cell>
          <cell r="I133">
            <v>396</v>
          </cell>
          <cell r="J133">
            <v>396</v>
          </cell>
          <cell r="K133">
            <v>0</v>
          </cell>
          <cell r="L133">
            <v>0</v>
          </cell>
          <cell r="M133">
            <v>1.8333333333333333</v>
          </cell>
          <cell r="N133">
            <v>30</v>
          </cell>
          <cell r="O133">
            <v>36</v>
          </cell>
          <cell r="P133">
            <v>1080</v>
          </cell>
        </row>
        <row r="134">
          <cell r="A134" t="str">
            <v>D-04-01</v>
          </cell>
          <cell r="B134" t="str">
            <v>LIDOCAINA .:. 0.02</v>
          </cell>
          <cell r="C134" t="str">
            <v>Gel o Jalea</v>
          </cell>
          <cell r="D134">
            <v>9</v>
          </cell>
          <cell r="E134">
            <v>0</v>
          </cell>
          <cell r="F134">
            <v>0</v>
          </cell>
          <cell r="G134">
            <v>9</v>
          </cell>
          <cell r="H134">
            <v>18</v>
          </cell>
          <cell r="I134">
            <v>134.1</v>
          </cell>
          <cell r="J134">
            <v>134.1</v>
          </cell>
          <cell r="K134">
            <v>0</v>
          </cell>
          <cell r="L134">
            <v>0</v>
          </cell>
          <cell r="M134">
            <v>1.5</v>
          </cell>
          <cell r="N134">
            <v>44</v>
          </cell>
          <cell r="O134">
            <v>14.899999999999999</v>
          </cell>
          <cell r="P134">
            <v>655.59999999999991</v>
          </cell>
        </row>
        <row r="135">
          <cell r="A135" t="str">
            <v>D-06-02</v>
          </cell>
          <cell r="B135" t="str">
            <v>SULFADIAZINA DE PLATA .:. 0.01</v>
          </cell>
          <cell r="C135" t="str">
            <v>Crema o Pomada</v>
          </cell>
          <cell r="D135">
            <v>23</v>
          </cell>
          <cell r="E135">
            <v>0</v>
          </cell>
          <cell r="F135">
            <v>0</v>
          </cell>
          <cell r="G135">
            <v>6</v>
          </cell>
          <cell r="H135">
            <v>12</v>
          </cell>
          <cell r="I135">
            <v>231.30793800000001</v>
          </cell>
          <cell r="J135">
            <v>11</v>
          </cell>
          <cell r="K135">
            <v>38.551322999999996</v>
          </cell>
          <cell r="L135">
            <v>655.37249099999997</v>
          </cell>
          <cell r="M135">
            <v>1</v>
          </cell>
          <cell r="N135">
            <v>12</v>
          </cell>
          <cell r="O135">
            <v>38.551322999999996</v>
          </cell>
          <cell r="P135">
            <v>462.61587599999996</v>
          </cell>
        </row>
        <row r="136">
          <cell r="A136" t="str">
            <v>D-06-03</v>
          </cell>
          <cell r="B136" t="str">
            <v>ACICLOVIR .:. 0.05</v>
          </cell>
          <cell r="C136" t="str">
            <v>Crema dermica</v>
          </cell>
          <cell r="D136">
            <v>15</v>
          </cell>
          <cell r="E136">
            <v>70</v>
          </cell>
          <cell r="F136">
            <v>556.5</v>
          </cell>
          <cell r="G136">
            <v>28</v>
          </cell>
          <cell r="H136">
            <v>56</v>
          </cell>
          <cell r="I136">
            <v>236.62096500000001</v>
          </cell>
          <cell r="J136">
            <v>29</v>
          </cell>
          <cell r="K136">
            <v>7.95</v>
          </cell>
          <cell r="L136">
            <v>453.15</v>
          </cell>
          <cell r="M136">
            <v>4.666666666666667</v>
          </cell>
          <cell r="N136">
            <v>30</v>
          </cell>
          <cell r="O136">
            <v>7.95</v>
          </cell>
          <cell r="P136">
            <v>238.5</v>
          </cell>
        </row>
        <row r="137">
          <cell r="A137" t="str">
            <v>D-07-01</v>
          </cell>
          <cell r="B137" t="str">
            <v>BETAMETASONA (VALERATO) .:. 0,1%</v>
          </cell>
          <cell r="C137" t="str">
            <v>Crema o Pomada</v>
          </cell>
          <cell r="D137">
            <v>118</v>
          </cell>
          <cell r="E137">
            <v>0</v>
          </cell>
          <cell r="F137">
            <v>0</v>
          </cell>
          <cell r="G137">
            <v>60</v>
          </cell>
          <cell r="H137">
            <v>120</v>
          </cell>
          <cell r="I137">
            <v>425.43342000000001</v>
          </cell>
          <cell r="J137">
            <v>425.43342000000001</v>
          </cell>
          <cell r="K137">
            <v>7.0905570000000004</v>
          </cell>
          <cell r="L137">
            <v>411.25230599999998</v>
          </cell>
          <cell r="M137">
            <v>10</v>
          </cell>
          <cell r="N137">
            <v>88</v>
          </cell>
          <cell r="O137">
            <v>7.0905570000000004</v>
          </cell>
          <cell r="P137">
            <v>623.96901600000001</v>
          </cell>
        </row>
        <row r="138">
          <cell r="A138" t="str">
            <v>D-07-02</v>
          </cell>
          <cell r="B138" t="str">
            <v>CLOBETASOL .:. 0,05%</v>
          </cell>
          <cell r="C138" t="str">
            <v>Crema o Pomada</v>
          </cell>
          <cell r="D138">
            <v>54</v>
          </cell>
          <cell r="E138">
            <v>0</v>
          </cell>
          <cell r="F138">
            <v>0</v>
          </cell>
          <cell r="G138">
            <v>54</v>
          </cell>
          <cell r="H138">
            <v>108</v>
          </cell>
          <cell r="I138">
            <v>648</v>
          </cell>
          <cell r="J138">
            <v>648</v>
          </cell>
          <cell r="K138">
            <v>0</v>
          </cell>
          <cell r="L138">
            <v>0</v>
          </cell>
          <cell r="M138">
            <v>9</v>
          </cell>
          <cell r="N138">
            <v>60</v>
          </cell>
          <cell r="O138">
            <v>12</v>
          </cell>
          <cell r="P138">
            <v>720</v>
          </cell>
        </row>
        <row r="139">
          <cell r="A139" t="str">
            <v>D-07-03</v>
          </cell>
          <cell r="B139" t="str">
            <v>CLOBETASOL .:. 0,05%</v>
          </cell>
          <cell r="C139" t="str">
            <v>Solución</v>
          </cell>
          <cell r="D139">
            <v>0</v>
          </cell>
          <cell r="E139">
            <v>30</v>
          </cell>
          <cell r="F139">
            <v>1650</v>
          </cell>
          <cell r="G139">
            <v>16</v>
          </cell>
          <cell r="H139">
            <v>32</v>
          </cell>
          <cell r="I139">
            <v>880</v>
          </cell>
          <cell r="J139">
            <v>880</v>
          </cell>
          <cell r="K139">
            <v>55</v>
          </cell>
          <cell r="L139">
            <v>770</v>
          </cell>
          <cell r="M139">
            <v>2.6666666666666665</v>
          </cell>
          <cell r="N139">
            <v>22</v>
          </cell>
          <cell r="O139">
            <v>55</v>
          </cell>
          <cell r="P139">
            <v>1210</v>
          </cell>
        </row>
        <row r="140">
          <cell r="A140" t="str">
            <v>D-07-04</v>
          </cell>
          <cell r="B140" t="str">
            <v>HIDROCORTISONA ACETATO .:. 0.01</v>
          </cell>
          <cell r="C140" t="str">
            <v>Crema o Pomada</v>
          </cell>
          <cell r="D140">
            <v>4</v>
          </cell>
          <cell r="E140">
            <v>100</v>
          </cell>
          <cell r="F140">
            <v>1100</v>
          </cell>
          <cell r="G140">
            <v>74</v>
          </cell>
          <cell r="H140">
            <v>148</v>
          </cell>
          <cell r="I140">
            <v>800</v>
          </cell>
          <cell r="J140">
            <v>800</v>
          </cell>
          <cell r="K140">
            <v>11</v>
          </cell>
          <cell r="L140">
            <v>330</v>
          </cell>
          <cell r="M140">
            <v>12.333333333333334</v>
          </cell>
          <cell r="N140">
            <v>198.00000000000003</v>
          </cell>
          <cell r="O140">
            <v>11</v>
          </cell>
          <cell r="P140">
            <v>2178.0000000000005</v>
          </cell>
        </row>
        <row r="141">
          <cell r="A141" t="str">
            <v>D-08-01</v>
          </cell>
          <cell r="B141" t="str">
            <v>ALCOHOL ETILICO (ETANOL) .:. 70% a 95%</v>
          </cell>
          <cell r="C141" t="str">
            <v>Solución 1 l</v>
          </cell>
          <cell r="D141">
            <v>245</v>
          </cell>
          <cell r="E141">
            <v>550</v>
          </cell>
          <cell r="F141">
            <v>10994.5</v>
          </cell>
          <cell r="G141">
            <v>205</v>
          </cell>
          <cell r="H141">
            <v>410</v>
          </cell>
          <cell r="I141">
            <v>3173.8381490000002</v>
          </cell>
          <cell r="J141">
            <v>385</v>
          </cell>
          <cell r="K141">
            <v>18.65368699322034</v>
          </cell>
          <cell r="L141">
            <v>11005.675326</v>
          </cell>
          <cell r="M141">
            <v>34.166666666666664</v>
          </cell>
          <cell r="N141">
            <v>25</v>
          </cell>
          <cell r="O141">
            <v>18.65368699322034</v>
          </cell>
          <cell r="P141">
            <v>466.3421748305085</v>
          </cell>
        </row>
        <row r="142">
          <cell r="A142" t="str">
            <v>D-08-02</v>
          </cell>
          <cell r="B142" t="str">
            <v>CLORHEXIDINA GLUCONATO .:. Según disponibilidad</v>
          </cell>
          <cell r="C142" t="str">
            <v>Solución</v>
          </cell>
          <cell r="D142">
            <v>10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10</v>
          </cell>
          <cell r="K142">
            <v>105.632575</v>
          </cell>
          <cell r="L142">
            <v>1056.32575</v>
          </cell>
          <cell r="M142">
            <v>0</v>
          </cell>
          <cell r="N142">
            <v>2</v>
          </cell>
          <cell r="O142">
            <v>105.632575</v>
          </cell>
          <cell r="P142">
            <v>211.26515000000001</v>
          </cell>
        </row>
        <row r="143">
          <cell r="A143" t="str">
            <v>D-08-08</v>
          </cell>
          <cell r="B143" t="str">
            <v>IODO POVIDONA (YODOPOVIDONA) .:. 0.1</v>
          </cell>
          <cell r="C143" t="str">
            <v>Solución</v>
          </cell>
          <cell r="D143">
            <v>2</v>
          </cell>
          <cell r="E143">
            <v>9</v>
          </cell>
          <cell r="F143">
            <v>468</v>
          </cell>
          <cell r="G143">
            <v>2</v>
          </cell>
          <cell r="H143">
            <v>4</v>
          </cell>
          <cell r="I143">
            <v>103</v>
          </cell>
          <cell r="J143">
            <v>7</v>
          </cell>
          <cell r="K143">
            <v>52</v>
          </cell>
          <cell r="L143">
            <v>468</v>
          </cell>
          <cell r="M143">
            <v>0.33333333333333331</v>
          </cell>
          <cell r="N143">
            <v>10</v>
          </cell>
          <cell r="O143">
            <v>52</v>
          </cell>
          <cell r="P143">
            <v>520</v>
          </cell>
        </row>
        <row r="144">
          <cell r="A144" t="str">
            <v>D-08-10</v>
          </cell>
          <cell r="B144" t="str">
            <v>PEROXIDO DE HIDROGENO (AGUA OXIGENADA) .:. 2% o 3%</v>
          </cell>
          <cell r="C144" t="str">
            <v>Solución</v>
          </cell>
          <cell r="D144">
            <v>9</v>
          </cell>
          <cell r="E144">
            <v>0</v>
          </cell>
          <cell r="F144">
            <v>0</v>
          </cell>
          <cell r="G144">
            <v>1</v>
          </cell>
          <cell r="H144">
            <v>2</v>
          </cell>
          <cell r="I144">
            <v>13.19</v>
          </cell>
          <cell r="J144">
            <v>7</v>
          </cell>
          <cell r="K144">
            <v>13.19</v>
          </cell>
          <cell r="L144">
            <v>105.52</v>
          </cell>
          <cell r="M144">
            <v>0.16666666666666666</v>
          </cell>
          <cell r="N144">
            <v>2</v>
          </cell>
          <cell r="O144">
            <v>13.19</v>
          </cell>
          <cell r="P144">
            <v>26.38</v>
          </cell>
        </row>
        <row r="145">
          <cell r="A145" t="str">
            <v>D-10-01</v>
          </cell>
          <cell r="B145" t="str">
            <v>ERITROMICINA .:. 2% a 4%</v>
          </cell>
          <cell r="C145" t="str">
            <v>Loción</v>
          </cell>
          <cell r="D145">
            <v>24</v>
          </cell>
          <cell r="E145">
            <v>0</v>
          </cell>
          <cell r="F145">
            <v>0</v>
          </cell>
          <cell r="G145">
            <v>24</v>
          </cell>
          <cell r="H145">
            <v>48</v>
          </cell>
          <cell r="I145">
            <v>1358.4</v>
          </cell>
          <cell r="J145">
            <v>1358.4</v>
          </cell>
          <cell r="K145">
            <v>0</v>
          </cell>
          <cell r="L145">
            <v>0</v>
          </cell>
          <cell r="M145">
            <v>4</v>
          </cell>
          <cell r="N145">
            <v>110.00000000000001</v>
          </cell>
          <cell r="O145">
            <v>56.6</v>
          </cell>
          <cell r="P145">
            <v>6226.0000000000009</v>
          </cell>
        </row>
        <row r="146">
          <cell r="A146" t="str">
            <v>D-10-03</v>
          </cell>
          <cell r="B146" t="str">
            <v>PEROXIDO DE BENZOILO .:. 0.05</v>
          </cell>
          <cell r="C146" t="str">
            <v>Crema, Pomada o Gel</v>
          </cell>
          <cell r="D146">
            <v>2</v>
          </cell>
          <cell r="E146">
            <v>0</v>
          </cell>
          <cell r="F146">
            <v>0</v>
          </cell>
          <cell r="G146">
            <v>2</v>
          </cell>
          <cell r="H146">
            <v>4</v>
          </cell>
          <cell r="I146">
            <v>129</v>
          </cell>
          <cell r="J146">
            <v>129</v>
          </cell>
          <cell r="K146">
            <v>0</v>
          </cell>
          <cell r="L146">
            <v>0</v>
          </cell>
          <cell r="M146">
            <v>0.33333333333333331</v>
          </cell>
          <cell r="N146">
            <v>60</v>
          </cell>
          <cell r="O146">
            <v>64.5</v>
          </cell>
          <cell r="P146">
            <v>3870</v>
          </cell>
        </row>
        <row r="147">
          <cell r="A147" t="str">
            <v>D-10-04</v>
          </cell>
          <cell r="B147" t="str">
            <v>RESORCINOL .:. 0.1</v>
          </cell>
          <cell r="C147" t="str">
            <v>Crema o Pomada</v>
          </cell>
          <cell r="D147">
            <v>9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9</v>
          </cell>
          <cell r="K147">
            <v>21.376666</v>
          </cell>
          <cell r="L147">
            <v>192.389994</v>
          </cell>
          <cell r="M147">
            <v>0</v>
          </cell>
          <cell r="N147">
            <v>2</v>
          </cell>
          <cell r="O147">
            <v>21.376666</v>
          </cell>
          <cell r="P147">
            <v>42.753332</v>
          </cell>
        </row>
        <row r="148">
          <cell r="A148" t="str">
            <v>EX-01-021</v>
          </cell>
          <cell r="B148" t="str">
            <v>DILTIAZEN   DILTIAZEN*   60 MG .:. 60 MG</v>
          </cell>
          <cell r="C148" t="str">
            <v>Comprimido</v>
          </cell>
          <cell r="D148">
            <v>0</v>
          </cell>
          <cell r="E148">
            <v>480</v>
          </cell>
          <cell r="F148">
            <v>1056</v>
          </cell>
          <cell r="G148">
            <v>240</v>
          </cell>
          <cell r="H148">
            <v>480</v>
          </cell>
          <cell r="I148">
            <v>528</v>
          </cell>
          <cell r="J148">
            <v>0</v>
          </cell>
          <cell r="K148">
            <v>2.2000000000000002</v>
          </cell>
          <cell r="L148">
            <v>528</v>
          </cell>
          <cell r="M148">
            <v>40</v>
          </cell>
          <cell r="N148">
            <v>264</v>
          </cell>
          <cell r="O148">
            <v>2.2000000000000002</v>
          </cell>
          <cell r="P148">
            <v>580.80000000000007</v>
          </cell>
        </row>
        <row r="149">
          <cell r="A149" t="str">
            <v>EX-01-04</v>
          </cell>
          <cell r="B149" t="str">
            <v>TELMISARTAN + HIDROCLOROTIAZIDA TELMISARTAN + HIDROCLOROTIAZIDA 40/12.5 MG .:. 40/12.5 MG</v>
          </cell>
          <cell r="C149" t="str">
            <v>Comprimido</v>
          </cell>
          <cell r="D149">
            <v>0</v>
          </cell>
          <cell r="E149">
            <v>120</v>
          </cell>
          <cell r="F149">
            <v>756</v>
          </cell>
          <cell r="G149">
            <v>90</v>
          </cell>
          <cell r="H149">
            <v>180</v>
          </cell>
          <cell r="I149">
            <v>567</v>
          </cell>
          <cell r="J149">
            <v>567</v>
          </cell>
          <cell r="K149">
            <v>6.3</v>
          </cell>
          <cell r="L149">
            <v>189</v>
          </cell>
          <cell r="M149">
            <v>15</v>
          </cell>
          <cell r="N149">
            <v>231.00000000000003</v>
          </cell>
          <cell r="O149">
            <v>6.3</v>
          </cell>
          <cell r="P149">
            <v>1455.3000000000002</v>
          </cell>
        </row>
        <row r="150">
          <cell r="A150" t="str">
            <v>EX-01-042</v>
          </cell>
          <cell r="B150" t="str">
            <v>TELMISARTAN TELMISARTAN 80MG .:. 80MG</v>
          </cell>
          <cell r="C150" t="str">
            <v>Comprimido ranurado</v>
          </cell>
          <cell r="D150">
            <v>0</v>
          </cell>
          <cell r="E150">
            <v>240</v>
          </cell>
          <cell r="F150">
            <v>1296</v>
          </cell>
          <cell r="G150">
            <v>180</v>
          </cell>
          <cell r="H150">
            <v>360</v>
          </cell>
          <cell r="I150">
            <v>966</v>
          </cell>
          <cell r="J150">
            <v>966</v>
          </cell>
          <cell r="K150">
            <v>5.5</v>
          </cell>
          <cell r="L150">
            <v>330</v>
          </cell>
          <cell r="M150">
            <v>30</v>
          </cell>
          <cell r="N150">
            <v>462.00000000000006</v>
          </cell>
          <cell r="O150">
            <v>5.5</v>
          </cell>
          <cell r="P150">
            <v>2541.0000000000005</v>
          </cell>
        </row>
        <row r="151">
          <cell r="A151" t="str">
            <v>EX-01-15</v>
          </cell>
          <cell r="B151" t="str">
            <v>RIBAROXABAN RIBAROXABAN 15 MG .:. 15 MG</v>
          </cell>
          <cell r="C151" t="str">
            <v>Comprimido</v>
          </cell>
          <cell r="D151">
            <v>0</v>
          </cell>
          <cell r="E151">
            <v>240</v>
          </cell>
          <cell r="F151">
            <v>2640</v>
          </cell>
          <cell r="G151">
            <v>60</v>
          </cell>
          <cell r="H151">
            <v>120</v>
          </cell>
          <cell r="I151">
            <v>660</v>
          </cell>
          <cell r="J151">
            <v>120</v>
          </cell>
          <cell r="K151">
            <v>11</v>
          </cell>
          <cell r="L151">
            <v>1980</v>
          </cell>
          <cell r="M151">
            <v>10</v>
          </cell>
          <cell r="N151">
            <v>360</v>
          </cell>
          <cell r="O151">
            <v>11</v>
          </cell>
          <cell r="P151">
            <v>3960</v>
          </cell>
        </row>
        <row r="152">
          <cell r="A152" t="str">
            <v>G-01-01</v>
          </cell>
          <cell r="B152" t="str">
            <v>ACIDO ACETICO (ACIDO TRICLOROACETICO) .:. 0.5</v>
          </cell>
          <cell r="C152" t="str">
            <v>Solución tópica</v>
          </cell>
          <cell r="D152">
            <v>3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3</v>
          </cell>
          <cell r="K152">
            <v>64.323333000000005</v>
          </cell>
          <cell r="L152">
            <v>192.969999</v>
          </cell>
          <cell r="M152">
            <v>0</v>
          </cell>
          <cell r="N152">
            <v>0</v>
          </cell>
          <cell r="O152">
            <v>64.323333000000005</v>
          </cell>
          <cell r="P152">
            <v>0</v>
          </cell>
        </row>
        <row r="153">
          <cell r="A153" t="str">
            <v>G-01-02</v>
          </cell>
          <cell r="B153" t="str">
            <v>CLOTRIMAZOL .:. 100 mg</v>
          </cell>
          <cell r="C153" t="str">
            <v>Ovulo</v>
          </cell>
          <cell r="D153">
            <v>36</v>
          </cell>
          <cell r="E153">
            <v>300</v>
          </cell>
          <cell r="F153">
            <v>321</v>
          </cell>
          <cell r="G153">
            <v>306</v>
          </cell>
          <cell r="H153">
            <v>612</v>
          </cell>
          <cell r="I153">
            <v>345.41117600000001</v>
          </cell>
          <cell r="J153">
            <v>345.41117600000001</v>
          </cell>
          <cell r="K153">
            <v>1.0582941333333333</v>
          </cell>
          <cell r="L153">
            <v>31.748823999999999</v>
          </cell>
          <cell r="M153">
            <v>51</v>
          </cell>
          <cell r="N153">
            <v>1100</v>
          </cell>
          <cell r="O153">
            <v>1.0582941333333333</v>
          </cell>
          <cell r="P153">
            <v>1164.1235466666667</v>
          </cell>
        </row>
        <row r="154">
          <cell r="A154" t="str">
            <v>G-01-03</v>
          </cell>
          <cell r="B154" t="str">
            <v>CLOTRIMAZOL .:. 0.01</v>
          </cell>
          <cell r="C154" t="str">
            <v>Crema vaginal</v>
          </cell>
          <cell r="D154">
            <v>3</v>
          </cell>
          <cell r="E154">
            <v>70</v>
          </cell>
          <cell r="F154">
            <v>693</v>
          </cell>
          <cell r="G154">
            <v>36</v>
          </cell>
          <cell r="H154">
            <v>72</v>
          </cell>
          <cell r="I154">
            <v>357.01776799999999</v>
          </cell>
          <cell r="J154">
            <v>1</v>
          </cell>
          <cell r="K154">
            <v>9.8974682702702701</v>
          </cell>
          <cell r="L154">
            <v>366.20632599999999</v>
          </cell>
          <cell r="M154">
            <v>6</v>
          </cell>
          <cell r="N154">
            <v>44</v>
          </cell>
          <cell r="O154">
            <v>9.8974682702702701</v>
          </cell>
          <cell r="P154">
            <v>435.4886038918919</v>
          </cell>
        </row>
        <row r="155">
          <cell r="A155" t="str">
            <v>G-01-04</v>
          </cell>
          <cell r="B155" t="str">
            <v>METRONIDAZOL .:. 500 mg</v>
          </cell>
          <cell r="C155" t="str">
            <v>Óvulo</v>
          </cell>
          <cell r="D155">
            <v>136</v>
          </cell>
          <cell r="E155">
            <v>800</v>
          </cell>
          <cell r="F155">
            <v>880</v>
          </cell>
          <cell r="G155">
            <v>860</v>
          </cell>
          <cell r="H155">
            <v>1720</v>
          </cell>
          <cell r="I155">
            <v>941.92</v>
          </cell>
          <cell r="J155">
            <v>941.92</v>
          </cell>
          <cell r="K155">
            <v>1.1000000000000001</v>
          </cell>
          <cell r="L155">
            <v>83.6</v>
          </cell>
          <cell r="M155">
            <v>143.33333333333334</v>
          </cell>
          <cell r="N155">
            <v>2860.0000000000005</v>
          </cell>
          <cell r="O155">
            <v>1.1000000000000001</v>
          </cell>
          <cell r="P155">
            <v>3146.0000000000009</v>
          </cell>
        </row>
        <row r="156">
          <cell r="A156" t="str">
            <v>G-01-05</v>
          </cell>
          <cell r="B156" t="str">
            <v>NISTATINA .:. 100.000 UI</v>
          </cell>
          <cell r="C156" t="str">
            <v>Ovulo</v>
          </cell>
          <cell r="D156">
            <v>3</v>
          </cell>
          <cell r="E156">
            <v>0</v>
          </cell>
          <cell r="F156">
            <v>0</v>
          </cell>
          <cell r="G156">
            <v>3</v>
          </cell>
          <cell r="H156">
            <v>6</v>
          </cell>
          <cell r="I156">
            <v>5.7399990000000001</v>
          </cell>
          <cell r="J156">
            <v>5.7399990000000001</v>
          </cell>
          <cell r="K156">
            <v>0</v>
          </cell>
          <cell r="L156">
            <v>0</v>
          </cell>
          <cell r="M156">
            <v>0.5</v>
          </cell>
          <cell r="N156">
            <v>9.9</v>
          </cell>
          <cell r="O156">
            <v>1.913333</v>
          </cell>
          <cell r="P156">
            <v>18.941996700000001</v>
          </cell>
        </row>
        <row r="157">
          <cell r="A157" t="str">
            <v>G-02-03</v>
          </cell>
          <cell r="B157" t="str">
            <v>ERGOMETRINA MALEATO .:. 0,2 mg</v>
          </cell>
          <cell r="C157" t="str">
            <v>Comprimido</v>
          </cell>
          <cell r="D157">
            <v>30</v>
          </cell>
          <cell r="E157">
            <v>0</v>
          </cell>
          <cell r="F157">
            <v>0</v>
          </cell>
          <cell r="G157">
            <v>22</v>
          </cell>
          <cell r="H157">
            <v>44</v>
          </cell>
          <cell r="I157">
            <v>37.846974000000003</v>
          </cell>
          <cell r="J157">
            <v>37.846974000000003</v>
          </cell>
          <cell r="K157">
            <v>1.7203170000000001</v>
          </cell>
          <cell r="L157">
            <v>13.762536000000001</v>
          </cell>
          <cell r="M157">
            <v>3.6666666666666665</v>
          </cell>
          <cell r="N157">
            <v>220.00000000000003</v>
          </cell>
          <cell r="O157">
            <v>1.7203170000000001</v>
          </cell>
          <cell r="P157">
            <v>378.46974000000006</v>
          </cell>
        </row>
        <row r="158">
          <cell r="A158" t="str">
            <v>G-02-04</v>
          </cell>
          <cell r="B158" t="str">
            <v>ERGOMETRINA MALEATO .:. 0,2 mg/ml</v>
          </cell>
          <cell r="C158" t="str">
            <v>Inyectable</v>
          </cell>
          <cell r="D158">
            <v>17</v>
          </cell>
          <cell r="E158">
            <v>0</v>
          </cell>
          <cell r="F158">
            <v>0</v>
          </cell>
          <cell r="G158">
            <v>13</v>
          </cell>
          <cell r="H158">
            <v>26</v>
          </cell>
          <cell r="I158">
            <v>89.7</v>
          </cell>
          <cell r="J158">
            <v>89.7</v>
          </cell>
          <cell r="K158">
            <v>6.9</v>
          </cell>
          <cell r="L158">
            <v>34.5</v>
          </cell>
          <cell r="M158">
            <v>4</v>
          </cell>
          <cell r="N158">
            <v>110.00000000000001</v>
          </cell>
          <cell r="O158">
            <v>6.9</v>
          </cell>
          <cell r="P158">
            <v>759.00000000000011</v>
          </cell>
        </row>
        <row r="159">
          <cell r="A159" t="str">
            <v>G-02-09</v>
          </cell>
          <cell r="B159" t="str">
            <v>OXITOCINA .:. 5UI/ml a 10 UI/ml</v>
          </cell>
          <cell r="C159" t="str">
            <v>Inyectable</v>
          </cell>
          <cell r="D159">
            <v>8</v>
          </cell>
          <cell r="E159">
            <v>40</v>
          </cell>
          <cell r="F159">
            <v>68</v>
          </cell>
          <cell r="G159">
            <v>20</v>
          </cell>
          <cell r="H159">
            <v>40</v>
          </cell>
          <cell r="I159">
            <v>41.6</v>
          </cell>
          <cell r="J159">
            <v>8</v>
          </cell>
          <cell r="K159">
            <v>1.7</v>
          </cell>
          <cell r="L159">
            <v>47.6</v>
          </cell>
          <cell r="M159">
            <v>3.3333333333333335</v>
          </cell>
          <cell r="N159">
            <v>4.4000000000000004</v>
          </cell>
          <cell r="O159">
            <v>1.7</v>
          </cell>
          <cell r="P159">
            <v>7.48</v>
          </cell>
        </row>
        <row r="160">
          <cell r="A160" t="str">
            <v>G-02-11</v>
          </cell>
          <cell r="B160" t="str">
            <v>CABERGOLINA .:. 0.5 mg</v>
          </cell>
          <cell r="C160" t="str">
            <v>comprimido</v>
          </cell>
          <cell r="N160">
            <v>100</v>
          </cell>
          <cell r="O160">
            <v>42.64</v>
          </cell>
          <cell r="P160">
            <v>4264</v>
          </cell>
        </row>
        <row r="161">
          <cell r="A161" t="str">
            <v>G-03-02</v>
          </cell>
          <cell r="B161" t="str">
            <v>CIPROTERONA ACETATO + ESTRADIOL VALERATO .:. 2 mg + 0,035 mg</v>
          </cell>
          <cell r="C161" t="str">
            <v>Ciclo</v>
          </cell>
          <cell r="D161">
            <v>6</v>
          </cell>
          <cell r="E161">
            <v>30</v>
          </cell>
          <cell r="F161">
            <v>1200</v>
          </cell>
          <cell r="G161">
            <v>20</v>
          </cell>
          <cell r="H161">
            <v>40</v>
          </cell>
          <cell r="I161">
            <v>800</v>
          </cell>
          <cell r="J161">
            <v>800</v>
          </cell>
          <cell r="K161">
            <v>40</v>
          </cell>
          <cell r="L161">
            <v>640</v>
          </cell>
          <cell r="M161">
            <v>3.3333333333333335</v>
          </cell>
          <cell r="N161">
            <v>44</v>
          </cell>
          <cell r="O161">
            <v>40</v>
          </cell>
          <cell r="P161">
            <v>1760</v>
          </cell>
        </row>
        <row r="162">
          <cell r="A162" t="str">
            <v>G-03-03</v>
          </cell>
          <cell r="B162" t="str">
            <v>CLOMIFENO CITRATO .:. 50 mg</v>
          </cell>
          <cell r="C162" t="str">
            <v>Comprimido</v>
          </cell>
          <cell r="D162">
            <v>200</v>
          </cell>
          <cell r="E162">
            <v>0</v>
          </cell>
          <cell r="F162">
            <v>0</v>
          </cell>
          <cell r="G162">
            <v>10</v>
          </cell>
          <cell r="H162">
            <v>20</v>
          </cell>
          <cell r="I162">
            <v>23.963000000000001</v>
          </cell>
          <cell r="J162">
            <v>180</v>
          </cell>
          <cell r="K162">
            <v>2.3963000000000001</v>
          </cell>
          <cell r="L162">
            <v>455.29700000000003</v>
          </cell>
          <cell r="M162">
            <v>1.6666666666666667</v>
          </cell>
          <cell r="N162">
            <v>1</v>
          </cell>
          <cell r="O162">
            <v>2.3963000000000001</v>
          </cell>
          <cell r="P162">
            <v>2.3963000000000001</v>
          </cell>
        </row>
        <row r="163">
          <cell r="A163" t="str">
            <v>G-03-09</v>
          </cell>
          <cell r="B163" t="str">
            <v>ESTROGENOS CONJUGADOS .:. 0,625 mg</v>
          </cell>
          <cell r="C163" t="str">
            <v>Crema vaginal</v>
          </cell>
          <cell r="D163">
            <v>0</v>
          </cell>
          <cell r="E163">
            <v>20</v>
          </cell>
          <cell r="F163">
            <v>2324.1999999999998</v>
          </cell>
          <cell r="G163">
            <v>9</v>
          </cell>
          <cell r="H163">
            <v>18</v>
          </cell>
          <cell r="I163">
            <v>1045.8900000000001</v>
          </cell>
          <cell r="J163">
            <v>2</v>
          </cell>
          <cell r="K163">
            <v>116.21</v>
          </cell>
          <cell r="L163">
            <v>1278.31</v>
          </cell>
          <cell r="M163">
            <v>1.5</v>
          </cell>
          <cell r="N163">
            <v>5.5</v>
          </cell>
          <cell r="O163">
            <v>116.21</v>
          </cell>
          <cell r="P163">
            <v>639.15499999999997</v>
          </cell>
        </row>
        <row r="164">
          <cell r="A164" t="str">
            <v>G-03-12</v>
          </cell>
          <cell r="B164" t="str">
            <v>LEVONORGESTREL + ETINILESTRADIOL .:. 0,150 mg + 0,03 mg</v>
          </cell>
          <cell r="C164" t="str">
            <v>Caja</v>
          </cell>
          <cell r="D164">
            <v>14</v>
          </cell>
          <cell r="E164">
            <v>50</v>
          </cell>
          <cell r="F164">
            <v>300</v>
          </cell>
          <cell r="G164">
            <v>17</v>
          </cell>
          <cell r="H164">
            <v>34</v>
          </cell>
          <cell r="I164">
            <v>102</v>
          </cell>
          <cell r="J164">
            <v>30</v>
          </cell>
          <cell r="K164">
            <v>6</v>
          </cell>
          <cell r="L164">
            <v>282</v>
          </cell>
          <cell r="M164">
            <v>2.8333333333333335</v>
          </cell>
          <cell r="N164">
            <v>10</v>
          </cell>
          <cell r="O164">
            <v>6</v>
          </cell>
          <cell r="P164">
            <v>60</v>
          </cell>
        </row>
        <row r="165">
          <cell r="A165" t="str">
            <v>G-03-13</v>
          </cell>
          <cell r="B165" t="str">
            <v>MEDROXIPROGESTERONA ACETATO .:. 150 mg/ml</v>
          </cell>
          <cell r="C165" t="str">
            <v>Inyectable</v>
          </cell>
          <cell r="D165">
            <v>5</v>
          </cell>
          <cell r="E165">
            <v>0</v>
          </cell>
          <cell r="F165">
            <v>0</v>
          </cell>
          <cell r="G165">
            <v>5</v>
          </cell>
          <cell r="H165">
            <v>10</v>
          </cell>
          <cell r="I165">
            <v>59.741664999999998</v>
          </cell>
          <cell r="J165">
            <v>59.741664999999998</v>
          </cell>
          <cell r="K165">
            <v>0</v>
          </cell>
          <cell r="L165">
            <v>0</v>
          </cell>
          <cell r="M165">
            <v>0.83333333333333337</v>
          </cell>
          <cell r="N165">
            <v>16.5</v>
          </cell>
          <cell r="O165">
            <v>11.948333</v>
          </cell>
          <cell r="P165">
            <v>197.14749449999999</v>
          </cell>
        </row>
        <row r="166">
          <cell r="A166" t="str">
            <v>G-03-18</v>
          </cell>
          <cell r="B166" t="str">
            <v>TESTOSTERONA UNDECANOATO .:. 1000 mg</v>
          </cell>
          <cell r="C166" t="str">
            <v>Inyectable</v>
          </cell>
          <cell r="D166">
            <v>2</v>
          </cell>
          <cell r="E166">
            <v>8</v>
          </cell>
          <cell r="F166">
            <v>9763.84</v>
          </cell>
          <cell r="G166">
            <v>6</v>
          </cell>
          <cell r="H166">
            <v>12</v>
          </cell>
          <cell r="I166">
            <v>7321.92</v>
          </cell>
          <cell r="J166">
            <v>0</v>
          </cell>
          <cell r="K166">
            <v>1220.48</v>
          </cell>
          <cell r="L166">
            <v>4881.92</v>
          </cell>
          <cell r="M166">
            <v>1</v>
          </cell>
          <cell r="N166">
            <v>17.600000000000001</v>
          </cell>
          <cell r="O166">
            <v>1220.48</v>
          </cell>
          <cell r="P166">
            <v>21480.448</v>
          </cell>
        </row>
        <row r="167">
          <cell r="A167" t="str">
            <v>G-04-01</v>
          </cell>
          <cell r="B167" t="str">
            <v>FINASTERIDA .:. 5 mg</v>
          </cell>
          <cell r="C167" t="str">
            <v>Comprimido</v>
          </cell>
          <cell r="D167">
            <v>1885</v>
          </cell>
          <cell r="E167">
            <v>6300</v>
          </cell>
          <cell r="F167">
            <v>5355</v>
          </cell>
          <cell r="G167">
            <v>3840</v>
          </cell>
          <cell r="H167">
            <v>7680</v>
          </cell>
          <cell r="I167">
            <v>4669.9332610000001</v>
          </cell>
          <cell r="J167">
            <v>505</v>
          </cell>
          <cell r="K167">
            <v>0.88319544050632914</v>
          </cell>
          <cell r="L167">
            <v>3837.4841889999998</v>
          </cell>
          <cell r="M167">
            <v>640</v>
          </cell>
          <cell r="N167">
            <v>3300.0000000000005</v>
          </cell>
          <cell r="O167">
            <v>0.88319544050632914</v>
          </cell>
          <cell r="P167">
            <v>2914.5449536708866</v>
          </cell>
        </row>
        <row r="168">
          <cell r="A168" t="str">
            <v>H-02-01</v>
          </cell>
          <cell r="B168" t="str">
            <v>BETAMETASONA (FOSFATO) .:. 4 mg</v>
          </cell>
          <cell r="C168" t="str">
            <v>Inyectable</v>
          </cell>
          <cell r="D168">
            <v>103</v>
          </cell>
          <cell r="E168">
            <v>0</v>
          </cell>
          <cell r="F168">
            <v>0</v>
          </cell>
          <cell r="G168">
            <v>65</v>
          </cell>
          <cell r="H168">
            <v>130</v>
          </cell>
          <cell r="I168">
            <v>350.32127000000003</v>
          </cell>
          <cell r="J168">
            <v>350.32127000000003</v>
          </cell>
          <cell r="K168">
            <v>5.3895580000000001</v>
          </cell>
          <cell r="L168">
            <v>204.80320399999999</v>
          </cell>
          <cell r="M168">
            <v>10.833333333333334</v>
          </cell>
          <cell r="N168">
            <v>130.9</v>
          </cell>
          <cell r="O168">
            <v>5.3895580000000001</v>
          </cell>
          <cell r="P168">
            <v>705.49314220000008</v>
          </cell>
        </row>
        <row r="169">
          <cell r="A169" t="str">
            <v>H-02-03</v>
          </cell>
          <cell r="B169" t="str">
            <v>DEXAMETASONA .:. 0,5 mg</v>
          </cell>
          <cell r="C169" t="str">
            <v>Comprimido</v>
          </cell>
          <cell r="D169">
            <v>350</v>
          </cell>
          <cell r="E169">
            <v>0</v>
          </cell>
          <cell r="F169">
            <v>0</v>
          </cell>
          <cell r="G169">
            <v>20</v>
          </cell>
          <cell r="H169">
            <v>40</v>
          </cell>
          <cell r="I169">
            <v>8.4586400000000008</v>
          </cell>
          <cell r="J169">
            <v>310</v>
          </cell>
          <cell r="K169">
            <v>0.42293199999999997</v>
          </cell>
          <cell r="L169">
            <v>139.56755999999999</v>
          </cell>
          <cell r="M169">
            <v>3.3333333333333335</v>
          </cell>
          <cell r="N169">
            <v>10</v>
          </cell>
          <cell r="O169">
            <v>0.42293199999999997</v>
          </cell>
          <cell r="P169">
            <v>4.2293199999999995</v>
          </cell>
        </row>
        <row r="170">
          <cell r="A170" t="str">
            <v>H-02-04</v>
          </cell>
          <cell r="B170" t="str">
            <v>DEXAMETASONA .:. 4 mg/ml</v>
          </cell>
          <cell r="C170" t="str">
            <v>Inyectable</v>
          </cell>
          <cell r="D170">
            <v>1665</v>
          </cell>
          <cell r="E170">
            <v>6000</v>
          </cell>
          <cell r="F170">
            <v>3780</v>
          </cell>
          <cell r="G170">
            <v>3296</v>
          </cell>
          <cell r="H170">
            <v>6592</v>
          </cell>
          <cell r="I170">
            <v>2360.0018639999998</v>
          </cell>
          <cell r="J170">
            <v>1073</v>
          </cell>
          <cell r="K170">
            <v>0.65238607484550237</v>
          </cell>
          <cell r="L170">
            <v>2850.2747610000001</v>
          </cell>
          <cell r="M170">
            <v>549.33333333333337</v>
          </cell>
          <cell r="N170">
            <v>1320</v>
          </cell>
          <cell r="O170">
            <v>0.65238607484550237</v>
          </cell>
          <cell r="P170">
            <v>861.14961879606312</v>
          </cell>
        </row>
        <row r="171">
          <cell r="A171" t="str">
            <v>H-02-05</v>
          </cell>
          <cell r="B171" t="str">
            <v>HIDROCORTISONA SUCCINATO SODICO .:. 100 mg</v>
          </cell>
          <cell r="C171" t="str">
            <v>Inyectable</v>
          </cell>
          <cell r="D171">
            <v>192</v>
          </cell>
          <cell r="E171">
            <v>170</v>
          </cell>
          <cell r="F171">
            <v>680</v>
          </cell>
          <cell r="G171">
            <v>185</v>
          </cell>
          <cell r="H171">
            <v>370</v>
          </cell>
          <cell r="I171">
            <v>1054.8026600000001</v>
          </cell>
          <cell r="J171">
            <v>1054.8026600000001</v>
          </cell>
          <cell r="K171">
            <v>4.0855571173184355</v>
          </cell>
          <cell r="L171">
            <v>731.31472399999996</v>
          </cell>
          <cell r="M171">
            <v>30.833333333333332</v>
          </cell>
          <cell r="N171">
            <v>376</v>
          </cell>
          <cell r="O171">
            <v>4.0855571173184355</v>
          </cell>
          <cell r="P171">
            <v>1536.1694761117317</v>
          </cell>
        </row>
        <row r="172">
          <cell r="A172" t="str">
            <v>H-02-06</v>
          </cell>
          <cell r="B172" t="str">
            <v>HIDROCORTISONA SUCCINATO SODICO .:. 250 mg</v>
          </cell>
          <cell r="C172" t="str">
            <v>Inyectable</v>
          </cell>
          <cell r="D172">
            <v>48</v>
          </cell>
          <cell r="E172">
            <v>160</v>
          </cell>
          <cell r="F172">
            <v>720</v>
          </cell>
          <cell r="G172">
            <v>58</v>
          </cell>
          <cell r="H172">
            <v>116</v>
          </cell>
          <cell r="I172">
            <v>733.59509400000002</v>
          </cell>
          <cell r="J172">
            <v>92</v>
          </cell>
          <cell r="K172">
            <v>6.9438092400000002</v>
          </cell>
          <cell r="L172">
            <v>1041.5713860000001</v>
          </cell>
          <cell r="M172">
            <v>9.6666666666666661</v>
          </cell>
          <cell r="N172">
            <v>20</v>
          </cell>
          <cell r="O172">
            <v>6.9438092400000002</v>
          </cell>
          <cell r="P172">
            <v>138.8761848</v>
          </cell>
        </row>
        <row r="173">
          <cell r="A173" t="str">
            <v>H-02-07</v>
          </cell>
          <cell r="B173" t="str">
            <v>METILPREDNISOLONA SUCCINATO SODICO .:. 500 mg</v>
          </cell>
          <cell r="C173" t="str">
            <v>Inyectable</v>
          </cell>
          <cell r="D173">
            <v>17</v>
          </cell>
          <cell r="E173">
            <v>30</v>
          </cell>
          <cell r="F173">
            <v>1949.7</v>
          </cell>
          <cell r="G173">
            <v>17</v>
          </cell>
          <cell r="H173">
            <v>34</v>
          </cell>
          <cell r="I173">
            <v>1256.1785689999999</v>
          </cell>
          <cell r="J173">
            <v>16</v>
          </cell>
          <cell r="K173">
            <v>65.799350636363641</v>
          </cell>
          <cell r="L173">
            <v>2171.3785710000002</v>
          </cell>
          <cell r="M173">
            <v>2.8333333333333335</v>
          </cell>
          <cell r="N173">
            <v>20</v>
          </cell>
          <cell r="O173">
            <v>65.799350636363641</v>
          </cell>
          <cell r="P173">
            <v>1315.9870127272729</v>
          </cell>
        </row>
        <row r="174">
          <cell r="A174" t="str">
            <v>H-02-08</v>
          </cell>
          <cell r="B174" t="str">
            <v>PREDNISONA .:. 5 mg</v>
          </cell>
          <cell r="C174" t="str">
            <v>Comprimido</v>
          </cell>
          <cell r="D174">
            <v>1823</v>
          </cell>
          <cell r="E174">
            <v>8500</v>
          </cell>
          <cell r="F174">
            <v>2325</v>
          </cell>
          <cell r="G174">
            <v>3190</v>
          </cell>
          <cell r="H174">
            <v>6380</v>
          </cell>
          <cell r="I174">
            <v>800.12887000000001</v>
          </cell>
          <cell r="J174">
            <v>3943</v>
          </cell>
          <cell r="K174">
            <v>0.2905622517874667</v>
          </cell>
          <cell r="L174">
            <v>2072.5805420000002</v>
          </cell>
          <cell r="M174">
            <v>531.66666666666663</v>
          </cell>
          <cell r="N174">
            <v>2437</v>
          </cell>
          <cell r="O174">
            <v>0.2905622517874667</v>
          </cell>
          <cell r="P174">
            <v>708.1002076060563</v>
          </cell>
        </row>
        <row r="175">
          <cell r="A175" t="str">
            <v>H-02-09</v>
          </cell>
          <cell r="B175" t="str">
            <v>PREDNISONA .:. 20 mg</v>
          </cell>
          <cell r="C175" t="str">
            <v>Comprimido ranurado</v>
          </cell>
          <cell r="D175">
            <v>2193</v>
          </cell>
          <cell r="E175">
            <v>0</v>
          </cell>
          <cell r="F175">
            <v>0</v>
          </cell>
          <cell r="G175">
            <v>1271</v>
          </cell>
          <cell r="H175">
            <v>2542</v>
          </cell>
          <cell r="I175">
            <v>635.5</v>
          </cell>
          <cell r="J175">
            <v>635.5</v>
          </cell>
          <cell r="K175">
            <v>0.5</v>
          </cell>
          <cell r="L175">
            <v>471</v>
          </cell>
          <cell r="M175">
            <v>211.83333333333334</v>
          </cell>
          <cell r="N175">
            <v>2200</v>
          </cell>
          <cell r="O175">
            <v>0.5</v>
          </cell>
          <cell r="P175">
            <v>1100</v>
          </cell>
        </row>
        <row r="176">
          <cell r="A176" t="str">
            <v>H-03-01</v>
          </cell>
          <cell r="B176" t="str">
            <v>LEVOTIROXINA SODICA .:. 0,1 mg</v>
          </cell>
          <cell r="C176" t="str">
            <v>Comprimido ranurado</v>
          </cell>
          <cell r="D176">
            <v>5710</v>
          </cell>
          <cell r="E176">
            <v>30000</v>
          </cell>
          <cell r="F176">
            <v>14975</v>
          </cell>
          <cell r="G176">
            <v>18715</v>
          </cell>
          <cell r="H176">
            <v>37430</v>
          </cell>
          <cell r="I176">
            <v>9399.1880970000002</v>
          </cell>
          <cell r="J176">
            <v>4285</v>
          </cell>
          <cell r="K176">
            <v>0.49993140058840835</v>
          </cell>
          <cell r="L176">
            <v>8496.3341529999998</v>
          </cell>
          <cell r="M176">
            <v>3119.1666666666665</v>
          </cell>
          <cell r="N176">
            <v>25300.000000000004</v>
          </cell>
          <cell r="O176">
            <v>0.49993140058840835</v>
          </cell>
          <cell r="P176">
            <v>12648.264434886732</v>
          </cell>
        </row>
        <row r="177">
          <cell r="A177" t="str">
            <v>H-03-02</v>
          </cell>
          <cell r="B177" t="str">
            <v>PROPILTIOURACILO .:. 50 mg</v>
          </cell>
          <cell r="C177" t="str">
            <v>Comprimido</v>
          </cell>
          <cell r="D177">
            <v>65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65</v>
          </cell>
          <cell r="K177">
            <v>1.2623070000000001</v>
          </cell>
          <cell r="L177">
            <v>82.049954999999997</v>
          </cell>
          <cell r="M177">
            <v>0</v>
          </cell>
          <cell r="N177">
            <v>1</v>
          </cell>
          <cell r="O177">
            <v>1.2623070000000001</v>
          </cell>
          <cell r="P177">
            <v>1.2623070000000001</v>
          </cell>
        </row>
        <row r="178">
          <cell r="A178" t="str">
            <v>J-01-01</v>
          </cell>
          <cell r="B178" t="str">
            <v>ACIDO NALIDIXICO .:. 500 mg</v>
          </cell>
          <cell r="C178" t="str">
            <v>Comprimido</v>
          </cell>
          <cell r="D178">
            <v>82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82</v>
          </cell>
          <cell r="K178">
            <v>1.242073</v>
          </cell>
          <cell r="L178">
            <v>101.849986</v>
          </cell>
          <cell r="M178">
            <v>0</v>
          </cell>
          <cell r="N178">
            <v>1</v>
          </cell>
          <cell r="O178">
            <v>1.242073</v>
          </cell>
          <cell r="P178">
            <v>1.242073</v>
          </cell>
        </row>
        <row r="179">
          <cell r="A179" t="str">
            <v>J-01-02</v>
          </cell>
          <cell r="B179" t="str">
            <v>ACIDO NALIDIXICO .:. 250 mg/5 ml</v>
          </cell>
          <cell r="C179" t="str">
            <v>Suspensión</v>
          </cell>
          <cell r="D179">
            <v>3</v>
          </cell>
          <cell r="E179">
            <v>0</v>
          </cell>
          <cell r="F179">
            <v>0</v>
          </cell>
          <cell r="G179">
            <v>1</v>
          </cell>
          <cell r="H179">
            <v>2</v>
          </cell>
          <cell r="I179">
            <v>19.536999999999999</v>
          </cell>
          <cell r="J179">
            <v>1</v>
          </cell>
          <cell r="K179">
            <v>19.536999999999999</v>
          </cell>
          <cell r="L179">
            <v>39.073999999999998</v>
          </cell>
          <cell r="M179">
            <v>0.16666666666666666</v>
          </cell>
          <cell r="N179">
            <v>1</v>
          </cell>
          <cell r="O179">
            <v>19.536999999999999</v>
          </cell>
          <cell r="P179">
            <v>19.536999999999999</v>
          </cell>
        </row>
        <row r="180">
          <cell r="A180" t="str">
            <v>J-01-04</v>
          </cell>
          <cell r="B180" t="str">
            <v>AMIKACINA .:. 500 mg/ 2ml</v>
          </cell>
          <cell r="C180" t="str">
            <v>Inyectable</v>
          </cell>
          <cell r="D180">
            <v>233</v>
          </cell>
          <cell r="E180">
            <v>0</v>
          </cell>
          <cell r="F180">
            <v>0</v>
          </cell>
          <cell r="G180">
            <v>223</v>
          </cell>
          <cell r="H180">
            <v>446</v>
          </cell>
          <cell r="I180">
            <v>1317.065206</v>
          </cell>
          <cell r="J180">
            <v>1317.065206</v>
          </cell>
          <cell r="K180">
            <v>5.9061219999999999</v>
          </cell>
          <cell r="L180">
            <v>59.061219999999999</v>
          </cell>
          <cell r="M180">
            <v>37.166666666666664</v>
          </cell>
          <cell r="N180">
            <v>770.00000000000011</v>
          </cell>
          <cell r="O180">
            <v>5.9061219999999999</v>
          </cell>
          <cell r="P180">
            <v>4547.7139400000005</v>
          </cell>
        </row>
        <row r="181">
          <cell r="A181" t="str">
            <v>J-01-05</v>
          </cell>
          <cell r="B181" t="str">
            <v>AMOXICILINA .:. 1 g</v>
          </cell>
          <cell r="C181" t="str">
            <v>Comprimido</v>
          </cell>
          <cell r="D181">
            <v>2141</v>
          </cell>
          <cell r="E181">
            <v>3000</v>
          </cell>
          <cell r="F181">
            <v>2400</v>
          </cell>
          <cell r="G181">
            <v>1188</v>
          </cell>
          <cell r="H181">
            <v>2376</v>
          </cell>
          <cell r="I181">
            <v>1049.470505</v>
          </cell>
          <cell r="J181">
            <v>2765</v>
          </cell>
          <cell r="K181">
            <v>0.84114045206172527</v>
          </cell>
          <cell r="L181">
            <v>3325.0282069999998</v>
          </cell>
          <cell r="M181">
            <v>198</v>
          </cell>
          <cell r="N181">
            <v>1000</v>
          </cell>
          <cell r="O181">
            <v>0.84114045206172527</v>
          </cell>
          <cell r="P181">
            <v>841.14045206172523</v>
          </cell>
        </row>
        <row r="182">
          <cell r="A182" t="str">
            <v>J-01-06</v>
          </cell>
          <cell r="B182" t="str">
            <v>AMOXICILINA .:. 500 mg</v>
          </cell>
          <cell r="C182" t="str">
            <v>Comprimido</v>
          </cell>
          <cell r="D182">
            <v>33</v>
          </cell>
          <cell r="E182">
            <v>1500</v>
          </cell>
          <cell r="F182">
            <v>645</v>
          </cell>
          <cell r="G182">
            <v>15</v>
          </cell>
          <cell r="H182">
            <v>30</v>
          </cell>
          <cell r="I182">
            <v>7.4899950000000004</v>
          </cell>
          <cell r="J182">
            <v>1503</v>
          </cell>
          <cell r="K182">
            <v>0.43082213043478262</v>
          </cell>
          <cell r="L182">
            <v>653.98799399999996</v>
          </cell>
          <cell r="M182">
            <v>2.5</v>
          </cell>
          <cell r="N182">
            <v>1000</v>
          </cell>
          <cell r="O182">
            <v>0.43082213043478262</v>
          </cell>
          <cell r="P182">
            <v>430.82213043478265</v>
          </cell>
        </row>
        <row r="183">
          <cell r="A183" t="str">
            <v>J-01-09</v>
          </cell>
          <cell r="B183" t="str">
            <v>AMOXICILINA + INHIBIDOR BETALACTAMASA .:. 500 mg + Según disponibilidad</v>
          </cell>
          <cell r="C183" t="str">
            <v>Comprimido</v>
          </cell>
          <cell r="D183">
            <v>320</v>
          </cell>
          <cell r="E183">
            <v>1400</v>
          </cell>
          <cell r="F183">
            <v>2240</v>
          </cell>
          <cell r="G183">
            <v>519</v>
          </cell>
          <cell r="H183">
            <v>1038</v>
          </cell>
          <cell r="I183">
            <v>1019.481702</v>
          </cell>
          <cell r="J183">
            <v>682</v>
          </cell>
          <cell r="K183">
            <v>1.6325690407993338</v>
          </cell>
          <cell r="L183">
            <v>1960.715418</v>
          </cell>
          <cell r="M183">
            <v>86.5</v>
          </cell>
          <cell r="N183">
            <v>356</v>
          </cell>
          <cell r="O183">
            <v>1.6325690407993338</v>
          </cell>
          <cell r="P183">
            <v>581.19457852456287</v>
          </cell>
        </row>
        <row r="184">
          <cell r="A184" t="str">
            <v>J-01-10</v>
          </cell>
          <cell r="B184" t="str">
            <v>AMOXICILINA + INHIBIDOR BETALACTAMASA .:. 250 mg + Según disponibilidad</v>
          </cell>
          <cell r="C184" t="str">
            <v>Suspensión</v>
          </cell>
          <cell r="D184">
            <v>14</v>
          </cell>
          <cell r="E184">
            <v>70</v>
          </cell>
          <cell r="F184">
            <v>3150</v>
          </cell>
          <cell r="G184">
            <v>23</v>
          </cell>
          <cell r="H184">
            <v>46</v>
          </cell>
          <cell r="I184">
            <v>1080.16463</v>
          </cell>
          <cell r="J184">
            <v>38</v>
          </cell>
          <cell r="K184">
            <v>45</v>
          </cell>
          <cell r="L184">
            <v>2745</v>
          </cell>
          <cell r="M184">
            <v>3.8333333333333335</v>
          </cell>
          <cell r="N184">
            <v>30</v>
          </cell>
          <cell r="O184">
            <v>45</v>
          </cell>
          <cell r="P184">
            <v>1350</v>
          </cell>
        </row>
        <row r="185">
          <cell r="A185" t="str">
            <v>J-01-12</v>
          </cell>
          <cell r="B185" t="str">
            <v>AMPICILINA .:. 1 g</v>
          </cell>
          <cell r="C185" t="str">
            <v>Inyectable</v>
          </cell>
          <cell r="D185">
            <v>163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163</v>
          </cell>
          <cell r="K185">
            <v>4.7090180000000004</v>
          </cell>
          <cell r="L185">
            <v>767.56993399999999</v>
          </cell>
          <cell r="M185">
            <v>0</v>
          </cell>
          <cell r="N185">
            <v>1</v>
          </cell>
          <cell r="O185">
            <v>4.7090180000000004</v>
          </cell>
          <cell r="P185">
            <v>4.7090180000000004</v>
          </cell>
        </row>
        <row r="186">
          <cell r="A186" t="str">
            <v>J-01-13</v>
          </cell>
          <cell r="B186" t="str">
            <v>AZITROMICINA .:. 500 mg</v>
          </cell>
          <cell r="C186" t="str">
            <v>Comprimido</v>
          </cell>
          <cell r="D186">
            <v>919</v>
          </cell>
          <cell r="E186">
            <v>2500</v>
          </cell>
          <cell r="F186">
            <v>3475</v>
          </cell>
          <cell r="G186">
            <v>971</v>
          </cell>
          <cell r="H186">
            <v>1942</v>
          </cell>
          <cell r="I186">
            <v>1566.975659</v>
          </cell>
          <cell r="J186">
            <v>1477</v>
          </cell>
          <cell r="K186">
            <v>1.4920390098039216</v>
          </cell>
          <cell r="L186">
            <v>3652.5114960000001</v>
          </cell>
          <cell r="M186">
            <v>161.83333333333334</v>
          </cell>
          <cell r="N186">
            <v>465</v>
          </cell>
          <cell r="O186">
            <v>1.4920390098039216</v>
          </cell>
          <cell r="P186">
            <v>693.79813955882355</v>
          </cell>
        </row>
        <row r="187">
          <cell r="A187" t="str">
            <v>J-01-15</v>
          </cell>
          <cell r="B187" t="str">
            <v>BENCILPENICILINA BENZATINICA .:. 1.200.000 UI</v>
          </cell>
          <cell r="C187" t="str">
            <v>Inyectable</v>
          </cell>
          <cell r="D187">
            <v>128</v>
          </cell>
          <cell r="E187">
            <v>250</v>
          </cell>
          <cell r="F187">
            <v>1125</v>
          </cell>
          <cell r="G187">
            <v>97</v>
          </cell>
          <cell r="H187">
            <v>194</v>
          </cell>
          <cell r="I187">
            <v>436.5</v>
          </cell>
          <cell r="J187">
            <v>184</v>
          </cell>
          <cell r="K187">
            <v>4.5</v>
          </cell>
          <cell r="L187">
            <v>1264.5</v>
          </cell>
          <cell r="M187">
            <v>16.166666666666668</v>
          </cell>
          <cell r="N187">
            <v>10</v>
          </cell>
          <cell r="O187">
            <v>4.5</v>
          </cell>
          <cell r="P187">
            <v>45</v>
          </cell>
        </row>
        <row r="188">
          <cell r="A188" t="str">
            <v>J-01-16</v>
          </cell>
          <cell r="B188" t="str">
            <v>BENCILPENICILINA BENZATINICA .:. 2.400.000 UI</v>
          </cell>
          <cell r="C188" t="str">
            <v>Inyectable</v>
          </cell>
          <cell r="D188">
            <v>67</v>
          </cell>
          <cell r="E188">
            <v>300</v>
          </cell>
          <cell r="F188">
            <v>3300</v>
          </cell>
          <cell r="G188">
            <v>186</v>
          </cell>
          <cell r="H188">
            <v>372</v>
          </cell>
          <cell r="I188">
            <v>1671.2633049999999</v>
          </cell>
          <cell r="J188">
            <v>1671.2633049999999</v>
          </cell>
          <cell r="K188">
            <v>11</v>
          </cell>
          <cell r="L188">
            <v>1991</v>
          </cell>
          <cell r="M188">
            <v>31</v>
          </cell>
          <cell r="N188">
            <v>220.00000000000003</v>
          </cell>
          <cell r="O188">
            <v>11</v>
          </cell>
          <cell r="P188">
            <v>2420.0000000000005</v>
          </cell>
        </row>
        <row r="189">
          <cell r="A189" t="str">
            <v>J-01-18</v>
          </cell>
          <cell r="B189" t="str">
            <v>BENCILPENICILINA PROCAINICA .:. 800.000 UI</v>
          </cell>
          <cell r="C189" t="str">
            <v>Inyectable</v>
          </cell>
          <cell r="D189">
            <v>74</v>
          </cell>
          <cell r="E189">
            <v>0</v>
          </cell>
          <cell r="F189">
            <v>0</v>
          </cell>
          <cell r="G189">
            <v>29</v>
          </cell>
          <cell r="H189">
            <v>58</v>
          </cell>
          <cell r="I189">
            <v>125.28295799999999</v>
          </cell>
          <cell r="J189">
            <v>16</v>
          </cell>
          <cell r="K189">
            <v>4.3201020000000003</v>
          </cell>
          <cell r="L189">
            <v>194.40459000000001</v>
          </cell>
          <cell r="M189">
            <v>4.833333333333333</v>
          </cell>
          <cell r="N189">
            <v>50</v>
          </cell>
          <cell r="O189">
            <v>4.3201020000000003</v>
          </cell>
          <cell r="P189">
            <v>216.00510000000003</v>
          </cell>
        </row>
        <row r="190">
          <cell r="A190" t="str">
            <v>J-01-21</v>
          </cell>
          <cell r="B190" t="str">
            <v>CEFAZOLINA .:. 1 g</v>
          </cell>
          <cell r="C190" t="str">
            <v>Inyectable</v>
          </cell>
          <cell r="D190">
            <v>68</v>
          </cell>
          <cell r="E190">
            <v>260</v>
          </cell>
          <cell r="F190">
            <v>1300</v>
          </cell>
          <cell r="G190">
            <v>129</v>
          </cell>
          <cell r="H190">
            <v>258</v>
          </cell>
          <cell r="I190">
            <v>718.78605000000005</v>
          </cell>
          <cell r="J190">
            <v>72</v>
          </cell>
          <cell r="K190">
            <v>4.9880946268656716</v>
          </cell>
          <cell r="L190">
            <v>1002.60702</v>
          </cell>
          <cell r="M190">
            <v>21.5</v>
          </cell>
          <cell r="N190">
            <v>186</v>
          </cell>
          <cell r="O190">
            <v>4.9880946268656716</v>
          </cell>
          <cell r="P190">
            <v>927.78560059701488</v>
          </cell>
        </row>
        <row r="191">
          <cell r="A191" t="str">
            <v>J-01-22</v>
          </cell>
          <cell r="B191" t="str">
            <v>CEFOTAXIMA .:. 1 g</v>
          </cell>
          <cell r="C191" t="str">
            <v>Inyectable</v>
          </cell>
          <cell r="D191">
            <v>51</v>
          </cell>
          <cell r="E191">
            <v>300</v>
          </cell>
          <cell r="F191">
            <v>900</v>
          </cell>
          <cell r="G191">
            <v>282</v>
          </cell>
          <cell r="H191">
            <v>564</v>
          </cell>
          <cell r="I191">
            <v>902.14685499999996</v>
          </cell>
          <cell r="J191">
            <v>902.14685499999996</v>
          </cell>
          <cell r="K191">
            <v>2.9817591690140843</v>
          </cell>
          <cell r="L191">
            <v>211.70490100000001</v>
          </cell>
          <cell r="M191">
            <v>47</v>
          </cell>
          <cell r="N191">
            <v>990.00000000000011</v>
          </cell>
          <cell r="O191">
            <v>3</v>
          </cell>
          <cell r="P191">
            <v>2970.0000000000005</v>
          </cell>
        </row>
        <row r="192">
          <cell r="A192" t="str">
            <v>J-01-23</v>
          </cell>
          <cell r="B192" t="str">
            <v>CEFRADINA .:. 500 mg</v>
          </cell>
          <cell r="C192" t="str">
            <v>Cápsula o Comprimido</v>
          </cell>
          <cell r="D192">
            <v>98</v>
          </cell>
          <cell r="E192">
            <v>600</v>
          </cell>
          <cell r="F192">
            <v>660</v>
          </cell>
          <cell r="G192">
            <v>186</v>
          </cell>
          <cell r="H192">
            <v>372</v>
          </cell>
          <cell r="I192">
            <v>233.91856200000001</v>
          </cell>
          <cell r="J192">
            <v>326</v>
          </cell>
          <cell r="K192">
            <v>1.1000000000000001</v>
          </cell>
          <cell r="L192">
            <v>563.20000000000005</v>
          </cell>
          <cell r="M192">
            <v>31</v>
          </cell>
          <cell r="N192">
            <v>46</v>
          </cell>
          <cell r="O192">
            <v>1.1000000000000001</v>
          </cell>
          <cell r="P192">
            <v>50.6</v>
          </cell>
        </row>
        <row r="193">
          <cell r="A193" t="str">
            <v>J-01-24</v>
          </cell>
          <cell r="B193" t="str">
            <v>CEFRADINA .:. 250 mg/5 ml</v>
          </cell>
          <cell r="C193" t="str">
            <v>Suspensión</v>
          </cell>
          <cell r="D193">
            <v>5</v>
          </cell>
          <cell r="E193">
            <v>0</v>
          </cell>
          <cell r="F193">
            <v>0</v>
          </cell>
          <cell r="G193">
            <v>2</v>
          </cell>
          <cell r="H193">
            <v>4</v>
          </cell>
          <cell r="I193">
            <v>42.167999999999999</v>
          </cell>
          <cell r="J193">
            <v>1</v>
          </cell>
          <cell r="K193">
            <v>21.084</v>
          </cell>
          <cell r="L193">
            <v>63.252000000000002</v>
          </cell>
          <cell r="M193">
            <v>0.33333333333333331</v>
          </cell>
          <cell r="N193">
            <v>2</v>
          </cell>
          <cell r="O193">
            <v>21.084</v>
          </cell>
          <cell r="P193">
            <v>42.167999999999999</v>
          </cell>
        </row>
        <row r="194">
          <cell r="A194" t="str">
            <v>J-01-25</v>
          </cell>
          <cell r="B194" t="str">
            <v>CEFTAZIDIMA .:. 1 g</v>
          </cell>
          <cell r="C194" t="str">
            <v>Inyectable</v>
          </cell>
          <cell r="D194">
            <v>3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3</v>
          </cell>
          <cell r="K194">
            <v>23.572856999999999</v>
          </cell>
          <cell r="L194">
            <v>70.718570999999997</v>
          </cell>
          <cell r="M194">
            <v>0</v>
          </cell>
          <cell r="N194">
            <v>1</v>
          </cell>
          <cell r="O194">
            <v>23.572856999999999</v>
          </cell>
          <cell r="P194">
            <v>23.572856999999999</v>
          </cell>
        </row>
        <row r="195">
          <cell r="A195" t="str">
            <v>J-01-26</v>
          </cell>
          <cell r="B195" t="str">
            <v>CEFTRIAXONA .:. 1 g</v>
          </cell>
          <cell r="C195" t="str">
            <v>Inyectable</v>
          </cell>
          <cell r="D195">
            <v>1377</v>
          </cell>
          <cell r="E195">
            <v>0</v>
          </cell>
          <cell r="F195">
            <v>0</v>
          </cell>
          <cell r="G195">
            <v>759</v>
          </cell>
          <cell r="H195">
            <v>1518</v>
          </cell>
          <cell r="I195">
            <v>3062.8260959999998</v>
          </cell>
          <cell r="J195">
            <v>3062.8260959999998</v>
          </cell>
          <cell r="K195">
            <v>4.0353440000000003</v>
          </cell>
          <cell r="L195">
            <v>2598.761536</v>
          </cell>
          <cell r="M195">
            <v>126.5</v>
          </cell>
          <cell r="N195">
            <v>1100</v>
          </cell>
          <cell r="O195">
            <v>4.0353440000000003</v>
          </cell>
          <cell r="P195">
            <v>4438.8784000000005</v>
          </cell>
        </row>
        <row r="196">
          <cell r="A196" t="str">
            <v>J-01-27</v>
          </cell>
          <cell r="B196" t="str">
            <v>CIPROFLOXACINA .:. 500 mg</v>
          </cell>
          <cell r="C196" t="str">
            <v>Comprimido</v>
          </cell>
          <cell r="D196">
            <v>1146</v>
          </cell>
          <cell r="E196">
            <v>3500</v>
          </cell>
          <cell r="F196">
            <v>1330</v>
          </cell>
          <cell r="G196">
            <v>2274</v>
          </cell>
          <cell r="H196">
            <v>4548</v>
          </cell>
          <cell r="I196">
            <v>895.81612099999995</v>
          </cell>
          <cell r="J196">
            <v>98</v>
          </cell>
          <cell r="K196">
            <v>0.38220404679595277</v>
          </cell>
          <cell r="L196">
            <v>906.58799899999997</v>
          </cell>
          <cell r="M196">
            <v>379</v>
          </cell>
          <cell r="N196">
            <v>2420</v>
          </cell>
          <cell r="O196">
            <v>0.38220404679595277</v>
          </cell>
          <cell r="P196">
            <v>924.93379324620571</v>
          </cell>
        </row>
        <row r="197">
          <cell r="A197" t="str">
            <v>J-01-28</v>
          </cell>
          <cell r="B197" t="str">
            <v>CIPROFLOXACINA .:. 200 mg</v>
          </cell>
          <cell r="C197" t="str">
            <v>Inyectable</v>
          </cell>
          <cell r="D197">
            <v>65</v>
          </cell>
          <cell r="E197">
            <v>470</v>
          </cell>
          <cell r="F197">
            <v>3060</v>
          </cell>
          <cell r="G197">
            <v>218</v>
          </cell>
          <cell r="H197">
            <v>436</v>
          </cell>
          <cell r="I197">
            <v>1547.7527439999999</v>
          </cell>
          <cell r="J197">
            <v>115</v>
          </cell>
          <cell r="K197">
            <v>6.4547461801801802</v>
          </cell>
          <cell r="L197">
            <v>2149.4304780000002</v>
          </cell>
          <cell r="M197">
            <v>36.333333333333336</v>
          </cell>
          <cell r="N197">
            <v>321</v>
          </cell>
          <cell r="O197">
            <v>6.4547461801801802</v>
          </cell>
          <cell r="P197">
            <v>2071.973523837838</v>
          </cell>
        </row>
        <row r="198">
          <cell r="A198" t="str">
            <v>J-01-29</v>
          </cell>
          <cell r="B198" t="str">
            <v>CLARITROMICINA .:. 500 mg</v>
          </cell>
          <cell r="C198" t="str">
            <v>Comprimido</v>
          </cell>
          <cell r="D198">
            <v>222</v>
          </cell>
          <cell r="E198">
            <v>1500</v>
          </cell>
          <cell r="F198">
            <v>3360</v>
          </cell>
          <cell r="G198">
            <v>894</v>
          </cell>
          <cell r="H198">
            <v>1788</v>
          </cell>
          <cell r="I198">
            <v>2197.1033309999998</v>
          </cell>
          <cell r="J198">
            <v>2197.1033309999998</v>
          </cell>
          <cell r="K198">
            <v>2.2263158152173914</v>
          </cell>
          <cell r="L198">
            <v>1843.3894949999999</v>
          </cell>
          <cell r="M198">
            <v>149</v>
          </cell>
          <cell r="N198">
            <v>1320</v>
          </cell>
          <cell r="O198">
            <v>2.2263158152173914</v>
          </cell>
          <cell r="P198">
            <v>2938.7368760869567</v>
          </cell>
        </row>
        <row r="199">
          <cell r="A199" t="str">
            <v>J-01-36</v>
          </cell>
          <cell r="B199" t="str">
            <v>CLOXACILINA .:. 1 g</v>
          </cell>
          <cell r="C199" t="str">
            <v>Inyectable</v>
          </cell>
          <cell r="D199">
            <v>46</v>
          </cell>
          <cell r="E199">
            <v>0</v>
          </cell>
          <cell r="F199">
            <v>0</v>
          </cell>
          <cell r="G199">
            <v>46</v>
          </cell>
          <cell r="H199">
            <v>92</v>
          </cell>
          <cell r="I199">
            <v>349.25927799999999</v>
          </cell>
          <cell r="J199">
            <v>349.25927799999999</v>
          </cell>
          <cell r="K199">
            <v>7.5925950000000002</v>
          </cell>
          <cell r="L199">
            <v>7.5925950000000002</v>
          </cell>
          <cell r="M199">
            <v>7.666666666666667</v>
          </cell>
          <cell r="N199">
            <v>220.00000000000003</v>
          </cell>
          <cell r="O199">
            <v>7.5925950000000002</v>
          </cell>
          <cell r="P199">
            <v>1670.3709000000003</v>
          </cell>
        </row>
        <row r="200">
          <cell r="A200" t="str">
            <v>J-01-37</v>
          </cell>
          <cell r="B200" t="str">
            <v>COTRIMOXAZOL (SULFAMETOXAZOL + TRIMETOPRIMA) .:. 800 mg + 160 mg</v>
          </cell>
          <cell r="C200" t="str">
            <v>Comprimido</v>
          </cell>
          <cell r="D200">
            <v>363</v>
          </cell>
          <cell r="E200">
            <v>2000</v>
          </cell>
          <cell r="F200">
            <v>780</v>
          </cell>
          <cell r="G200">
            <v>1079</v>
          </cell>
          <cell r="H200">
            <v>2158</v>
          </cell>
          <cell r="I200">
            <v>461.42403300000001</v>
          </cell>
          <cell r="J200">
            <v>205</v>
          </cell>
          <cell r="K200">
            <v>0.39204897429906543</v>
          </cell>
          <cell r="L200">
            <v>503.39088299999997</v>
          </cell>
          <cell r="M200">
            <v>179.83333333333334</v>
          </cell>
          <cell r="N200">
            <v>770.00000000000011</v>
          </cell>
          <cell r="O200">
            <v>0.39204897429906543</v>
          </cell>
          <cell r="P200">
            <v>301.87771021028044</v>
          </cell>
        </row>
        <row r="201">
          <cell r="A201" t="str">
            <v>J-01-38</v>
          </cell>
          <cell r="B201" t="str">
            <v>COTRIMOXAZOL (SULFAMETOXAZOL + TRIMETOPRIMA) .:. 200 mg + 40 mg/5 ml</v>
          </cell>
          <cell r="C201" t="str">
            <v>Suspensión</v>
          </cell>
          <cell r="D201">
            <v>28</v>
          </cell>
          <cell r="E201">
            <v>60</v>
          </cell>
          <cell r="F201">
            <v>420</v>
          </cell>
          <cell r="G201">
            <v>32</v>
          </cell>
          <cell r="H201">
            <v>64</v>
          </cell>
          <cell r="I201">
            <v>252</v>
          </cell>
          <cell r="J201">
            <v>24</v>
          </cell>
          <cell r="K201">
            <v>7</v>
          </cell>
          <cell r="L201">
            <v>392</v>
          </cell>
          <cell r="M201">
            <v>5.333333333333333</v>
          </cell>
          <cell r="N201">
            <v>40</v>
          </cell>
          <cell r="O201">
            <v>7</v>
          </cell>
          <cell r="P201">
            <v>280</v>
          </cell>
        </row>
        <row r="202">
          <cell r="A202" t="str">
            <v>J-01-41</v>
          </cell>
          <cell r="B202" t="str">
            <v>DICLOXACILINA SODICA .:. 500 mg</v>
          </cell>
          <cell r="C202" t="str">
            <v>Cápsula</v>
          </cell>
          <cell r="D202">
            <v>219</v>
          </cell>
          <cell r="E202">
            <v>700</v>
          </cell>
          <cell r="F202">
            <v>630</v>
          </cell>
          <cell r="G202">
            <v>229</v>
          </cell>
          <cell r="H202">
            <v>458</v>
          </cell>
          <cell r="I202">
            <v>206.1</v>
          </cell>
          <cell r="J202">
            <v>461</v>
          </cell>
          <cell r="K202">
            <v>0.9</v>
          </cell>
          <cell r="L202">
            <v>621</v>
          </cell>
          <cell r="M202">
            <v>38.166666666666664</v>
          </cell>
          <cell r="N202">
            <v>100</v>
          </cell>
          <cell r="O202">
            <v>0.9</v>
          </cell>
          <cell r="P202">
            <v>90</v>
          </cell>
        </row>
        <row r="203">
          <cell r="A203" t="str">
            <v>J-01-44</v>
          </cell>
          <cell r="B203" t="str">
            <v>DOXICICLINA .:. 100 mg</v>
          </cell>
          <cell r="C203" t="str">
            <v>Cápsula o Comprimido</v>
          </cell>
          <cell r="D203">
            <v>185</v>
          </cell>
          <cell r="E203">
            <v>800</v>
          </cell>
          <cell r="F203">
            <v>400</v>
          </cell>
          <cell r="G203">
            <v>285</v>
          </cell>
          <cell r="H203">
            <v>570</v>
          </cell>
          <cell r="I203">
            <v>134.83765600000001</v>
          </cell>
          <cell r="J203">
            <v>415</v>
          </cell>
          <cell r="K203">
            <v>0.49623791285714286</v>
          </cell>
          <cell r="L203">
            <v>347.36653899999999</v>
          </cell>
          <cell r="M203">
            <v>47.5</v>
          </cell>
          <cell r="N203">
            <v>155</v>
          </cell>
          <cell r="O203">
            <v>0.49623791285714286</v>
          </cell>
          <cell r="P203">
            <v>76.916876492857142</v>
          </cell>
        </row>
        <row r="204">
          <cell r="A204" t="str">
            <v>J-01-45</v>
          </cell>
          <cell r="B204" t="str">
            <v>ERITROMICINA ESTEARATO .:. 500 mg</v>
          </cell>
          <cell r="C204" t="str">
            <v>Cápsula o Comprimido</v>
          </cell>
          <cell r="D204">
            <v>502</v>
          </cell>
          <cell r="E204">
            <v>0</v>
          </cell>
          <cell r="F204">
            <v>0</v>
          </cell>
          <cell r="G204">
            <v>34</v>
          </cell>
          <cell r="H204">
            <v>68</v>
          </cell>
          <cell r="I204">
            <v>33.291542</v>
          </cell>
          <cell r="J204">
            <v>434</v>
          </cell>
          <cell r="K204">
            <v>0.97916300000000001</v>
          </cell>
          <cell r="L204">
            <v>458.24828400000001</v>
          </cell>
          <cell r="M204">
            <v>5.666666666666667</v>
          </cell>
          <cell r="N204">
            <v>100</v>
          </cell>
          <cell r="O204">
            <v>0.97916300000000001</v>
          </cell>
          <cell r="P204">
            <v>97.916300000000007</v>
          </cell>
        </row>
        <row r="205">
          <cell r="A205" t="str">
            <v>J-01-46</v>
          </cell>
          <cell r="B205" t="str">
            <v>ERITROMICINA ETILSUCCINATO .:. 250 mg/5 ml</v>
          </cell>
          <cell r="C205" t="str">
            <v>Suspensión</v>
          </cell>
          <cell r="D205">
            <v>2</v>
          </cell>
          <cell r="E205">
            <v>0</v>
          </cell>
          <cell r="F205">
            <v>0</v>
          </cell>
          <cell r="G205">
            <v>2</v>
          </cell>
          <cell r="H205">
            <v>4</v>
          </cell>
          <cell r="I205">
            <v>28.725714</v>
          </cell>
          <cell r="J205">
            <v>28.725714</v>
          </cell>
          <cell r="K205">
            <v>0</v>
          </cell>
          <cell r="L205">
            <v>0</v>
          </cell>
          <cell r="M205">
            <v>0.33333333333333331</v>
          </cell>
          <cell r="N205">
            <v>6.6000000000000005</v>
          </cell>
          <cell r="O205">
            <v>14.362857</v>
          </cell>
          <cell r="P205">
            <v>94.794856200000012</v>
          </cell>
        </row>
        <row r="206">
          <cell r="A206" t="str">
            <v>J-01-50</v>
          </cell>
          <cell r="B206" t="str">
            <v>IMIPENEM + CILASTATINA .:. 500 mg + 500 mg</v>
          </cell>
          <cell r="C206" t="str">
            <v>Inyectable</v>
          </cell>
          <cell r="D206">
            <v>106</v>
          </cell>
          <cell r="E206">
            <v>300</v>
          </cell>
          <cell r="F206">
            <v>11100</v>
          </cell>
          <cell r="G206">
            <v>411</v>
          </cell>
          <cell r="H206">
            <v>822</v>
          </cell>
          <cell r="I206">
            <v>16499.241243</v>
          </cell>
          <cell r="J206">
            <v>139</v>
          </cell>
          <cell r="K206">
            <v>37</v>
          </cell>
          <cell r="L206">
            <v>481</v>
          </cell>
          <cell r="M206">
            <v>68.5</v>
          </cell>
          <cell r="N206">
            <v>1430.0000000000002</v>
          </cell>
          <cell r="O206">
            <v>37</v>
          </cell>
          <cell r="P206">
            <v>52910.000000000007</v>
          </cell>
        </row>
        <row r="207">
          <cell r="A207" t="str">
            <v>J-01-51</v>
          </cell>
          <cell r="B207" t="str">
            <v>NITROFURANTOINA .:. 100 mg</v>
          </cell>
          <cell r="C207" t="str">
            <v>Comprimido</v>
          </cell>
          <cell r="D207">
            <v>523</v>
          </cell>
          <cell r="E207">
            <v>0</v>
          </cell>
          <cell r="F207">
            <v>0</v>
          </cell>
          <cell r="G207">
            <v>491</v>
          </cell>
          <cell r="H207">
            <v>982</v>
          </cell>
          <cell r="I207">
            <v>440.44762200000002</v>
          </cell>
          <cell r="J207">
            <v>440.44762200000002</v>
          </cell>
          <cell r="K207">
            <v>0.89704200000000001</v>
          </cell>
          <cell r="L207">
            <v>28.705344</v>
          </cell>
          <cell r="M207">
            <v>81.833333333333329</v>
          </cell>
          <cell r="N207">
            <v>1980.0000000000002</v>
          </cell>
          <cell r="O207">
            <v>0.89704200000000001</v>
          </cell>
          <cell r="P207">
            <v>1776.1431600000003</v>
          </cell>
        </row>
        <row r="208">
          <cell r="A208" t="str">
            <v>J-01-54</v>
          </cell>
          <cell r="B208" t="str">
            <v>TETRACICLINA .:. 500 mg</v>
          </cell>
          <cell r="C208" t="str">
            <v>Cápsula o Comprimido</v>
          </cell>
          <cell r="D208">
            <v>760</v>
          </cell>
          <cell r="E208">
            <v>0</v>
          </cell>
          <cell r="F208">
            <v>0</v>
          </cell>
          <cell r="G208">
            <v>15</v>
          </cell>
          <cell r="H208">
            <v>30</v>
          </cell>
          <cell r="I208">
            <v>6.7699199999999999</v>
          </cell>
          <cell r="J208">
            <v>730</v>
          </cell>
          <cell r="K208">
            <v>0.45132800000000001</v>
          </cell>
          <cell r="L208">
            <v>336.23935999999998</v>
          </cell>
          <cell r="M208">
            <v>2.5</v>
          </cell>
          <cell r="N208">
            <v>100</v>
          </cell>
          <cell r="O208">
            <v>0.45132800000000001</v>
          </cell>
          <cell r="P208">
            <v>45.132800000000003</v>
          </cell>
        </row>
        <row r="209">
          <cell r="A209" t="str">
            <v>J-01-55</v>
          </cell>
          <cell r="B209" t="str">
            <v>VANCOMICINA .:. 500 mg</v>
          </cell>
          <cell r="C209" t="str">
            <v>Inyectable</v>
          </cell>
          <cell r="D209">
            <v>324</v>
          </cell>
          <cell r="E209">
            <v>0</v>
          </cell>
          <cell r="F209">
            <v>0</v>
          </cell>
          <cell r="G209">
            <v>240</v>
          </cell>
          <cell r="H209">
            <v>480</v>
          </cell>
          <cell r="I209">
            <v>3729.7224000000001</v>
          </cell>
          <cell r="J209">
            <v>3729.7224000000001</v>
          </cell>
          <cell r="K209">
            <v>15.540509999999999</v>
          </cell>
          <cell r="L209">
            <v>1460.8079399999999</v>
          </cell>
          <cell r="M209">
            <v>40</v>
          </cell>
          <cell r="N209">
            <v>660</v>
          </cell>
          <cell r="O209">
            <v>15.540509999999999</v>
          </cell>
          <cell r="P209">
            <v>10256.7366</v>
          </cell>
        </row>
        <row r="210">
          <cell r="A210" t="str">
            <v>J-01-57</v>
          </cell>
          <cell r="B210" t="str">
            <v>AMOXICILINA .:. 500 mg/5 ml</v>
          </cell>
          <cell r="C210" t="str">
            <v>Suspensión</v>
          </cell>
          <cell r="D210">
            <v>23</v>
          </cell>
          <cell r="E210">
            <v>310</v>
          </cell>
          <cell r="F210">
            <v>2914.4</v>
          </cell>
          <cell r="G210">
            <v>110</v>
          </cell>
          <cell r="H210">
            <v>220</v>
          </cell>
          <cell r="I210">
            <v>1080.8715219999999</v>
          </cell>
          <cell r="J210">
            <v>113</v>
          </cell>
          <cell r="K210">
            <v>9.4207433228699546</v>
          </cell>
          <cell r="L210">
            <v>2100.8257610000001</v>
          </cell>
          <cell r="M210">
            <v>18.333333333333332</v>
          </cell>
          <cell r="N210">
            <v>107</v>
          </cell>
          <cell r="O210">
            <v>9.4207433228699546</v>
          </cell>
          <cell r="P210">
            <v>1008.0195355470852</v>
          </cell>
        </row>
        <row r="211">
          <cell r="A211" t="str">
            <v>J-01-58</v>
          </cell>
          <cell r="B211" t="str">
            <v>CEFIXIMA .:. 400 mg</v>
          </cell>
          <cell r="C211" t="str">
            <v>Comprimido o Cápsula</v>
          </cell>
          <cell r="D211">
            <v>298</v>
          </cell>
          <cell r="E211">
            <v>1300</v>
          </cell>
          <cell r="F211">
            <v>2392</v>
          </cell>
          <cell r="G211">
            <v>486</v>
          </cell>
          <cell r="H211">
            <v>972</v>
          </cell>
          <cell r="I211">
            <v>943.63081799999998</v>
          </cell>
          <cell r="J211">
            <v>631</v>
          </cell>
          <cell r="K211">
            <v>1.84</v>
          </cell>
          <cell r="L211">
            <v>2055.2800000000002</v>
          </cell>
          <cell r="M211">
            <v>81</v>
          </cell>
          <cell r="N211">
            <v>341</v>
          </cell>
          <cell r="O211">
            <v>1.84</v>
          </cell>
          <cell r="P211">
            <v>627.44000000000005</v>
          </cell>
        </row>
        <row r="212">
          <cell r="A212" t="str">
            <v>J-01-62</v>
          </cell>
          <cell r="B212" t="str">
            <v>AZITROMICINA .:. 200 mg/5 ml</v>
          </cell>
          <cell r="C212" t="str">
            <v>Suspensión</v>
          </cell>
          <cell r="D212">
            <v>0</v>
          </cell>
          <cell r="E212">
            <v>35</v>
          </cell>
          <cell r="F212">
            <v>1123.8499999999999</v>
          </cell>
          <cell r="G212">
            <v>17</v>
          </cell>
          <cell r="H212">
            <v>34</v>
          </cell>
          <cell r="I212">
            <v>545.87</v>
          </cell>
          <cell r="J212">
            <v>1</v>
          </cell>
          <cell r="K212">
            <v>32.11</v>
          </cell>
          <cell r="L212">
            <v>577.98</v>
          </cell>
          <cell r="M212">
            <v>2.8333333333333335</v>
          </cell>
          <cell r="N212">
            <v>16.5</v>
          </cell>
          <cell r="O212">
            <v>32.11</v>
          </cell>
          <cell r="P212">
            <v>529.81499999999994</v>
          </cell>
        </row>
        <row r="213">
          <cell r="A213" t="str">
            <v>J-01-63</v>
          </cell>
          <cell r="B213" t="str">
            <v>CEFIXIMA .:. 100 mg/5 ml</v>
          </cell>
          <cell r="C213" t="str">
            <v>Suspensión</v>
          </cell>
          <cell r="D213">
            <v>8</v>
          </cell>
          <cell r="E213">
            <v>20</v>
          </cell>
          <cell r="F213">
            <v>500</v>
          </cell>
          <cell r="G213">
            <v>11</v>
          </cell>
          <cell r="H213">
            <v>22</v>
          </cell>
          <cell r="I213">
            <v>275</v>
          </cell>
          <cell r="J213">
            <v>6</v>
          </cell>
          <cell r="K213">
            <v>25</v>
          </cell>
          <cell r="L213">
            <v>425</v>
          </cell>
          <cell r="M213">
            <v>1.8333333333333333</v>
          </cell>
          <cell r="N213">
            <v>30</v>
          </cell>
          <cell r="O213">
            <v>25</v>
          </cell>
          <cell r="P213">
            <v>750</v>
          </cell>
        </row>
        <row r="214">
          <cell r="A214" t="str">
            <v>J-01-64</v>
          </cell>
          <cell r="B214" t="str">
            <v>CLINDAMICINA .:. 600 mg</v>
          </cell>
          <cell r="C214" t="str">
            <v>Inyectable</v>
          </cell>
          <cell r="D214">
            <v>0</v>
          </cell>
          <cell r="E214">
            <v>40</v>
          </cell>
          <cell r="F214">
            <v>672</v>
          </cell>
          <cell r="G214">
            <v>35</v>
          </cell>
          <cell r="H214">
            <v>70</v>
          </cell>
          <cell r="I214">
            <v>588</v>
          </cell>
          <cell r="J214">
            <v>588</v>
          </cell>
          <cell r="K214">
            <v>16.8</v>
          </cell>
          <cell r="L214">
            <v>100.8</v>
          </cell>
          <cell r="M214">
            <v>9.75</v>
          </cell>
          <cell r="N214">
            <v>220.00000000000003</v>
          </cell>
          <cell r="O214">
            <v>16.8</v>
          </cell>
          <cell r="P214">
            <v>3696.0000000000005</v>
          </cell>
        </row>
        <row r="215">
          <cell r="A215" t="str">
            <v>J-01-66</v>
          </cell>
          <cell r="B215" t="str">
            <v>LEVOFLOXACINA .:. 500 mg</v>
          </cell>
          <cell r="C215" t="str">
            <v>Comprimido</v>
          </cell>
          <cell r="D215">
            <v>501</v>
          </cell>
          <cell r="E215">
            <v>0</v>
          </cell>
          <cell r="F215">
            <v>0</v>
          </cell>
          <cell r="G215">
            <v>501</v>
          </cell>
          <cell r="H215">
            <v>1002</v>
          </cell>
          <cell r="I215">
            <v>595.54771800000003</v>
          </cell>
          <cell r="J215">
            <v>999</v>
          </cell>
          <cell r="K215">
            <v>0</v>
          </cell>
          <cell r="L215">
            <v>0</v>
          </cell>
          <cell r="M215">
            <v>83.5</v>
          </cell>
          <cell r="N215">
            <v>3</v>
          </cell>
          <cell r="O215">
            <v>1.1887180000000002</v>
          </cell>
          <cell r="P215">
            <v>3.5661540000000005</v>
          </cell>
        </row>
        <row r="216">
          <cell r="A216" t="str">
            <v>J-01-67</v>
          </cell>
          <cell r="B216" t="str">
            <v>COLISTINA .:. 100 mg</v>
          </cell>
          <cell r="C216" t="str">
            <v>Inyectable</v>
          </cell>
          <cell r="D216">
            <v>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2</v>
          </cell>
          <cell r="K216">
            <v>80</v>
          </cell>
          <cell r="L216">
            <v>160</v>
          </cell>
          <cell r="M216">
            <v>0</v>
          </cell>
          <cell r="N216">
            <v>1</v>
          </cell>
          <cell r="O216">
            <v>80</v>
          </cell>
          <cell r="P216">
            <v>80</v>
          </cell>
        </row>
        <row r="217">
          <cell r="A217" t="str">
            <v>J-01-68</v>
          </cell>
          <cell r="B217" t="str">
            <v>LEVOFLOXACINA .:. 500mg</v>
          </cell>
          <cell r="C217" t="str">
            <v>Inyectable</v>
          </cell>
          <cell r="D217">
            <v>488</v>
          </cell>
          <cell r="E217">
            <v>0</v>
          </cell>
          <cell r="F217">
            <v>0</v>
          </cell>
          <cell r="G217">
            <v>83</v>
          </cell>
          <cell r="H217">
            <v>166</v>
          </cell>
          <cell r="I217">
            <v>3499.264056</v>
          </cell>
          <cell r="J217">
            <v>322</v>
          </cell>
          <cell r="K217">
            <v>42.159813962962964</v>
          </cell>
          <cell r="L217">
            <v>17074.724655000002</v>
          </cell>
          <cell r="M217">
            <v>13.833333333333334</v>
          </cell>
          <cell r="N217">
            <v>50</v>
          </cell>
          <cell r="O217">
            <v>42.159813962962964</v>
          </cell>
          <cell r="P217">
            <v>2107.9906981481481</v>
          </cell>
        </row>
        <row r="218">
          <cell r="A218" t="str">
            <v>J-01-69</v>
          </cell>
          <cell r="B218" t="str">
            <v>MEROPENEM .:. 500 mg</v>
          </cell>
          <cell r="C218" t="str">
            <v>Inyectable</v>
          </cell>
          <cell r="D218">
            <v>47</v>
          </cell>
          <cell r="E218">
            <v>177</v>
          </cell>
          <cell r="F218">
            <v>6834.03</v>
          </cell>
          <cell r="G218">
            <v>145</v>
          </cell>
          <cell r="H218">
            <v>290</v>
          </cell>
          <cell r="I218">
            <v>6513.82</v>
          </cell>
          <cell r="J218">
            <v>6513.82</v>
          </cell>
          <cell r="K218">
            <v>34.99</v>
          </cell>
          <cell r="L218">
            <v>2764.21</v>
          </cell>
          <cell r="M218">
            <v>24.166666666666668</v>
          </cell>
          <cell r="N218">
            <v>330</v>
          </cell>
          <cell r="O218">
            <v>34.99</v>
          </cell>
          <cell r="P218">
            <v>11546.7</v>
          </cell>
        </row>
        <row r="219">
          <cell r="A219" t="str">
            <v>J-01-71</v>
          </cell>
          <cell r="B219" t="str">
            <v>AMOXICILINA + INHIBIDOR BETALACTAMASA .:. 875 mg + Según disponibilidad</v>
          </cell>
          <cell r="C219" t="str">
            <v>Comprimido</v>
          </cell>
          <cell r="D219">
            <v>613</v>
          </cell>
          <cell r="E219">
            <v>4000</v>
          </cell>
          <cell r="F219">
            <v>17520</v>
          </cell>
          <cell r="G219">
            <v>1681</v>
          </cell>
          <cell r="H219">
            <v>3362</v>
          </cell>
          <cell r="I219">
            <v>6835.5476760000001</v>
          </cell>
          <cell r="J219">
            <v>1251</v>
          </cell>
          <cell r="K219">
            <v>4.3670597534106408</v>
          </cell>
          <cell r="L219">
            <v>12804.219197</v>
          </cell>
          <cell r="M219">
            <v>280.16666666666669</v>
          </cell>
          <cell r="N219">
            <v>2111</v>
          </cell>
          <cell r="O219">
            <v>4.3670597534106408</v>
          </cell>
          <cell r="P219">
            <v>9218.8631394498625</v>
          </cell>
        </row>
        <row r="220">
          <cell r="A220" t="str">
            <v>J-01-75</v>
          </cell>
          <cell r="B220" t="str">
            <v>PIPERACILINA + TAZOBACTAM .:. 4 G/500 MG</v>
          </cell>
          <cell r="C220" t="str">
            <v>Inyectable</v>
          </cell>
          <cell r="D220">
            <v>0</v>
          </cell>
          <cell r="E220">
            <v>35</v>
          </cell>
          <cell r="F220">
            <v>3465</v>
          </cell>
          <cell r="G220">
            <v>24</v>
          </cell>
          <cell r="H220">
            <v>48</v>
          </cell>
          <cell r="I220">
            <v>2376</v>
          </cell>
          <cell r="J220">
            <v>2376</v>
          </cell>
          <cell r="K220">
            <v>99</v>
          </cell>
          <cell r="L220">
            <v>1089</v>
          </cell>
          <cell r="M220">
            <v>4</v>
          </cell>
          <cell r="N220">
            <v>55.000000000000007</v>
          </cell>
          <cell r="O220">
            <v>99</v>
          </cell>
          <cell r="P220">
            <v>5445.0000000000009</v>
          </cell>
        </row>
        <row r="221">
          <cell r="A221" t="str">
            <v>J-02-02</v>
          </cell>
          <cell r="B221" t="str">
            <v>FLUCONAZOL .:. 200 mg</v>
          </cell>
          <cell r="C221" t="str">
            <v>Inyectable</v>
          </cell>
          <cell r="D221">
            <v>2</v>
          </cell>
          <cell r="E221">
            <v>60</v>
          </cell>
          <cell r="F221">
            <v>1560</v>
          </cell>
          <cell r="G221">
            <v>18</v>
          </cell>
          <cell r="H221">
            <v>36</v>
          </cell>
          <cell r="I221">
            <v>471.991558</v>
          </cell>
          <cell r="J221">
            <v>26</v>
          </cell>
          <cell r="K221">
            <v>26</v>
          </cell>
          <cell r="L221">
            <v>1144</v>
          </cell>
          <cell r="M221">
            <v>3</v>
          </cell>
          <cell r="N221">
            <v>50</v>
          </cell>
          <cell r="O221">
            <v>26</v>
          </cell>
          <cell r="P221">
            <v>1300</v>
          </cell>
        </row>
        <row r="222">
          <cell r="A222" t="str">
            <v>J-02-08</v>
          </cell>
          <cell r="B222" t="str">
            <v>FLUCONAZOL .:. 150 mg</v>
          </cell>
          <cell r="C222" t="str">
            <v>Comprimido o Cápsula</v>
          </cell>
          <cell r="D222">
            <v>394</v>
          </cell>
          <cell r="E222">
            <v>0</v>
          </cell>
          <cell r="F222">
            <v>0</v>
          </cell>
          <cell r="G222">
            <v>274</v>
          </cell>
          <cell r="H222">
            <v>548</v>
          </cell>
          <cell r="I222">
            <v>488.31485400000003</v>
          </cell>
          <cell r="J222">
            <v>488.31485400000003</v>
          </cell>
          <cell r="K222">
            <v>1.7821709999999999</v>
          </cell>
          <cell r="L222">
            <v>213.86052000000001</v>
          </cell>
          <cell r="M222">
            <v>45.666666666666664</v>
          </cell>
          <cell r="N222">
            <v>660</v>
          </cell>
          <cell r="O222">
            <v>1.7821709999999999</v>
          </cell>
          <cell r="P222">
            <v>1176.2328600000001</v>
          </cell>
        </row>
        <row r="223">
          <cell r="A223" t="str">
            <v>J-05-04</v>
          </cell>
          <cell r="B223" t="str">
            <v>ACICLOVIR .:. 400 mg</v>
          </cell>
          <cell r="C223" t="str">
            <v>Comprimido</v>
          </cell>
          <cell r="D223">
            <v>884</v>
          </cell>
          <cell r="E223">
            <v>0</v>
          </cell>
          <cell r="F223">
            <v>0</v>
          </cell>
          <cell r="G223">
            <v>274</v>
          </cell>
          <cell r="H223">
            <v>548</v>
          </cell>
          <cell r="I223">
            <v>274</v>
          </cell>
          <cell r="J223">
            <v>336</v>
          </cell>
          <cell r="K223">
            <v>1</v>
          </cell>
          <cell r="L223">
            <v>610</v>
          </cell>
          <cell r="M223">
            <v>45.666666666666664</v>
          </cell>
          <cell r="N223">
            <v>212</v>
          </cell>
          <cell r="O223">
            <v>1</v>
          </cell>
          <cell r="P223">
            <v>212</v>
          </cell>
        </row>
        <row r="224">
          <cell r="A224" t="str">
            <v>J-05-30</v>
          </cell>
          <cell r="B224" t="str">
            <v>ACICLOVIR .:. 200 mg/5 ml</v>
          </cell>
          <cell r="C224" t="str">
            <v>Suspensión</v>
          </cell>
          <cell r="D224">
            <v>0</v>
          </cell>
          <cell r="E224">
            <v>20</v>
          </cell>
          <cell r="F224">
            <v>1180</v>
          </cell>
          <cell r="G224">
            <v>2</v>
          </cell>
          <cell r="H224">
            <v>4</v>
          </cell>
          <cell r="I224">
            <v>118</v>
          </cell>
          <cell r="J224">
            <v>16</v>
          </cell>
          <cell r="K224">
            <v>59</v>
          </cell>
          <cell r="L224">
            <v>1062</v>
          </cell>
          <cell r="M224">
            <v>0.33333333333333331</v>
          </cell>
          <cell r="N224">
            <v>20</v>
          </cell>
          <cell r="O224">
            <v>59</v>
          </cell>
          <cell r="P224">
            <v>1180</v>
          </cell>
        </row>
        <row r="225">
          <cell r="A225" t="str">
            <v>J-05-34</v>
          </cell>
          <cell r="B225" t="str">
            <v>LOPINAVIR + RITONAVIR .:. 200 mg + 50 mg</v>
          </cell>
          <cell r="C225" t="str">
            <v>Comprimido</v>
          </cell>
          <cell r="D225">
            <v>130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130</v>
          </cell>
          <cell r="K225">
            <v>19.052076</v>
          </cell>
          <cell r="L225">
            <v>2476.7698799999998</v>
          </cell>
          <cell r="M225">
            <v>0</v>
          </cell>
          <cell r="N225">
            <v>1</v>
          </cell>
          <cell r="O225">
            <v>19.052076</v>
          </cell>
          <cell r="P225">
            <v>19.052076</v>
          </cell>
        </row>
        <row r="226">
          <cell r="A226" t="str">
            <v>J-05-36</v>
          </cell>
          <cell r="B226" t="str">
            <v>OSELTAMIVIR .:. 75 mg</v>
          </cell>
          <cell r="C226" t="str">
            <v>Cápsula</v>
          </cell>
          <cell r="D226">
            <v>152</v>
          </cell>
          <cell r="E226">
            <v>0</v>
          </cell>
          <cell r="F226">
            <v>0</v>
          </cell>
          <cell r="G226">
            <v>60</v>
          </cell>
          <cell r="H226">
            <v>120</v>
          </cell>
          <cell r="I226">
            <v>1430.3444400000001</v>
          </cell>
          <cell r="J226">
            <v>32</v>
          </cell>
          <cell r="K226">
            <v>23.839074</v>
          </cell>
          <cell r="L226">
            <v>2193.1948080000002</v>
          </cell>
          <cell r="M226">
            <v>10</v>
          </cell>
          <cell r="N226">
            <v>100</v>
          </cell>
          <cell r="O226">
            <v>23.839074</v>
          </cell>
          <cell r="P226">
            <v>2383.9074000000001</v>
          </cell>
        </row>
        <row r="227">
          <cell r="A227" t="str">
            <v>J-05-43</v>
          </cell>
          <cell r="B227" t="str">
            <v>ACICLOVIR .:. 800 mg</v>
          </cell>
          <cell r="C227" t="str">
            <v>Comprimido</v>
          </cell>
          <cell r="D227">
            <v>775</v>
          </cell>
          <cell r="E227">
            <v>0</v>
          </cell>
          <cell r="F227">
            <v>0</v>
          </cell>
          <cell r="G227">
            <v>312</v>
          </cell>
          <cell r="H227">
            <v>624</v>
          </cell>
          <cell r="I227">
            <v>904.8</v>
          </cell>
          <cell r="J227">
            <v>151</v>
          </cell>
          <cell r="K227">
            <v>2.9</v>
          </cell>
          <cell r="L227">
            <v>1342.7</v>
          </cell>
          <cell r="M227">
            <v>52</v>
          </cell>
          <cell r="N227">
            <v>11</v>
          </cell>
          <cell r="O227">
            <v>2.9</v>
          </cell>
          <cell r="P227">
            <v>31.9</v>
          </cell>
        </row>
        <row r="228">
          <cell r="A228" t="str">
            <v>L-01-03</v>
          </cell>
          <cell r="B228" t="str">
            <v>CAPECITABINE .:. 500 mg</v>
          </cell>
          <cell r="C228" t="str">
            <v>Comprimido</v>
          </cell>
          <cell r="D228">
            <v>0</v>
          </cell>
          <cell r="E228">
            <v>336</v>
          </cell>
          <cell r="F228">
            <v>4468.8</v>
          </cell>
          <cell r="G228">
            <v>252</v>
          </cell>
          <cell r="H228">
            <v>504</v>
          </cell>
          <cell r="I228">
            <v>3351.6</v>
          </cell>
          <cell r="J228">
            <v>3351.6</v>
          </cell>
          <cell r="K228">
            <v>13.3</v>
          </cell>
          <cell r="L228">
            <v>1117.2</v>
          </cell>
          <cell r="M228">
            <v>84</v>
          </cell>
          <cell r="N228">
            <v>1478.4</v>
          </cell>
          <cell r="O228">
            <v>13.3</v>
          </cell>
          <cell r="P228">
            <v>19662.72</v>
          </cell>
        </row>
        <row r="229">
          <cell r="A229" t="str">
            <v>L-01-17</v>
          </cell>
          <cell r="B229" t="str">
            <v>FLUOROURACILO .:. 500 mg/10 ml</v>
          </cell>
          <cell r="C229" t="str">
            <v>Inyectable</v>
          </cell>
          <cell r="D229">
            <v>0</v>
          </cell>
          <cell r="E229">
            <v>108</v>
          </cell>
          <cell r="F229">
            <v>4428</v>
          </cell>
          <cell r="G229">
            <v>108</v>
          </cell>
          <cell r="H229">
            <v>216</v>
          </cell>
          <cell r="I229">
            <v>4428</v>
          </cell>
          <cell r="J229">
            <v>4428</v>
          </cell>
          <cell r="K229">
            <v>41</v>
          </cell>
          <cell r="L229">
            <v>451</v>
          </cell>
          <cell r="M229">
            <v>18</v>
          </cell>
          <cell r="N229">
            <v>332.20000000000005</v>
          </cell>
          <cell r="O229">
            <v>41</v>
          </cell>
          <cell r="P229">
            <v>13620.200000000003</v>
          </cell>
        </row>
        <row r="230">
          <cell r="A230" t="str">
            <v>L-01-19</v>
          </cell>
          <cell r="B230" t="str">
            <v>HIDROXIUREA .:. 500 mg</v>
          </cell>
          <cell r="C230" t="str">
            <v>capsula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60</v>
          </cell>
          <cell r="N230">
            <v>1320</v>
          </cell>
          <cell r="O230">
            <v>3.34</v>
          </cell>
          <cell r="P230">
            <v>4408.8</v>
          </cell>
        </row>
        <row r="231">
          <cell r="A231" t="str">
            <v>L-01-24</v>
          </cell>
          <cell r="B231" t="str">
            <v>METOTREXATO .:. 50 mg</v>
          </cell>
          <cell r="C231" t="str">
            <v>Inyectable</v>
          </cell>
          <cell r="D231">
            <v>34</v>
          </cell>
          <cell r="E231">
            <v>0</v>
          </cell>
          <cell r="F231">
            <v>0</v>
          </cell>
          <cell r="G231">
            <v>21</v>
          </cell>
          <cell r="H231">
            <v>42</v>
          </cell>
          <cell r="I231">
            <v>1168.43895</v>
          </cell>
          <cell r="J231">
            <v>1168.43895</v>
          </cell>
          <cell r="K231">
            <v>55.639949999999999</v>
          </cell>
          <cell r="L231">
            <v>723.31934999999999</v>
          </cell>
          <cell r="M231">
            <v>3.5</v>
          </cell>
          <cell r="N231">
            <v>44</v>
          </cell>
          <cell r="O231">
            <v>55.639949999999999</v>
          </cell>
          <cell r="P231">
            <v>2448.1578</v>
          </cell>
        </row>
        <row r="232">
          <cell r="A232" t="str">
            <v>L-01-26</v>
          </cell>
          <cell r="B232" t="str">
            <v>METOTREXATO .:. 2,5 mg</v>
          </cell>
          <cell r="C232" t="str">
            <v>Comprimido</v>
          </cell>
          <cell r="D232">
            <v>244</v>
          </cell>
          <cell r="E232">
            <v>2600</v>
          </cell>
          <cell r="F232">
            <v>2720</v>
          </cell>
          <cell r="G232">
            <v>1857</v>
          </cell>
          <cell r="H232">
            <v>3714</v>
          </cell>
          <cell r="I232">
            <v>2192.6185949999999</v>
          </cell>
          <cell r="J232">
            <v>2192.6185949999999</v>
          </cell>
          <cell r="K232">
            <v>1.0048780800405268</v>
          </cell>
          <cell r="L232">
            <v>991.81466499999999</v>
          </cell>
          <cell r="M232">
            <v>309.5</v>
          </cell>
          <cell r="N232">
            <v>4180</v>
          </cell>
          <cell r="O232">
            <v>1.0048780800405268</v>
          </cell>
          <cell r="P232">
            <v>4200.3903745694024</v>
          </cell>
        </row>
        <row r="233">
          <cell r="A233" t="str">
            <v>L-01-34</v>
          </cell>
          <cell r="B233" t="str">
            <v>OXALIPLATINO .:. 50 mg</v>
          </cell>
          <cell r="C233" t="str">
            <v>Inyectable</v>
          </cell>
          <cell r="D233">
            <v>0</v>
          </cell>
          <cell r="E233">
            <v>36</v>
          </cell>
          <cell r="F233">
            <v>7200</v>
          </cell>
          <cell r="G233">
            <v>36</v>
          </cell>
          <cell r="H233">
            <v>72</v>
          </cell>
          <cell r="I233">
            <v>7200</v>
          </cell>
          <cell r="J233">
            <v>0</v>
          </cell>
          <cell r="K233">
            <v>200</v>
          </cell>
          <cell r="L233">
            <v>800</v>
          </cell>
          <cell r="M233">
            <v>6</v>
          </cell>
          <cell r="N233">
            <v>100</v>
          </cell>
          <cell r="O233">
            <v>200</v>
          </cell>
          <cell r="P233">
            <v>20000</v>
          </cell>
        </row>
        <row r="234">
          <cell r="A234" t="str">
            <v>L-01-35</v>
          </cell>
          <cell r="B234" t="str">
            <v>OXALIPLATINO .:. 100 mg</v>
          </cell>
          <cell r="C234" t="str">
            <v>Inyectable</v>
          </cell>
          <cell r="D234">
            <v>0</v>
          </cell>
          <cell r="E234">
            <v>2</v>
          </cell>
          <cell r="F234">
            <v>603.44000000000005</v>
          </cell>
          <cell r="G234">
            <v>2</v>
          </cell>
          <cell r="H234">
            <v>4</v>
          </cell>
          <cell r="I234">
            <v>603.44000000000005</v>
          </cell>
          <cell r="J234">
            <v>0</v>
          </cell>
          <cell r="K234">
            <v>0</v>
          </cell>
          <cell r="L234">
            <v>0</v>
          </cell>
          <cell r="M234">
            <v>0.33333333333333331</v>
          </cell>
          <cell r="N234">
            <v>2</v>
          </cell>
          <cell r="O234">
            <v>301.72000000000003</v>
          </cell>
          <cell r="P234">
            <v>603.44000000000005</v>
          </cell>
        </row>
        <row r="235">
          <cell r="A235" t="str">
            <v>L-01-36</v>
          </cell>
          <cell r="B235" t="str">
            <v>BEVACIZUMAB .:. 25 mg/ML</v>
          </cell>
          <cell r="C235" t="str">
            <v>Inyectable</v>
          </cell>
          <cell r="D235">
            <v>0</v>
          </cell>
          <cell r="E235">
            <v>40</v>
          </cell>
          <cell r="F235">
            <v>47200</v>
          </cell>
          <cell r="G235">
            <v>30</v>
          </cell>
          <cell r="H235">
            <v>60</v>
          </cell>
          <cell r="I235">
            <v>35400</v>
          </cell>
          <cell r="J235">
            <v>0</v>
          </cell>
          <cell r="K235">
            <v>1180</v>
          </cell>
          <cell r="L235">
            <v>11800</v>
          </cell>
          <cell r="M235">
            <v>5</v>
          </cell>
          <cell r="N235">
            <v>60</v>
          </cell>
          <cell r="O235">
            <v>1180</v>
          </cell>
          <cell r="P235">
            <v>70800</v>
          </cell>
        </row>
        <row r="236">
          <cell r="A236" t="str">
            <v>L-01-52</v>
          </cell>
          <cell r="B236" t="str">
            <v>TEMOZOLOMIDA .:. 100 mg</v>
          </cell>
          <cell r="C236" t="str">
            <v>Cápsula</v>
          </cell>
          <cell r="D236">
            <v>0</v>
          </cell>
          <cell r="E236">
            <v>80</v>
          </cell>
          <cell r="F236">
            <v>16421.400000000001</v>
          </cell>
          <cell r="G236">
            <v>60</v>
          </cell>
          <cell r="H236">
            <v>120</v>
          </cell>
          <cell r="I236">
            <v>12429.4</v>
          </cell>
          <cell r="J236">
            <v>0</v>
          </cell>
          <cell r="K236">
            <v>199.6</v>
          </cell>
          <cell r="L236">
            <v>3992</v>
          </cell>
          <cell r="M236">
            <v>10</v>
          </cell>
          <cell r="N236">
            <v>120</v>
          </cell>
          <cell r="O236">
            <v>199.6</v>
          </cell>
          <cell r="P236">
            <v>23952</v>
          </cell>
        </row>
        <row r="237">
          <cell r="A237" t="str">
            <v>L-02-01</v>
          </cell>
          <cell r="B237" t="str">
            <v>ANASTROZOL .:. 1 mg</v>
          </cell>
          <cell r="C237" t="str">
            <v>Comprimido</v>
          </cell>
          <cell r="D237">
            <v>0</v>
          </cell>
          <cell r="E237">
            <v>240</v>
          </cell>
          <cell r="F237">
            <v>1683.6</v>
          </cell>
          <cell r="G237">
            <v>180</v>
          </cell>
          <cell r="H237">
            <v>360</v>
          </cell>
          <cell r="I237">
            <v>1251.5999999999999</v>
          </cell>
          <cell r="J237">
            <v>1251.5999999999999</v>
          </cell>
          <cell r="K237">
            <v>7.2</v>
          </cell>
          <cell r="L237">
            <v>432</v>
          </cell>
          <cell r="M237">
            <v>30</v>
          </cell>
          <cell r="N237">
            <v>462.00000000000006</v>
          </cell>
          <cell r="O237">
            <v>7.2</v>
          </cell>
          <cell r="P237">
            <v>3326.4000000000005</v>
          </cell>
        </row>
        <row r="238">
          <cell r="A238" t="str">
            <v>L-02-04</v>
          </cell>
          <cell r="B238" t="str">
            <v>LETROZOL .:. 2,5 mg</v>
          </cell>
          <cell r="C238" t="str">
            <v>Comprimido</v>
          </cell>
          <cell r="D238">
            <v>90</v>
          </cell>
          <cell r="E238">
            <v>120</v>
          </cell>
          <cell r="F238">
            <v>765.6</v>
          </cell>
          <cell r="G238">
            <v>150</v>
          </cell>
          <cell r="H238">
            <v>300</v>
          </cell>
          <cell r="I238">
            <v>957</v>
          </cell>
          <cell r="J238">
            <v>957</v>
          </cell>
          <cell r="K238">
            <v>6.38</v>
          </cell>
          <cell r="L238">
            <v>382.8</v>
          </cell>
          <cell r="M238">
            <v>25</v>
          </cell>
          <cell r="N238">
            <v>440.00000000000006</v>
          </cell>
          <cell r="O238">
            <v>6.38</v>
          </cell>
          <cell r="P238">
            <v>2807.2000000000003</v>
          </cell>
        </row>
        <row r="239">
          <cell r="A239" t="str">
            <v>L-02-05</v>
          </cell>
          <cell r="B239" t="str">
            <v>TAMOXIFENO .:. 20 mg</v>
          </cell>
          <cell r="C239" t="str">
            <v>Comprimido</v>
          </cell>
          <cell r="D239">
            <v>730</v>
          </cell>
          <cell r="E239">
            <v>0</v>
          </cell>
          <cell r="F239">
            <v>0</v>
          </cell>
          <cell r="G239">
            <v>254</v>
          </cell>
          <cell r="H239">
            <v>508</v>
          </cell>
          <cell r="I239">
            <v>508</v>
          </cell>
          <cell r="J239">
            <v>222</v>
          </cell>
          <cell r="K239">
            <v>2</v>
          </cell>
          <cell r="L239">
            <v>952</v>
          </cell>
          <cell r="M239">
            <v>42.333333333333336</v>
          </cell>
          <cell r="N239">
            <v>286</v>
          </cell>
          <cell r="O239">
            <v>2</v>
          </cell>
          <cell r="P239">
            <v>572</v>
          </cell>
        </row>
        <row r="240">
          <cell r="A240" t="str">
            <v>L-02-08</v>
          </cell>
          <cell r="B240" t="str">
            <v>TRIPTORELINA .:. 22.5 mg</v>
          </cell>
          <cell r="C240" t="str">
            <v>Inyectable</v>
          </cell>
          <cell r="D240">
            <v>0</v>
          </cell>
          <cell r="E240">
            <v>2</v>
          </cell>
          <cell r="F240">
            <v>18760.400000000001</v>
          </cell>
          <cell r="G240">
            <v>2</v>
          </cell>
          <cell r="H240">
            <v>4</v>
          </cell>
          <cell r="I240">
            <v>18760.400000000001</v>
          </cell>
          <cell r="J240">
            <v>0</v>
          </cell>
          <cell r="K240">
            <v>0</v>
          </cell>
          <cell r="L240">
            <v>0</v>
          </cell>
          <cell r="M240">
            <v>0.33333333333333331</v>
          </cell>
          <cell r="N240">
            <v>6</v>
          </cell>
          <cell r="O240">
            <v>9380.2000000000007</v>
          </cell>
          <cell r="P240">
            <v>56281.200000000004</v>
          </cell>
        </row>
        <row r="241">
          <cell r="A241" t="str">
            <v>L-02-11</v>
          </cell>
          <cell r="B241" t="str">
            <v>ENZALUTAMIDA .:. 40 mg</v>
          </cell>
          <cell r="C241" t="str">
            <v>Cápsula</v>
          </cell>
          <cell r="D241">
            <v>0</v>
          </cell>
          <cell r="E241">
            <v>840</v>
          </cell>
          <cell r="F241">
            <v>99000</v>
          </cell>
          <cell r="G241">
            <v>840</v>
          </cell>
          <cell r="H241">
            <v>1680</v>
          </cell>
          <cell r="I241">
            <v>99000</v>
          </cell>
          <cell r="J241">
            <v>0</v>
          </cell>
          <cell r="K241">
            <v>0</v>
          </cell>
          <cell r="L241">
            <v>0</v>
          </cell>
          <cell r="M241">
            <v>140</v>
          </cell>
          <cell r="N241">
            <v>2880</v>
          </cell>
          <cell r="O241">
            <v>130</v>
          </cell>
          <cell r="P241">
            <v>374400</v>
          </cell>
        </row>
        <row r="242">
          <cell r="A242" t="str">
            <v>L-02-12</v>
          </cell>
          <cell r="B242" t="str">
            <v>BICALUTAMIDA .:. 50 mg</v>
          </cell>
          <cell r="C242" t="str">
            <v>Cápsula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8.33</v>
          </cell>
          <cell r="L242">
            <v>0</v>
          </cell>
          <cell r="M242">
            <v>90</v>
          </cell>
          <cell r="N242">
            <v>1782.0000000000002</v>
          </cell>
          <cell r="O242">
            <v>8.33</v>
          </cell>
          <cell r="P242">
            <v>14844.060000000001</v>
          </cell>
        </row>
        <row r="243">
          <cell r="A243" t="str">
            <v>L-03-01</v>
          </cell>
          <cell r="B243" t="str">
            <v>FILGRASTRIM .:. 300 mcg/ml</v>
          </cell>
          <cell r="C243" t="str">
            <v>Inyectable</v>
          </cell>
          <cell r="D243">
            <v>7</v>
          </cell>
          <cell r="E243">
            <v>0</v>
          </cell>
          <cell r="F243">
            <v>0</v>
          </cell>
          <cell r="G243">
            <v>2</v>
          </cell>
          <cell r="H243">
            <v>4</v>
          </cell>
          <cell r="I243">
            <v>206</v>
          </cell>
          <cell r="J243">
            <v>3</v>
          </cell>
          <cell r="K243">
            <v>103</v>
          </cell>
          <cell r="L243">
            <v>515</v>
          </cell>
          <cell r="M243">
            <v>0.33333333333333331</v>
          </cell>
          <cell r="N243">
            <v>5</v>
          </cell>
          <cell r="O243">
            <v>103</v>
          </cell>
          <cell r="P243">
            <v>515</v>
          </cell>
        </row>
        <row r="244">
          <cell r="A244" t="str">
            <v>L-04-01</v>
          </cell>
          <cell r="B244" t="str">
            <v>AZATIOPRINA .:. 50 mg</v>
          </cell>
          <cell r="C244" t="str">
            <v>Comprimido</v>
          </cell>
          <cell r="D244">
            <v>255</v>
          </cell>
          <cell r="E244">
            <v>1300</v>
          </cell>
          <cell r="F244">
            <v>3510</v>
          </cell>
          <cell r="G244">
            <v>645</v>
          </cell>
          <cell r="H244">
            <v>1290</v>
          </cell>
          <cell r="I244">
            <v>1792.694565</v>
          </cell>
          <cell r="J244">
            <v>265</v>
          </cell>
          <cell r="K244">
            <v>2.7</v>
          </cell>
          <cell r="L244">
            <v>2457</v>
          </cell>
          <cell r="M244">
            <v>107.5</v>
          </cell>
          <cell r="N244">
            <v>220.00000000000003</v>
          </cell>
          <cell r="O244">
            <v>2.7</v>
          </cell>
          <cell r="P244">
            <v>594.00000000000011</v>
          </cell>
        </row>
        <row r="245">
          <cell r="A245" t="str">
            <v>L-04-07</v>
          </cell>
          <cell r="B245" t="str">
            <v>MICOFENOLATO DE MOFETILO .:. 500 mg</v>
          </cell>
          <cell r="C245" t="str">
            <v>Comprimido</v>
          </cell>
          <cell r="D245">
            <v>44</v>
          </cell>
          <cell r="E245">
            <v>3320</v>
          </cell>
          <cell r="F245">
            <v>9360</v>
          </cell>
          <cell r="G245">
            <v>2494</v>
          </cell>
          <cell r="H245">
            <v>4988</v>
          </cell>
          <cell r="I245">
            <v>7129.9480700000004</v>
          </cell>
          <cell r="J245">
            <v>306</v>
          </cell>
          <cell r="K245">
            <v>2.7266732761596546</v>
          </cell>
          <cell r="L245">
            <v>2527.626127</v>
          </cell>
          <cell r="M245">
            <v>415.66666666666669</v>
          </cell>
          <cell r="N245">
            <v>6800</v>
          </cell>
          <cell r="O245">
            <v>2.7266732761596546</v>
          </cell>
          <cell r="P245">
            <v>18541.378277885651</v>
          </cell>
        </row>
        <row r="246">
          <cell r="A246" t="str">
            <v>L-04-10</v>
          </cell>
          <cell r="B246" t="str">
            <v>TACROLIMUS .:. 1 mg</v>
          </cell>
          <cell r="C246" t="str">
            <v>Cápsula</v>
          </cell>
          <cell r="D246">
            <v>20</v>
          </cell>
          <cell r="E246">
            <v>630</v>
          </cell>
          <cell r="F246">
            <v>5040</v>
          </cell>
          <cell r="G246">
            <v>540</v>
          </cell>
          <cell r="H246">
            <v>1080</v>
          </cell>
          <cell r="I246">
            <v>4324.92101</v>
          </cell>
          <cell r="J246">
            <v>4324.92101</v>
          </cell>
          <cell r="K246">
            <v>8.000911363636364</v>
          </cell>
          <cell r="L246">
            <v>880.10024999999996</v>
          </cell>
          <cell r="M246">
            <v>90</v>
          </cell>
          <cell r="N246">
            <v>1540.0000000000002</v>
          </cell>
          <cell r="O246">
            <v>8.000911363636364</v>
          </cell>
          <cell r="P246">
            <v>12321.403500000002</v>
          </cell>
        </row>
        <row r="247">
          <cell r="A247" t="str">
            <v>L-04-12</v>
          </cell>
          <cell r="B247" t="str">
            <v>LEFLUNOMIDA .:. 20 mg</v>
          </cell>
          <cell r="C247" t="str">
            <v>Comprimido</v>
          </cell>
          <cell r="D247">
            <v>65</v>
          </cell>
          <cell r="E247">
            <v>1900</v>
          </cell>
          <cell r="F247">
            <v>7220</v>
          </cell>
          <cell r="G247">
            <v>1057</v>
          </cell>
          <cell r="H247">
            <v>2114</v>
          </cell>
          <cell r="I247">
            <v>3974.349991</v>
          </cell>
          <cell r="J247">
            <v>3974.349991</v>
          </cell>
          <cell r="K247">
            <v>3.8000000099118942</v>
          </cell>
          <cell r="L247">
            <v>3450.400009</v>
          </cell>
          <cell r="M247">
            <v>176.16666666666666</v>
          </cell>
          <cell r="N247">
            <v>1760.0000000000002</v>
          </cell>
          <cell r="O247">
            <v>3.8000000099118942</v>
          </cell>
          <cell r="P247">
            <v>6688.0000174449351</v>
          </cell>
        </row>
        <row r="248">
          <cell r="A248" t="str">
            <v>M-01-01</v>
          </cell>
          <cell r="B248" t="str">
            <v>DICLOFENACO SODICO .:. 0.01</v>
          </cell>
          <cell r="C248" t="str">
            <v>Pomada o Gel</v>
          </cell>
          <cell r="D248">
            <v>741</v>
          </cell>
          <cell r="E248">
            <v>1800</v>
          </cell>
          <cell r="F248">
            <v>5220</v>
          </cell>
          <cell r="G248">
            <v>1101</v>
          </cell>
          <cell r="H248">
            <v>2202</v>
          </cell>
          <cell r="I248">
            <v>7346.5059030000002</v>
          </cell>
          <cell r="J248">
            <v>339</v>
          </cell>
          <cell r="K248">
            <v>3.9048381562499999</v>
          </cell>
          <cell r="L248">
            <v>5622.9669450000001</v>
          </cell>
          <cell r="M248">
            <v>183.5</v>
          </cell>
          <cell r="N248">
            <v>660</v>
          </cell>
          <cell r="O248">
            <v>3.9048381562499999</v>
          </cell>
          <cell r="P248">
            <v>2577.1931831249999</v>
          </cell>
        </row>
        <row r="249">
          <cell r="A249" t="str">
            <v>M-01-02</v>
          </cell>
          <cell r="B249" t="str">
            <v>DICLOFENACO SODICO .:. 50 mg</v>
          </cell>
          <cell r="C249" t="str">
            <v>Comprimido</v>
          </cell>
          <cell r="D249">
            <v>1379</v>
          </cell>
          <cell r="E249">
            <v>7000</v>
          </cell>
          <cell r="F249">
            <v>560</v>
          </cell>
          <cell r="G249">
            <v>4958</v>
          </cell>
          <cell r="H249">
            <v>9916</v>
          </cell>
          <cell r="I249">
            <v>477.15980999999999</v>
          </cell>
          <cell r="J249">
            <v>477.15980999999999</v>
          </cell>
          <cell r="K249">
            <v>0.08</v>
          </cell>
          <cell r="L249">
            <v>273.68</v>
          </cell>
          <cell r="M249">
            <v>826.33333333333337</v>
          </cell>
          <cell r="N249">
            <v>9900</v>
          </cell>
          <cell r="O249">
            <v>0.08</v>
          </cell>
          <cell r="P249">
            <v>792</v>
          </cell>
        </row>
        <row r="250">
          <cell r="A250" t="str">
            <v>M-01-03</v>
          </cell>
          <cell r="B250" t="str">
            <v>DICLOFENACO SODICO .:. 75 mg</v>
          </cell>
          <cell r="C250" t="str">
            <v>Inyectable</v>
          </cell>
          <cell r="D250">
            <v>853</v>
          </cell>
          <cell r="E250">
            <v>4000</v>
          </cell>
          <cell r="F250">
            <v>3995</v>
          </cell>
          <cell r="G250">
            <v>1561</v>
          </cell>
          <cell r="H250">
            <v>3122</v>
          </cell>
          <cell r="I250">
            <v>1549.169345</v>
          </cell>
          <cell r="J250">
            <v>1731</v>
          </cell>
          <cell r="K250">
            <v>0.99830871810449573</v>
          </cell>
          <cell r="L250">
            <v>3286.4322999999999</v>
          </cell>
          <cell r="M250">
            <v>260.16666666666669</v>
          </cell>
          <cell r="N250">
            <v>1391</v>
          </cell>
          <cell r="O250">
            <v>0.99830871810449573</v>
          </cell>
          <cell r="P250">
            <v>1388.6474268833535</v>
          </cell>
        </row>
        <row r="251">
          <cell r="A251" t="str">
            <v>M-01-04</v>
          </cell>
          <cell r="B251" t="str">
            <v>IBUPROFENO .:. 100 mg/5 ml</v>
          </cell>
          <cell r="C251" t="str">
            <v>Suspensión</v>
          </cell>
          <cell r="D251">
            <v>153</v>
          </cell>
          <cell r="E251">
            <v>650</v>
          </cell>
          <cell r="F251">
            <v>4030</v>
          </cell>
          <cell r="G251">
            <v>413</v>
          </cell>
          <cell r="H251">
            <v>826</v>
          </cell>
          <cell r="I251">
            <v>2654.2978899999998</v>
          </cell>
          <cell r="J251">
            <v>2654.2978899999998</v>
          </cell>
          <cell r="K251">
            <v>6.230441307692308</v>
          </cell>
          <cell r="L251">
            <v>2429.8721099999998</v>
          </cell>
          <cell r="M251">
            <v>68.833333333333329</v>
          </cell>
          <cell r="N251">
            <v>550</v>
          </cell>
          <cell r="O251">
            <v>6.230441307692308</v>
          </cell>
          <cell r="P251">
            <v>3426.7427192307696</v>
          </cell>
        </row>
        <row r="252">
          <cell r="A252" t="str">
            <v>M-01-05</v>
          </cell>
          <cell r="B252" t="str">
            <v>IBUPROFENO .:. 400 mg</v>
          </cell>
          <cell r="C252" t="str">
            <v>Comprimido</v>
          </cell>
          <cell r="D252">
            <v>11374</v>
          </cell>
          <cell r="E252">
            <v>30000</v>
          </cell>
          <cell r="F252">
            <v>4800</v>
          </cell>
          <cell r="G252">
            <v>13774</v>
          </cell>
          <cell r="H252">
            <v>27548</v>
          </cell>
          <cell r="I252">
            <v>2558.3103660000002</v>
          </cell>
          <cell r="J252">
            <v>13826</v>
          </cell>
          <cell r="K252">
            <v>0.16872543644927537</v>
          </cell>
          <cell r="L252">
            <v>4656.8220460000002</v>
          </cell>
          <cell r="M252">
            <v>2295.6666666666665</v>
          </cell>
          <cell r="N252">
            <v>14000</v>
          </cell>
          <cell r="O252">
            <v>0.16872543644927537</v>
          </cell>
          <cell r="P252">
            <v>2362.1561102898554</v>
          </cell>
        </row>
        <row r="253">
          <cell r="A253" t="str">
            <v>M-01-06</v>
          </cell>
          <cell r="B253" t="str">
            <v>INDOMETACINA .:. 25 mg</v>
          </cell>
          <cell r="C253" t="str">
            <v>Cápsula o Comprimido</v>
          </cell>
          <cell r="D253">
            <v>1003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1003</v>
          </cell>
          <cell r="K253">
            <v>0.20014899999999999</v>
          </cell>
          <cell r="L253">
            <v>200.749447</v>
          </cell>
          <cell r="M253">
            <v>0</v>
          </cell>
          <cell r="N253">
            <v>1</v>
          </cell>
          <cell r="O253">
            <v>0.20014899999999999</v>
          </cell>
          <cell r="P253">
            <v>0.20014899999999999</v>
          </cell>
        </row>
        <row r="254">
          <cell r="A254" t="str">
            <v>M-01-07</v>
          </cell>
          <cell r="B254" t="str">
            <v>INDOMETACINA .:. 100 mg</v>
          </cell>
          <cell r="C254" t="str">
            <v>Supositorio</v>
          </cell>
          <cell r="D254">
            <v>876</v>
          </cell>
          <cell r="E254">
            <v>0</v>
          </cell>
          <cell r="F254">
            <v>0</v>
          </cell>
          <cell r="G254">
            <v>820</v>
          </cell>
          <cell r="H254">
            <v>1640</v>
          </cell>
          <cell r="I254">
            <v>1368.1741</v>
          </cell>
          <cell r="J254">
            <v>1368.1741</v>
          </cell>
          <cell r="K254">
            <v>1.6685049999999999</v>
          </cell>
          <cell r="L254">
            <v>93.436279999999996</v>
          </cell>
          <cell r="M254">
            <v>136.66666666666666</v>
          </cell>
          <cell r="N254">
            <v>2640</v>
          </cell>
          <cell r="O254">
            <v>1.6685049999999999</v>
          </cell>
          <cell r="P254">
            <v>4404.8531999999996</v>
          </cell>
        </row>
        <row r="255">
          <cell r="A255" t="str">
            <v>M-01-09</v>
          </cell>
          <cell r="B255" t="str">
            <v>KETOROLACO .:. 30 mg/ml</v>
          </cell>
          <cell r="C255" t="str">
            <v>Inyectable</v>
          </cell>
          <cell r="D255">
            <v>448</v>
          </cell>
          <cell r="E255">
            <v>4000</v>
          </cell>
          <cell r="F255">
            <v>7995</v>
          </cell>
          <cell r="G255">
            <v>2084</v>
          </cell>
          <cell r="H255">
            <v>4168</v>
          </cell>
          <cell r="I255">
            <v>4218.5532679999997</v>
          </cell>
          <cell r="J255">
            <v>350</v>
          </cell>
          <cell r="K255">
            <v>1.9993514470008218</v>
          </cell>
          <cell r="L255">
            <v>4866.4214220000003</v>
          </cell>
          <cell r="M255">
            <v>347.33333333333331</v>
          </cell>
          <cell r="N255">
            <v>1760.0000000000002</v>
          </cell>
          <cell r="O255">
            <v>1.9993514470008218</v>
          </cell>
          <cell r="P255">
            <v>3518.8585467214466</v>
          </cell>
        </row>
        <row r="256">
          <cell r="A256" t="str">
            <v>M-01-10</v>
          </cell>
          <cell r="B256" t="str">
            <v>KETOPROFENO .:. 100 mg</v>
          </cell>
          <cell r="C256" t="str">
            <v>Inyectable</v>
          </cell>
          <cell r="D256">
            <v>135</v>
          </cell>
          <cell r="E256">
            <v>0</v>
          </cell>
          <cell r="F256">
            <v>0</v>
          </cell>
          <cell r="G256">
            <v>146</v>
          </cell>
          <cell r="H256">
            <v>292</v>
          </cell>
          <cell r="I256">
            <v>1080.4000000000001</v>
          </cell>
          <cell r="J256">
            <v>1080.4000000000001</v>
          </cell>
          <cell r="K256">
            <v>0</v>
          </cell>
          <cell r="L256">
            <v>0</v>
          </cell>
          <cell r="M256">
            <v>24.333333333333332</v>
          </cell>
          <cell r="N256">
            <v>660</v>
          </cell>
          <cell r="O256">
            <v>7.4</v>
          </cell>
          <cell r="P256">
            <v>4884</v>
          </cell>
        </row>
        <row r="257">
          <cell r="A257" t="str">
            <v>M-01-11</v>
          </cell>
          <cell r="B257" t="str">
            <v>MELOXICAM .:. 15 mg</v>
          </cell>
          <cell r="C257" t="str">
            <v>Comprimido</v>
          </cell>
          <cell r="D257">
            <v>2138</v>
          </cell>
          <cell r="E257">
            <v>6300</v>
          </cell>
          <cell r="F257">
            <v>1260</v>
          </cell>
          <cell r="G257">
            <v>4215</v>
          </cell>
          <cell r="H257">
            <v>8430</v>
          </cell>
          <cell r="I257">
            <v>1355.7585329999999</v>
          </cell>
          <cell r="J257">
            <v>8</v>
          </cell>
          <cell r="K257">
            <v>0.23046210442813167</v>
          </cell>
          <cell r="L257">
            <v>973.24146699999994</v>
          </cell>
          <cell r="M257">
            <v>702.5</v>
          </cell>
          <cell r="N257">
            <v>4800</v>
          </cell>
          <cell r="O257">
            <v>0.23046210442813167</v>
          </cell>
          <cell r="P257">
            <v>1106.218101255032</v>
          </cell>
        </row>
        <row r="258">
          <cell r="A258" t="str">
            <v>M-03-01</v>
          </cell>
          <cell r="B258" t="str">
            <v>ATRACURIO BESILATO .:. 10 mg/ml</v>
          </cell>
          <cell r="C258" t="str">
            <v>Inyectable</v>
          </cell>
          <cell r="D258">
            <v>151</v>
          </cell>
          <cell r="E258">
            <v>200</v>
          </cell>
          <cell r="F258">
            <v>5000</v>
          </cell>
          <cell r="G258">
            <v>66</v>
          </cell>
          <cell r="H258">
            <v>132</v>
          </cell>
          <cell r="I258">
            <v>1777.411096</v>
          </cell>
          <cell r="J258">
            <v>219</v>
          </cell>
          <cell r="K258">
            <v>26.141688771929825</v>
          </cell>
          <cell r="L258">
            <v>7450.3813</v>
          </cell>
          <cell r="M258">
            <v>11</v>
          </cell>
          <cell r="N258">
            <v>50</v>
          </cell>
          <cell r="O258">
            <v>26.141688771929825</v>
          </cell>
          <cell r="P258">
            <v>1307.0844385964913</v>
          </cell>
        </row>
        <row r="259">
          <cell r="A259" t="str">
            <v>M-04-01</v>
          </cell>
          <cell r="B259" t="str">
            <v>ALOPURINOL .:. 300 mg</v>
          </cell>
          <cell r="C259" t="str">
            <v>Comprimido</v>
          </cell>
          <cell r="D259">
            <v>1301</v>
          </cell>
          <cell r="E259">
            <v>3100</v>
          </cell>
          <cell r="F259">
            <v>1705</v>
          </cell>
          <cell r="G259">
            <v>1431</v>
          </cell>
          <cell r="H259">
            <v>2862</v>
          </cell>
          <cell r="I259">
            <v>709.77970700000003</v>
          </cell>
          <cell r="J259">
            <v>1539</v>
          </cell>
          <cell r="K259">
            <v>0.55000000000000004</v>
          </cell>
          <cell r="L259">
            <v>1633.5</v>
          </cell>
          <cell r="M259">
            <v>238.5</v>
          </cell>
          <cell r="N259">
            <v>1323</v>
          </cell>
          <cell r="O259">
            <v>0.55000000000000004</v>
          </cell>
          <cell r="P259">
            <v>727.65000000000009</v>
          </cell>
        </row>
        <row r="260">
          <cell r="A260" t="str">
            <v>M-04-02</v>
          </cell>
          <cell r="B260" t="str">
            <v>COLCHICINA .:. 0,5 mg</v>
          </cell>
          <cell r="C260" t="str">
            <v>Comprimido</v>
          </cell>
          <cell r="D260">
            <v>507</v>
          </cell>
          <cell r="E260">
            <v>0</v>
          </cell>
          <cell r="F260">
            <v>0</v>
          </cell>
          <cell r="G260">
            <v>275</v>
          </cell>
          <cell r="H260">
            <v>550</v>
          </cell>
          <cell r="I260">
            <v>227.715675</v>
          </cell>
          <cell r="J260">
            <v>227.715675</v>
          </cell>
          <cell r="K260">
            <v>0.82805700000000004</v>
          </cell>
          <cell r="L260">
            <v>192.10922400000001</v>
          </cell>
          <cell r="M260">
            <v>45.833333333333336</v>
          </cell>
          <cell r="N260">
            <v>440.00000000000006</v>
          </cell>
          <cell r="O260">
            <v>0.82805700000000004</v>
          </cell>
          <cell r="P260">
            <v>364.34508000000005</v>
          </cell>
        </row>
        <row r="261">
          <cell r="A261" t="str">
            <v>M-05-03</v>
          </cell>
          <cell r="B261" t="str">
            <v>ACIDO ALENDRONICO (ALENDRONATO) .:. 70 mg</v>
          </cell>
          <cell r="C261" t="str">
            <v>Comprimido</v>
          </cell>
          <cell r="D261">
            <v>68</v>
          </cell>
          <cell r="E261">
            <v>2000</v>
          </cell>
          <cell r="F261">
            <v>2530</v>
          </cell>
          <cell r="G261">
            <v>637</v>
          </cell>
          <cell r="H261">
            <v>1274</v>
          </cell>
          <cell r="I261">
            <v>924.507969</v>
          </cell>
          <cell r="J261">
            <v>794</v>
          </cell>
          <cell r="K261">
            <v>1.2169755632424877</v>
          </cell>
          <cell r="L261">
            <v>1741.492031</v>
          </cell>
          <cell r="M261">
            <v>106.16666666666667</v>
          </cell>
          <cell r="N261">
            <v>480</v>
          </cell>
          <cell r="O261">
            <v>1.2169755632424877</v>
          </cell>
          <cell r="P261">
            <v>584.14827035639405</v>
          </cell>
        </row>
        <row r="262">
          <cell r="A262" t="str">
            <v>M-05-04</v>
          </cell>
          <cell r="B262" t="str">
            <v>ACIDO ZOLEDRONICO .:. 4mg</v>
          </cell>
          <cell r="C262" t="str">
            <v>Inyectable</v>
          </cell>
          <cell r="D262">
            <v>5</v>
          </cell>
          <cell r="E262">
            <v>6</v>
          </cell>
          <cell r="F262">
            <v>2419.1999999999998</v>
          </cell>
          <cell r="G262">
            <v>8</v>
          </cell>
          <cell r="H262">
            <v>16</v>
          </cell>
          <cell r="I262">
            <v>3220.7786639999999</v>
          </cell>
          <cell r="J262">
            <v>0</v>
          </cell>
          <cell r="K262">
            <v>403.02933366666667</v>
          </cell>
          <cell r="L262">
            <v>1209.0880010000001</v>
          </cell>
          <cell r="M262">
            <v>1.3333333333333333</v>
          </cell>
          <cell r="N262">
            <v>19.8</v>
          </cell>
          <cell r="O262">
            <v>423</v>
          </cell>
          <cell r="P262">
            <v>8375.4</v>
          </cell>
        </row>
        <row r="263">
          <cell r="A263" t="str">
            <v>N-01-02</v>
          </cell>
          <cell r="B263" t="str">
            <v>BUPIVACAINA CLORHIDRATO (PESADA) .:. 0,5%</v>
          </cell>
          <cell r="C263" t="str">
            <v>Inyectable</v>
          </cell>
          <cell r="D263">
            <v>49</v>
          </cell>
          <cell r="E263">
            <v>80</v>
          </cell>
          <cell r="F263">
            <v>896</v>
          </cell>
          <cell r="G263">
            <v>50</v>
          </cell>
          <cell r="H263">
            <v>100</v>
          </cell>
          <cell r="I263">
            <v>563.53407000000004</v>
          </cell>
          <cell r="J263">
            <v>30</v>
          </cell>
          <cell r="K263">
            <v>11.209551625</v>
          </cell>
          <cell r="L263">
            <v>896.76413000000002</v>
          </cell>
          <cell r="M263">
            <v>8.3333333333333339</v>
          </cell>
          <cell r="N263">
            <v>80</v>
          </cell>
          <cell r="O263">
            <v>11.209551625</v>
          </cell>
          <cell r="P263">
            <v>896.76413000000002</v>
          </cell>
        </row>
        <row r="264">
          <cell r="A264" t="str">
            <v>N-01-05</v>
          </cell>
          <cell r="B264" t="str">
            <v>FENTANILO CON CONSERVANTE .:. 0,05 mg/ml</v>
          </cell>
          <cell r="C264" t="str">
            <v>Inyectable</v>
          </cell>
          <cell r="D264">
            <v>283</v>
          </cell>
          <cell r="E264">
            <v>0</v>
          </cell>
          <cell r="F264">
            <v>0</v>
          </cell>
          <cell r="G264">
            <v>103</v>
          </cell>
          <cell r="H264">
            <v>206</v>
          </cell>
          <cell r="I264">
            <v>3467.882486</v>
          </cell>
          <cell r="J264">
            <v>77</v>
          </cell>
          <cell r="K264">
            <v>33.668762000000001</v>
          </cell>
          <cell r="L264">
            <v>6060.37716</v>
          </cell>
          <cell r="M264">
            <v>17.166666666666668</v>
          </cell>
          <cell r="N264">
            <v>129</v>
          </cell>
          <cell r="O264">
            <v>33.668762000000001</v>
          </cell>
          <cell r="P264">
            <v>4343.2702980000004</v>
          </cell>
        </row>
        <row r="265">
          <cell r="A265" t="str">
            <v>N-01-09</v>
          </cell>
          <cell r="B265" t="str">
            <v>LIDOCAINA CLORHIDRATO .:. 0.02</v>
          </cell>
          <cell r="C265" t="str">
            <v>Caja x 50</v>
          </cell>
          <cell r="D265">
            <v>0</v>
          </cell>
          <cell r="E265">
            <v>1</v>
          </cell>
          <cell r="F265">
            <v>178</v>
          </cell>
          <cell r="G265">
            <v>0</v>
          </cell>
          <cell r="H265">
            <v>0</v>
          </cell>
          <cell r="I265">
            <v>0</v>
          </cell>
          <cell r="J265">
            <v>1</v>
          </cell>
          <cell r="K265">
            <v>178</v>
          </cell>
          <cell r="L265">
            <v>178</v>
          </cell>
          <cell r="M265">
            <v>0</v>
          </cell>
          <cell r="N265">
            <v>1</v>
          </cell>
          <cell r="O265">
            <v>178</v>
          </cell>
          <cell r="P265">
            <v>178</v>
          </cell>
        </row>
        <row r="266">
          <cell r="A266" t="str">
            <v>N-01-12</v>
          </cell>
          <cell r="B266" t="str">
            <v>LIDOCAINA CLORHIDRATO SIN CONSERVANTE .:. 0.02</v>
          </cell>
          <cell r="C266" t="str">
            <v>Inyectable</v>
          </cell>
          <cell r="D266">
            <v>46</v>
          </cell>
          <cell r="E266">
            <v>100</v>
          </cell>
          <cell r="F266">
            <v>800</v>
          </cell>
          <cell r="G266">
            <v>115</v>
          </cell>
          <cell r="H266">
            <v>230</v>
          </cell>
          <cell r="I266">
            <v>940.97823100000005</v>
          </cell>
          <cell r="J266">
            <v>940.97823100000005</v>
          </cell>
          <cell r="K266">
            <v>8.0652183548387093</v>
          </cell>
          <cell r="L266">
            <v>250.02176900000001</v>
          </cell>
          <cell r="M266">
            <v>19.166666666666668</v>
          </cell>
          <cell r="N266">
            <v>330</v>
          </cell>
          <cell r="O266">
            <v>8.0652183548387093</v>
          </cell>
          <cell r="P266">
            <v>2661.522057096774</v>
          </cell>
        </row>
        <row r="267">
          <cell r="A267" t="str">
            <v>N-01-13</v>
          </cell>
          <cell r="B267" t="str">
            <v>PROPOFOL .:. 10 mg/ml</v>
          </cell>
          <cell r="C267" t="str">
            <v>Inyectable</v>
          </cell>
          <cell r="D267">
            <v>67</v>
          </cell>
          <cell r="E267">
            <v>200</v>
          </cell>
          <cell r="F267">
            <v>1200</v>
          </cell>
          <cell r="G267">
            <v>241</v>
          </cell>
          <cell r="H267">
            <v>482</v>
          </cell>
          <cell r="I267">
            <v>2316.33</v>
          </cell>
          <cell r="J267">
            <v>59</v>
          </cell>
          <cell r="K267">
            <v>6</v>
          </cell>
          <cell r="L267">
            <v>156</v>
          </cell>
          <cell r="M267">
            <v>40.166666666666664</v>
          </cell>
          <cell r="N267">
            <v>770.00000000000011</v>
          </cell>
          <cell r="O267">
            <v>6</v>
          </cell>
          <cell r="P267">
            <v>4620.0000000000009</v>
          </cell>
        </row>
        <row r="268">
          <cell r="A268" t="str">
            <v>N-01-15</v>
          </cell>
          <cell r="B268" t="str">
            <v>TIOPENTAL SODICO .:. 1 g</v>
          </cell>
          <cell r="C268" t="str">
            <v>Inyectable</v>
          </cell>
          <cell r="D268">
            <v>54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54</v>
          </cell>
          <cell r="K268">
            <v>25</v>
          </cell>
          <cell r="L268">
            <v>1350</v>
          </cell>
          <cell r="M268">
            <v>0</v>
          </cell>
          <cell r="N268">
            <v>1</v>
          </cell>
          <cell r="O268">
            <v>25</v>
          </cell>
          <cell r="P268">
            <v>25</v>
          </cell>
        </row>
        <row r="269">
          <cell r="A269" t="str">
            <v>N-01-16</v>
          </cell>
          <cell r="B269" t="str">
            <v>REMIFENTANILO .:. 5 mg</v>
          </cell>
          <cell r="C269" t="str">
            <v>Inyectable</v>
          </cell>
          <cell r="D269">
            <v>1</v>
          </cell>
          <cell r="E269">
            <v>30</v>
          </cell>
          <cell r="F269">
            <v>3600</v>
          </cell>
          <cell r="G269">
            <v>9</v>
          </cell>
          <cell r="H269">
            <v>18</v>
          </cell>
          <cell r="I269">
            <v>1085</v>
          </cell>
          <cell r="J269">
            <v>13</v>
          </cell>
          <cell r="K269">
            <v>120</v>
          </cell>
          <cell r="L269">
            <v>2640</v>
          </cell>
          <cell r="M269">
            <v>1.5</v>
          </cell>
          <cell r="N269">
            <v>30</v>
          </cell>
          <cell r="O269">
            <v>120</v>
          </cell>
          <cell r="P269">
            <v>3600</v>
          </cell>
        </row>
        <row r="270">
          <cell r="A270" t="str">
            <v>N-02-03</v>
          </cell>
          <cell r="B270" t="str">
            <v>ERGOTAMINA TARTRATO + CAFEINA .:. 1 mg + 100 mg</v>
          </cell>
          <cell r="C270" t="str">
            <v>Comprimido</v>
          </cell>
          <cell r="D270">
            <v>0</v>
          </cell>
          <cell r="E270">
            <v>2400</v>
          </cell>
          <cell r="F270">
            <v>3400</v>
          </cell>
          <cell r="G270">
            <v>629</v>
          </cell>
          <cell r="H270">
            <v>1258</v>
          </cell>
          <cell r="I270">
            <v>906.12624900000003</v>
          </cell>
          <cell r="J270">
            <v>1142</v>
          </cell>
          <cell r="K270">
            <v>1.4081726431394692</v>
          </cell>
          <cell r="L270">
            <v>2493.8737510000001</v>
          </cell>
          <cell r="M270">
            <v>104.83333333333333</v>
          </cell>
          <cell r="N270">
            <v>116</v>
          </cell>
          <cell r="O270">
            <v>1.4081726431394692</v>
          </cell>
          <cell r="P270">
            <v>163.34802660417841</v>
          </cell>
        </row>
        <row r="271">
          <cell r="A271" t="str">
            <v>N-02-05</v>
          </cell>
          <cell r="B271" t="str">
            <v>METAMIZOL (DIPIRONA) .:. 1 g</v>
          </cell>
          <cell r="C271" t="str">
            <v>Inyectable</v>
          </cell>
          <cell r="D271">
            <v>1864</v>
          </cell>
          <cell r="E271">
            <v>3300</v>
          </cell>
          <cell r="F271">
            <v>3300</v>
          </cell>
          <cell r="G271">
            <v>2508</v>
          </cell>
          <cell r="H271">
            <v>5016</v>
          </cell>
          <cell r="I271">
            <v>3494.332038</v>
          </cell>
          <cell r="J271">
            <v>276</v>
          </cell>
          <cell r="K271">
            <v>1.2007213491379309</v>
          </cell>
          <cell r="L271">
            <v>3342.8082359999999</v>
          </cell>
          <cell r="M271">
            <v>418</v>
          </cell>
          <cell r="N271">
            <v>2200</v>
          </cell>
          <cell r="O271">
            <v>1.2007213491379309</v>
          </cell>
          <cell r="P271">
            <v>2641.5869681034483</v>
          </cell>
        </row>
        <row r="272">
          <cell r="A272" t="str">
            <v>N-02-07</v>
          </cell>
          <cell r="B272" t="str">
            <v>MORFINA (CON Y SIN CONSERVANTE) .:. 10 mg/ml</v>
          </cell>
          <cell r="C272" t="str">
            <v>Inyectable</v>
          </cell>
          <cell r="D272">
            <v>3</v>
          </cell>
          <cell r="E272">
            <v>150</v>
          </cell>
          <cell r="F272">
            <v>1798.5</v>
          </cell>
          <cell r="G272">
            <v>17</v>
          </cell>
          <cell r="H272">
            <v>34</v>
          </cell>
          <cell r="I272">
            <v>203.86</v>
          </cell>
          <cell r="J272">
            <v>119</v>
          </cell>
          <cell r="K272">
            <v>11.99</v>
          </cell>
          <cell r="L272">
            <v>1630.64</v>
          </cell>
          <cell r="M272">
            <v>2.8333333333333335</v>
          </cell>
          <cell r="N272">
            <v>10</v>
          </cell>
          <cell r="O272">
            <v>11.99</v>
          </cell>
          <cell r="P272">
            <v>119.9</v>
          </cell>
        </row>
        <row r="273">
          <cell r="A273" t="str">
            <v>N-02-08</v>
          </cell>
          <cell r="B273" t="str">
            <v>PARACETAMOL (ACETAMINOFENO) .:. 500 mg</v>
          </cell>
          <cell r="C273" t="str">
            <v>Comprimido</v>
          </cell>
          <cell r="D273">
            <v>7504</v>
          </cell>
          <cell r="E273">
            <v>0</v>
          </cell>
          <cell r="F273">
            <v>0</v>
          </cell>
          <cell r="G273">
            <v>7459</v>
          </cell>
          <cell r="H273">
            <v>14918</v>
          </cell>
          <cell r="I273">
            <v>675.151385</v>
          </cell>
          <cell r="J273">
            <v>5541</v>
          </cell>
          <cell r="K273">
            <v>9.0514999999999998E-2</v>
          </cell>
          <cell r="L273">
            <v>4.073175</v>
          </cell>
          <cell r="M273">
            <v>1243.1666666666667</v>
          </cell>
          <cell r="N273">
            <v>13000</v>
          </cell>
          <cell r="O273">
            <v>0.13</v>
          </cell>
          <cell r="P273">
            <v>1690</v>
          </cell>
        </row>
        <row r="274">
          <cell r="A274" t="str">
            <v>N-02-09</v>
          </cell>
          <cell r="B274" t="str">
            <v>PARACETAMOL (ACETAMINOFENO) .:. 125 mg/5 ml o 120 mg/5 ml</v>
          </cell>
          <cell r="C274" t="str">
            <v>Jarabe</v>
          </cell>
          <cell r="D274">
            <v>50</v>
          </cell>
          <cell r="E274">
            <v>200</v>
          </cell>
          <cell r="F274">
            <v>1160</v>
          </cell>
          <cell r="G274">
            <v>85</v>
          </cell>
          <cell r="H274">
            <v>170</v>
          </cell>
          <cell r="I274">
            <v>528</v>
          </cell>
          <cell r="J274">
            <v>80</v>
          </cell>
          <cell r="K274">
            <v>5.8</v>
          </cell>
          <cell r="L274">
            <v>957</v>
          </cell>
          <cell r="M274">
            <v>14.166666666666666</v>
          </cell>
          <cell r="N274">
            <v>100</v>
          </cell>
          <cell r="O274">
            <v>5.8</v>
          </cell>
          <cell r="P274">
            <v>580</v>
          </cell>
        </row>
        <row r="275">
          <cell r="A275" t="str">
            <v>N-02-10</v>
          </cell>
          <cell r="B275" t="str">
            <v>PARACETAMOL (ACETAMINOFENO) .:. 100 mg/ml</v>
          </cell>
          <cell r="C275" t="str">
            <v>Gotas</v>
          </cell>
          <cell r="D275">
            <v>33</v>
          </cell>
          <cell r="E275">
            <v>100</v>
          </cell>
          <cell r="F275">
            <v>500</v>
          </cell>
          <cell r="G275">
            <v>50</v>
          </cell>
          <cell r="H275">
            <v>100</v>
          </cell>
          <cell r="I275">
            <v>266.5</v>
          </cell>
          <cell r="J275">
            <v>33</v>
          </cell>
          <cell r="K275">
            <v>5</v>
          </cell>
          <cell r="L275">
            <v>415</v>
          </cell>
          <cell r="M275">
            <v>8.3333333333333339</v>
          </cell>
          <cell r="N275">
            <v>50</v>
          </cell>
          <cell r="O275">
            <v>5</v>
          </cell>
          <cell r="P275">
            <v>250</v>
          </cell>
        </row>
        <row r="276">
          <cell r="A276" t="str">
            <v>N-02-11</v>
          </cell>
          <cell r="B276" t="str">
            <v>PARACETAMOL (ACETAMINOFENO) .:. 100 mg</v>
          </cell>
          <cell r="C276" t="str">
            <v>Supositorio</v>
          </cell>
          <cell r="D276">
            <v>44</v>
          </cell>
          <cell r="E276">
            <v>0</v>
          </cell>
          <cell r="F276">
            <v>0</v>
          </cell>
          <cell r="G276">
            <v>13</v>
          </cell>
          <cell r="H276">
            <v>26</v>
          </cell>
          <cell r="I276">
            <v>21.297772999999999</v>
          </cell>
          <cell r="J276">
            <v>18</v>
          </cell>
          <cell r="K276">
            <v>1.6382686129032258</v>
          </cell>
          <cell r="L276">
            <v>50.786327</v>
          </cell>
          <cell r="M276">
            <v>2.1666666666666665</v>
          </cell>
          <cell r="N276">
            <v>30</v>
          </cell>
          <cell r="O276">
            <v>1.6382686129032258</v>
          </cell>
          <cell r="P276">
            <v>49.148058387096775</v>
          </cell>
        </row>
        <row r="277">
          <cell r="A277" t="str">
            <v>N-02-14</v>
          </cell>
          <cell r="B277" t="str">
            <v>TRAMADOL .:. 100 mg/2 ml</v>
          </cell>
          <cell r="C277" t="str">
            <v>Inyectable</v>
          </cell>
          <cell r="D277">
            <v>260</v>
          </cell>
          <cell r="E277">
            <v>600</v>
          </cell>
          <cell r="F277">
            <v>2994</v>
          </cell>
          <cell r="G277">
            <v>297</v>
          </cell>
          <cell r="H277">
            <v>594</v>
          </cell>
          <cell r="I277">
            <v>1482.03</v>
          </cell>
          <cell r="J277">
            <v>276</v>
          </cell>
          <cell r="K277">
            <v>4.99</v>
          </cell>
          <cell r="L277">
            <v>2859.27</v>
          </cell>
          <cell r="M277">
            <v>49.5</v>
          </cell>
          <cell r="N277">
            <v>318</v>
          </cell>
          <cell r="O277">
            <v>4.99</v>
          </cell>
          <cell r="P277">
            <v>1586.8200000000002</v>
          </cell>
        </row>
        <row r="278">
          <cell r="A278" t="str">
            <v>N-02-15</v>
          </cell>
          <cell r="B278" t="str">
            <v>TRAMADOL .:. 50 mg</v>
          </cell>
          <cell r="C278" t="str">
            <v>Comprimido</v>
          </cell>
          <cell r="D278">
            <v>2052</v>
          </cell>
          <cell r="E278">
            <v>3000</v>
          </cell>
          <cell r="F278">
            <v>5400</v>
          </cell>
          <cell r="G278">
            <v>2172</v>
          </cell>
          <cell r="H278">
            <v>4344</v>
          </cell>
          <cell r="I278">
            <v>3912.0295679999999</v>
          </cell>
          <cell r="J278">
            <v>708</v>
          </cell>
          <cell r="K278">
            <v>1.8</v>
          </cell>
          <cell r="L278">
            <v>5184</v>
          </cell>
          <cell r="M278">
            <v>362</v>
          </cell>
          <cell r="N278">
            <v>1100</v>
          </cell>
          <cell r="O278">
            <v>1.8</v>
          </cell>
          <cell r="P278">
            <v>1980</v>
          </cell>
        </row>
        <row r="279">
          <cell r="A279" t="str">
            <v>N-02-17</v>
          </cell>
          <cell r="B279" t="str">
            <v>TRAMADOL .:. 100 mg/ml</v>
          </cell>
          <cell r="C279" t="str">
            <v>Solución p/ gotas orales</v>
          </cell>
          <cell r="D279">
            <v>48</v>
          </cell>
          <cell r="E279">
            <v>140</v>
          </cell>
          <cell r="F279">
            <v>6160</v>
          </cell>
          <cell r="G279">
            <v>76</v>
          </cell>
          <cell r="H279">
            <v>152</v>
          </cell>
          <cell r="I279">
            <v>3463.288544</v>
          </cell>
          <cell r="J279">
            <v>36</v>
          </cell>
          <cell r="K279">
            <v>44</v>
          </cell>
          <cell r="L279">
            <v>4928</v>
          </cell>
          <cell r="M279">
            <v>12.666666666666666</v>
          </cell>
          <cell r="N279">
            <v>4.4000000000000004</v>
          </cell>
          <cell r="O279">
            <v>44</v>
          </cell>
          <cell r="P279">
            <v>193.60000000000002</v>
          </cell>
        </row>
        <row r="280">
          <cell r="A280" t="str">
            <v>N-03-03</v>
          </cell>
          <cell r="B280" t="str">
            <v>ACIDO VALPROICO O VALPROATO SODICO .:. 500 mg</v>
          </cell>
          <cell r="C280" t="str">
            <v>Cápsula o Comprimido</v>
          </cell>
          <cell r="D280">
            <v>5890</v>
          </cell>
          <cell r="E280">
            <v>0</v>
          </cell>
          <cell r="F280">
            <v>0</v>
          </cell>
          <cell r="G280">
            <v>4270</v>
          </cell>
          <cell r="H280">
            <v>8540</v>
          </cell>
          <cell r="I280">
            <v>16823.8</v>
          </cell>
          <cell r="J280">
            <v>730</v>
          </cell>
          <cell r="K280">
            <v>3.94</v>
          </cell>
          <cell r="L280">
            <v>6382.8</v>
          </cell>
          <cell r="M280">
            <v>711.66666666666663</v>
          </cell>
          <cell r="N280">
            <v>10700</v>
          </cell>
          <cell r="O280">
            <v>3.94</v>
          </cell>
          <cell r="P280">
            <v>42158</v>
          </cell>
        </row>
        <row r="281">
          <cell r="A281" t="str">
            <v>N-03-04</v>
          </cell>
          <cell r="B281" t="str">
            <v>CARBAMAZEPINA .:. 200 mg</v>
          </cell>
          <cell r="C281" t="str">
            <v>Comprimido</v>
          </cell>
          <cell r="D281">
            <v>2377</v>
          </cell>
          <cell r="E281">
            <v>0</v>
          </cell>
          <cell r="F281">
            <v>0</v>
          </cell>
          <cell r="G281">
            <v>1184</v>
          </cell>
          <cell r="H281">
            <v>2368</v>
          </cell>
          <cell r="I281">
            <v>356.386368</v>
          </cell>
          <cell r="J281">
            <v>9</v>
          </cell>
          <cell r="K281">
            <v>0.30100199999999999</v>
          </cell>
          <cell r="L281">
            <v>359.09538600000002</v>
          </cell>
          <cell r="M281">
            <v>197.33333333333334</v>
          </cell>
          <cell r="N281">
            <v>1540.0000000000002</v>
          </cell>
          <cell r="O281">
            <v>0.30100199999999999</v>
          </cell>
          <cell r="P281">
            <v>463.54308000000003</v>
          </cell>
        </row>
        <row r="282">
          <cell r="A282" t="str">
            <v>N-03-06</v>
          </cell>
          <cell r="B282" t="str">
            <v>CLONAZEPAM .:. 2 mg</v>
          </cell>
          <cell r="C282" t="str">
            <v>Comprimido ranurado</v>
          </cell>
          <cell r="D282">
            <v>1429</v>
          </cell>
          <cell r="E282">
            <v>6390</v>
          </cell>
          <cell r="F282">
            <v>3888</v>
          </cell>
          <cell r="G282">
            <v>3125</v>
          </cell>
          <cell r="H282">
            <v>6250</v>
          </cell>
          <cell r="I282">
            <v>1902.042737</v>
          </cell>
          <cell r="J282">
            <v>1569</v>
          </cell>
          <cell r="K282">
            <v>0.61004727183638685</v>
          </cell>
          <cell r="L282">
            <v>2863.5618939999999</v>
          </cell>
          <cell r="M282">
            <v>520.83333333333337</v>
          </cell>
          <cell r="N282">
            <v>4800</v>
          </cell>
          <cell r="O282">
            <v>0.61004727183638685</v>
          </cell>
          <cell r="P282">
            <v>2928.2269048146568</v>
          </cell>
        </row>
        <row r="283">
          <cell r="A283" t="str">
            <v>N-03-07</v>
          </cell>
          <cell r="B283" t="str">
            <v>FENITOINA .:. 50 mg/ml</v>
          </cell>
          <cell r="C283" t="str">
            <v>Inyectable</v>
          </cell>
          <cell r="D283">
            <v>59</v>
          </cell>
          <cell r="E283">
            <v>50</v>
          </cell>
          <cell r="F283">
            <v>540</v>
          </cell>
          <cell r="G283">
            <v>83</v>
          </cell>
          <cell r="H283">
            <v>166</v>
          </cell>
          <cell r="I283">
            <v>896.4</v>
          </cell>
          <cell r="J283">
            <v>896.4</v>
          </cell>
          <cell r="K283">
            <v>10.8</v>
          </cell>
          <cell r="L283">
            <v>345.6</v>
          </cell>
          <cell r="M283">
            <v>13.833333333333334</v>
          </cell>
          <cell r="N283">
            <v>220.00000000000003</v>
          </cell>
          <cell r="O283">
            <v>10.8</v>
          </cell>
          <cell r="P283">
            <v>2376.0000000000005</v>
          </cell>
        </row>
        <row r="284">
          <cell r="A284" t="str">
            <v>N-03-08</v>
          </cell>
          <cell r="B284" t="str">
            <v>FENITOINA .:. 100 mg</v>
          </cell>
          <cell r="C284" t="str">
            <v>Cápsula o Comprimido</v>
          </cell>
          <cell r="D284">
            <v>238</v>
          </cell>
          <cell r="E284">
            <v>3500</v>
          </cell>
          <cell r="F284">
            <v>1365</v>
          </cell>
          <cell r="G284">
            <v>1501</v>
          </cell>
          <cell r="H284">
            <v>3002</v>
          </cell>
          <cell r="I284">
            <v>599.95798000000002</v>
          </cell>
          <cell r="J284">
            <v>736</v>
          </cell>
          <cell r="K284">
            <v>0.39</v>
          </cell>
          <cell r="L284">
            <v>872.43</v>
          </cell>
          <cell r="M284">
            <v>250.16666666666666</v>
          </cell>
          <cell r="N284">
            <v>220.00000000000003</v>
          </cell>
          <cell r="O284">
            <v>0.39</v>
          </cell>
          <cell r="P284">
            <v>85.800000000000011</v>
          </cell>
        </row>
        <row r="285">
          <cell r="A285" t="str">
            <v>N-03-12</v>
          </cell>
          <cell r="B285" t="str">
            <v>CLONAZEPAM .:. 2,5 mg/ml</v>
          </cell>
          <cell r="C285" t="str">
            <v>Solución oral</v>
          </cell>
          <cell r="D285">
            <v>43</v>
          </cell>
          <cell r="E285">
            <v>210</v>
          </cell>
          <cell r="F285">
            <v>13647.9</v>
          </cell>
          <cell r="G285">
            <v>112</v>
          </cell>
          <cell r="H285">
            <v>224</v>
          </cell>
          <cell r="I285">
            <v>7150.31</v>
          </cell>
          <cell r="J285">
            <v>29</v>
          </cell>
          <cell r="K285">
            <v>64.989999999999995</v>
          </cell>
          <cell r="L285">
            <v>9163.59</v>
          </cell>
          <cell r="M285">
            <v>18.666666666666668</v>
          </cell>
          <cell r="N285">
            <v>77</v>
          </cell>
          <cell r="O285">
            <v>64.989999999999995</v>
          </cell>
          <cell r="P285">
            <v>5004.2299999999996</v>
          </cell>
        </row>
        <row r="286">
          <cell r="A286" t="str">
            <v>N-03-18</v>
          </cell>
          <cell r="B286" t="str">
            <v>LAMOTRIGINA .:. 200mg</v>
          </cell>
          <cell r="C286" t="str">
            <v>Comprimido</v>
          </cell>
          <cell r="D286">
            <v>0</v>
          </cell>
          <cell r="E286">
            <v>1600</v>
          </cell>
          <cell r="F286">
            <v>17500</v>
          </cell>
          <cell r="G286">
            <v>930</v>
          </cell>
          <cell r="H286">
            <v>1860</v>
          </cell>
          <cell r="I286">
            <v>10187.51072</v>
          </cell>
          <cell r="J286">
            <v>270</v>
          </cell>
          <cell r="K286">
            <v>10.914163104477613</v>
          </cell>
          <cell r="L286">
            <v>7312.4892799999998</v>
          </cell>
          <cell r="M286">
            <v>155</v>
          </cell>
          <cell r="N286">
            <v>1760.0000000000002</v>
          </cell>
          <cell r="O286">
            <v>11.38</v>
          </cell>
          <cell r="P286">
            <v>20028.800000000003</v>
          </cell>
        </row>
        <row r="287">
          <cell r="A287" t="str">
            <v>N-03-20</v>
          </cell>
          <cell r="B287" t="str">
            <v>PREGABALINA .:. 75 MG</v>
          </cell>
          <cell r="C287" t="str">
            <v>Cápsula</v>
          </cell>
          <cell r="D287">
            <v>1070</v>
          </cell>
          <cell r="E287">
            <v>7350</v>
          </cell>
          <cell r="F287">
            <v>9420</v>
          </cell>
          <cell r="G287">
            <v>8218</v>
          </cell>
          <cell r="H287">
            <v>16436</v>
          </cell>
          <cell r="I287">
            <v>12689.682290999999</v>
          </cell>
          <cell r="J287">
            <v>1782</v>
          </cell>
          <cell r="K287">
            <v>0.76394905445544559</v>
          </cell>
          <cell r="L287">
            <v>154.31770900000001</v>
          </cell>
          <cell r="M287">
            <v>1369.6666666666667</v>
          </cell>
          <cell r="N287">
            <v>28600.000000000004</v>
          </cell>
          <cell r="O287">
            <v>5</v>
          </cell>
          <cell r="P287">
            <v>143000.00000000003</v>
          </cell>
        </row>
        <row r="288">
          <cell r="A288" t="str">
            <v>N-03-21</v>
          </cell>
          <cell r="B288" t="str">
            <v>PREGABALINA .:. 150 MG.</v>
          </cell>
          <cell r="C288" t="str">
            <v>Cápsula</v>
          </cell>
          <cell r="D288">
            <v>2215</v>
          </cell>
          <cell r="E288">
            <v>4000</v>
          </cell>
          <cell r="F288">
            <v>2400</v>
          </cell>
          <cell r="G288">
            <v>2062</v>
          </cell>
          <cell r="H288">
            <v>4124</v>
          </cell>
          <cell r="I288">
            <v>4965.2447679999996</v>
          </cell>
          <cell r="J288">
            <v>2091</v>
          </cell>
          <cell r="K288">
            <v>1.3151536905851191</v>
          </cell>
          <cell r="L288">
            <v>5461.8332769999997</v>
          </cell>
          <cell r="M288">
            <v>343.66666666666669</v>
          </cell>
          <cell r="N288">
            <v>2033</v>
          </cell>
          <cell r="O288">
            <v>8</v>
          </cell>
          <cell r="P288">
            <v>16264</v>
          </cell>
        </row>
        <row r="289">
          <cell r="A289" t="str">
            <v>N-03-22</v>
          </cell>
          <cell r="B289" t="str">
            <v>ACIDO VALPROICO Ò VALPROATO SODICO .:. 200/MG/ML</v>
          </cell>
          <cell r="C289" t="str">
            <v>Jarabe o Solución oral</v>
          </cell>
          <cell r="D289">
            <v>27</v>
          </cell>
          <cell r="E289">
            <v>60</v>
          </cell>
          <cell r="F289">
            <v>5943.6</v>
          </cell>
          <cell r="G289">
            <v>29</v>
          </cell>
          <cell r="H289">
            <v>58</v>
          </cell>
          <cell r="I289">
            <v>2675.967267</v>
          </cell>
          <cell r="J289">
            <v>29</v>
          </cell>
          <cell r="K289">
            <v>99.06</v>
          </cell>
          <cell r="L289">
            <v>5745.48</v>
          </cell>
          <cell r="M289">
            <v>4.833333333333333</v>
          </cell>
          <cell r="N289">
            <v>30</v>
          </cell>
          <cell r="O289">
            <v>99.06</v>
          </cell>
          <cell r="P289">
            <v>2971.8</v>
          </cell>
        </row>
        <row r="290">
          <cell r="A290" t="str">
            <v>N-04-01</v>
          </cell>
          <cell r="B290" t="str">
            <v>BIPERIDENO CLORHIDRATO .:. 4 mg</v>
          </cell>
          <cell r="C290" t="str">
            <v>Comprimido</v>
          </cell>
          <cell r="D290">
            <v>565</v>
          </cell>
          <cell r="E290">
            <v>1200</v>
          </cell>
          <cell r="F290">
            <v>3216</v>
          </cell>
          <cell r="G290">
            <v>625</v>
          </cell>
          <cell r="H290">
            <v>1250</v>
          </cell>
          <cell r="I290">
            <v>2225.73036</v>
          </cell>
          <cell r="J290">
            <v>515</v>
          </cell>
          <cell r="K290">
            <v>2.68</v>
          </cell>
          <cell r="L290">
            <v>3055.2</v>
          </cell>
          <cell r="M290">
            <v>104.16666666666667</v>
          </cell>
          <cell r="N290">
            <v>735</v>
          </cell>
          <cell r="O290">
            <v>2.68</v>
          </cell>
          <cell r="P290">
            <v>1969.8000000000002</v>
          </cell>
        </row>
        <row r="291">
          <cell r="A291" t="str">
            <v>N-04-02</v>
          </cell>
          <cell r="B291" t="str">
            <v>LEVODOPA + CARBIDOPA .:. 250 mg + 25 mg</v>
          </cell>
          <cell r="C291" t="str">
            <v>Comprimido</v>
          </cell>
          <cell r="D291">
            <v>1025</v>
          </cell>
          <cell r="E291">
            <v>2000</v>
          </cell>
          <cell r="F291">
            <v>6200</v>
          </cell>
          <cell r="G291">
            <v>2135</v>
          </cell>
          <cell r="H291">
            <v>4270</v>
          </cell>
          <cell r="I291">
            <v>6909.6</v>
          </cell>
          <cell r="J291">
            <v>365</v>
          </cell>
          <cell r="K291">
            <v>3.1</v>
          </cell>
          <cell r="L291">
            <v>2759</v>
          </cell>
          <cell r="M291">
            <v>355.83333333333331</v>
          </cell>
          <cell r="N291">
            <v>5400</v>
          </cell>
          <cell r="O291">
            <v>3.1</v>
          </cell>
          <cell r="P291">
            <v>16740</v>
          </cell>
        </row>
        <row r="292">
          <cell r="A292" t="str">
            <v>N-05-01</v>
          </cell>
          <cell r="B292" t="str">
            <v>ALPRAZOLAM .:. 0,5 mg</v>
          </cell>
          <cell r="C292" t="str">
            <v>Comprimido ranurado</v>
          </cell>
          <cell r="D292">
            <v>4320</v>
          </cell>
          <cell r="E292">
            <v>16000</v>
          </cell>
          <cell r="F292">
            <v>8000</v>
          </cell>
          <cell r="G292">
            <v>9370</v>
          </cell>
          <cell r="H292">
            <v>18740</v>
          </cell>
          <cell r="I292">
            <v>4627.372644</v>
          </cell>
          <cell r="J292">
            <v>1580</v>
          </cell>
          <cell r="K292">
            <v>0.4999387174429224</v>
          </cell>
          <cell r="L292">
            <v>5474.3289560000003</v>
          </cell>
          <cell r="M292">
            <v>1561.6666666666667</v>
          </cell>
          <cell r="N292">
            <v>7200</v>
          </cell>
          <cell r="O292">
            <v>0.4999387174429224</v>
          </cell>
          <cell r="P292">
            <v>3599.5587655890413</v>
          </cell>
        </row>
        <row r="293">
          <cell r="A293" t="str">
            <v>N-05-05</v>
          </cell>
          <cell r="B293" t="str">
            <v>DIAZEPAM .:. 10 mg</v>
          </cell>
          <cell r="C293" t="str">
            <v>Inyectable</v>
          </cell>
          <cell r="D293">
            <v>37</v>
          </cell>
          <cell r="E293">
            <v>0</v>
          </cell>
          <cell r="F293">
            <v>0</v>
          </cell>
          <cell r="G293">
            <v>19</v>
          </cell>
          <cell r="H293">
            <v>38</v>
          </cell>
          <cell r="I293">
            <v>85.5</v>
          </cell>
          <cell r="J293">
            <v>85.5</v>
          </cell>
          <cell r="K293">
            <v>4.5</v>
          </cell>
          <cell r="L293">
            <v>81</v>
          </cell>
          <cell r="M293">
            <v>3.1666666666666665</v>
          </cell>
          <cell r="N293">
            <v>23.1</v>
          </cell>
          <cell r="O293">
            <v>4.5</v>
          </cell>
          <cell r="P293">
            <v>103.95</v>
          </cell>
        </row>
        <row r="294">
          <cell r="A294" t="str">
            <v>N-05-11</v>
          </cell>
          <cell r="B294" t="str">
            <v>MIDAZOLAM .:. 15 mg/3 ml</v>
          </cell>
          <cell r="C294" t="str">
            <v>Inyectable</v>
          </cell>
          <cell r="D294">
            <v>503</v>
          </cell>
          <cell r="E294">
            <v>0</v>
          </cell>
          <cell r="F294">
            <v>0</v>
          </cell>
          <cell r="G294">
            <v>300</v>
          </cell>
          <cell r="H294">
            <v>600</v>
          </cell>
          <cell r="I294">
            <v>5465.4696000000004</v>
          </cell>
          <cell r="J294">
            <v>5465.4696000000004</v>
          </cell>
          <cell r="K294">
            <v>18.218232</v>
          </cell>
          <cell r="L294">
            <v>3752.9557920000002</v>
          </cell>
          <cell r="M294">
            <v>50</v>
          </cell>
          <cell r="N294">
            <v>550</v>
          </cell>
          <cell r="O294">
            <v>18.218232</v>
          </cell>
          <cell r="P294">
            <v>10020.027599999999</v>
          </cell>
        </row>
        <row r="295">
          <cell r="A295" t="str">
            <v>N-05-18</v>
          </cell>
          <cell r="B295" t="str">
            <v>QUETIAPINA .:. 100 mg</v>
          </cell>
          <cell r="C295" t="str">
            <v>Comprimido</v>
          </cell>
          <cell r="D295">
            <v>420</v>
          </cell>
          <cell r="E295">
            <v>1000</v>
          </cell>
          <cell r="F295">
            <v>5000</v>
          </cell>
          <cell r="G295">
            <v>850</v>
          </cell>
          <cell r="H295">
            <v>1700</v>
          </cell>
          <cell r="I295">
            <v>4166</v>
          </cell>
          <cell r="J295">
            <v>4166</v>
          </cell>
          <cell r="K295">
            <v>5</v>
          </cell>
          <cell r="L295">
            <v>2850</v>
          </cell>
          <cell r="M295">
            <v>141.66666666666666</v>
          </cell>
          <cell r="N295">
            <v>1760.0000000000002</v>
          </cell>
          <cell r="O295">
            <v>9.74</v>
          </cell>
          <cell r="P295">
            <v>17142.400000000001</v>
          </cell>
        </row>
        <row r="296">
          <cell r="A296" t="str">
            <v>N-06-01</v>
          </cell>
          <cell r="B296" t="str">
            <v>AMITRIPTILINA .:. 25 mg</v>
          </cell>
          <cell r="C296" t="str">
            <v>Comprimido ranurado</v>
          </cell>
          <cell r="D296">
            <v>1095</v>
          </cell>
          <cell r="E296">
            <v>0</v>
          </cell>
          <cell r="F296">
            <v>0</v>
          </cell>
          <cell r="G296">
            <v>1095</v>
          </cell>
          <cell r="H296">
            <v>2190</v>
          </cell>
          <cell r="I296">
            <v>438</v>
          </cell>
          <cell r="J296">
            <v>1405</v>
          </cell>
          <cell r="K296">
            <v>0</v>
          </cell>
          <cell r="L296">
            <v>0</v>
          </cell>
          <cell r="M296">
            <v>182.5</v>
          </cell>
          <cell r="N296">
            <v>785</v>
          </cell>
          <cell r="O296">
            <v>0.4</v>
          </cell>
          <cell r="P296">
            <v>314</v>
          </cell>
        </row>
        <row r="297">
          <cell r="A297" t="str">
            <v>N-06-04</v>
          </cell>
          <cell r="B297" t="str">
            <v>FLUOXETINA .:. 20 mg</v>
          </cell>
          <cell r="C297" t="str">
            <v>Cápsula o Comprimido</v>
          </cell>
          <cell r="D297">
            <v>405</v>
          </cell>
          <cell r="E297">
            <v>12000</v>
          </cell>
          <cell r="F297">
            <v>4460</v>
          </cell>
          <cell r="G297">
            <v>4232</v>
          </cell>
          <cell r="H297">
            <v>8464</v>
          </cell>
          <cell r="I297">
            <v>1575.1094169999999</v>
          </cell>
          <cell r="J297">
            <v>3941</v>
          </cell>
          <cell r="K297">
            <v>0.37279314058485258</v>
          </cell>
          <cell r="L297">
            <v>3046.838338</v>
          </cell>
          <cell r="M297">
            <v>705.33333333333337</v>
          </cell>
          <cell r="N297">
            <v>4700</v>
          </cell>
          <cell r="O297">
            <v>0.37279314058485258</v>
          </cell>
          <cell r="P297">
            <v>1752.1277607488071</v>
          </cell>
        </row>
        <row r="298">
          <cell r="A298" t="str">
            <v>N-06-08</v>
          </cell>
          <cell r="B298" t="str">
            <v>DULOXETINA .:. 30mg</v>
          </cell>
          <cell r="C298" t="str">
            <v>Cápsula</v>
          </cell>
          <cell r="D298">
            <v>2065</v>
          </cell>
          <cell r="E298">
            <v>0</v>
          </cell>
          <cell r="F298">
            <v>0</v>
          </cell>
          <cell r="G298">
            <v>1822</v>
          </cell>
          <cell r="H298">
            <v>3644</v>
          </cell>
          <cell r="I298">
            <v>8658.1075600000004</v>
          </cell>
          <cell r="J298">
            <v>178</v>
          </cell>
          <cell r="K298">
            <v>4.7519799999999996</v>
          </cell>
          <cell r="L298">
            <v>1154.7311400000001</v>
          </cell>
          <cell r="M298">
            <v>303.66666666666669</v>
          </cell>
          <cell r="N298">
            <v>6200</v>
          </cell>
          <cell r="O298">
            <v>8.2200000000000006</v>
          </cell>
          <cell r="P298">
            <v>50964.000000000007</v>
          </cell>
        </row>
        <row r="299">
          <cell r="A299" t="str">
            <v>N-07-01</v>
          </cell>
          <cell r="B299" t="str">
            <v>DIMENHIDRINATO .:. 50 mg</v>
          </cell>
          <cell r="C299" t="str">
            <v>Comprimido</v>
          </cell>
          <cell r="D299">
            <v>1450</v>
          </cell>
          <cell r="E299">
            <v>0</v>
          </cell>
          <cell r="F299">
            <v>0</v>
          </cell>
          <cell r="G299">
            <v>605</v>
          </cell>
          <cell r="H299">
            <v>1210</v>
          </cell>
          <cell r="I299">
            <v>249.17529999999999</v>
          </cell>
          <cell r="J299">
            <v>240</v>
          </cell>
          <cell r="K299">
            <v>0.41186</v>
          </cell>
          <cell r="L299">
            <v>348.02170000000001</v>
          </cell>
          <cell r="M299">
            <v>100.83333333333333</v>
          </cell>
          <cell r="N299">
            <v>220.00000000000003</v>
          </cell>
          <cell r="O299">
            <v>0.41186</v>
          </cell>
          <cell r="P299">
            <v>90.609200000000016</v>
          </cell>
        </row>
        <row r="300">
          <cell r="A300" t="str">
            <v>N-07-05</v>
          </cell>
          <cell r="B300" t="str">
            <v>NEOSTIGMINA .:. 0,5 mg/ml</v>
          </cell>
          <cell r="C300" t="str">
            <v>Inyectable</v>
          </cell>
          <cell r="D300">
            <v>104</v>
          </cell>
          <cell r="E300">
            <v>0</v>
          </cell>
          <cell r="F300">
            <v>0</v>
          </cell>
          <cell r="G300">
            <v>51</v>
          </cell>
          <cell r="H300">
            <v>102</v>
          </cell>
          <cell r="I300">
            <v>218.07237900000001</v>
          </cell>
          <cell r="J300">
            <v>2</v>
          </cell>
          <cell r="K300">
            <v>4.2759289999999996</v>
          </cell>
          <cell r="L300">
            <v>226.62423699999999</v>
          </cell>
          <cell r="M300">
            <v>8.5</v>
          </cell>
          <cell r="N300">
            <v>55.000000000000007</v>
          </cell>
          <cell r="O300">
            <v>4.2759289999999996</v>
          </cell>
          <cell r="P300">
            <v>235.176095</v>
          </cell>
        </row>
        <row r="301">
          <cell r="A301" t="str">
            <v>N-07-06</v>
          </cell>
          <cell r="B301" t="str">
            <v>PIRIDOSTIGMINA .:. 60 mg</v>
          </cell>
          <cell r="C301" t="str">
            <v>Comprimido</v>
          </cell>
          <cell r="D301">
            <v>0</v>
          </cell>
          <cell r="E301">
            <v>1200</v>
          </cell>
          <cell r="F301">
            <v>3048</v>
          </cell>
          <cell r="G301">
            <v>300</v>
          </cell>
          <cell r="H301">
            <v>600</v>
          </cell>
          <cell r="I301">
            <v>762</v>
          </cell>
          <cell r="J301">
            <v>600</v>
          </cell>
          <cell r="K301">
            <v>2.54</v>
          </cell>
          <cell r="L301">
            <v>2286</v>
          </cell>
          <cell r="M301">
            <v>50</v>
          </cell>
          <cell r="N301">
            <v>100</v>
          </cell>
          <cell r="O301">
            <v>2.54</v>
          </cell>
          <cell r="P301">
            <v>254</v>
          </cell>
        </row>
        <row r="302">
          <cell r="A302" t="str">
            <v>N-07-08</v>
          </cell>
          <cell r="B302" t="str">
            <v>FLUNARIZINA .:. 10 mg</v>
          </cell>
          <cell r="C302" t="str">
            <v>Comprimido</v>
          </cell>
          <cell r="D302">
            <v>1590</v>
          </cell>
          <cell r="E302">
            <v>3000</v>
          </cell>
          <cell r="F302">
            <v>1080</v>
          </cell>
          <cell r="G302">
            <v>1625</v>
          </cell>
          <cell r="H302">
            <v>3250</v>
          </cell>
          <cell r="I302">
            <v>3431.1</v>
          </cell>
          <cell r="J302">
            <v>1340</v>
          </cell>
          <cell r="K302">
            <v>0.36</v>
          </cell>
          <cell r="L302">
            <v>1067.4000000000001</v>
          </cell>
          <cell r="M302">
            <v>270.83333333333331</v>
          </cell>
          <cell r="N302">
            <v>1910</v>
          </cell>
          <cell r="O302">
            <v>0.36</v>
          </cell>
          <cell r="P302">
            <v>687.6</v>
          </cell>
        </row>
        <row r="303">
          <cell r="A303" t="str">
            <v>P-01-07</v>
          </cell>
          <cell r="B303" t="str">
            <v>METRONIDAZOL .:. 500 mg</v>
          </cell>
          <cell r="C303" t="str">
            <v>Inyectable</v>
          </cell>
          <cell r="D303">
            <v>114</v>
          </cell>
          <cell r="E303">
            <v>400</v>
          </cell>
          <cell r="F303">
            <v>2800</v>
          </cell>
          <cell r="G303">
            <v>338</v>
          </cell>
          <cell r="H303">
            <v>676</v>
          </cell>
          <cell r="I303">
            <v>2570</v>
          </cell>
          <cell r="J303">
            <v>2570</v>
          </cell>
          <cell r="K303">
            <v>7</v>
          </cell>
          <cell r="L303">
            <v>1421</v>
          </cell>
          <cell r="M303">
            <v>56.333333333333336</v>
          </cell>
          <cell r="N303">
            <v>660</v>
          </cell>
          <cell r="O303">
            <v>7</v>
          </cell>
          <cell r="P303">
            <v>4620</v>
          </cell>
        </row>
        <row r="304">
          <cell r="A304" t="str">
            <v>P-01-09</v>
          </cell>
          <cell r="B304" t="str">
            <v>METRONIDAZOL .:. 500 mg</v>
          </cell>
          <cell r="C304" t="str">
            <v>Comprimido</v>
          </cell>
          <cell r="D304">
            <v>265</v>
          </cell>
          <cell r="E304">
            <v>1200</v>
          </cell>
          <cell r="F304">
            <v>468</v>
          </cell>
          <cell r="G304">
            <v>494</v>
          </cell>
          <cell r="H304">
            <v>988</v>
          </cell>
          <cell r="I304">
            <v>178.97493299999999</v>
          </cell>
          <cell r="J304">
            <v>477</v>
          </cell>
          <cell r="K304">
            <v>0.38134827188465498</v>
          </cell>
          <cell r="L304">
            <v>370.28917200000001</v>
          </cell>
          <cell r="M304">
            <v>82.333333333333329</v>
          </cell>
          <cell r="N304">
            <v>511</v>
          </cell>
          <cell r="O304">
            <v>0.38134827188465498</v>
          </cell>
          <cell r="P304">
            <v>194.86896693305869</v>
          </cell>
        </row>
        <row r="305">
          <cell r="A305" t="str">
            <v>P-01-11</v>
          </cell>
          <cell r="B305" t="str">
            <v>NITAZOXANIDA .:. 500 mg</v>
          </cell>
          <cell r="C305" t="str">
            <v>Comprimido</v>
          </cell>
          <cell r="D305">
            <v>88</v>
          </cell>
          <cell r="E305">
            <v>0</v>
          </cell>
          <cell r="F305">
            <v>0</v>
          </cell>
          <cell r="G305">
            <v>86</v>
          </cell>
          <cell r="H305">
            <v>172</v>
          </cell>
          <cell r="I305">
            <v>258</v>
          </cell>
          <cell r="J305">
            <v>514</v>
          </cell>
          <cell r="K305">
            <v>3</v>
          </cell>
          <cell r="L305">
            <v>6</v>
          </cell>
          <cell r="M305">
            <v>14.333333333333334</v>
          </cell>
          <cell r="N305">
            <v>100</v>
          </cell>
          <cell r="O305">
            <v>3</v>
          </cell>
          <cell r="P305">
            <v>300</v>
          </cell>
        </row>
        <row r="306">
          <cell r="A306" t="str">
            <v>P-01-27</v>
          </cell>
          <cell r="B306" t="str">
            <v>HIDROXICLOROQUINA SULFATO .:. 200 mg</v>
          </cell>
          <cell r="C306" t="str">
            <v>Comprimido</v>
          </cell>
          <cell r="D306">
            <v>1120</v>
          </cell>
          <cell r="E306">
            <v>0</v>
          </cell>
          <cell r="F306">
            <v>0</v>
          </cell>
          <cell r="G306">
            <v>1117</v>
          </cell>
          <cell r="H306">
            <v>2234</v>
          </cell>
          <cell r="I306">
            <v>3909.5</v>
          </cell>
          <cell r="J306">
            <v>383</v>
          </cell>
          <cell r="K306">
            <v>3.5</v>
          </cell>
          <cell r="L306">
            <v>10.5</v>
          </cell>
          <cell r="M306">
            <v>186.16666666666666</v>
          </cell>
          <cell r="N306">
            <v>660</v>
          </cell>
          <cell r="O306">
            <v>3.5</v>
          </cell>
          <cell r="P306">
            <v>2310</v>
          </cell>
        </row>
        <row r="307">
          <cell r="A307" t="str">
            <v>P-02-01</v>
          </cell>
          <cell r="B307" t="str">
            <v>ALBENDAZOL .:. 200 mg</v>
          </cell>
          <cell r="C307" t="str">
            <v>Comprimido</v>
          </cell>
          <cell r="D307">
            <v>415</v>
          </cell>
          <cell r="E307">
            <v>0</v>
          </cell>
          <cell r="F307">
            <v>0</v>
          </cell>
          <cell r="G307">
            <v>120</v>
          </cell>
          <cell r="H307">
            <v>240</v>
          </cell>
          <cell r="I307">
            <v>144.130818</v>
          </cell>
          <cell r="J307">
            <v>175</v>
          </cell>
          <cell r="K307">
            <v>1.2010931762711865</v>
          </cell>
          <cell r="L307">
            <v>354.32248700000002</v>
          </cell>
          <cell r="M307">
            <v>20</v>
          </cell>
          <cell r="N307">
            <v>65</v>
          </cell>
          <cell r="O307">
            <v>1.2010931762711865</v>
          </cell>
          <cell r="P307">
            <v>78.071056457627122</v>
          </cell>
        </row>
        <row r="308">
          <cell r="A308" t="str">
            <v>P-02-02</v>
          </cell>
          <cell r="B308" t="str">
            <v>ALBENDAZOL .:. 200 mg/5 ml</v>
          </cell>
          <cell r="C308" t="str">
            <v>Suspensión</v>
          </cell>
          <cell r="D308">
            <v>10</v>
          </cell>
          <cell r="E308">
            <v>0</v>
          </cell>
          <cell r="F308">
            <v>0</v>
          </cell>
          <cell r="G308">
            <v>5</v>
          </cell>
          <cell r="H308">
            <v>10</v>
          </cell>
          <cell r="I308">
            <v>49</v>
          </cell>
          <cell r="J308">
            <v>0</v>
          </cell>
          <cell r="K308">
            <v>9.8000000000000007</v>
          </cell>
          <cell r="L308">
            <v>49</v>
          </cell>
          <cell r="M308">
            <v>0.83333333333333337</v>
          </cell>
          <cell r="N308">
            <v>5.5</v>
          </cell>
          <cell r="O308">
            <v>9.8000000000000007</v>
          </cell>
          <cell r="P308">
            <v>53.900000000000006</v>
          </cell>
        </row>
        <row r="309">
          <cell r="A309" t="str">
            <v>P-02-03</v>
          </cell>
          <cell r="B309" t="str">
            <v>MEBENDAZOL .:. 100 mg</v>
          </cell>
          <cell r="C309" t="str">
            <v>Comprimido</v>
          </cell>
          <cell r="D309">
            <v>62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62</v>
          </cell>
          <cell r="K309">
            <v>0.20602000000000001</v>
          </cell>
          <cell r="L309">
            <v>12.773239999999999</v>
          </cell>
          <cell r="M309">
            <v>0</v>
          </cell>
          <cell r="N309">
            <v>1</v>
          </cell>
          <cell r="O309">
            <v>0.20602000000000001</v>
          </cell>
          <cell r="P309">
            <v>0.20602000000000001</v>
          </cell>
        </row>
        <row r="310">
          <cell r="A310" t="str">
            <v>P-02-05</v>
          </cell>
          <cell r="B310" t="str">
            <v>MEBENDAZOL .:. 500 mg</v>
          </cell>
          <cell r="C310" t="str">
            <v>Comprimido</v>
          </cell>
          <cell r="D310">
            <v>250</v>
          </cell>
          <cell r="E310">
            <v>0</v>
          </cell>
          <cell r="F310">
            <v>0</v>
          </cell>
          <cell r="G310">
            <v>16</v>
          </cell>
          <cell r="H310">
            <v>32</v>
          </cell>
          <cell r="I310">
            <v>31.385392</v>
          </cell>
          <cell r="J310">
            <v>218</v>
          </cell>
          <cell r="K310">
            <v>1.961587</v>
          </cell>
          <cell r="L310">
            <v>459.01135799999997</v>
          </cell>
          <cell r="M310">
            <v>2.6666666666666665</v>
          </cell>
          <cell r="N310">
            <v>100</v>
          </cell>
          <cell r="O310">
            <v>1.961587</v>
          </cell>
          <cell r="P310">
            <v>196.15870000000001</v>
          </cell>
        </row>
        <row r="311">
          <cell r="A311" t="str">
            <v>P-02-14</v>
          </cell>
          <cell r="B311" t="str">
            <v>IVERMECTINA .:. 6 MG</v>
          </cell>
          <cell r="C311" t="str">
            <v>Comprimido</v>
          </cell>
          <cell r="D311">
            <v>1116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1116</v>
          </cell>
          <cell r="K311">
            <v>4.5</v>
          </cell>
          <cell r="L311">
            <v>5022</v>
          </cell>
          <cell r="M311">
            <v>0</v>
          </cell>
          <cell r="N311">
            <v>1</v>
          </cell>
          <cell r="O311">
            <v>4.5</v>
          </cell>
          <cell r="P311">
            <v>4.5</v>
          </cell>
        </row>
        <row r="312">
          <cell r="A312" t="str">
            <v>P-03-01</v>
          </cell>
          <cell r="B312" t="str">
            <v>BENZOATO DE BENCILO .:. 20% o 25%</v>
          </cell>
          <cell r="C312" t="str">
            <v>Solución o Loción</v>
          </cell>
          <cell r="D312">
            <v>8</v>
          </cell>
          <cell r="E312">
            <v>0</v>
          </cell>
          <cell r="F312">
            <v>0</v>
          </cell>
          <cell r="G312">
            <v>7</v>
          </cell>
          <cell r="H312">
            <v>14</v>
          </cell>
          <cell r="I312">
            <v>65.45</v>
          </cell>
          <cell r="J312">
            <v>65.45</v>
          </cell>
          <cell r="K312">
            <v>9.35</v>
          </cell>
          <cell r="L312">
            <v>9.35</v>
          </cell>
          <cell r="M312">
            <v>1.5</v>
          </cell>
          <cell r="N312">
            <v>44</v>
          </cell>
          <cell r="O312">
            <v>9.35</v>
          </cell>
          <cell r="P312">
            <v>411.4</v>
          </cell>
        </row>
        <row r="313">
          <cell r="A313" t="str">
            <v>R-03-01</v>
          </cell>
          <cell r="B313" t="str">
            <v>AMINOFILINA .:. 250mg/10ml</v>
          </cell>
          <cell r="C313" t="str">
            <v>Inyectable</v>
          </cell>
          <cell r="D313">
            <v>11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11</v>
          </cell>
          <cell r="K313">
            <v>5.19909</v>
          </cell>
          <cell r="L313">
            <v>57.189990000000002</v>
          </cell>
          <cell r="M313">
            <v>0</v>
          </cell>
          <cell r="N313">
            <v>1</v>
          </cell>
          <cell r="O313">
            <v>5.19909</v>
          </cell>
          <cell r="P313">
            <v>5.19909</v>
          </cell>
        </row>
        <row r="314">
          <cell r="A314" t="str">
            <v>R-03-03</v>
          </cell>
          <cell r="B314" t="str">
            <v>BECLOMETASONA DIPROPIONATO .:. 50 mcg/inhalación</v>
          </cell>
          <cell r="C314" t="str">
            <v>Aerosol</v>
          </cell>
          <cell r="D314">
            <v>19</v>
          </cell>
          <cell r="E314">
            <v>45</v>
          </cell>
          <cell r="F314">
            <v>1620</v>
          </cell>
          <cell r="G314">
            <v>17</v>
          </cell>
          <cell r="H314">
            <v>34</v>
          </cell>
          <cell r="I314">
            <v>698.67211999999995</v>
          </cell>
          <cell r="J314">
            <v>30</v>
          </cell>
          <cell r="K314">
            <v>36.216951489361705</v>
          </cell>
          <cell r="L314">
            <v>1702.1967199999999</v>
          </cell>
          <cell r="M314">
            <v>2.8333333333333335</v>
          </cell>
          <cell r="N314">
            <v>20</v>
          </cell>
          <cell r="O314">
            <v>36.216951489361705</v>
          </cell>
          <cell r="P314">
            <v>724.33902978723404</v>
          </cell>
        </row>
        <row r="315">
          <cell r="A315" t="str">
            <v>R-03-06</v>
          </cell>
          <cell r="B315" t="str">
            <v>SALBUTAMOL .:. 0,1 mg/inhalación</v>
          </cell>
          <cell r="C315" t="str">
            <v>Aerosol</v>
          </cell>
          <cell r="D315">
            <v>16</v>
          </cell>
          <cell r="E315">
            <v>50</v>
          </cell>
          <cell r="F315">
            <v>845</v>
          </cell>
          <cell r="G315">
            <v>66</v>
          </cell>
          <cell r="H315">
            <v>132</v>
          </cell>
          <cell r="I315">
            <v>1101</v>
          </cell>
          <cell r="J315">
            <v>1101</v>
          </cell>
          <cell r="K315">
            <v>0</v>
          </cell>
          <cell r="L315">
            <v>0</v>
          </cell>
          <cell r="M315">
            <v>11</v>
          </cell>
          <cell r="N315">
            <v>120</v>
          </cell>
          <cell r="O315">
            <v>16.681818181818183</v>
          </cell>
          <cell r="P315">
            <v>2001.818181818182</v>
          </cell>
        </row>
        <row r="316">
          <cell r="A316" t="str">
            <v>R-03-11</v>
          </cell>
          <cell r="B316" t="str">
            <v>SALMETEROL + FLUTICASONA .:. 25 mcg + 125 mcg</v>
          </cell>
          <cell r="C316" t="str">
            <v>Aerosol</v>
          </cell>
          <cell r="D316">
            <v>91</v>
          </cell>
          <cell r="E316">
            <v>160</v>
          </cell>
          <cell r="F316">
            <v>11200</v>
          </cell>
          <cell r="G316">
            <v>126</v>
          </cell>
          <cell r="H316">
            <v>252</v>
          </cell>
          <cell r="I316">
            <v>9229.2821980000008</v>
          </cell>
          <cell r="J316">
            <v>9229.2821980000008</v>
          </cell>
          <cell r="K316">
            <v>71.700263239999998</v>
          </cell>
          <cell r="L316">
            <v>8962.532905</v>
          </cell>
          <cell r="M316">
            <v>21</v>
          </cell>
          <cell r="N316">
            <v>143</v>
          </cell>
          <cell r="O316">
            <v>71.700263239999998</v>
          </cell>
          <cell r="P316">
            <v>10253.13764332</v>
          </cell>
        </row>
        <row r="317">
          <cell r="A317" t="str">
            <v>R-03-13</v>
          </cell>
          <cell r="B317" t="str">
            <v>MONTELUKAST .:. 10mg</v>
          </cell>
          <cell r="C317" t="str">
            <v>Comprimido o Cápsula</v>
          </cell>
          <cell r="D317">
            <v>305</v>
          </cell>
          <cell r="E317">
            <v>1000</v>
          </cell>
          <cell r="F317">
            <v>2500</v>
          </cell>
          <cell r="G317">
            <v>699</v>
          </cell>
          <cell r="H317">
            <v>1398</v>
          </cell>
          <cell r="I317">
            <v>1747.5</v>
          </cell>
          <cell r="J317">
            <v>1747.5</v>
          </cell>
          <cell r="K317">
            <v>2.5</v>
          </cell>
          <cell r="L317">
            <v>1515</v>
          </cell>
          <cell r="M317">
            <v>116.5</v>
          </cell>
          <cell r="N317">
            <v>1100</v>
          </cell>
          <cell r="O317">
            <v>2.5</v>
          </cell>
          <cell r="P317">
            <v>2750</v>
          </cell>
        </row>
        <row r="318">
          <cell r="A318" t="str">
            <v>R-05-01</v>
          </cell>
          <cell r="B318" t="str">
            <v>ANTIGRIPAL (PARACETAMOL + ANTIHISTAMINICO + VASOCONSTRICTOR CON O SIN CAFEINA) .:. Según disponibilidad</v>
          </cell>
          <cell r="C318" t="str">
            <v>Comprimido</v>
          </cell>
          <cell r="D318">
            <v>5474</v>
          </cell>
          <cell r="E318">
            <v>12000</v>
          </cell>
          <cell r="F318">
            <v>3360</v>
          </cell>
          <cell r="G318">
            <v>4085</v>
          </cell>
          <cell r="H318">
            <v>8170</v>
          </cell>
          <cell r="I318">
            <v>1011.66494</v>
          </cell>
          <cell r="J318">
            <v>9304</v>
          </cell>
          <cell r="K318">
            <v>0.26328635850324894</v>
          </cell>
          <cell r="L318">
            <v>3525.1410540000002</v>
          </cell>
          <cell r="M318">
            <v>680.83333333333337</v>
          </cell>
          <cell r="N318">
            <v>5000</v>
          </cell>
          <cell r="O318">
            <v>0.26328635850324894</v>
          </cell>
          <cell r="P318">
            <v>1316.4317925162447</v>
          </cell>
        </row>
        <row r="319">
          <cell r="A319" t="str">
            <v>R-05-02</v>
          </cell>
          <cell r="B319" t="str">
            <v>CODEINA .:. 10 mg/5 ml</v>
          </cell>
          <cell r="C319" t="str">
            <v>Jarabe</v>
          </cell>
          <cell r="D319">
            <v>55</v>
          </cell>
          <cell r="E319">
            <v>600</v>
          </cell>
          <cell r="F319">
            <v>8850</v>
          </cell>
          <cell r="G319">
            <v>313</v>
          </cell>
          <cell r="H319">
            <v>626</v>
          </cell>
          <cell r="I319">
            <v>4522.0267219999996</v>
          </cell>
          <cell r="J319">
            <v>29</v>
          </cell>
          <cell r="K319">
            <v>14.797578444444444</v>
          </cell>
          <cell r="L319">
            <v>5060.7718279999999</v>
          </cell>
          <cell r="M319">
            <v>52.166666666666664</v>
          </cell>
          <cell r="N319">
            <v>286</v>
          </cell>
          <cell r="O319">
            <v>14.797578444444444</v>
          </cell>
          <cell r="P319">
            <v>4232.107435111111</v>
          </cell>
        </row>
        <row r="320">
          <cell r="A320" t="str">
            <v>R-05-03</v>
          </cell>
          <cell r="B320" t="str">
            <v>DEXTROMETORFANO BROMHIDRATO .:. 10 mg/5 ml</v>
          </cell>
          <cell r="C320" t="str">
            <v>Jarabe</v>
          </cell>
          <cell r="D320">
            <v>393</v>
          </cell>
          <cell r="E320">
            <v>1200</v>
          </cell>
          <cell r="F320">
            <v>6000</v>
          </cell>
          <cell r="G320">
            <v>438</v>
          </cell>
          <cell r="H320">
            <v>876</v>
          </cell>
          <cell r="I320">
            <v>2438.3267729999998</v>
          </cell>
          <cell r="J320">
            <v>717</v>
          </cell>
          <cell r="K320">
            <v>5.2298924987012985</v>
          </cell>
          <cell r="L320">
            <v>6040.5258359999998</v>
          </cell>
          <cell r="M320">
            <v>73</v>
          </cell>
          <cell r="N320">
            <v>159</v>
          </cell>
          <cell r="O320">
            <v>5.2298924987012985</v>
          </cell>
          <cell r="P320">
            <v>831.55290729350645</v>
          </cell>
        </row>
        <row r="321">
          <cell r="A321" t="str">
            <v>R-06-01</v>
          </cell>
          <cell r="B321" t="str">
            <v>CLORFENAMINA (CLORFENIRAMINA) .:. 4 mg</v>
          </cell>
          <cell r="C321" t="str">
            <v>Comprimido</v>
          </cell>
          <cell r="D321">
            <v>283</v>
          </cell>
          <cell r="E321">
            <v>1000</v>
          </cell>
          <cell r="F321">
            <v>130</v>
          </cell>
          <cell r="G321">
            <v>241</v>
          </cell>
          <cell r="H321">
            <v>482</v>
          </cell>
          <cell r="I321">
            <v>57.84</v>
          </cell>
          <cell r="J321">
            <v>801</v>
          </cell>
          <cell r="K321">
            <v>0.1344337811900192</v>
          </cell>
          <cell r="L321">
            <v>140.08000000000001</v>
          </cell>
          <cell r="M321">
            <v>40.166666666666664</v>
          </cell>
          <cell r="N321">
            <v>500</v>
          </cell>
          <cell r="O321">
            <v>0.1344337811900192</v>
          </cell>
          <cell r="P321">
            <v>67.216890595009602</v>
          </cell>
        </row>
        <row r="322">
          <cell r="A322" t="str">
            <v>R-06-02</v>
          </cell>
          <cell r="B322" t="str">
            <v>CLORFENAMINA (CLORFENIRAMINA) .:. 2 mg/5 ml</v>
          </cell>
          <cell r="C322" t="str">
            <v>Jarabe</v>
          </cell>
          <cell r="D322">
            <v>11</v>
          </cell>
          <cell r="E322">
            <v>40</v>
          </cell>
          <cell r="F322">
            <v>255.6</v>
          </cell>
          <cell r="G322">
            <v>12</v>
          </cell>
          <cell r="H322">
            <v>24</v>
          </cell>
          <cell r="I322">
            <v>73.27</v>
          </cell>
          <cell r="J322">
            <v>27</v>
          </cell>
          <cell r="K322">
            <v>6.39</v>
          </cell>
          <cell r="L322">
            <v>249.21</v>
          </cell>
          <cell r="M322">
            <v>2</v>
          </cell>
          <cell r="N322">
            <v>5</v>
          </cell>
          <cell r="O322">
            <v>6.39</v>
          </cell>
          <cell r="P322">
            <v>31.95</v>
          </cell>
        </row>
        <row r="323">
          <cell r="A323" t="str">
            <v>R-06-03</v>
          </cell>
          <cell r="B323" t="str">
            <v>CLORFENAMINA (CLORFENIRAMINA) .:. 10 mg/ml</v>
          </cell>
          <cell r="C323" t="str">
            <v>Inyectable</v>
          </cell>
          <cell r="D323">
            <v>185</v>
          </cell>
          <cell r="E323">
            <v>500</v>
          </cell>
          <cell r="F323">
            <v>600</v>
          </cell>
          <cell r="G323">
            <v>239</v>
          </cell>
          <cell r="H323">
            <v>478</v>
          </cell>
          <cell r="I323">
            <v>417.41578500000003</v>
          </cell>
          <cell r="J323">
            <v>207</v>
          </cell>
          <cell r="K323">
            <v>1.2145306838565022</v>
          </cell>
          <cell r="L323">
            <v>541.68068500000004</v>
          </cell>
          <cell r="M323">
            <v>39.833333333333336</v>
          </cell>
          <cell r="N323">
            <v>271</v>
          </cell>
          <cell r="O323">
            <v>1.2145306838565022</v>
          </cell>
          <cell r="P323">
            <v>329.13781532511211</v>
          </cell>
        </row>
        <row r="324">
          <cell r="A324" t="str">
            <v>R-06-04</v>
          </cell>
          <cell r="B324" t="str">
            <v>KETOTIFENO .:. 1 mg</v>
          </cell>
          <cell r="C324" t="str">
            <v>Comprimido</v>
          </cell>
          <cell r="D324">
            <v>65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65</v>
          </cell>
          <cell r="K324">
            <v>3</v>
          </cell>
          <cell r="L324">
            <v>195</v>
          </cell>
          <cell r="M324">
            <v>0</v>
          </cell>
          <cell r="N324">
            <v>1</v>
          </cell>
          <cell r="O324">
            <v>3</v>
          </cell>
          <cell r="P324">
            <v>3</v>
          </cell>
        </row>
        <row r="325">
          <cell r="A325" t="str">
            <v>R-06-07</v>
          </cell>
          <cell r="B325" t="str">
            <v>CETIRIZINA .:. 10 mg</v>
          </cell>
          <cell r="C325" t="str">
            <v>Cápsula o Comprimido</v>
          </cell>
          <cell r="D325">
            <v>820</v>
          </cell>
          <cell r="E325">
            <v>3000</v>
          </cell>
          <cell r="F325">
            <v>870</v>
          </cell>
          <cell r="G325">
            <v>2318</v>
          </cell>
          <cell r="H325">
            <v>4636</v>
          </cell>
          <cell r="I325">
            <v>761.00031300000001</v>
          </cell>
          <cell r="J325">
            <v>761.00031300000001</v>
          </cell>
          <cell r="K325">
            <v>0.29094519773635152</v>
          </cell>
          <cell r="L325">
            <v>436.99968699999999</v>
          </cell>
          <cell r="M325">
            <v>386.33333333333331</v>
          </cell>
          <cell r="N325">
            <v>4400</v>
          </cell>
          <cell r="O325">
            <v>0.29094519773635152</v>
          </cell>
          <cell r="P325">
            <v>1280.1588700399468</v>
          </cell>
        </row>
        <row r="326">
          <cell r="A326" t="str">
            <v>R-06-08</v>
          </cell>
          <cell r="B326" t="str">
            <v>CETIRIZINA .:. 5 mg/5 ml</v>
          </cell>
          <cell r="C326" t="str">
            <v>Jarabe</v>
          </cell>
          <cell r="D326">
            <v>19</v>
          </cell>
          <cell r="E326">
            <v>40</v>
          </cell>
          <cell r="F326">
            <v>416</v>
          </cell>
          <cell r="G326">
            <v>42</v>
          </cell>
          <cell r="H326">
            <v>84</v>
          </cell>
          <cell r="I326">
            <v>438.151273</v>
          </cell>
          <cell r="J326">
            <v>438.151273</v>
          </cell>
          <cell r="K326">
            <v>10.403537764705883</v>
          </cell>
          <cell r="L326">
            <v>176.860142</v>
          </cell>
          <cell r="M326">
            <v>7</v>
          </cell>
          <cell r="N326">
            <v>110.00000000000001</v>
          </cell>
          <cell r="O326">
            <v>10.403537764705883</v>
          </cell>
          <cell r="P326">
            <v>1144.3891541176472</v>
          </cell>
        </row>
        <row r="327">
          <cell r="A327" t="str">
            <v>S-01-04</v>
          </cell>
          <cell r="B327" t="str">
            <v>CIPROFLOXACINA .:. 0,3%</v>
          </cell>
          <cell r="C327" t="str">
            <v>Solución oftálmica</v>
          </cell>
          <cell r="D327">
            <v>0</v>
          </cell>
          <cell r="E327">
            <v>30</v>
          </cell>
          <cell r="F327">
            <v>1020</v>
          </cell>
          <cell r="G327">
            <v>7</v>
          </cell>
          <cell r="H327">
            <v>14</v>
          </cell>
          <cell r="I327">
            <v>238</v>
          </cell>
          <cell r="J327">
            <v>16</v>
          </cell>
          <cell r="K327">
            <v>34</v>
          </cell>
          <cell r="L327">
            <v>782</v>
          </cell>
          <cell r="M327">
            <v>1.1666666666666667</v>
          </cell>
          <cell r="N327">
            <v>10</v>
          </cell>
          <cell r="O327">
            <v>34</v>
          </cell>
          <cell r="P327">
            <v>340</v>
          </cell>
        </row>
        <row r="328">
          <cell r="A328" t="str">
            <v>S-01-06</v>
          </cell>
          <cell r="B328" t="str">
            <v>CLORANFENICOL .:. 0.01</v>
          </cell>
          <cell r="C328" t="str">
            <v>Ungüento oftálmico</v>
          </cell>
          <cell r="D328">
            <v>4</v>
          </cell>
          <cell r="E328">
            <v>0</v>
          </cell>
          <cell r="F328">
            <v>0</v>
          </cell>
          <cell r="G328">
            <v>3</v>
          </cell>
          <cell r="H328">
            <v>6</v>
          </cell>
          <cell r="I328">
            <v>59.1</v>
          </cell>
          <cell r="J328">
            <v>59.1</v>
          </cell>
          <cell r="K328">
            <v>19.7</v>
          </cell>
          <cell r="L328">
            <v>19.7</v>
          </cell>
          <cell r="M328">
            <v>0.5</v>
          </cell>
          <cell r="N328">
            <v>7.7000000000000011</v>
          </cell>
          <cell r="O328">
            <v>19.7</v>
          </cell>
          <cell r="P328">
            <v>151.69000000000003</v>
          </cell>
        </row>
        <row r="329">
          <cell r="A329" t="str">
            <v>S-01-09</v>
          </cell>
          <cell r="B329" t="str">
            <v>DEXAMETASONA .:. 0,1%</v>
          </cell>
          <cell r="C329" t="str">
            <v>Solución oftálmica</v>
          </cell>
          <cell r="D329">
            <v>84</v>
          </cell>
          <cell r="E329">
            <v>0</v>
          </cell>
          <cell r="F329">
            <v>0</v>
          </cell>
          <cell r="G329">
            <v>84</v>
          </cell>
          <cell r="H329">
            <v>168</v>
          </cell>
          <cell r="I329">
            <v>655.20000000000005</v>
          </cell>
          <cell r="J329">
            <v>655.20000000000005</v>
          </cell>
          <cell r="K329">
            <v>0</v>
          </cell>
          <cell r="L329">
            <v>0</v>
          </cell>
          <cell r="M329">
            <v>14</v>
          </cell>
          <cell r="N329">
            <v>286</v>
          </cell>
          <cell r="O329">
            <v>7.8000000000000007</v>
          </cell>
          <cell r="P329">
            <v>2230.8000000000002</v>
          </cell>
        </row>
        <row r="330">
          <cell r="A330" t="str">
            <v>S-01-12</v>
          </cell>
          <cell r="B330" t="str">
            <v>DORZOLAMIDA .:. 0.02</v>
          </cell>
          <cell r="C330" t="str">
            <v>Solución oftálmica</v>
          </cell>
          <cell r="D330">
            <v>36</v>
          </cell>
          <cell r="E330">
            <v>100</v>
          </cell>
          <cell r="F330">
            <v>4999</v>
          </cell>
          <cell r="G330">
            <v>80</v>
          </cell>
          <cell r="H330">
            <v>160</v>
          </cell>
          <cell r="I330">
            <v>3999.2</v>
          </cell>
          <cell r="J330">
            <v>3999.2</v>
          </cell>
          <cell r="K330">
            <v>49.99</v>
          </cell>
          <cell r="L330">
            <v>2799.44</v>
          </cell>
          <cell r="M330">
            <v>13.333333333333334</v>
          </cell>
          <cell r="N330">
            <v>143</v>
          </cell>
          <cell r="O330">
            <v>49.99</v>
          </cell>
          <cell r="P330">
            <v>7148.5700000000006</v>
          </cell>
        </row>
        <row r="331">
          <cell r="A331" t="str">
            <v>S-01-15</v>
          </cell>
          <cell r="B331" t="str">
            <v>GENTAMICINA .:. 0,3%</v>
          </cell>
          <cell r="C331" t="str">
            <v>Ungüento oftálmico</v>
          </cell>
          <cell r="D331">
            <v>2</v>
          </cell>
          <cell r="E331">
            <v>0</v>
          </cell>
          <cell r="F331">
            <v>0</v>
          </cell>
          <cell r="G331">
            <v>2</v>
          </cell>
          <cell r="H331">
            <v>4</v>
          </cell>
          <cell r="I331">
            <v>38</v>
          </cell>
          <cell r="J331">
            <v>38</v>
          </cell>
          <cell r="K331">
            <v>0</v>
          </cell>
          <cell r="L331">
            <v>0</v>
          </cell>
          <cell r="M331">
            <v>0.33333333333333331</v>
          </cell>
          <cell r="N331">
            <v>6.6000000000000005</v>
          </cell>
          <cell r="O331">
            <v>19</v>
          </cell>
          <cell r="P331">
            <v>125.4</v>
          </cell>
        </row>
        <row r="332">
          <cell r="A332" t="str">
            <v>S-01-16</v>
          </cell>
          <cell r="B332" t="str">
            <v>GENTAMICINA .:. 0,3%</v>
          </cell>
          <cell r="C332" t="str">
            <v>Solución oftálmica</v>
          </cell>
          <cell r="D332">
            <v>8</v>
          </cell>
          <cell r="E332">
            <v>150</v>
          </cell>
          <cell r="F332">
            <v>1042.5</v>
          </cell>
          <cell r="G332">
            <v>69</v>
          </cell>
          <cell r="H332">
            <v>138</v>
          </cell>
          <cell r="I332">
            <v>551.42405399999996</v>
          </cell>
          <cell r="J332">
            <v>20</v>
          </cell>
          <cell r="K332">
            <v>6.5064713033707866</v>
          </cell>
          <cell r="L332">
            <v>579.07594600000004</v>
          </cell>
          <cell r="M332">
            <v>11.5</v>
          </cell>
          <cell r="N332">
            <v>44</v>
          </cell>
          <cell r="O332">
            <v>6.5064713033707866</v>
          </cell>
          <cell r="P332">
            <v>286.28473734831459</v>
          </cell>
        </row>
        <row r="333">
          <cell r="A333" t="str">
            <v>S-01-18</v>
          </cell>
          <cell r="B333" t="str">
            <v>LAGRIMAS ARTIFICIALES .:. 0,3% o 1%</v>
          </cell>
          <cell r="C333" t="str">
            <v>Solución oftálmica</v>
          </cell>
          <cell r="D333">
            <v>146</v>
          </cell>
          <cell r="E333">
            <v>1200</v>
          </cell>
          <cell r="F333">
            <v>17999</v>
          </cell>
          <cell r="G333">
            <v>495</v>
          </cell>
          <cell r="H333">
            <v>990</v>
          </cell>
          <cell r="I333">
            <v>7516.451865</v>
          </cell>
          <cell r="J333">
            <v>356</v>
          </cell>
          <cell r="K333">
            <v>14.999524092831962</v>
          </cell>
          <cell r="L333">
            <v>12764.595003</v>
          </cell>
          <cell r="M333">
            <v>82.5</v>
          </cell>
          <cell r="N333">
            <v>634</v>
          </cell>
          <cell r="O333">
            <v>14.999524092831962</v>
          </cell>
          <cell r="P333">
            <v>9509.6982748554638</v>
          </cell>
        </row>
        <row r="334">
          <cell r="A334" t="str">
            <v>S-01-19</v>
          </cell>
          <cell r="B334" t="str">
            <v>NAFAZOLINA CLORHIDRATO .:. 0,1%</v>
          </cell>
          <cell r="C334" t="str">
            <v>Solución oftálmica</v>
          </cell>
          <cell r="D334">
            <v>0</v>
          </cell>
          <cell r="E334">
            <v>75</v>
          </cell>
          <cell r="F334">
            <v>1527.5</v>
          </cell>
          <cell r="G334">
            <v>29</v>
          </cell>
          <cell r="H334">
            <v>58</v>
          </cell>
          <cell r="I334">
            <v>575.29999999999995</v>
          </cell>
          <cell r="J334">
            <v>17</v>
          </cell>
          <cell r="K334">
            <v>20.7</v>
          </cell>
          <cell r="L334">
            <v>952.2</v>
          </cell>
          <cell r="M334">
            <v>4.833333333333333</v>
          </cell>
          <cell r="N334">
            <v>40</v>
          </cell>
          <cell r="O334">
            <v>20.7</v>
          </cell>
          <cell r="P334">
            <v>828</v>
          </cell>
        </row>
        <row r="335">
          <cell r="A335" t="str">
            <v>S-01-22</v>
          </cell>
          <cell r="B335" t="str">
            <v>TIMOLOL MALEATO .:. 0,5%</v>
          </cell>
          <cell r="C335" t="str">
            <v>Solución oftálmica</v>
          </cell>
          <cell r="D335">
            <v>74</v>
          </cell>
          <cell r="E335">
            <v>320</v>
          </cell>
          <cell r="F335">
            <v>6720</v>
          </cell>
          <cell r="G335">
            <v>177</v>
          </cell>
          <cell r="H335">
            <v>354</v>
          </cell>
          <cell r="I335">
            <v>3690.9661339999998</v>
          </cell>
          <cell r="J335">
            <v>40</v>
          </cell>
          <cell r="K335">
            <v>21</v>
          </cell>
          <cell r="L335">
            <v>4557</v>
          </cell>
          <cell r="M335">
            <v>29.5</v>
          </cell>
          <cell r="N335">
            <v>132</v>
          </cell>
          <cell r="O335">
            <v>21</v>
          </cell>
          <cell r="P335">
            <v>2772</v>
          </cell>
        </row>
        <row r="336">
          <cell r="A336" t="str">
            <v>S-01-24</v>
          </cell>
          <cell r="B336" t="str">
            <v>CORTICOIDE + ANTIINFECCIOSO DE ACCION TOPICA .:. Según disponibilidad</v>
          </cell>
          <cell r="C336" t="str">
            <v>Solución oftálmica</v>
          </cell>
          <cell r="D336">
            <v>6</v>
          </cell>
          <cell r="E336">
            <v>80</v>
          </cell>
          <cell r="F336">
            <v>1655.3</v>
          </cell>
          <cell r="G336">
            <v>56</v>
          </cell>
          <cell r="H336">
            <v>112</v>
          </cell>
          <cell r="I336">
            <v>1202.3599999999999</v>
          </cell>
          <cell r="J336">
            <v>1202.3599999999999</v>
          </cell>
          <cell r="K336">
            <v>19.600000000000001</v>
          </cell>
          <cell r="L336">
            <v>588</v>
          </cell>
          <cell r="M336">
            <v>9.3333333333333339</v>
          </cell>
          <cell r="N336">
            <v>132</v>
          </cell>
          <cell r="O336">
            <v>19.600000000000001</v>
          </cell>
          <cell r="P336">
            <v>2587.2000000000003</v>
          </cell>
        </row>
        <row r="337">
          <cell r="A337" t="str">
            <v>S-01-26</v>
          </cell>
          <cell r="B337" t="str">
            <v>LAGRIMAS ARTIFICIALES .:. 0,3% o 1%</v>
          </cell>
          <cell r="C337" t="str">
            <v>Gel</v>
          </cell>
          <cell r="D337">
            <v>14</v>
          </cell>
          <cell r="E337">
            <v>0</v>
          </cell>
          <cell r="F337">
            <v>0</v>
          </cell>
          <cell r="G337">
            <v>13</v>
          </cell>
          <cell r="H337">
            <v>26</v>
          </cell>
          <cell r="I337">
            <v>620.90999099999999</v>
          </cell>
          <cell r="J337">
            <v>620.90999099999999</v>
          </cell>
          <cell r="K337">
            <v>47.762307</v>
          </cell>
          <cell r="L337">
            <v>47.762307</v>
          </cell>
          <cell r="M337">
            <v>2.1666666666666665</v>
          </cell>
          <cell r="N337">
            <v>44</v>
          </cell>
          <cell r="O337">
            <v>47.762307</v>
          </cell>
          <cell r="P337">
            <v>2101.5415079999998</v>
          </cell>
        </row>
        <row r="338">
          <cell r="A338" t="str">
            <v>S-01-27</v>
          </cell>
          <cell r="B338" t="str">
            <v>LATANOPROST .:. 50 mcg/ml</v>
          </cell>
          <cell r="C338" t="str">
            <v>Solución oftálmica</v>
          </cell>
          <cell r="D338">
            <v>12</v>
          </cell>
          <cell r="E338">
            <v>235</v>
          </cell>
          <cell r="F338">
            <v>14250</v>
          </cell>
          <cell r="G338">
            <v>117</v>
          </cell>
          <cell r="H338">
            <v>234</v>
          </cell>
          <cell r="I338">
            <v>7509.2142839999997</v>
          </cell>
          <cell r="J338">
            <v>13</v>
          </cell>
          <cell r="K338">
            <v>60</v>
          </cell>
          <cell r="L338">
            <v>7800</v>
          </cell>
          <cell r="M338">
            <v>19.5</v>
          </cell>
          <cell r="N338">
            <v>110.00000000000001</v>
          </cell>
          <cell r="O338">
            <v>60</v>
          </cell>
          <cell r="P338">
            <v>6600.0000000000009</v>
          </cell>
        </row>
        <row r="339">
          <cell r="A339" t="str">
            <v>S-02-01</v>
          </cell>
          <cell r="B339" t="str">
            <v>GLICERINA + CARBONATO DE SODIO .:. Según disponibilidad</v>
          </cell>
          <cell r="C339" t="str">
            <v>Gotas óticas</v>
          </cell>
          <cell r="D339">
            <v>24</v>
          </cell>
          <cell r="E339">
            <v>0</v>
          </cell>
          <cell r="F339">
            <v>0</v>
          </cell>
          <cell r="G339">
            <v>21</v>
          </cell>
          <cell r="H339">
            <v>42</v>
          </cell>
          <cell r="I339">
            <v>522.9</v>
          </cell>
          <cell r="J339">
            <v>522.9</v>
          </cell>
          <cell r="K339">
            <v>24.9</v>
          </cell>
          <cell r="L339">
            <v>74.7</v>
          </cell>
          <cell r="M339">
            <v>3.5</v>
          </cell>
          <cell r="N339">
            <v>66</v>
          </cell>
          <cell r="O339">
            <v>24.9</v>
          </cell>
          <cell r="P339">
            <v>1643.3999999999999</v>
          </cell>
        </row>
        <row r="340">
          <cell r="A340" t="str">
            <v>V-03-01</v>
          </cell>
          <cell r="B340" t="str">
            <v>ACETIL CISTEINA .:. 0.1</v>
          </cell>
          <cell r="C340" t="str">
            <v>Inyectable</v>
          </cell>
          <cell r="D340">
            <v>325</v>
          </cell>
          <cell r="E340">
            <v>2500</v>
          </cell>
          <cell r="F340">
            <v>15500</v>
          </cell>
          <cell r="G340">
            <v>1698</v>
          </cell>
          <cell r="H340">
            <v>3396</v>
          </cell>
          <cell r="I340">
            <v>11918.938942000001</v>
          </cell>
          <cell r="J340">
            <v>502</v>
          </cell>
          <cell r="K340">
            <v>6.1064334381533101</v>
          </cell>
          <cell r="L340">
            <v>7010.1855869999999</v>
          </cell>
          <cell r="M340">
            <v>283</v>
          </cell>
          <cell r="N340">
            <v>3080.0000000000005</v>
          </cell>
          <cell r="O340">
            <v>6.1064334381533101</v>
          </cell>
          <cell r="P340">
            <v>18807.814989512197</v>
          </cell>
        </row>
        <row r="341">
          <cell r="A341" t="str">
            <v>V-03-07</v>
          </cell>
          <cell r="B341" t="str">
            <v>LEUCOVORINA .:. 50 mg</v>
          </cell>
          <cell r="C341" t="str">
            <v>Inyectable</v>
          </cell>
          <cell r="D341">
            <v>0</v>
          </cell>
          <cell r="E341">
            <v>148</v>
          </cell>
          <cell r="F341">
            <v>5920</v>
          </cell>
          <cell r="G341">
            <v>148</v>
          </cell>
          <cell r="H341">
            <v>296</v>
          </cell>
          <cell r="I341">
            <v>5920</v>
          </cell>
          <cell r="J341">
            <v>5920</v>
          </cell>
          <cell r="K341">
            <v>40</v>
          </cell>
          <cell r="L341">
            <v>600</v>
          </cell>
          <cell r="M341">
            <v>24.666666666666668</v>
          </cell>
          <cell r="N341">
            <v>455.40000000000003</v>
          </cell>
          <cell r="O341">
            <v>40</v>
          </cell>
          <cell r="P341">
            <v>18216</v>
          </cell>
        </row>
        <row r="342">
          <cell r="A342" t="str">
            <v>V-06-01</v>
          </cell>
          <cell r="B342" t="str">
            <v>PROTEINAS PARA ALIMENTACION ENTERAL (ALIMENTO) .:. Según disponibilidad</v>
          </cell>
          <cell r="C342" t="str">
            <v>Polvo</v>
          </cell>
          <cell r="D342">
            <v>58</v>
          </cell>
          <cell r="E342">
            <v>0</v>
          </cell>
          <cell r="F342">
            <v>0</v>
          </cell>
          <cell r="G342">
            <v>22</v>
          </cell>
          <cell r="H342">
            <v>44</v>
          </cell>
          <cell r="I342">
            <v>2194.5</v>
          </cell>
          <cell r="J342">
            <v>14</v>
          </cell>
          <cell r="K342">
            <v>99.75</v>
          </cell>
          <cell r="L342">
            <v>3591</v>
          </cell>
          <cell r="M342">
            <v>3.6666666666666665</v>
          </cell>
          <cell r="N342">
            <v>40</v>
          </cell>
          <cell r="O342">
            <v>99.75</v>
          </cell>
          <cell r="P342">
            <v>3990</v>
          </cell>
        </row>
        <row r="343">
          <cell r="A343" t="str">
            <v>V-06-04</v>
          </cell>
          <cell r="B343" t="str">
            <v>COMPLEMENTO NUTRICIONAL (CARMELO) .:. Según concentración</v>
          </cell>
          <cell r="C343" t="str">
            <v>Polvo</v>
          </cell>
          <cell r="D343">
            <v>105</v>
          </cell>
          <cell r="E343">
            <v>150</v>
          </cell>
          <cell r="F343">
            <v>8098.5</v>
          </cell>
          <cell r="G343">
            <v>186</v>
          </cell>
          <cell r="H343">
            <v>372</v>
          </cell>
          <cell r="I343">
            <v>10041.940882999999</v>
          </cell>
          <cell r="J343">
            <v>14</v>
          </cell>
          <cell r="K343">
            <v>53.989901623188409</v>
          </cell>
          <cell r="L343">
            <v>3725.3032119999998</v>
          </cell>
          <cell r="M343">
            <v>31</v>
          </cell>
          <cell r="N343">
            <v>173.8</v>
          </cell>
          <cell r="O343">
            <v>53.989901623188409</v>
          </cell>
          <cell r="P343">
            <v>9383.4449021101464</v>
          </cell>
        </row>
        <row r="344">
          <cell r="A344" t="str">
            <v>V-06-05</v>
          </cell>
          <cell r="B344" t="str">
            <v>COMPLEMENTO NUTRICIONAL .:. Según concentración</v>
          </cell>
          <cell r="C344" t="str">
            <v>Polvo</v>
          </cell>
          <cell r="D344">
            <v>3</v>
          </cell>
          <cell r="E344">
            <v>70</v>
          </cell>
          <cell r="F344">
            <v>12523</v>
          </cell>
          <cell r="G344">
            <v>27</v>
          </cell>
          <cell r="H344">
            <v>54</v>
          </cell>
          <cell r="I344">
            <v>4785.57</v>
          </cell>
          <cell r="J344">
            <v>19</v>
          </cell>
          <cell r="K344">
            <v>178.9</v>
          </cell>
          <cell r="L344">
            <v>8229.4</v>
          </cell>
          <cell r="M344">
            <v>4.5</v>
          </cell>
          <cell r="N344">
            <v>60</v>
          </cell>
          <cell r="O344">
            <v>178.9</v>
          </cell>
          <cell r="P344">
            <v>10734</v>
          </cell>
        </row>
        <row r="345">
          <cell r="A345" t="str">
            <v>V-06-06</v>
          </cell>
          <cell r="B345" t="str">
            <v>COMPLEMENTO NUTRICIONAL (DIABETICO) .:. Según concentración</v>
          </cell>
          <cell r="C345" t="str">
            <v>Polvo</v>
          </cell>
          <cell r="D345">
            <v>0</v>
          </cell>
          <cell r="E345">
            <v>50</v>
          </cell>
          <cell r="F345">
            <v>2856.5</v>
          </cell>
          <cell r="G345">
            <v>3</v>
          </cell>
          <cell r="H345">
            <v>6</v>
          </cell>
          <cell r="I345">
            <v>171.39</v>
          </cell>
          <cell r="J345">
            <v>44</v>
          </cell>
          <cell r="K345">
            <v>57.13</v>
          </cell>
          <cell r="L345">
            <v>2685.11</v>
          </cell>
          <cell r="M345">
            <v>0.5</v>
          </cell>
          <cell r="N345">
            <v>2</v>
          </cell>
          <cell r="O345">
            <v>57.13</v>
          </cell>
          <cell r="P345">
            <v>114.26</v>
          </cell>
        </row>
        <row r="346">
          <cell r="A346" t="str">
            <v>V-08-02</v>
          </cell>
          <cell r="B346" t="str">
            <v>CONTRASTE IODADO .:. Según disponibilidad (50 ml)</v>
          </cell>
          <cell r="C346" t="str">
            <v>Inyectable</v>
          </cell>
          <cell r="D346">
            <v>16</v>
          </cell>
          <cell r="E346">
            <v>27</v>
          </cell>
          <cell r="F346">
            <v>8231.61</v>
          </cell>
          <cell r="G346">
            <v>31</v>
          </cell>
          <cell r="H346">
            <v>62</v>
          </cell>
          <cell r="I346">
            <v>9450.9699999999993</v>
          </cell>
          <cell r="J346">
            <v>14</v>
          </cell>
          <cell r="K346">
            <v>304.88</v>
          </cell>
          <cell r="L346">
            <v>3658.56</v>
          </cell>
          <cell r="M346">
            <v>5.166666666666667</v>
          </cell>
          <cell r="N346">
            <v>85</v>
          </cell>
          <cell r="O346">
            <v>304.88</v>
          </cell>
          <cell r="P346">
            <v>25914.799999999999</v>
          </cell>
        </row>
        <row r="347">
          <cell r="A347" t="str">
            <v>V-08-05</v>
          </cell>
          <cell r="B347" t="str">
            <v>GADOPENTATO DE DIMEGLUMINA .:. 469 mg/ml</v>
          </cell>
          <cell r="C347" t="str">
            <v>Inyectable</v>
          </cell>
          <cell r="D347">
            <v>4</v>
          </cell>
          <cell r="E347">
            <v>10</v>
          </cell>
          <cell r="F347">
            <v>4499.8999999999996</v>
          </cell>
          <cell r="G347">
            <v>12</v>
          </cell>
          <cell r="H347">
            <v>24</v>
          </cell>
          <cell r="I347">
            <v>5399.88</v>
          </cell>
          <cell r="J347">
            <v>0</v>
          </cell>
          <cell r="K347">
            <v>449.99</v>
          </cell>
          <cell r="L347">
            <v>899.98</v>
          </cell>
          <cell r="M347">
            <v>2</v>
          </cell>
          <cell r="N347">
            <v>30</v>
          </cell>
          <cell r="O347">
            <v>450</v>
          </cell>
          <cell r="P347">
            <v>13500</v>
          </cell>
        </row>
        <row r="348">
          <cell r="A348" t="str">
            <v>V-08-06</v>
          </cell>
          <cell r="B348" t="str">
            <v>MEGLUMINA DIATRIZOATO .:. 70% o 76% (20 ml)</v>
          </cell>
          <cell r="C348" t="str">
            <v>Inyectable</v>
          </cell>
          <cell r="D348">
            <v>22</v>
          </cell>
          <cell r="E348">
            <v>0</v>
          </cell>
          <cell r="F348">
            <v>0</v>
          </cell>
          <cell r="G348">
            <v>7</v>
          </cell>
          <cell r="H348">
            <v>14</v>
          </cell>
          <cell r="I348">
            <v>910.564662</v>
          </cell>
          <cell r="J348">
            <v>1</v>
          </cell>
          <cell r="K348">
            <v>130.08066600000001</v>
          </cell>
          <cell r="L348">
            <v>1951.2099900000001</v>
          </cell>
          <cell r="M348">
            <v>1.1666666666666667</v>
          </cell>
          <cell r="N348">
            <v>16</v>
          </cell>
          <cell r="O348">
            <v>130.08066600000001</v>
          </cell>
          <cell r="P348">
            <v>2081.2906560000001</v>
          </cell>
        </row>
        <row r="349">
          <cell r="A349" t="str">
            <v>V-08-07</v>
          </cell>
          <cell r="B349" t="str">
            <v>MEGLUMINA DIATRIZOATO .:. 70% o 76% (50 ml)</v>
          </cell>
          <cell r="C349" t="str">
            <v>Inyectable</v>
          </cell>
          <cell r="D349">
            <v>14</v>
          </cell>
          <cell r="E349">
            <v>20</v>
          </cell>
          <cell r="F349">
            <v>3136</v>
          </cell>
          <cell r="G349">
            <v>13</v>
          </cell>
          <cell r="H349">
            <v>26</v>
          </cell>
          <cell r="I349">
            <v>2038.4</v>
          </cell>
          <cell r="J349">
            <v>9</v>
          </cell>
          <cell r="K349">
            <v>156.80000000000001</v>
          </cell>
          <cell r="L349">
            <v>3449.6</v>
          </cell>
          <cell r="M349">
            <v>2.1666666666666665</v>
          </cell>
          <cell r="N349">
            <v>25</v>
          </cell>
          <cell r="O349">
            <v>156.80000000000001</v>
          </cell>
          <cell r="P349">
            <v>3920.0000000000005</v>
          </cell>
        </row>
        <row r="350">
          <cell r="A350" t="str">
            <v>V-08-08</v>
          </cell>
          <cell r="B350" t="str">
            <v>SULFATO DE BARIO .:. Según disponibilidad</v>
          </cell>
          <cell r="C350" t="str">
            <v>Suspensión</v>
          </cell>
          <cell r="D350">
            <v>3</v>
          </cell>
          <cell r="E350">
            <v>0</v>
          </cell>
          <cell r="F350">
            <v>0</v>
          </cell>
          <cell r="G350">
            <v>1</v>
          </cell>
          <cell r="H350">
            <v>2</v>
          </cell>
          <cell r="I350">
            <v>234.32727199999999</v>
          </cell>
          <cell r="J350">
            <v>1</v>
          </cell>
          <cell r="K350">
            <v>234.33</v>
          </cell>
          <cell r="L350">
            <v>468.66</v>
          </cell>
          <cell r="M350">
            <v>0.16666666666666666</v>
          </cell>
          <cell r="N350">
            <v>3</v>
          </cell>
          <cell r="O350">
            <v>234.33</v>
          </cell>
          <cell r="P350">
            <v>702.99</v>
          </cell>
        </row>
        <row r="351">
          <cell r="A351" t="str">
            <v>A-11-11</v>
          </cell>
          <cell r="B351" t="str">
            <v>PIRIDOXINA CLORHIDRATO (VITAMINA B6)</v>
          </cell>
          <cell r="N351">
            <v>0</v>
          </cell>
          <cell r="O351">
            <v>0</v>
          </cell>
          <cell r="P351">
            <v>0</v>
          </cell>
        </row>
        <row r="352">
          <cell r="A352" t="str">
            <v>A-12-03</v>
          </cell>
          <cell r="B352" t="str">
            <v>CLORURO DE POTASIO</v>
          </cell>
          <cell r="N352">
            <v>0</v>
          </cell>
          <cell r="O352">
            <v>0</v>
          </cell>
          <cell r="P352">
            <v>0</v>
          </cell>
        </row>
        <row r="353">
          <cell r="A353" t="str">
            <v>C-01-04</v>
          </cell>
          <cell r="B353" t="str">
            <v>DIGOXINA</v>
          </cell>
          <cell r="N353">
            <v>0</v>
          </cell>
          <cell r="O353">
            <v>0</v>
          </cell>
          <cell r="P353">
            <v>0</v>
          </cell>
        </row>
        <row r="354">
          <cell r="A354" t="str">
            <v>C-02-08</v>
          </cell>
          <cell r="B354" t="str">
            <v>SILDENAFILO</v>
          </cell>
          <cell r="N354">
            <v>0</v>
          </cell>
          <cell r="O354">
            <v>0</v>
          </cell>
          <cell r="P354">
            <v>0</v>
          </cell>
        </row>
        <row r="355">
          <cell r="A355" t="str">
            <v>D-01-04</v>
          </cell>
          <cell r="B355" t="str">
            <v>NISTATINA</v>
          </cell>
          <cell r="N355">
            <v>0</v>
          </cell>
          <cell r="O355">
            <v>0</v>
          </cell>
          <cell r="P355">
            <v>0</v>
          </cell>
        </row>
        <row r="356">
          <cell r="A356" t="str">
            <v>EX-01-11</v>
          </cell>
          <cell r="B356" t="str">
            <v>RIBAROXABAN/XARELTO RIBAROXABAN/XARELTO 10 MG</v>
          </cell>
          <cell r="N356">
            <v>0</v>
          </cell>
          <cell r="O356">
            <v>0</v>
          </cell>
          <cell r="P356">
            <v>0</v>
          </cell>
        </row>
        <row r="357">
          <cell r="A357" t="str">
            <v>EX-01-16</v>
          </cell>
          <cell r="B357" t="str">
            <v>OCTREOTIDE</v>
          </cell>
          <cell r="N357">
            <v>0</v>
          </cell>
          <cell r="O357">
            <v>0</v>
          </cell>
          <cell r="P357">
            <v>0</v>
          </cell>
        </row>
        <row r="358">
          <cell r="A358" t="str">
            <v>L-02-03</v>
          </cell>
          <cell r="B358" t="str">
            <v>FLUTAMIDA</v>
          </cell>
          <cell r="N358">
            <v>0</v>
          </cell>
          <cell r="O358">
            <v>0</v>
          </cell>
          <cell r="P358">
            <v>0</v>
          </cell>
        </row>
        <row r="359">
          <cell r="A359" t="str">
            <v>L-02-07</v>
          </cell>
          <cell r="B359" t="str">
            <v>TRIPTORELINA</v>
          </cell>
          <cell r="N359">
            <v>0</v>
          </cell>
          <cell r="O359">
            <v>0</v>
          </cell>
          <cell r="P359">
            <v>0</v>
          </cell>
        </row>
        <row r="360">
          <cell r="A360" t="str">
            <v>P-01-06</v>
          </cell>
          <cell r="B360" t="str">
            <v>METRONIDAZOL</v>
          </cell>
          <cell r="N360">
            <v>0</v>
          </cell>
          <cell r="O360">
            <v>0</v>
          </cell>
          <cell r="P360">
            <v>0</v>
          </cell>
        </row>
        <row r="361">
          <cell r="A361" t="str">
            <v>P-02-08</v>
          </cell>
          <cell r="B361" t="str">
            <v>PIRANTEL PAMOATO</v>
          </cell>
          <cell r="N361">
            <v>0</v>
          </cell>
          <cell r="O361">
            <v>0</v>
          </cell>
          <cell r="P361">
            <v>0</v>
          </cell>
        </row>
        <row r="362">
          <cell r="A362" t="str">
            <v>R-03-04</v>
          </cell>
          <cell r="B362" t="str">
            <v>SALBUTAMOL</v>
          </cell>
          <cell r="N362">
            <v>0</v>
          </cell>
          <cell r="O362">
            <v>0</v>
          </cell>
          <cell r="P362">
            <v>0</v>
          </cell>
        </row>
        <row r="363">
          <cell r="A363" t="str">
            <v>S-01-05</v>
          </cell>
          <cell r="B363" t="str">
            <v>CLORANFENICOL</v>
          </cell>
          <cell r="N363">
            <v>0</v>
          </cell>
          <cell r="O363">
            <v>0</v>
          </cell>
          <cell r="P363">
            <v>0</v>
          </cell>
        </row>
        <row r="364">
          <cell r="A364" t="str">
            <v>S-01-25</v>
          </cell>
          <cell r="B364" t="str">
            <v>CORTICOIDE + ANTIINFECCIOSO DE ACCION TOPICA</v>
          </cell>
          <cell r="N364">
            <v>0</v>
          </cell>
          <cell r="O364">
            <v>0</v>
          </cell>
          <cell r="P364">
            <v>0</v>
          </cell>
        </row>
        <row r="365">
          <cell r="A365" t="str">
            <v>J-01-30</v>
          </cell>
          <cell r="B365" t="str">
            <v>CLARITROMICINA</v>
          </cell>
          <cell r="N365">
            <v>0</v>
          </cell>
          <cell r="O365">
            <v>0</v>
          </cell>
          <cell r="P365">
            <v>0</v>
          </cell>
        </row>
        <row r="366">
          <cell r="A366" t="str">
            <v>J-01-42</v>
          </cell>
          <cell r="B366" t="str">
            <v>DICLOXACILINA SODICA</v>
          </cell>
          <cell r="N366">
            <v>0</v>
          </cell>
          <cell r="O366">
            <v>0</v>
          </cell>
          <cell r="P366">
            <v>0</v>
          </cell>
        </row>
        <row r="367">
          <cell r="A367" t="str">
            <v>J-06-02</v>
          </cell>
          <cell r="B367" t="str">
            <v>INMUNOGLOBULINA ANTI D (RH +)</v>
          </cell>
          <cell r="N367">
            <v>0</v>
          </cell>
          <cell r="O367">
            <v>0</v>
          </cell>
          <cell r="P367">
            <v>0</v>
          </cell>
        </row>
        <row r="368">
          <cell r="A368" t="str">
            <v>L-01-04</v>
          </cell>
          <cell r="B368" t="str">
            <v>CARBOPLATINO</v>
          </cell>
          <cell r="N368">
            <v>0</v>
          </cell>
          <cell r="O368">
            <v>0</v>
          </cell>
          <cell r="P368">
            <v>0</v>
          </cell>
        </row>
        <row r="369">
          <cell r="A369" t="str">
            <v>L-01-06</v>
          </cell>
          <cell r="B369" t="str">
            <v>CICLOFOSFAMIDA</v>
          </cell>
          <cell r="N369">
            <v>0</v>
          </cell>
          <cell r="O369">
            <v>0</v>
          </cell>
          <cell r="P369">
            <v>0</v>
          </cell>
        </row>
        <row r="370">
          <cell r="A370" t="str">
            <v>L-01-18</v>
          </cell>
          <cell r="B370" t="str">
            <v>GEMCITABINA</v>
          </cell>
          <cell r="N370">
            <v>0</v>
          </cell>
          <cell r="O370">
            <v>0</v>
          </cell>
          <cell r="P370">
            <v>0</v>
          </cell>
        </row>
        <row r="371">
          <cell r="A371" t="str">
            <v>L-01-28</v>
          </cell>
          <cell r="B371" t="str">
            <v>PACLITAXEL</v>
          </cell>
          <cell r="N371">
            <v>0</v>
          </cell>
          <cell r="O371">
            <v>0</v>
          </cell>
          <cell r="P371">
            <v>0</v>
          </cell>
        </row>
        <row r="372">
          <cell r="A372" t="str">
            <v>L-01-38</v>
          </cell>
          <cell r="B372" t="str">
            <v>DOCETAXEL</v>
          </cell>
          <cell r="N372">
            <v>0</v>
          </cell>
          <cell r="O372">
            <v>0</v>
          </cell>
          <cell r="P372">
            <v>0</v>
          </cell>
        </row>
        <row r="373">
          <cell r="A373" t="str">
            <v>V-03-08</v>
          </cell>
          <cell r="B373" t="str">
            <v>MESNA (MERCAPTO ETILSULFONATO SODICO)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V-08-03</v>
          </cell>
          <cell r="B374" t="str">
            <v>CONTRASTE IODADO</v>
          </cell>
          <cell r="N374">
            <v>0</v>
          </cell>
          <cell r="O374">
            <v>0</v>
          </cell>
          <cell r="P374">
            <v>0</v>
          </cell>
        </row>
        <row r="375">
          <cell r="A375" t="str">
            <v>EX-01-19</v>
          </cell>
          <cell r="B375" t="str">
            <v>IVABRADINA</v>
          </cell>
          <cell r="N375">
            <v>0</v>
          </cell>
          <cell r="O375">
            <v>0</v>
          </cell>
          <cell r="P375">
            <v>0</v>
          </cell>
        </row>
        <row r="376">
          <cell r="A376" t="str">
            <v>L-01-21</v>
          </cell>
          <cell r="B376" t="str">
            <v>ASPARAGINASA</v>
          </cell>
          <cell r="N376">
            <v>0</v>
          </cell>
          <cell r="O376">
            <v>0</v>
          </cell>
          <cell r="P376">
            <v>0</v>
          </cell>
        </row>
        <row r="377">
          <cell r="A377" t="str">
            <v>L-01-30</v>
          </cell>
          <cell r="B377" t="str">
            <v>VINCRISTINA</v>
          </cell>
          <cell r="N377">
            <v>0</v>
          </cell>
          <cell r="O377">
            <v>0</v>
          </cell>
          <cell r="P377">
            <v>0</v>
          </cell>
        </row>
        <row r="378">
          <cell r="A378" t="str">
            <v>L-01-48</v>
          </cell>
          <cell r="B378" t="str">
            <v>DOXORRUBICINA LIPOSOMAL PEGILADA</v>
          </cell>
          <cell r="N378">
            <v>0</v>
          </cell>
          <cell r="O378">
            <v>0</v>
          </cell>
          <cell r="P378">
            <v>0</v>
          </cell>
        </row>
        <row r="379">
          <cell r="A379" t="str">
            <v>L-01-60</v>
          </cell>
          <cell r="B379" t="str">
            <v>PACLITAXEL</v>
          </cell>
          <cell r="N379">
            <v>0</v>
          </cell>
          <cell r="O379">
            <v>0</v>
          </cell>
          <cell r="P379">
            <v>0</v>
          </cell>
        </row>
        <row r="380">
          <cell r="A380" t="str">
            <v>N-03-17</v>
          </cell>
          <cell r="B380" t="str">
            <v>LAMOTRIGINA</v>
          </cell>
          <cell r="N380">
            <v>0</v>
          </cell>
          <cell r="O380">
            <v>0</v>
          </cell>
          <cell r="P380">
            <v>0</v>
          </cell>
        </row>
        <row r="381">
          <cell r="A381" t="str">
            <v>C-03-03</v>
          </cell>
          <cell r="B381" t="str">
            <v>ESPIRONOLACTONA</v>
          </cell>
          <cell r="N381">
            <v>0</v>
          </cell>
          <cell r="O381">
            <v>0</v>
          </cell>
          <cell r="P381">
            <v>0</v>
          </cell>
        </row>
        <row r="382">
          <cell r="A382" t="str">
            <v>L-01-09</v>
          </cell>
          <cell r="B382" t="str">
            <v>CISPLATINO</v>
          </cell>
          <cell r="N382">
            <v>0</v>
          </cell>
          <cell r="O382">
            <v>0</v>
          </cell>
          <cell r="P382">
            <v>0</v>
          </cell>
        </row>
        <row r="383">
          <cell r="A383" t="str">
            <v>J-01-11</v>
          </cell>
          <cell r="B383" t="str">
            <v>AMOXICILINA + INHIBIDOR BETALACTAMASA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J-05-45</v>
          </cell>
          <cell r="B384" t="str">
            <v>ACICLOVIR</v>
          </cell>
          <cell r="N384">
            <v>0</v>
          </cell>
          <cell r="O384">
            <v>0</v>
          </cell>
          <cell r="P384">
            <v>0</v>
          </cell>
        </row>
        <row r="385">
          <cell r="A385" t="str">
            <v>L-01-40</v>
          </cell>
          <cell r="B385" t="str">
            <v>IRINOTECAN</v>
          </cell>
          <cell r="N385">
            <v>0</v>
          </cell>
          <cell r="O385">
            <v>0</v>
          </cell>
          <cell r="P385">
            <v>0</v>
          </cell>
        </row>
        <row r="386">
          <cell r="A386" t="str">
            <v>L-01-50</v>
          </cell>
          <cell r="B386" t="str">
            <v>IMATINIB</v>
          </cell>
          <cell r="N386">
            <v>0</v>
          </cell>
          <cell r="O386">
            <v>0</v>
          </cell>
          <cell r="P386">
            <v>0</v>
          </cell>
        </row>
        <row r="387">
          <cell r="A387" t="str">
            <v>L-01-57</v>
          </cell>
          <cell r="B387" t="str">
            <v>PAZOPANIB</v>
          </cell>
          <cell r="N387">
            <v>0</v>
          </cell>
          <cell r="O387">
            <v>0</v>
          </cell>
          <cell r="P387">
            <v>0</v>
          </cell>
        </row>
        <row r="388">
          <cell r="A388" t="str">
            <v>L-02-09</v>
          </cell>
          <cell r="B388" t="str">
            <v>ABIRATERONA ACETATO</v>
          </cell>
          <cell r="N388">
            <v>0</v>
          </cell>
          <cell r="O388">
            <v>0</v>
          </cell>
          <cell r="P388">
            <v>0</v>
          </cell>
        </row>
        <row r="389">
          <cell r="A389" t="str">
            <v>N-01-01</v>
          </cell>
          <cell r="B389" t="str">
            <v>BUPIVACAINA CLORHIDRATO</v>
          </cell>
          <cell r="N389">
            <v>0</v>
          </cell>
          <cell r="O389">
            <v>0</v>
          </cell>
          <cell r="P389">
            <v>0</v>
          </cell>
        </row>
        <row r="390">
          <cell r="A390" t="str">
            <v>R-07-01</v>
          </cell>
          <cell r="B390" t="str">
            <v>SURFACTANTE PULMONAR</v>
          </cell>
          <cell r="N390">
            <v>0</v>
          </cell>
          <cell r="O390">
            <v>0</v>
          </cell>
          <cell r="P390">
            <v>0</v>
          </cell>
        </row>
        <row r="391">
          <cell r="A391" t="str">
            <v>V-08-11</v>
          </cell>
          <cell r="B391" t="str">
            <v>GADOBUTROL</v>
          </cell>
          <cell r="N391">
            <v>0</v>
          </cell>
          <cell r="O391">
            <v>0</v>
          </cell>
          <cell r="P39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363F-1A7F-734D-8E6A-E90EBBAF23C5}">
  <dimension ref="A1:D391"/>
  <sheetViews>
    <sheetView tabSelected="1" topLeftCell="A177" workbookViewId="0">
      <selection activeCell="D2" sqref="D2"/>
    </sheetView>
  </sheetViews>
  <sheetFormatPr baseColWidth="10" defaultRowHeight="16" x14ac:dyDescent="0.2"/>
  <sheetData>
    <row r="1" spans="1:4" x14ac:dyDescent="0.2">
      <c r="A1" s="1" t="s">
        <v>0</v>
      </c>
      <c r="B1" t="s">
        <v>391</v>
      </c>
      <c r="C1" t="s">
        <v>392</v>
      </c>
      <c r="D1" t="s">
        <v>393</v>
      </c>
    </row>
    <row r="2" spans="1:4" x14ac:dyDescent="0.2">
      <c r="A2" t="s">
        <v>1</v>
      </c>
      <c r="B2">
        <f>VLOOKUP(A2,[1]Hoja1!$A$2:$P$391,14,FALSE)</f>
        <v>374.00000000000006</v>
      </c>
      <c r="C2">
        <f>VLOOKUP(A2,[1]Hoja1!$A$2:$P$391,15,FALSE)</f>
        <v>7.6167666830122593</v>
      </c>
      <c r="D2">
        <f>VLOOKUP(A2,[1]Hoja1!$A$2:$P$391,16,FALSE)</f>
        <v>2848.6707394465852</v>
      </c>
    </row>
    <row r="3" spans="1:4" x14ac:dyDescent="0.2">
      <c r="A3" t="s">
        <v>2</v>
      </c>
      <c r="B3">
        <f>VLOOKUP(A3,[1]Hoja1!$A$2:$P$391,14,FALSE)</f>
        <v>35200</v>
      </c>
      <c r="C3">
        <f>VLOOKUP(A3,[1]Hoja1!$A$2:$P$391,15,FALSE)</f>
        <v>0.19469363787405497</v>
      </c>
      <c r="D3">
        <f>VLOOKUP(A3,[1]Hoja1!$A$2:$P$391,16,FALSE)</f>
        <v>6853.216053166735</v>
      </c>
    </row>
    <row r="4" spans="1:4" x14ac:dyDescent="0.2">
      <c r="A4" t="s">
        <v>3</v>
      </c>
      <c r="B4">
        <f>VLOOKUP(A4,[1]Hoja1!$A$2:$P$391,14,FALSE)</f>
        <v>3300.0000000000005</v>
      </c>
      <c r="C4">
        <f>VLOOKUP(A4,[1]Hoja1!$A$2:$P$391,15,FALSE)</f>
        <v>0.366504</v>
      </c>
      <c r="D4">
        <f>VLOOKUP(A4,[1]Hoja1!$A$2:$P$391,16,FALSE)</f>
        <v>1209.4632000000001</v>
      </c>
    </row>
    <row r="5" spans="1:4" x14ac:dyDescent="0.2">
      <c r="A5" t="s">
        <v>4</v>
      </c>
      <c r="B5">
        <f>VLOOKUP(A5,[1]Hoja1!$A$2:$P$391,14,FALSE)</f>
        <v>660</v>
      </c>
      <c r="C5">
        <f>VLOOKUP(A5,[1]Hoja1!$A$2:$P$391,15,FALSE)</f>
        <v>1.1975199999999999</v>
      </c>
      <c r="D5">
        <f>VLOOKUP(A5,[1]Hoja1!$A$2:$P$391,16,FALSE)</f>
        <v>790.36319999999989</v>
      </c>
    </row>
    <row r="6" spans="1:4" x14ac:dyDescent="0.2">
      <c r="A6" t="s">
        <v>5</v>
      </c>
      <c r="B6">
        <f>VLOOKUP(A6,[1]Hoja1!$A$2:$P$391,14,FALSE)</f>
        <v>2860.0000000000005</v>
      </c>
      <c r="C6">
        <f>VLOOKUP(A6,[1]Hoja1!$A$2:$P$391,15,FALSE)</f>
        <v>4.2010814730127573</v>
      </c>
      <c r="D6">
        <f>VLOOKUP(A6,[1]Hoja1!$A$2:$P$391,16,FALSE)</f>
        <v>12015.093012816487</v>
      </c>
    </row>
    <row r="7" spans="1:4" x14ac:dyDescent="0.2">
      <c r="A7" t="s">
        <v>6</v>
      </c>
      <c r="B7">
        <f>VLOOKUP(A7,[1]Hoja1!$A$2:$P$391,14,FALSE)</f>
        <v>20</v>
      </c>
      <c r="C7">
        <f>VLOOKUP(A7,[1]Hoja1!$A$2:$P$391,15,FALSE)</f>
        <v>2.3800840000000001</v>
      </c>
      <c r="D7">
        <f>VLOOKUP(A7,[1]Hoja1!$A$2:$P$391,16,FALSE)</f>
        <v>47.601680000000002</v>
      </c>
    </row>
    <row r="8" spans="1:4" x14ac:dyDescent="0.2">
      <c r="A8" t="s">
        <v>7</v>
      </c>
      <c r="B8">
        <f>VLOOKUP(A8,[1]Hoja1!$A$2:$P$391,14,FALSE)</f>
        <v>1100</v>
      </c>
      <c r="C8">
        <f>VLOOKUP(A8,[1]Hoja1!$A$2:$P$391,15,FALSE)</f>
        <v>1.2938239999999999</v>
      </c>
      <c r="D8">
        <f>VLOOKUP(A8,[1]Hoja1!$A$2:$P$391,16,FALSE)</f>
        <v>1423.2063999999998</v>
      </c>
    </row>
    <row r="9" spans="1:4" x14ac:dyDescent="0.2">
      <c r="A9" t="s">
        <v>8</v>
      </c>
      <c r="B9">
        <f>VLOOKUP(A9,[1]Hoja1!$A$2:$P$391,14,FALSE)</f>
        <v>252</v>
      </c>
      <c r="C9">
        <f>VLOOKUP(A9,[1]Hoja1!$A$2:$P$391,15,FALSE)</f>
        <v>3.6085937249417248</v>
      </c>
      <c r="D9">
        <f>VLOOKUP(A9,[1]Hoja1!$A$2:$P$391,16,FALSE)</f>
        <v>909.36561868531464</v>
      </c>
    </row>
    <row r="10" spans="1:4" x14ac:dyDescent="0.2">
      <c r="A10" t="s">
        <v>9</v>
      </c>
      <c r="B10">
        <f>VLOOKUP(A10,[1]Hoja1!$A$2:$P$391,14,FALSE)</f>
        <v>5900</v>
      </c>
      <c r="C10">
        <f>VLOOKUP(A10,[1]Hoja1!$A$2:$P$391,15,FALSE)</f>
        <v>0.16379573924609464</v>
      </c>
      <c r="D10">
        <f>VLOOKUP(A10,[1]Hoja1!$A$2:$P$391,16,FALSE)</f>
        <v>966.39486155195834</v>
      </c>
    </row>
    <row r="11" spans="1:4" x14ac:dyDescent="0.2">
      <c r="A11" t="s">
        <v>10</v>
      </c>
      <c r="B11">
        <f>VLOOKUP(A11,[1]Hoja1!$A$2:$P$391,14,FALSE)</f>
        <v>611</v>
      </c>
      <c r="C11">
        <f>VLOOKUP(A11,[1]Hoja1!$A$2:$P$391,15,FALSE)</f>
        <v>0.23580599999999999</v>
      </c>
      <c r="D11">
        <f>VLOOKUP(A11,[1]Hoja1!$A$2:$P$391,16,FALSE)</f>
        <v>144.07746599999999</v>
      </c>
    </row>
    <row r="12" spans="1:4" x14ac:dyDescent="0.2">
      <c r="A12" t="s">
        <v>11</v>
      </c>
      <c r="B12">
        <f>VLOOKUP(A12,[1]Hoja1!$A$2:$P$391,14,FALSE)</f>
        <v>1320</v>
      </c>
      <c r="C12">
        <f>VLOOKUP(A12,[1]Hoja1!$A$2:$P$391,15,FALSE)</f>
        <v>2.4338465013333335</v>
      </c>
      <c r="D12">
        <f>VLOOKUP(A12,[1]Hoja1!$A$2:$P$391,16,FALSE)</f>
        <v>3212.6773817600001</v>
      </c>
    </row>
    <row r="13" spans="1:4" x14ac:dyDescent="0.2">
      <c r="A13" t="s">
        <v>12</v>
      </c>
      <c r="B13">
        <f>VLOOKUP(A13,[1]Hoja1!$A$2:$P$391,14,FALSE)</f>
        <v>154</v>
      </c>
      <c r="C13">
        <f>VLOOKUP(A13,[1]Hoja1!$A$2:$P$391,15,FALSE)</f>
        <v>5.8</v>
      </c>
      <c r="D13">
        <f>VLOOKUP(A13,[1]Hoja1!$A$2:$P$391,16,FALSE)</f>
        <v>893.19999999999993</v>
      </c>
    </row>
    <row r="14" spans="1:4" x14ac:dyDescent="0.2">
      <c r="A14" t="s">
        <v>13</v>
      </c>
      <c r="B14">
        <f>VLOOKUP(A14,[1]Hoja1!$A$2:$P$391,14,FALSE)</f>
        <v>2200</v>
      </c>
      <c r="C14">
        <f>VLOOKUP(A14,[1]Hoja1!$A$2:$P$391,15,FALSE)</f>
        <v>1.5110490000000001</v>
      </c>
      <c r="D14">
        <f>VLOOKUP(A14,[1]Hoja1!$A$2:$P$391,16,FALSE)</f>
        <v>3324.3078</v>
      </c>
    </row>
    <row r="15" spans="1:4" x14ac:dyDescent="0.2">
      <c r="A15" t="s">
        <v>14</v>
      </c>
      <c r="B15">
        <f>VLOOKUP(A15,[1]Hoja1!$A$2:$P$391,14,FALSE)</f>
        <v>258</v>
      </c>
      <c r="C15">
        <f>VLOOKUP(A15,[1]Hoja1!$A$2:$P$391,15,FALSE)</f>
        <v>6.1966388126721759</v>
      </c>
      <c r="D15">
        <f>VLOOKUP(A15,[1]Hoja1!$A$2:$P$391,16,FALSE)</f>
        <v>1598.7328136694214</v>
      </c>
    </row>
    <row r="16" spans="1:4" x14ac:dyDescent="0.2">
      <c r="A16" t="s">
        <v>15</v>
      </c>
      <c r="B16">
        <f>VLOOKUP(A16,[1]Hoja1!$A$2:$P$391,14,FALSE)</f>
        <v>220.00000000000003</v>
      </c>
      <c r="C16">
        <f>VLOOKUP(A16,[1]Hoja1!$A$2:$P$391,15,FALSE)</f>
        <v>16</v>
      </c>
      <c r="D16">
        <f>VLOOKUP(A16,[1]Hoja1!$A$2:$P$391,16,FALSE)</f>
        <v>3520.0000000000005</v>
      </c>
    </row>
    <row r="17" spans="1:4" x14ac:dyDescent="0.2">
      <c r="A17" t="s">
        <v>16</v>
      </c>
      <c r="B17">
        <f>VLOOKUP(A17,[1]Hoja1!$A$2:$P$391,14,FALSE)</f>
        <v>6300</v>
      </c>
      <c r="C17">
        <f>VLOOKUP(A17,[1]Hoja1!$A$2:$P$391,15,FALSE)</f>
        <v>1.1499999999999999</v>
      </c>
      <c r="D17">
        <f>VLOOKUP(A17,[1]Hoja1!$A$2:$P$391,16,FALSE)</f>
        <v>7244.9999999999991</v>
      </c>
    </row>
    <row r="18" spans="1:4" x14ac:dyDescent="0.2">
      <c r="A18" t="s">
        <v>17</v>
      </c>
      <c r="B18">
        <f>VLOOKUP(A18,[1]Hoja1!$A$2:$P$391,14,FALSE)</f>
        <v>658.90000000000009</v>
      </c>
      <c r="C18">
        <f>VLOOKUP(A18,[1]Hoja1!$A$2:$P$391,15,FALSE)</f>
        <v>6</v>
      </c>
      <c r="D18">
        <f>VLOOKUP(A18,[1]Hoja1!$A$2:$P$391,16,FALSE)</f>
        <v>3953.4000000000005</v>
      </c>
    </row>
    <row r="19" spans="1:4" x14ac:dyDescent="0.2">
      <c r="A19" t="s">
        <v>18</v>
      </c>
      <c r="B19">
        <f>VLOOKUP(A19,[1]Hoja1!$A$2:$P$391,14,FALSE)</f>
        <v>5500</v>
      </c>
      <c r="C19">
        <f>VLOOKUP(A19,[1]Hoja1!$A$2:$P$391,15,FALSE)</f>
        <v>9.0470219435736681</v>
      </c>
      <c r="D19">
        <f>VLOOKUP(A19,[1]Hoja1!$A$2:$P$391,16,FALSE)</f>
        <v>49758.620689655174</v>
      </c>
    </row>
    <row r="20" spans="1:4" x14ac:dyDescent="0.2">
      <c r="A20" t="s">
        <v>19</v>
      </c>
      <c r="B20">
        <f>VLOOKUP(A20,[1]Hoja1!$A$2:$P$391,14,FALSE)</f>
        <v>128</v>
      </c>
      <c r="C20">
        <f>VLOOKUP(A20,[1]Hoja1!$A$2:$P$391,15,FALSE)</f>
        <v>13.001087005714286</v>
      </c>
      <c r="D20">
        <f>VLOOKUP(A20,[1]Hoja1!$A$2:$P$391,16,FALSE)</f>
        <v>1664.1391367314286</v>
      </c>
    </row>
    <row r="21" spans="1:4" x14ac:dyDescent="0.2">
      <c r="A21" t="s">
        <v>20</v>
      </c>
      <c r="B21">
        <f>VLOOKUP(A21,[1]Hoja1!$A$2:$P$391,14,FALSE)</f>
        <v>660</v>
      </c>
      <c r="C21">
        <f>VLOOKUP(A21,[1]Hoja1!$A$2:$P$391,15,FALSE)</f>
        <v>0.35</v>
      </c>
      <c r="D21">
        <f>VLOOKUP(A21,[1]Hoja1!$A$2:$P$391,16,FALSE)</f>
        <v>230.99999999999997</v>
      </c>
    </row>
    <row r="22" spans="1:4" x14ac:dyDescent="0.2">
      <c r="A22" t="s">
        <v>21</v>
      </c>
      <c r="B22">
        <f>VLOOKUP(A22,[1]Hoja1!$A$2:$P$391,14,FALSE)</f>
        <v>3798</v>
      </c>
      <c r="C22">
        <f>VLOOKUP(A22,[1]Hoja1!$A$2:$P$391,15,FALSE)</f>
        <v>2.9681599593607304</v>
      </c>
      <c r="D22">
        <f>VLOOKUP(A22,[1]Hoja1!$A$2:$P$391,16,FALSE)</f>
        <v>11273.071525652054</v>
      </c>
    </row>
    <row r="23" spans="1:4" x14ac:dyDescent="0.2">
      <c r="A23" t="s">
        <v>22</v>
      </c>
      <c r="B23">
        <f>VLOOKUP(A23,[1]Hoja1!$A$2:$P$391,14,FALSE)</f>
        <v>1</v>
      </c>
      <c r="C23">
        <f>VLOOKUP(A23,[1]Hoja1!$A$2:$P$391,15,FALSE)</f>
        <v>2.088816</v>
      </c>
      <c r="D23">
        <f>VLOOKUP(A23,[1]Hoja1!$A$2:$P$391,16,FALSE)</f>
        <v>2.088816</v>
      </c>
    </row>
    <row r="24" spans="1:4" x14ac:dyDescent="0.2">
      <c r="A24" t="s">
        <v>23</v>
      </c>
      <c r="B24">
        <f>VLOOKUP(A24,[1]Hoja1!$A$2:$P$391,14,FALSE)</f>
        <v>30</v>
      </c>
      <c r="C24">
        <f>VLOOKUP(A24,[1]Hoja1!$A$2:$P$391,15,FALSE)</f>
        <v>1.54375</v>
      </c>
      <c r="D24">
        <f>VLOOKUP(A24,[1]Hoja1!$A$2:$P$391,16,FALSE)</f>
        <v>46.3125</v>
      </c>
    </row>
    <row r="25" spans="1:4" x14ac:dyDescent="0.2">
      <c r="A25" t="s">
        <v>24</v>
      </c>
      <c r="B25">
        <f>VLOOKUP(A25,[1]Hoja1!$A$2:$P$391,14,FALSE)</f>
        <v>220.00000000000003</v>
      </c>
      <c r="C25">
        <f>VLOOKUP(A25,[1]Hoja1!$A$2:$P$391,15,FALSE)</f>
        <v>39.990909142180094</v>
      </c>
      <c r="D25">
        <f>VLOOKUP(A25,[1]Hoja1!$A$2:$P$391,16,FALSE)</f>
        <v>8798.0000112796224</v>
      </c>
    </row>
    <row r="26" spans="1:4" x14ac:dyDescent="0.2">
      <c r="A26" t="s">
        <v>25</v>
      </c>
      <c r="B26">
        <f>VLOOKUP(A26,[1]Hoja1!$A$2:$P$391,14,FALSE)</f>
        <v>1540.0000000000002</v>
      </c>
      <c r="C26">
        <f>VLOOKUP(A26,[1]Hoja1!$A$2:$P$391,15,FALSE)</f>
        <v>0.4</v>
      </c>
      <c r="D26">
        <f>VLOOKUP(A26,[1]Hoja1!$A$2:$P$391,16,FALSE)</f>
        <v>616.00000000000011</v>
      </c>
    </row>
    <row r="27" spans="1:4" x14ac:dyDescent="0.2">
      <c r="A27" t="s">
        <v>26</v>
      </c>
      <c r="B27">
        <f>VLOOKUP(A27,[1]Hoja1!$A$2:$P$391,14,FALSE)</f>
        <v>108.9</v>
      </c>
      <c r="C27">
        <f>VLOOKUP(A27,[1]Hoja1!$A$2:$P$391,15,FALSE)</f>
        <v>12</v>
      </c>
      <c r="D27">
        <f>VLOOKUP(A27,[1]Hoja1!$A$2:$P$391,16,FALSE)</f>
        <v>1306.8000000000002</v>
      </c>
    </row>
    <row r="28" spans="1:4" x14ac:dyDescent="0.2">
      <c r="A28" t="s">
        <v>27</v>
      </c>
      <c r="B28">
        <f>VLOOKUP(A28,[1]Hoja1!$A$2:$P$391,14,FALSE)</f>
        <v>503</v>
      </c>
      <c r="C28">
        <f>VLOOKUP(A28,[1]Hoja1!$A$2:$P$391,15,FALSE)</f>
        <v>1.0158370000000001</v>
      </c>
      <c r="D28">
        <f>VLOOKUP(A28,[1]Hoja1!$A$2:$P$391,16,FALSE)</f>
        <v>510.96601100000004</v>
      </c>
    </row>
    <row r="29" spans="1:4" x14ac:dyDescent="0.2">
      <c r="A29" t="s">
        <v>28</v>
      </c>
      <c r="B29">
        <f>VLOOKUP(A29,[1]Hoja1!$A$2:$P$391,14,FALSE)</f>
        <v>1100</v>
      </c>
      <c r="C29">
        <f>VLOOKUP(A29,[1]Hoja1!$A$2:$P$391,15,FALSE)</f>
        <v>8</v>
      </c>
      <c r="D29">
        <f>VLOOKUP(A29,[1]Hoja1!$A$2:$P$391,16,FALSE)</f>
        <v>8800</v>
      </c>
    </row>
    <row r="30" spans="1:4" x14ac:dyDescent="0.2">
      <c r="A30" t="s">
        <v>29</v>
      </c>
      <c r="B30">
        <f>VLOOKUP(A30,[1]Hoja1!$A$2:$P$391,14,FALSE)</f>
        <v>5100</v>
      </c>
      <c r="C30">
        <f>VLOOKUP(A30,[1]Hoja1!$A$2:$P$391,15,FALSE)</f>
        <v>1.1000000000000001</v>
      </c>
      <c r="D30">
        <f>VLOOKUP(A30,[1]Hoja1!$A$2:$P$391,16,FALSE)</f>
        <v>5610</v>
      </c>
    </row>
    <row r="31" spans="1:4" x14ac:dyDescent="0.2">
      <c r="A31" t="s">
        <v>30</v>
      </c>
      <c r="B31">
        <f>VLOOKUP(A31,[1]Hoja1!$A$2:$P$391,14,FALSE)</f>
        <v>10000</v>
      </c>
      <c r="C31">
        <f>VLOOKUP(A31,[1]Hoja1!$A$2:$P$391,15,FALSE)</f>
        <v>5.182217453310696E-2</v>
      </c>
      <c r="D31">
        <f>VLOOKUP(A31,[1]Hoja1!$A$2:$P$391,16,FALSE)</f>
        <v>518.22174533106966</v>
      </c>
    </row>
    <row r="32" spans="1:4" x14ac:dyDescent="0.2">
      <c r="A32" t="s">
        <v>31</v>
      </c>
      <c r="B32">
        <f>VLOOKUP(A32,[1]Hoja1!$A$2:$P$391,14,FALSE)</f>
        <v>385.00000000000006</v>
      </c>
      <c r="C32">
        <f>VLOOKUP(A32,[1]Hoja1!$A$2:$P$391,15,FALSE)</f>
        <v>125</v>
      </c>
      <c r="D32">
        <f>VLOOKUP(A32,[1]Hoja1!$A$2:$P$391,16,FALSE)</f>
        <v>48125.000000000007</v>
      </c>
    </row>
    <row r="33" spans="1:4" x14ac:dyDescent="0.2">
      <c r="A33" t="s">
        <v>32</v>
      </c>
      <c r="B33">
        <f>VLOOKUP(A33,[1]Hoja1!$A$2:$P$391,14,FALSE)</f>
        <v>110.00000000000001</v>
      </c>
      <c r="C33">
        <f>VLOOKUP(A33,[1]Hoja1!$A$2:$P$391,15,FALSE)</f>
        <v>75</v>
      </c>
      <c r="D33">
        <f>VLOOKUP(A33,[1]Hoja1!$A$2:$P$391,16,FALSE)</f>
        <v>8250.0000000000018</v>
      </c>
    </row>
    <row r="34" spans="1:4" x14ac:dyDescent="0.2">
      <c r="A34" t="s">
        <v>33</v>
      </c>
      <c r="B34">
        <f>VLOOKUP(A34,[1]Hoja1!$A$2:$P$391,14,FALSE)</f>
        <v>110000.00000000001</v>
      </c>
      <c r="C34">
        <f>VLOOKUP(A34,[1]Hoja1!$A$2:$P$391,15,FALSE)</f>
        <v>0.30091522202596482</v>
      </c>
      <c r="D34">
        <f>VLOOKUP(A34,[1]Hoja1!$A$2:$P$391,16,FALSE)</f>
        <v>33100.674422856137</v>
      </c>
    </row>
    <row r="35" spans="1:4" x14ac:dyDescent="0.2">
      <c r="A35" t="s">
        <v>34</v>
      </c>
      <c r="B35">
        <f>VLOOKUP(A35,[1]Hoja1!$A$2:$P$391,14,FALSE)</f>
        <v>150</v>
      </c>
      <c r="C35">
        <f>VLOOKUP(A35,[1]Hoja1!$A$2:$P$391,15,FALSE)</f>
        <v>411</v>
      </c>
      <c r="D35">
        <f>VLOOKUP(A35,[1]Hoja1!$A$2:$P$391,16,FALSE)</f>
        <v>61650</v>
      </c>
    </row>
    <row r="36" spans="1:4" x14ac:dyDescent="0.2">
      <c r="A36" t="s">
        <v>35</v>
      </c>
      <c r="B36">
        <f>VLOOKUP(A36,[1]Hoja1!$A$2:$P$391,14,FALSE)</f>
        <v>2640</v>
      </c>
      <c r="C36">
        <f>VLOOKUP(A36,[1]Hoja1!$A$2:$P$391,15,FALSE)</f>
        <v>0.68</v>
      </c>
      <c r="D36">
        <f>VLOOKUP(A36,[1]Hoja1!$A$2:$P$391,16,FALSE)</f>
        <v>1795.2</v>
      </c>
    </row>
    <row r="37" spans="1:4" x14ac:dyDescent="0.2">
      <c r="A37" t="s">
        <v>36</v>
      </c>
      <c r="B37">
        <f>VLOOKUP(A37,[1]Hoja1!$A$2:$P$391,14,FALSE)</f>
        <v>1760.0000000000002</v>
      </c>
      <c r="C37">
        <f>VLOOKUP(A37,[1]Hoja1!$A$2:$P$391,15,FALSE)</f>
        <v>2.4819960000000001</v>
      </c>
      <c r="D37">
        <f>VLOOKUP(A37,[1]Hoja1!$A$2:$P$391,16,FALSE)</f>
        <v>4368.3129600000011</v>
      </c>
    </row>
    <row r="38" spans="1:4" x14ac:dyDescent="0.2">
      <c r="A38" t="s">
        <v>37</v>
      </c>
      <c r="B38">
        <f>VLOOKUP(A38,[1]Hoja1!$A$2:$P$391,14,FALSE)</f>
        <v>88</v>
      </c>
      <c r="C38">
        <f>VLOOKUP(A38,[1]Hoja1!$A$2:$P$391,15,FALSE)</f>
        <v>15.48</v>
      </c>
      <c r="D38">
        <f>VLOOKUP(A38,[1]Hoja1!$A$2:$P$391,16,FALSE)</f>
        <v>1362.24</v>
      </c>
    </row>
    <row r="39" spans="1:4" x14ac:dyDescent="0.2">
      <c r="A39" t="s">
        <v>38</v>
      </c>
      <c r="B39">
        <f>VLOOKUP(A39,[1]Hoja1!$A$2:$P$391,14,FALSE)</f>
        <v>474</v>
      </c>
      <c r="C39">
        <f>VLOOKUP(A39,[1]Hoja1!$A$2:$P$391,15,FALSE)</f>
        <v>4.5134110393700784</v>
      </c>
      <c r="D39">
        <f>VLOOKUP(A39,[1]Hoja1!$A$2:$P$391,16,FALSE)</f>
        <v>2139.3568326614172</v>
      </c>
    </row>
    <row r="40" spans="1:4" x14ac:dyDescent="0.2">
      <c r="A40" t="s">
        <v>39</v>
      </c>
      <c r="B40">
        <f>VLOOKUP(A40,[1]Hoja1!$A$2:$P$391,14,FALSE)</f>
        <v>8500</v>
      </c>
      <c r="C40">
        <f>VLOOKUP(A40,[1]Hoja1!$A$2:$P$391,15,FALSE)</f>
        <v>0.13</v>
      </c>
      <c r="D40">
        <f>VLOOKUP(A40,[1]Hoja1!$A$2:$P$391,16,FALSE)</f>
        <v>1105</v>
      </c>
    </row>
    <row r="41" spans="1:4" x14ac:dyDescent="0.2">
      <c r="A41" t="s">
        <v>40</v>
      </c>
      <c r="B41">
        <f>VLOOKUP(A41,[1]Hoja1!$A$2:$P$391,14,FALSE)</f>
        <v>1100</v>
      </c>
      <c r="C41">
        <f>VLOOKUP(A41,[1]Hoja1!$A$2:$P$391,15,FALSE)</f>
        <v>1.3772830992647058</v>
      </c>
      <c r="D41">
        <f>VLOOKUP(A41,[1]Hoja1!$A$2:$P$391,16,FALSE)</f>
        <v>1515.0114091911764</v>
      </c>
    </row>
    <row r="42" spans="1:4" x14ac:dyDescent="0.2">
      <c r="A42" t="s">
        <v>41</v>
      </c>
      <c r="B42">
        <f>VLOOKUP(A42,[1]Hoja1!$A$2:$P$391,14,FALSE)</f>
        <v>6000</v>
      </c>
      <c r="C42">
        <f>VLOOKUP(A42,[1]Hoja1!$A$2:$P$391,15,FALSE)</f>
        <v>0.32682</v>
      </c>
      <c r="D42">
        <f>VLOOKUP(A42,[1]Hoja1!$A$2:$P$391,16,FALSE)</f>
        <v>1960.92</v>
      </c>
    </row>
    <row r="43" spans="1:4" x14ac:dyDescent="0.2">
      <c r="A43" t="s">
        <v>42</v>
      </c>
      <c r="B43">
        <f>VLOOKUP(A43,[1]Hoja1!$A$2:$P$391,14,FALSE)</f>
        <v>10</v>
      </c>
      <c r="C43">
        <f>VLOOKUP(A43,[1]Hoja1!$A$2:$P$391,15,FALSE)</f>
        <v>15</v>
      </c>
      <c r="D43">
        <f>VLOOKUP(A43,[1]Hoja1!$A$2:$P$391,16,FALSE)</f>
        <v>150</v>
      </c>
    </row>
    <row r="44" spans="1:4" x14ac:dyDescent="0.2">
      <c r="A44" t="s">
        <v>43</v>
      </c>
      <c r="B44">
        <f>VLOOKUP(A44,[1]Hoja1!$A$2:$P$391,14,FALSE)</f>
        <v>0</v>
      </c>
      <c r="C44">
        <f>VLOOKUP(A44,[1]Hoja1!$A$2:$P$391,15,FALSE)</f>
        <v>0</v>
      </c>
      <c r="D44">
        <f>VLOOKUP(A44,[1]Hoja1!$A$2:$P$391,16,FALSE)</f>
        <v>0</v>
      </c>
    </row>
    <row r="45" spans="1:4" x14ac:dyDescent="0.2">
      <c r="A45" t="s">
        <v>44</v>
      </c>
      <c r="B45">
        <f>VLOOKUP(A45,[1]Hoja1!$A$2:$P$391,14,FALSE)</f>
        <v>110.00000000000001</v>
      </c>
      <c r="C45">
        <f>VLOOKUP(A45,[1]Hoja1!$A$2:$P$391,15,FALSE)</f>
        <v>0.55995799999999996</v>
      </c>
      <c r="D45">
        <f>VLOOKUP(A45,[1]Hoja1!$A$2:$P$391,16,FALSE)</f>
        <v>61.595380000000006</v>
      </c>
    </row>
    <row r="46" spans="1:4" x14ac:dyDescent="0.2">
      <c r="A46" t="s">
        <v>45</v>
      </c>
      <c r="B46">
        <f>VLOOKUP(A46,[1]Hoja1!$A$2:$P$391,14,FALSE)</f>
        <v>770.00000000000011</v>
      </c>
      <c r="C46">
        <f>VLOOKUP(A46,[1]Hoja1!$A$2:$P$391,15,FALSE)</f>
        <v>1.0900000000000001</v>
      </c>
      <c r="D46">
        <f>VLOOKUP(A46,[1]Hoja1!$A$2:$P$391,16,FALSE)</f>
        <v>839.30000000000018</v>
      </c>
    </row>
    <row r="47" spans="1:4" x14ac:dyDescent="0.2">
      <c r="A47" t="s">
        <v>46</v>
      </c>
      <c r="B47">
        <f>VLOOKUP(A47,[1]Hoja1!$A$2:$P$391,14,FALSE)</f>
        <v>30800.000000000004</v>
      </c>
      <c r="C47">
        <f>VLOOKUP(A47,[1]Hoja1!$A$2:$P$391,15,FALSE)</f>
        <v>1.45</v>
      </c>
      <c r="D47">
        <f>VLOOKUP(A47,[1]Hoja1!$A$2:$P$391,16,FALSE)</f>
        <v>44660.000000000007</v>
      </c>
    </row>
    <row r="48" spans="1:4" x14ac:dyDescent="0.2">
      <c r="A48" t="s">
        <v>47</v>
      </c>
      <c r="B48">
        <f>VLOOKUP(A48,[1]Hoja1!$A$2:$P$391,14,FALSE)</f>
        <v>500</v>
      </c>
      <c r="C48">
        <f>VLOOKUP(A48,[1]Hoja1!$A$2:$P$391,15,FALSE)</f>
        <v>0.54384615944055947</v>
      </c>
      <c r="D48">
        <f>VLOOKUP(A48,[1]Hoja1!$A$2:$P$391,16,FALSE)</f>
        <v>271.92307972027976</v>
      </c>
    </row>
    <row r="49" spans="1:4" x14ac:dyDescent="0.2">
      <c r="A49" t="s">
        <v>48</v>
      </c>
      <c r="B49">
        <f>VLOOKUP(A49,[1]Hoja1!$A$2:$P$391,14,FALSE)</f>
        <v>33000</v>
      </c>
      <c r="C49">
        <f>VLOOKUP(A49,[1]Hoja1!$A$2:$P$391,15,FALSE)</f>
        <v>0.39895709352394076</v>
      </c>
      <c r="D49">
        <f>VLOOKUP(A49,[1]Hoja1!$A$2:$P$391,16,FALSE)</f>
        <v>13165.584086290046</v>
      </c>
    </row>
    <row r="50" spans="1:4" x14ac:dyDescent="0.2">
      <c r="A50" t="s">
        <v>49</v>
      </c>
      <c r="B50">
        <f>VLOOKUP(A50,[1]Hoja1!$A$2:$P$391,14,FALSE)</f>
        <v>0</v>
      </c>
      <c r="C50">
        <f>VLOOKUP(A50,[1]Hoja1!$A$2:$P$391,15,FALSE)</f>
        <v>0</v>
      </c>
      <c r="D50">
        <f>VLOOKUP(A50,[1]Hoja1!$A$2:$P$391,16,FALSE)</f>
        <v>0</v>
      </c>
    </row>
    <row r="51" spans="1:4" x14ac:dyDescent="0.2">
      <c r="A51" t="s">
        <v>50</v>
      </c>
      <c r="B51">
        <f>VLOOKUP(A51,[1]Hoja1!$A$2:$P$391,14,FALSE)</f>
        <v>154</v>
      </c>
      <c r="C51">
        <f>VLOOKUP(A51,[1]Hoja1!$A$2:$P$391,15,FALSE)</f>
        <v>6.93</v>
      </c>
      <c r="D51">
        <f>VLOOKUP(A51,[1]Hoja1!$A$2:$P$391,16,FALSE)</f>
        <v>1067.22</v>
      </c>
    </row>
    <row r="52" spans="1:4" x14ac:dyDescent="0.2">
      <c r="A52" t="s">
        <v>51</v>
      </c>
      <c r="B52">
        <f>VLOOKUP(A52,[1]Hoja1!$A$2:$P$391,14,FALSE)</f>
        <v>10200</v>
      </c>
      <c r="C52">
        <f>VLOOKUP(A52,[1]Hoja1!$A$2:$P$391,15,FALSE)</f>
        <v>0.28355399999999997</v>
      </c>
      <c r="D52">
        <f>VLOOKUP(A52,[1]Hoja1!$A$2:$P$391,16,FALSE)</f>
        <v>2892.2507999999998</v>
      </c>
    </row>
    <row r="53" spans="1:4" x14ac:dyDescent="0.2">
      <c r="A53" t="s">
        <v>52</v>
      </c>
      <c r="B53">
        <f>VLOOKUP(A53,[1]Hoja1!$A$2:$P$391,14,FALSE)</f>
        <v>5500</v>
      </c>
      <c r="C53">
        <f>VLOOKUP(A53,[1]Hoja1!$A$2:$P$391,15,FALSE)</f>
        <v>0.15041358144371125</v>
      </c>
      <c r="D53">
        <f>VLOOKUP(A53,[1]Hoja1!$A$2:$P$391,16,FALSE)</f>
        <v>827.2746979404119</v>
      </c>
    </row>
    <row r="54" spans="1:4" x14ac:dyDescent="0.2">
      <c r="A54" t="s">
        <v>53</v>
      </c>
      <c r="B54">
        <f>VLOOKUP(A54,[1]Hoja1!$A$2:$P$391,14,FALSE)</f>
        <v>557.70000000000005</v>
      </c>
      <c r="C54">
        <f>VLOOKUP(A54,[1]Hoja1!$A$2:$P$391,15,FALSE)</f>
        <v>39.060291100000001</v>
      </c>
      <c r="D54">
        <f>VLOOKUP(A54,[1]Hoja1!$A$2:$P$391,16,FALSE)</f>
        <v>21783.924346470001</v>
      </c>
    </row>
    <row r="55" spans="1:4" x14ac:dyDescent="0.2">
      <c r="A55" t="s">
        <v>54</v>
      </c>
      <c r="B55">
        <f>VLOOKUP(A55,[1]Hoja1!$A$2:$P$391,14,FALSE)</f>
        <v>224.4</v>
      </c>
      <c r="C55">
        <f>VLOOKUP(A55,[1]Hoja1!$A$2:$P$391,15,FALSE)</f>
        <v>58.242645000000003</v>
      </c>
      <c r="D55">
        <f>VLOOKUP(A55,[1]Hoja1!$A$2:$P$391,16,FALSE)</f>
        <v>13069.649538000001</v>
      </c>
    </row>
    <row r="56" spans="1:4" x14ac:dyDescent="0.2">
      <c r="A56" t="s">
        <v>55</v>
      </c>
      <c r="B56">
        <f>VLOOKUP(A56,[1]Hoja1!$A$2:$P$391,14,FALSE)</f>
        <v>20</v>
      </c>
      <c r="C56">
        <f>VLOOKUP(A56,[1]Hoja1!$A$2:$P$391,15,FALSE)</f>
        <v>34</v>
      </c>
      <c r="D56">
        <f>VLOOKUP(A56,[1]Hoja1!$A$2:$P$391,16,FALSE)</f>
        <v>680</v>
      </c>
    </row>
    <row r="57" spans="1:4" x14ac:dyDescent="0.2">
      <c r="A57" t="s">
        <v>56</v>
      </c>
      <c r="B57">
        <f>VLOOKUP(A57,[1]Hoja1!$A$2:$P$391,14,FALSE)</f>
        <v>2200</v>
      </c>
      <c r="C57">
        <f>VLOOKUP(A57,[1]Hoja1!$A$2:$P$391,15,FALSE)</f>
        <v>0.51785199999999998</v>
      </c>
      <c r="D57">
        <f>VLOOKUP(A57,[1]Hoja1!$A$2:$P$391,16,FALSE)</f>
        <v>1139.2744</v>
      </c>
    </row>
    <row r="58" spans="1:4" x14ac:dyDescent="0.2">
      <c r="A58" t="s">
        <v>57</v>
      </c>
      <c r="B58">
        <f>VLOOKUP(A58,[1]Hoja1!$A$2:$P$391,14,FALSE)</f>
        <v>1760.0000000000002</v>
      </c>
      <c r="C58">
        <f>VLOOKUP(A58,[1]Hoja1!$A$2:$P$391,15,FALSE)</f>
        <v>1.4135796832573115</v>
      </c>
      <c r="D58">
        <f>VLOOKUP(A58,[1]Hoja1!$A$2:$P$391,16,FALSE)</f>
        <v>2487.9002425328686</v>
      </c>
    </row>
    <row r="59" spans="1:4" x14ac:dyDescent="0.2">
      <c r="A59" t="s">
        <v>58</v>
      </c>
      <c r="B59">
        <f>VLOOKUP(A59,[1]Hoja1!$A$2:$P$391,14,FALSE)</f>
        <v>10</v>
      </c>
      <c r="C59">
        <f>VLOOKUP(A59,[1]Hoja1!$A$2:$P$391,15,FALSE)</f>
        <v>2.3975219999999999</v>
      </c>
      <c r="D59">
        <f>VLOOKUP(A59,[1]Hoja1!$A$2:$P$391,16,FALSE)</f>
        <v>23.97522</v>
      </c>
    </row>
    <row r="60" spans="1:4" x14ac:dyDescent="0.2">
      <c r="A60" t="s">
        <v>59</v>
      </c>
      <c r="B60">
        <f>VLOOKUP(A60,[1]Hoja1!$A$2:$P$391,14,FALSE)</f>
        <v>5500</v>
      </c>
      <c r="C60">
        <f>VLOOKUP(A60,[1]Hoja1!$A$2:$P$391,15,FALSE)</f>
        <v>0.12</v>
      </c>
      <c r="D60">
        <f>VLOOKUP(A60,[1]Hoja1!$A$2:$P$391,16,FALSE)</f>
        <v>660</v>
      </c>
    </row>
    <row r="61" spans="1:4" x14ac:dyDescent="0.2">
      <c r="A61" t="s">
        <v>60</v>
      </c>
      <c r="B61">
        <f>VLOOKUP(A61,[1]Hoja1!$A$2:$P$391,14,FALSE)</f>
        <v>154</v>
      </c>
      <c r="C61">
        <f>VLOOKUP(A61,[1]Hoja1!$A$2:$P$391,15,FALSE)</f>
        <v>48.000000100000001</v>
      </c>
      <c r="D61">
        <f>VLOOKUP(A61,[1]Hoja1!$A$2:$P$391,16,FALSE)</f>
        <v>7392.0000153999999</v>
      </c>
    </row>
    <row r="62" spans="1:4" x14ac:dyDescent="0.2">
      <c r="A62" t="s">
        <v>61</v>
      </c>
      <c r="B62">
        <f>VLOOKUP(A62,[1]Hoja1!$A$2:$P$391,14,FALSE)</f>
        <v>110.00000000000001</v>
      </c>
      <c r="C62">
        <f>VLOOKUP(A62,[1]Hoja1!$A$2:$P$391,15,FALSE)</f>
        <v>15</v>
      </c>
      <c r="D62">
        <f>VLOOKUP(A62,[1]Hoja1!$A$2:$P$391,16,FALSE)</f>
        <v>1650.0000000000002</v>
      </c>
    </row>
    <row r="63" spans="1:4" x14ac:dyDescent="0.2">
      <c r="A63" t="s">
        <v>62</v>
      </c>
      <c r="B63">
        <f>VLOOKUP(A63,[1]Hoja1!$A$2:$P$391,14,FALSE)</f>
        <v>990.00000000000011</v>
      </c>
      <c r="C63">
        <f>VLOOKUP(A63,[1]Hoja1!$A$2:$P$391,15,FALSE)</f>
        <v>0.38</v>
      </c>
      <c r="D63">
        <f>VLOOKUP(A63,[1]Hoja1!$A$2:$P$391,16,FALSE)</f>
        <v>376.20000000000005</v>
      </c>
    </row>
    <row r="64" spans="1:4" x14ac:dyDescent="0.2">
      <c r="A64" t="s">
        <v>63</v>
      </c>
      <c r="B64">
        <f>VLOOKUP(A64,[1]Hoja1!$A$2:$P$391,14,FALSE)</f>
        <v>12.100000000000001</v>
      </c>
      <c r="C64">
        <f>VLOOKUP(A64,[1]Hoja1!$A$2:$P$391,15,FALSE)</f>
        <v>12.86</v>
      </c>
      <c r="D64">
        <f>VLOOKUP(A64,[1]Hoja1!$A$2:$P$391,16,FALSE)</f>
        <v>155.60600000000002</v>
      </c>
    </row>
    <row r="65" spans="1:4" x14ac:dyDescent="0.2">
      <c r="A65" t="s">
        <v>64</v>
      </c>
      <c r="B65">
        <f>VLOOKUP(A65,[1]Hoja1!$A$2:$P$391,14,FALSE)</f>
        <v>711</v>
      </c>
      <c r="C65">
        <f>VLOOKUP(A65,[1]Hoja1!$A$2:$P$391,15,FALSE)</f>
        <v>0.17130899999999999</v>
      </c>
      <c r="D65">
        <f>VLOOKUP(A65,[1]Hoja1!$A$2:$P$391,16,FALSE)</f>
        <v>121.80069899999999</v>
      </c>
    </row>
    <row r="66" spans="1:4" x14ac:dyDescent="0.2">
      <c r="A66" t="s">
        <v>65</v>
      </c>
      <c r="B66">
        <f>VLOOKUP(A66,[1]Hoja1!$A$2:$P$391,14,FALSE)</f>
        <v>11</v>
      </c>
      <c r="C66">
        <f>VLOOKUP(A66,[1]Hoja1!$A$2:$P$391,15,FALSE)</f>
        <v>5.98</v>
      </c>
      <c r="D66">
        <f>VLOOKUP(A66,[1]Hoja1!$A$2:$P$391,16,FALSE)</f>
        <v>65.78</v>
      </c>
    </row>
    <row r="67" spans="1:4" x14ac:dyDescent="0.2">
      <c r="A67" t="s">
        <v>66</v>
      </c>
      <c r="B67">
        <f>VLOOKUP(A67,[1]Hoja1!$A$2:$P$391,14,FALSE)</f>
        <v>5900</v>
      </c>
      <c r="C67">
        <f>VLOOKUP(A67,[1]Hoja1!$A$2:$P$391,15,FALSE)</f>
        <v>0.78922499999999995</v>
      </c>
      <c r="D67">
        <f>VLOOKUP(A67,[1]Hoja1!$A$2:$P$391,16,FALSE)</f>
        <v>4656.4274999999998</v>
      </c>
    </row>
    <row r="68" spans="1:4" x14ac:dyDescent="0.2">
      <c r="A68" t="s">
        <v>67</v>
      </c>
      <c r="B68">
        <f>VLOOKUP(A68,[1]Hoja1!$A$2:$P$391,14,FALSE)</f>
        <v>350</v>
      </c>
      <c r="C68">
        <f>VLOOKUP(A68,[1]Hoja1!$A$2:$P$391,15,FALSE)</f>
        <v>305</v>
      </c>
      <c r="D68">
        <f>VLOOKUP(A68,[1]Hoja1!$A$2:$P$391,16,FALSE)</f>
        <v>106750</v>
      </c>
    </row>
    <row r="69" spans="1:4" x14ac:dyDescent="0.2">
      <c r="A69" t="s">
        <v>68</v>
      </c>
      <c r="B69">
        <f>VLOOKUP(A69,[1]Hoja1!$A$2:$P$391,14,FALSE)</f>
        <v>100</v>
      </c>
      <c r="C69">
        <f>VLOOKUP(A69,[1]Hoja1!$A$2:$P$391,15,FALSE)</f>
        <v>117.20601866666667</v>
      </c>
      <c r="D69">
        <f>VLOOKUP(A69,[1]Hoja1!$A$2:$P$391,16,FALSE)</f>
        <v>11720.601866666666</v>
      </c>
    </row>
    <row r="70" spans="1:4" x14ac:dyDescent="0.2">
      <c r="A70" t="s">
        <v>69</v>
      </c>
      <c r="B70">
        <f>VLOOKUP(A70,[1]Hoja1!$A$2:$P$391,14,FALSE)</f>
        <v>440.00000000000006</v>
      </c>
      <c r="C70">
        <f>VLOOKUP(A70,[1]Hoja1!$A$2:$P$391,15,FALSE)</f>
        <v>8</v>
      </c>
      <c r="D70">
        <f>VLOOKUP(A70,[1]Hoja1!$A$2:$P$391,16,FALSE)</f>
        <v>3520.0000000000005</v>
      </c>
    </row>
    <row r="71" spans="1:4" x14ac:dyDescent="0.2">
      <c r="A71" t="s">
        <v>70</v>
      </c>
      <c r="B71">
        <f>VLOOKUP(A71,[1]Hoja1!$A$2:$P$391,14,FALSE)</f>
        <v>660</v>
      </c>
      <c r="C71">
        <f>VLOOKUP(A71,[1]Hoja1!$A$2:$P$391,15,FALSE)</f>
        <v>2.2000000655737706</v>
      </c>
      <c r="D71">
        <f>VLOOKUP(A71,[1]Hoja1!$A$2:$P$391,16,FALSE)</f>
        <v>1452.0000432786885</v>
      </c>
    </row>
    <row r="72" spans="1:4" x14ac:dyDescent="0.2">
      <c r="A72" t="s">
        <v>71</v>
      </c>
      <c r="B72">
        <f>VLOOKUP(A72,[1]Hoja1!$A$2:$P$391,14,FALSE)</f>
        <v>220.00000000000003</v>
      </c>
      <c r="C72">
        <f>VLOOKUP(A72,[1]Hoja1!$A$2:$P$391,15,FALSE)</f>
        <v>3.4004470000000002</v>
      </c>
      <c r="D72">
        <f>VLOOKUP(A72,[1]Hoja1!$A$2:$P$391,16,FALSE)</f>
        <v>748.09834000000012</v>
      </c>
    </row>
    <row r="73" spans="1:4" x14ac:dyDescent="0.2">
      <c r="A73" t="s">
        <v>72</v>
      </c>
      <c r="B73">
        <f>VLOOKUP(A73,[1]Hoja1!$A$2:$P$391,14,FALSE)</f>
        <v>33</v>
      </c>
      <c r="C73">
        <f>VLOOKUP(A73,[1]Hoja1!$A$2:$P$391,15,FALSE)</f>
        <v>3</v>
      </c>
      <c r="D73">
        <f>VLOOKUP(A73,[1]Hoja1!$A$2:$P$391,16,FALSE)</f>
        <v>99</v>
      </c>
    </row>
    <row r="74" spans="1:4" x14ac:dyDescent="0.2">
      <c r="A74" t="s">
        <v>73</v>
      </c>
      <c r="B74">
        <f>VLOOKUP(A74,[1]Hoja1!$A$2:$P$391,14,FALSE)</f>
        <v>4.4000000000000004</v>
      </c>
      <c r="C74">
        <f>VLOOKUP(A74,[1]Hoja1!$A$2:$P$391,15,FALSE)</f>
        <v>49.94</v>
      </c>
      <c r="D74">
        <f>VLOOKUP(A74,[1]Hoja1!$A$2:$P$391,16,FALSE)</f>
        <v>219.73600000000002</v>
      </c>
    </row>
    <row r="75" spans="1:4" x14ac:dyDescent="0.2">
      <c r="A75" t="s">
        <v>74</v>
      </c>
      <c r="B75">
        <f>VLOOKUP(A75,[1]Hoja1!$A$2:$P$391,14,FALSE)</f>
        <v>93</v>
      </c>
      <c r="C75">
        <f>VLOOKUP(A75,[1]Hoja1!$A$2:$P$391,15,FALSE)</f>
        <v>8.6078030000000005</v>
      </c>
      <c r="D75">
        <f>VLOOKUP(A75,[1]Hoja1!$A$2:$P$391,16,FALSE)</f>
        <v>800.52567900000008</v>
      </c>
    </row>
    <row r="76" spans="1:4" x14ac:dyDescent="0.2">
      <c r="A76" t="s">
        <v>75</v>
      </c>
      <c r="B76">
        <f>VLOOKUP(A76,[1]Hoja1!$A$2:$P$391,14,FALSE)</f>
        <v>200</v>
      </c>
      <c r="C76">
        <f>VLOOKUP(A76,[1]Hoja1!$A$2:$P$391,15,FALSE)</f>
        <v>11.612144000000001</v>
      </c>
      <c r="D76">
        <f>VLOOKUP(A76,[1]Hoja1!$A$2:$P$391,16,FALSE)</f>
        <v>2322.4288000000001</v>
      </c>
    </row>
    <row r="77" spans="1:4" x14ac:dyDescent="0.2">
      <c r="A77" t="s">
        <v>76</v>
      </c>
      <c r="B77">
        <f>VLOOKUP(A77,[1]Hoja1!$A$2:$P$391,14,FALSE)</f>
        <v>19.8</v>
      </c>
      <c r="C77">
        <f>VLOOKUP(A77,[1]Hoja1!$A$2:$P$391,15,FALSE)</f>
        <v>8.8699999999999992</v>
      </c>
      <c r="D77">
        <f>VLOOKUP(A77,[1]Hoja1!$A$2:$P$391,16,FALSE)</f>
        <v>175.626</v>
      </c>
    </row>
    <row r="78" spans="1:4" x14ac:dyDescent="0.2">
      <c r="A78" t="s">
        <v>77</v>
      </c>
      <c r="B78">
        <f>VLOOKUP(A78,[1]Hoja1!$A$2:$P$391,14,FALSE)</f>
        <v>50</v>
      </c>
      <c r="C78">
        <f>VLOOKUP(A78,[1]Hoja1!$A$2:$P$391,15,FALSE)</f>
        <v>12.50155</v>
      </c>
      <c r="D78">
        <f>VLOOKUP(A78,[1]Hoja1!$A$2:$P$391,16,FALSE)</f>
        <v>625.07749999999999</v>
      </c>
    </row>
    <row r="79" spans="1:4" x14ac:dyDescent="0.2">
      <c r="A79" t="s">
        <v>78</v>
      </c>
      <c r="B79">
        <f>VLOOKUP(A79,[1]Hoja1!$A$2:$P$391,14,FALSE)</f>
        <v>80</v>
      </c>
      <c r="C79">
        <f>VLOOKUP(A79,[1]Hoja1!$A$2:$P$391,15,FALSE)</f>
        <v>19.399999999999999</v>
      </c>
      <c r="D79">
        <f>VLOOKUP(A79,[1]Hoja1!$A$2:$P$391,16,FALSE)</f>
        <v>1552</v>
      </c>
    </row>
    <row r="80" spans="1:4" x14ac:dyDescent="0.2">
      <c r="A80" t="s">
        <v>79</v>
      </c>
      <c r="B80">
        <f>VLOOKUP(A80,[1]Hoja1!$A$2:$P$391,14,FALSE)</f>
        <v>2</v>
      </c>
      <c r="C80">
        <f>VLOOKUP(A80,[1]Hoja1!$A$2:$P$391,15,FALSE)</f>
        <v>6.72</v>
      </c>
      <c r="D80">
        <f>VLOOKUP(A80,[1]Hoja1!$A$2:$P$391,16,FALSE)</f>
        <v>13.44</v>
      </c>
    </row>
    <row r="81" spans="1:4" x14ac:dyDescent="0.2">
      <c r="A81" t="s">
        <v>80</v>
      </c>
      <c r="B81">
        <f>VLOOKUP(A81,[1]Hoja1!$A$2:$P$391,14,FALSE)</f>
        <v>40</v>
      </c>
      <c r="C81">
        <f>VLOOKUP(A81,[1]Hoja1!$A$2:$P$391,15,FALSE)</f>
        <v>23.9</v>
      </c>
      <c r="D81">
        <f>VLOOKUP(A81,[1]Hoja1!$A$2:$P$391,16,FALSE)</f>
        <v>956</v>
      </c>
    </row>
    <row r="82" spans="1:4" x14ac:dyDescent="0.2">
      <c r="A82" t="s">
        <v>81</v>
      </c>
      <c r="B82">
        <f>VLOOKUP(A82,[1]Hoja1!$A$2:$P$391,14,FALSE)</f>
        <v>800</v>
      </c>
      <c r="C82">
        <f>VLOOKUP(A82,[1]Hoja1!$A$2:$P$391,15,FALSE)</f>
        <v>8.3567608659476118</v>
      </c>
      <c r="D82">
        <f>VLOOKUP(A82,[1]Hoja1!$A$2:$P$391,16,FALSE)</f>
        <v>6685.4086927580893</v>
      </c>
    </row>
    <row r="83" spans="1:4" x14ac:dyDescent="0.2">
      <c r="A83" t="s">
        <v>82</v>
      </c>
      <c r="B83">
        <f>VLOOKUP(A83,[1]Hoja1!$A$2:$P$391,14,FALSE)</f>
        <v>1760.0000000000002</v>
      </c>
      <c r="C83">
        <f>VLOOKUP(A83,[1]Hoja1!$A$2:$P$391,15,FALSE)</f>
        <v>9.0083875237020319</v>
      </c>
      <c r="D83">
        <f>VLOOKUP(A83,[1]Hoja1!$A$2:$P$391,16,FALSE)</f>
        <v>15854.762041715578</v>
      </c>
    </row>
    <row r="84" spans="1:4" x14ac:dyDescent="0.2">
      <c r="A84" t="s">
        <v>83</v>
      </c>
      <c r="B84">
        <f>VLOOKUP(A84,[1]Hoja1!$A$2:$P$391,14,FALSE)</f>
        <v>2</v>
      </c>
      <c r="C84">
        <f>VLOOKUP(A84,[1]Hoja1!$A$2:$P$391,15,FALSE)</f>
        <v>9.048</v>
      </c>
      <c r="D84">
        <f>VLOOKUP(A84,[1]Hoja1!$A$2:$P$391,16,FALSE)</f>
        <v>18.096</v>
      </c>
    </row>
    <row r="85" spans="1:4" x14ac:dyDescent="0.2">
      <c r="A85" t="s">
        <v>84</v>
      </c>
      <c r="B85">
        <f>VLOOKUP(A85,[1]Hoja1!$A$2:$P$391,14,FALSE)</f>
        <v>110.00000000000001</v>
      </c>
      <c r="C85">
        <f>VLOOKUP(A85,[1]Hoja1!$A$2:$P$391,15,FALSE)</f>
        <v>8.01</v>
      </c>
      <c r="D85">
        <f>VLOOKUP(A85,[1]Hoja1!$A$2:$P$391,16,FALSE)</f>
        <v>881.10000000000014</v>
      </c>
    </row>
    <row r="86" spans="1:4" x14ac:dyDescent="0.2">
      <c r="A86" t="s">
        <v>85</v>
      </c>
      <c r="B86">
        <f>VLOOKUP(A86,[1]Hoja1!$A$2:$P$391,14,FALSE)</f>
        <v>321</v>
      </c>
      <c r="C86">
        <f>VLOOKUP(A86,[1]Hoja1!$A$2:$P$391,15,FALSE)</f>
        <v>10.89007</v>
      </c>
      <c r="D86">
        <f>VLOOKUP(A86,[1]Hoja1!$A$2:$P$391,16,FALSE)</f>
        <v>3495.7124699999999</v>
      </c>
    </row>
    <row r="87" spans="1:4" x14ac:dyDescent="0.2">
      <c r="A87" t="s">
        <v>86</v>
      </c>
      <c r="B87">
        <f>VLOOKUP(A87,[1]Hoja1!$A$2:$P$391,14,FALSE)</f>
        <v>229.9</v>
      </c>
      <c r="C87">
        <f>VLOOKUP(A87,[1]Hoja1!$A$2:$P$391,15,FALSE)</f>
        <v>8.8000000000000007</v>
      </c>
      <c r="D87">
        <f>VLOOKUP(A87,[1]Hoja1!$A$2:$P$391,16,FALSE)</f>
        <v>2023.1200000000001</v>
      </c>
    </row>
    <row r="88" spans="1:4" x14ac:dyDescent="0.2">
      <c r="A88" t="s">
        <v>87</v>
      </c>
      <c r="B88">
        <f>VLOOKUP(A88,[1]Hoja1!$A$2:$P$391,14,FALSE)</f>
        <v>1350</v>
      </c>
      <c r="C88">
        <f>VLOOKUP(A88,[1]Hoja1!$A$2:$P$391,15,FALSE)</f>
        <v>10.189638837349397</v>
      </c>
      <c r="D88">
        <f>VLOOKUP(A88,[1]Hoja1!$A$2:$P$391,16,FALSE)</f>
        <v>13756.012430421686</v>
      </c>
    </row>
    <row r="89" spans="1:4" x14ac:dyDescent="0.2">
      <c r="A89" t="s">
        <v>88</v>
      </c>
      <c r="B89">
        <f>VLOOKUP(A89,[1]Hoja1!$A$2:$P$391,14,FALSE)</f>
        <v>770.00000000000011</v>
      </c>
      <c r="C89">
        <f>VLOOKUP(A89,[1]Hoja1!$A$2:$P$391,15,FALSE)</f>
        <v>4.9900070000000003</v>
      </c>
      <c r="D89">
        <f>VLOOKUP(A89,[1]Hoja1!$A$2:$P$391,16,FALSE)</f>
        <v>3842.3053900000009</v>
      </c>
    </row>
    <row r="90" spans="1:4" x14ac:dyDescent="0.2">
      <c r="A90" t="s">
        <v>89</v>
      </c>
      <c r="B90">
        <f>VLOOKUP(A90,[1]Hoja1!$A$2:$P$391,14,FALSE)</f>
        <v>2200</v>
      </c>
      <c r="C90">
        <f>VLOOKUP(A90,[1]Hoja1!$A$2:$P$391,15,FALSE)</f>
        <v>1</v>
      </c>
      <c r="D90">
        <f>VLOOKUP(A90,[1]Hoja1!$A$2:$P$391,16,FALSE)</f>
        <v>2200</v>
      </c>
    </row>
    <row r="91" spans="1:4" x14ac:dyDescent="0.2">
      <c r="A91" t="s">
        <v>90</v>
      </c>
      <c r="B91">
        <f>VLOOKUP(A91,[1]Hoja1!$A$2:$P$391,14,FALSE)</f>
        <v>330</v>
      </c>
      <c r="C91">
        <f>VLOOKUP(A91,[1]Hoja1!$A$2:$P$391,15,FALSE)</f>
        <v>6.9</v>
      </c>
      <c r="D91">
        <f>VLOOKUP(A91,[1]Hoja1!$A$2:$P$391,16,FALSE)</f>
        <v>2277</v>
      </c>
    </row>
    <row r="92" spans="1:4" x14ac:dyDescent="0.2">
      <c r="A92" t="s">
        <v>91</v>
      </c>
      <c r="B92">
        <f>VLOOKUP(A92,[1]Hoja1!$A$2:$P$391,14,FALSE)</f>
        <v>0</v>
      </c>
      <c r="C92">
        <f>VLOOKUP(A92,[1]Hoja1!$A$2:$P$391,15,FALSE)</f>
        <v>0</v>
      </c>
      <c r="D92">
        <f>VLOOKUP(A92,[1]Hoja1!$A$2:$P$391,16,FALSE)</f>
        <v>0</v>
      </c>
    </row>
    <row r="93" spans="1:4" x14ac:dyDescent="0.2">
      <c r="A93" t="s">
        <v>92</v>
      </c>
      <c r="B93">
        <f>VLOOKUP(A93,[1]Hoja1!$A$2:$P$391,14,FALSE)</f>
        <v>1100</v>
      </c>
      <c r="C93">
        <f>VLOOKUP(A93,[1]Hoja1!$A$2:$P$391,15,FALSE)</f>
        <v>0.6</v>
      </c>
      <c r="D93">
        <f>VLOOKUP(A93,[1]Hoja1!$A$2:$P$391,16,FALSE)</f>
        <v>660</v>
      </c>
    </row>
    <row r="94" spans="1:4" x14ac:dyDescent="0.2">
      <c r="A94" t="s">
        <v>93</v>
      </c>
      <c r="B94">
        <f>VLOOKUP(A94,[1]Hoja1!$A$2:$P$391,14,FALSE)</f>
        <v>3.3000000000000003</v>
      </c>
      <c r="C94">
        <f>VLOOKUP(A94,[1]Hoja1!$A$2:$P$391,15,FALSE)</f>
        <v>5.9</v>
      </c>
      <c r="D94">
        <f>VLOOKUP(A94,[1]Hoja1!$A$2:$P$391,16,FALSE)</f>
        <v>19.470000000000002</v>
      </c>
    </row>
    <row r="95" spans="1:4" x14ac:dyDescent="0.2">
      <c r="A95" t="s">
        <v>94</v>
      </c>
      <c r="B95">
        <f>VLOOKUP(A95,[1]Hoja1!$A$2:$P$391,14,FALSE)</f>
        <v>440.00000000000006</v>
      </c>
      <c r="C95">
        <f>VLOOKUP(A95,[1]Hoja1!$A$2:$P$391,15,FALSE)</f>
        <v>1.9</v>
      </c>
      <c r="D95">
        <f>VLOOKUP(A95,[1]Hoja1!$A$2:$P$391,16,FALSE)</f>
        <v>836.00000000000011</v>
      </c>
    </row>
    <row r="96" spans="1:4" x14ac:dyDescent="0.2">
      <c r="A96" t="s">
        <v>95</v>
      </c>
      <c r="B96">
        <f>VLOOKUP(A96,[1]Hoja1!$A$2:$P$391,14,FALSE)</f>
        <v>0</v>
      </c>
      <c r="C96">
        <f>VLOOKUP(A96,[1]Hoja1!$A$2:$P$391,15,FALSE)</f>
        <v>0</v>
      </c>
      <c r="D96">
        <f>VLOOKUP(A96,[1]Hoja1!$A$2:$P$391,16,FALSE)</f>
        <v>0</v>
      </c>
    </row>
    <row r="97" spans="1:4" x14ac:dyDescent="0.2">
      <c r="A97" t="s">
        <v>96</v>
      </c>
      <c r="B97">
        <f>VLOOKUP(A97,[1]Hoja1!$A$2:$P$391,14,FALSE)</f>
        <v>140</v>
      </c>
      <c r="C97">
        <f>VLOOKUP(A97,[1]Hoja1!$A$2:$P$391,15,FALSE)</f>
        <v>1.204642</v>
      </c>
      <c r="D97">
        <f>VLOOKUP(A97,[1]Hoja1!$A$2:$P$391,16,FALSE)</f>
        <v>168.64988</v>
      </c>
    </row>
    <row r="98" spans="1:4" x14ac:dyDescent="0.2">
      <c r="A98" t="s">
        <v>97</v>
      </c>
      <c r="B98">
        <f>VLOOKUP(A98,[1]Hoja1!$A$2:$P$391,14,FALSE)</f>
        <v>550</v>
      </c>
      <c r="C98">
        <f>VLOOKUP(A98,[1]Hoja1!$A$2:$P$391,15,FALSE)</f>
        <v>0.79561073258268822</v>
      </c>
      <c r="D98">
        <f>VLOOKUP(A98,[1]Hoja1!$A$2:$P$391,16,FALSE)</f>
        <v>437.58590292047853</v>
      </c>
    </row>
    <row r="99" spans="1:4" x14ac:dyDescent="0.2">
      <c r="A99" t="s">
        <v>98</v>
      </c>
      <c r="B99">
        <f>VLOOKUP(A99,[1]Hoja1!$A$2:$P$391,14,FALSE)</f>
        <v>2860.0000000000005</v>
      </c>
      <c r="C99">
        <f>VLOOKUP(A99,[1]Hoja1!$A$2:$P$391,15,FALSE)</f>
        <v>0.18</v>
      </c>
      <c r="D99">
        <f>VLOOKUP(A99,[1]Hoja1!$A$2:$P$391,16,FALSE)</f>
        <v>514.80000000000007</v>
      </c>
    </row>
    <row r="100" spans="1:4" x14ac:dyDescent="0.2">
      <c r="A100" t="s">
        <v>99</v>
      </c>
      <c r="B100">
        <f>VLOOKUP(A100,[1]Hoja1!$A$2:$P$391,14,FALSE)</f>
        <v>285</v>
      </c>
      <c r="C100">
        <f>VLOOKUP(A100,[1]Hoja1!$A$2:$P$391,15,FALSE)</f>
        <v>1.7999341314285715</v>
      </c>
      <c r="D100">
        <f>VLOOKUP(A100,[1]Hoja1!$A$2:$P$391,16,FALSE)</f>
        <v>512.98122745714284</v>
      </c>
    </row>
    <row r="101" spans="1:4" x14ac:dyDescent="0.2">
      <c r="A101" t="s">
        <v>100</v>
      </c>
      <c r="B101">
        <f>VLOOKUP(A101,[1]Hoja1!$A$2:$P$391,14,FALSE)</f>
        <v>2420</v>
      </c>
      <c r="C101">
        <f>VLOOKUP(A101,[1]Hoja1!$A$2:$P$391,15,FALSE)</f>
        <v>0.14987386801242236</v>
      </c>
      <c r="D101">
        <f>VLOOKUP(A101,[1]Hoja1!$A$2:$P$391,16,FALSE)</f>
        <v>362.69476059006212</v>
      </c>
    </row>
    <row r="102" spans="1:4" x14ac:dyDescent="0.2">
      <c r="A102" t="s">
        <v>101</v>
      </c>
      <c r="B102">
        <f>VLOOKUP(A102,[1]Hoja1!$A$2:$P$391,14,FALSE)</f>
        <v>100</v>
      </c>
      <c r="C102">
        <f>VLOOKUP(A102,[1]Hoja1!$A$2:$P$391,15,FALSE)</f>
        <v>0.74930600000000003</v>
      </c>
      <c r="D102">
        <f>VLOOKUP(A102,[1]Hoja1!$A$2:$P$391,16,FALSE)</f>
        <v>74.930599999999998</v>
      </c>
    </row>
    <row r="103" spans="1:4" x14ac:dyDescent="0.2">
      <c r="A103" t="s">
        <v>102</v>
      </c>
      <c r="B103">
        <f>VLOOKUP(A103,[1]Hoja1!$A$2:$P$391,14,FALSE)</f>
        <v>300</v>
      </c>
      <c r="C103">
        <f>VLOOKUP(A103,[1]Hoja1!$A$2:$P$391,15,FALSE)</f>
        <v>3</v>
      </c>
      <c r="D103">
        <f>VLOOKUP(A103,[1]Hoja1!$A$2:$P$391,16,FALSE)</f>
        <v>900</v>
      </c>
    </row>
    <row r="104" spans="1:4" x14ac:dyDescent="0.2">
      <c r="A104" t="s">
        <v>103</v>
      </c>
      <c r="B104">
        <f>VLOOKUP(A104,[1]Hoja1!$A$2:$P$391,14,FALSE)</f>
        <v>7.7000000000000011</v>
      </c>
      <c r="C104">
        <f>VLOOKUP(A104,[1]Hoja1!$A$2:$P$391,15,FALSE)</f>
        <v>42.05</v>
      </c>
      <c r="D104">
        <f>VLOOKUP(A104,[1]Hoja1!$A$2:$P$391,16,FALSE)</f>
        <v>323.78500000000003</v>
      </c>
    </row>
    <row r="105" spans="1:4" x14ac:dyDescent="0.2">
      <c r="A105" t="s">
        <v>104</v>
      </c>
      <c r="B105">
        <f>VLOOKUP(A105,[1]Hoja1!$A$2:$P$391,14,FALSE)</f>
        <v>594</v>
      </c>
      <c r="C105">
        <f>VLOOKUP(A105,[1]Hoja1!$A$2:$P$391,15,FALSE)</f>
        <v>0.269376</v>
      </c>
      <c r="D105">
        <f>VLOOKUP(A105,[1]Hoja1!$A$2:$P$391,16,FALSE)</f>
        <v>160.009344</v>
      </c>
    </row>
    <row r="106" spans="1:4" x14ac:dyDescent="0.2">
      <c r="A106" t="s">
        <v>105</v>
      </c>
      <c r="B106">
        <f>VLOOKUP(A106,[1]Hoja1!$A$2:$P$391,14,FALSE)</f>
        <v>660</v>
      </c>
      <c r="C106">
        <f>VLOOKUP(A106,[1]Hoja1!$A$2:$P$391,15,FALSE)</f>
        <v>0.28999999999999998</v>
      </c>
      <c r="D106">
        <f>VLOOKUP(A106,[1]Hoja1!$A$2:$P$391,16,FALSE)</f>
        <v>191.39999999999998</v>
      </c>
    </row>
    <row r="107" spans="1:4" x14ac:dyDescent="0.2">
      <c r="A107" t="s">
        <v>106</v>
      </c>
      <c r="B107">
        <f>VLOOKUP(A107,[1]Hoja1!$A$2:$P$391,14,FALSE)</f>
        <v>22000</v>
      </c>
      <c r="C107">
        <f>VLOOKUP(A107,[1]Hoja1!$A$2:$P$391,15,FALSE)</f>
        <v>0.48000000460176989</v>
      </c>
      <c r="D107">
        <f>VLOOKUP(A107,[1]Hoja1!$A$2:$P$391,16,FALSE)</f>
        <v>10560.000101238938</v>
      </c>
    </row>
    <row r="108" spans="1:4" x14ac:dyDescent="0.2">
      <c r="A108" t="s">
        <v>107</v>
      </c>
      <c r="B108">
        <f>VLOOKUP(A108,[1]Hoja1!$A$2:$P$391,14,FALSE)</f>
        <v>22000</v>
      </c>
      <c r="C108">
        <f>VLOOKUP(A108,[1]Hoja1!$A$2:$P$391,15,FALSE)</f>
        <v>1</v>
      </c>
      <c r="D108">
        <f>VLOOKUP(A108,[1]Hoja1!$A$2:$P$391,16,FALSE)</f>
        <v>22000</v>
      </c>
    </row>
    <row r="109" spans="1:4" x14ac:dyDescent="0.2">
      <c r="A109" t="s">
        <v>108</v>
      </c>
      <c r="B109">
        <f>VLOOKUP(A109,[1]Hoja1!$A$2:$P$391,14,FALSE)</f>
        <v>5000</v>
      </c>
      <c r="C109">
        <f>VLOOKUP(A109,[1]Hoja1!$A$2:$P$391,15,FALSE)</f>
        <v>2.3640884294503692</v>
      </c>
      <c r="D109">
        <f>VLOOKUP(A109,[1]Hoja1!$A$2:$P$391,16,FALSE)</f>
        <v>11820.442147251846</v>
      </c>
    </row>
    <row r="110" spans="1:4" x14ac:dyDescent="0.2">
      <c r="A110" t="s">
        <v>109</v>
      </c>
      <c r="B110">
        <f>VLOOKUP(A110,[1]Hoja1!$A$2:$P$391,14,FALSE)</f>
        <v>4400</v>
      </c>
      <c r="C110">
        <f>VLOOKUP(A110,[1]Hoja1!$A$2:$P$391,15,FALSE)</f>
        <v>0.35294547605633803</v>
      </c>
      <c r="D110">
        <f>VLOOKUP(A110,[1]Hoja1!$A$2:$P$391,16,FALSE)</f>
        <v>1552.9600946478872</v>
      </c>
    </row>
    <row r="111" spans="1:4" x14ac:dyDescent="0.2">
      <c r="A111" t="s">
        <v>110</v>
      </c>
      <c r="B111">
        <f>VLOOKUP(A111,[1]Hoja1!$A$2:$P$391,14,FALSE)</f>
        <v>7800</v>
      </c>
      <c r="C111">
        <f>VLOOKUP(A111,[1]Hoja1!$A$2:$P$391,15,FALSE)</f>
        <v>0.13</v>
      </c>
      <c r="D111">
        <f>VLOOKUP(A111,[1]Hoja1!$A$2:$P$391,16,FALSE)</f>
        <v>1014</v>
      </c>
    </row>
    <row r="112" spans="1:4" x14ac:dyDescent="0.2">
      <c r="A112" t="s">
        <v>111</v>
      </c>
      <c r="B112">
        <f>VLOOKUP(A112,[1]Hoja1!$A$2:$P$391,14,FALSE)</f>
        <v>8800</v>
      </c>
      <c r="C112">
        <f>VLOOKUP(A112,[1]Hoja1!$A$2:$P$391,15,FALSE)</f>
        <v>0.2</v>
      </c>
      <c r="D112">
        <f>VLOOKUP(A112,[1]Hoja1!$A$2:$P$391,16,FALSE)</f>
        <v>1760</v>
      </c>
    </row>
    <row r="113" spans="1:4" x14ac:dyDescent="0.2">
      <c r="A113" t="s">
        <v>112</v>
      </c>
      <c r="B113">
        <f>VLOOKUP(A113,[1]Hoja1!$A$2:$P$391,14,FALSE)</f>
        <v>77000</v>
      </c>
      <c r="C113">
        <f>VLOOKUP(A113,[1]Hoja1!$A$2:$P$391,15,FALSE)</f>
        <v>0.65990866085463629</v>
      </c>
      <c r="D113">
        <f>VLOOKUP(A113,[1]Hoja1!$A$2:$P$391,16,FALSE)</f>
        <v>50812.966885806993</v>
      </c>
    </row>
    <row r="114" spans="1:4" x14ac:dyDescent="0.2">
      <c r="A114" t="s">
        <v>113</v>
      </c>
      <c r="B114">
        <f>VLOOKUP(A114,[1]Hoja1!$A$2:$P$391,14,FALSE)</f>
        <v>11000</v>
      </c>
      <c r="C114">
        <f>VLOOKUP(A114,[1]Hoja1!$A$2:$P$391,15,FALSE)</f>
        <v>0.1</v>
      </c>
      <c r="D114">
        <f>VLOOKUP(A114,[1]Hoja1!$A$2:$P$391,16,FALSE)</f>
        <v>1100</v>
      </c>
    </row>
    <row r="115" spans="1:4" x14ac:dyDescent="0.2">
      <c r="A115" t="s">
        <v>114</v>
      </c>
      <c r="B115">
        <f>VLOOKUP(A115,[1]Hoja1!$A$2:$P$391,14,FALSE)</f>
        <v>3520.0000000000005</v>
      </c>
      <c r="C115">
        <f>VLOOKUP(A115,[1]Hoja1!$A$2:$P$391,15,FALSE)</f>
        <v>0.8012722732309242</v>
      </c>
      <c r="D115">
        <f>VLOOKUP(A115,[1]Hoja1!$A$2:$P$391,16,FALSE)</f>
        <v>2820.4784017728534</v>
      </c>
    </row>
    <row r="116" spans="1:4" x14ac:dyDescent="0.2">
      <c r="A116" t="s">
        <v>115</v>
      </c>
      <c r="B116">
        <f>VLOOKUP(A116,[1]Hoja1!$A$2:$P$391,14,FALSE)</f>
        <v>660</v>
      </c>
      <c r="C116">
        <f>VLOOKUP(A116,[1]Hoja1!$A$2:$P$391,15,FALSE)</f>
        <v>3.913561106976744</v>
      </c>
      <c r="D116">
        <f>VLOOKUP(A116,[1]Hoja1!$A$2:$P$391,16,FALSE)</f>
        <v>2582.9503306046508</v>
      </c>
    </row>
    <row r="117" spans="1:4" x14ac:dyDescent="0.2">
      <c r="A117" t="s">
        <v>116</v>
      </c>
      <c r="B117">
        <f>VLOOKUP(A117,[1]Hoja1!$A$2:$P$391,14,FALSE)</f>
        <v>61600.000000000007</v>
      </c>
      <c r="C117">
        <f>VLOOKUP(A117,[1]Hoja1!$A$2:$P$391,15,FALSE)</f>
        <v>0.5</v>
      </c>
      <c r="D117">
        <f>VLOOKUP(A117,[1]Hoja1!$A$2:$P$391,16,FALSE)</f>
        <v>30800.000000000004</v>
      </c>
    </row>
    <row r="118" spans="1:4" x14ac:dyDescent="0.2">
      <c r="A118" t="s">
        <v>117</v>
      </c>
      <c r="B118">
        <f>VLOOKUP(A118,[1]Hoja1!$A$2:$P$391,14,FALSE)</f>
        <v>1.1000000000000001</v>
      </c>
      <c r="C118">
        <f>VLOOKUP(A118,[1]Hoja1!$A$2:$P$391,15,FALSE)</f>
        <v>6.7</v>
      </c>
      <c r="D118">
        <f>VLOOKUP(A118,[1]Hoja1!$A$2:$P$391,16,FALSE)</f>
        <v>7.370000000000001</v>
      </c>
    </row>
    <row r="119" spans="1:4" x14ac:dyDescent="0.2">
      <c r="A119" t="s">
        <v>118</v>
      </c>
      <c r="B119">
        <f>VLOOKUP(A119,[1]Hoja1!$A$2:$P$391,14,FALSE)</f>
        <v>352</v>
      </c>
      <c r="C119">
        <f>VLOOKUP(A119,[1]Hoja1!$A$2:$P$391,15,FALSE)</f>
        <v>3.5</v>
      </c>
      <c r="D119">
        <f>VLOOKUP(A119,[1]Hoja1!$A$2:$P$391,16,FALSE)</f>
        <v>1232</v>
      </c>
    </row>
    <row r="120" spans="1:4" x14ac:dyDescent="0.2">
      <c r="A120" t="s">
        <v>119</v>
      </c>
      <c r="B120">
        <f>VLOOKUP(A120,[1]Hoja1!$A$2:$P$391,14,FALSE)</f>
        <v>0</v>
      </c>
      <c r="C120">
        <f>VLOOKUP(A120,[1]Hoja1!$A$2:$P$391,15,FALSE)</f>
        <v>0</v>
      </c>
      <c r="D120">
        <f>VLOOKUP(A120,[1]Hoja1!$A$2:$P$391,16,FALSE)</f>
        <v>0</v>
      </c>
    </row>
    <row r="121" spans="1:4" x14ac:dyDescent="0.2">
      <c r="A121" t="s">
        <v>120</v>
      </c>
      <c r="B121">
        <f>VLOOKUP(A121,[1]Hoja1!$A$2:$P$391,14,FALSE)</f>
        <v>25</v>
      </c>
      <c r="C121">
        <f>VLOOKUP(A121,[1]Hoja1!$A$2:$P$391,15,FALSE)</f>
        <v>23</v>
      </c>
      <c r="D121">
        <f>VLOOKUP(A121,[1]Hoja1!$A$2:$P$391,16,FALSE)</f>
        <v>575</v>
      </c>
    </row>
    <row r="122" spans="1:4" x14ac:dyDescent="0.2">
      <c r="A122" t="s">
        <v>121</v>
      </c>
      <c r="B122">
        <f>VLOOKUP(A122,[1]Hoja1!$A$2:$P$391,14,FALSE)</f>
        <v>2</v>
      </c>
      <c r="C122">
        <f>VLOOKUP(A122,[1]Hoja1!$A$2:$P$391,15,FALSE)</f>
        <v>2.7</v>
      </c>
      <c r="D122">
        <f>VLOOKUP(A122,[1]Hoja1!$A$2:$P$391,16,FALSE)</f>
        <v>5.4</v>
      </c>
    </row>
    <row r="123" spans="1:4" x14ac:dyDescent="0.2">
      <c r="A123" t="s">
        <v>122</v>
      </c>
      <c r="B123">
        <f>VLOOKUP(A123,[1]Hoja1!$A$2:$P$391,14,FALSE)</f>
        <v>42.900000000000006</v>
      </c>
      <c r="C123">
        <f>VLOOKUP(A123,[1]Hoja1!$A$2:$P$391,15,FALSE)</f>
        <v>16.25</v>
      </c>
      <c r="D123">
        <f>VLOOKUP(A123,[1]Hoja1!$A$2:$P$391,16,FALSE)</f>
        <v>697.12500000000011</v>
      </c>
    </row>
    <row r="124" spans="1:4" x14ac:dyDescent="0.2">
      <c r="A124" t="s">
        <v>123</v>
      </c>
      <c r="B124">
        <f>VLOOKUP(A124,[1]Hoja1!$A$2:$P$391,14,FALSE)</f>
        <v>44</v>
      </c>
      <c r="C124">
        <f>VLOOKUP(A124,[1]Hoja1!$A$2:$P$391,15,FALSE)</f>
        <v>14.899999999999999</v>
      </c>
      <c r="D124">
        <f>VLOOKUP(A124,[1]Hoja1!$A$2:$P$391,16,FALSE)</f>
        <v>655.59999999999991</v>
      </c>
    </row>
    <row r="125" spans="1:4" x14ac:dyDescent="0.2">
      <c r="A125" t="s">
        <v>124</v>
      </c>
      <c r="B125">
        <f>VLOOKUP(A125,[1]Hoja1!$A$2:$P$391,14,FALSE)</f>
        <v>12</v>
      </c>
      <c r="C125">
        <f>VLOOKUP(A125,[1]Hoja1!$A$2:$P$391,15,FALSE)</f>
        <v>38.551322999999996</v>
      </c>
      <c r="D125">
        <f>VLOOKUP(A125,[1]Hoja1!$A$2:$P$391,16,FALSE)</f>
        <v>462.61587599999996</v>
      </c>
    </row>
    <row r="126" spans="1:4" x14ac:dyDescent="0.2">
      <c r="A126" t="s">
        <v>125</v>
      </c>
      <c r="B126">
        <f>VLOOKUP(A126,[1]Hoja1!$A$2:$P$391,14,FALSE)</f>
        <v>30</v>
      </c>
      <c r="C126">
        <f>VLOOKUP(A126,[1]Hoja1!$A$2:$P$391,15,FALSE)</f>
        <v>7.95</v>
      </c>
      <c r="D126">
        <f>VLOOKUP(A126,[1]Hoja1!$A$2:$P$391,16,FALSE)</f>
        <v>238.5</v>
      </c>
    </row>
    <row r="127" spans="1:4" x14ac:dyDescent="0.2">
      <c r="A127" t="s">
        <v>126</v>
      </c>
      <c r="B127">
        <f>VLOOKUP(A127,[1]Hoja1!$A$2:$P$391,14,FALSE)</f>
        <v>88</v>
      </c>
      <c r="C127">
        <f>VLOOKUP(A127,[1]Hoja1!$A$2:$P$391,15,FALSE)</f>
        <v>7.0905570000000004</v>
      </c>
      <c r="D127">
        <f>VLOOKUP(A127,[1]Hoja1!$A$2:$P$391,16,FALSE)</f>
        <v>623.96901600000001</v>
      </c>
    </row>
    <row r="128" spans="1:4" x14ac:dyDescent="0.2">
      <c r="A128" t="s">
        <v>127</v>
      </c>
      <c r="B128">
        <f>VLOOKUP(A128,[1]Hoja1!$A$2:$P$391,14,FALSE)</f>
        <v>60</v>
      </c>
      <c r="C128">
        <f>VLOOKUP(A128,[1]Hoja1!$A$2:$P$391,15,FALSE)</f>
        <v>12</v>
      </c>
      <c r="D128">
        <f>VLOOKUP(A128,[1]Hoja1!$A$2:$P$391,16,FALSE)</f>
        <v>720</v>
      </c>
    </row>
    <row r="129" spans="1:4" x14ac:dyDescent="0.2">
      <c r="A129" t="s">
        <v>128</v>
      </c>
      <c r="B129">
        <f>VLOOKUP(A129,[1]Hoja1!$A$2:$P$391,14,FALSE)</f>
        <v>22</v>
      </c>
      <c r="C129">
        <f>VLOOKUP(A129,[1]Hoja1!$A$2:$P$391,15,FALSE)</f>
        <v>55</v>
      </c>
      <c r="D129">
        <f>VLOOKUP(A129,[1]Hoja1!$A$2:$P$391,16,FALSE)</f>
        <v>1210</v>
      </c>
    </row>
    <row r="130" spans="1:4" x14ac:dyDescent="0.2">
      <c r="A130" t="s">
        <v>129</v>
      </c>
      <c r="B130">
        <f>VLOOKUP(A130,[1]Hoja1!$A$2:$P$391,14,FALSE)</f>
        <v>198.00000000000003</v>
      </c>
      <c r="C130">
        <f>VLOOKUP(A130,[1]Hoja1!$A$2:$P$391,15,FALSE)</f>
        <v>11</v>
      </c>
      <c r="D130">
        <f>VLOOKUP(A130,[1]Hoja1!$A$2:$P$391,16,FALSE)</f>
        <v>2178.0000000000005</v>
      </c>
    </row>
    <row r="131" spans="1:4" x14ac:dyDescent="0.2">
      <c r="A131" t="s">
        <v>130</v>
      </c>
      <c r="B131">
        <f>VLOOKUP(A131,[1]Hoja1!$A$2:$P$391,14,FALSE)</f>
        <v>110.00000000000001</v>
      </c>
      <c r="C131">
        <f>VLOOKUP(A131,[1]Hoja1!$A$2:$P$391,15,FALSE)</f>
        <v>56.6</v>
      </c>
      <c r="D131">
        <f>VLOOKUP(A131,[1]Hoja1!$A$2:$P$391,16,FALSE)</f>
        <v>6226.0000000000009</v>
      </c>
    </row>
    <row r="132" spans="1:4" x14ac:dyDescent="0.2">
      <c r="A132" t="s">
        <v>131</v>
      </c>
      <c r="B132">
        <f>VLOOKUP(A132,[1]Hoja1!$A$2:$P$391,14,FALSE)</f>
        <v>60</v>
      </c>
      <c r="C132">
        <f>VLOOKUP(A132,[1]Hoja1!$A$2:$P$391,15,FALSE)</f>
        <v>64.5</v>
      </c>
      <c r="D132">
        <f>VLOOKUP(A132,[1]Hoja1!$A$2:$P$391,16,FALSE)</f>
        <v>3870</v>
      </c>
    </row>
    <row r="133" spans="1:4" x14ac:dyDescent="0.2">
      <c r="A133" t="s">
        <v>132</v>
      </c>
      <c r="B133">
        <f>VLOOKUP(A133,[1]Hoja1!$A$2:$P$391,14,FALSE)</f>
        <v>2</v>
      </c>
      <c r="C133">
        <f>VLOOKUP(A133,[1]Hoja1!$A$2:$P$391,15,FALSE)</f>
        <v>21.376666</v>
      </c>
      <c r="D133">
        <f>VLOOKUP(A133,[1]Hoja1!$A$2:$P$391,16,FALSE)</f>
        <v>42.753332</v>
      </c>
    </row>
    <row r="134" spans="1:4" x14ac:dyDescent="0.2">
      <c r="A134" t="s">
        <v>133</v>
      </c>
      <c r="B134">
        <f>VLOOKUP(A134,[1]Hoja1!$A$2:$P$391,14,FALSE)</f>
        <v>264</v>
      </c>
      <c r="C134">
        <f>VLOOKUP(A134,[1]Hoja1!$A$2:$P$391,15,FALSE)</f>
        <v>2.2000000000000002</v>
      </c>
      <c r="D134">
        <f>VLOOKUP(A134,[1]Hoja1!$A$2:$P$391,16,FALSE)</f>
        <v>580.80000000000007</v>
      </c>
    </row>
    <row r="135" spans="1:4" x14ac:dyDescent="0.2">
      <c r="A135" t="s">
        <v>134</v>
      </c>
      <c r="B135">
        <f>VLOOKUP(A135,[1]Hoja1!$A$2:$P$391,14,FALSE)</f>
        <v>231.00000000000003</v>
      </c>
      <c r="C135">
        <f>VLOOKUP(A135,[1]Hoja1!$A$2:$P$391,15,FALSE)</f>
        <v>6.3</v>
      </c>
      <c r="D135">
        <f>VLOOKUP(A135,[1]Hoja1!$A$2:$P$391,16,FALSE)</f>
        <v>1455.3000000000002</v>
      </c>
    </row>
    <row r="136" spans="1:4" x14ac:dyDescent="0.2">
      <c r="A136" t="s">
        <v>135</v>
      </c>
      <c r="B136">
        <f>VLOOKUP(A136,[1]Hoja1!$A$2:$P$391,14,FALSE)</f>
        <v>462.00000000000006</v>
      </c>
      <c r="C136">
        <f>VLOOKUP(A136,[1]Hoja1!$A$2:$P$391,15,FALSE)</f>
        <v>5.5</v>
      </c>
      <c r="D136">
        <f>VLOOKUP(A136,[1]Hoja1!$A$2:$P$391,16,FALSE)</f>
        <v>2541.0000000000005</v>
      </c>
    </row>
    <row r="137" spans="1:4" x14ac:dyDescent="0.2">
      <c r="A137" t="s">
        <v>136</v>
      </c>
      <c r="B137">
        <f>VLOOKUP(A137,[1]Hoja1!$A$2:$P$391,14,FALSE)</f>
        <v>0</v>
      </c>
      <c r="C137">
        <f>VLOOKUP(A137,[1]Hoja1!$A$2:$P$391,15,FALSE)</f>
        <v>0</v>
      </c>
      <c r="D137">
        <f>VLOOKUP(A137,[1]Hoja1!$A$2:$P$391,16,FALSE)</f>
        <v>0</v>
      </c>
    </row>
    <row r="138" spans="1:4" x14ac:dyDescent="0.2">
      <c r="A138" t="s">
        <v>137</v>
      </c>
      <c r="B138">
        <f>VLOOKUP(A138,[1]Hoja1!$A$2:$P$391,14,FALSE)</f>
        <v>360</v>
      </c>
      <c r="C138">
        <f>VLOOKUP(A138,[1]Hoja1!$A$2:$P$391,15,FALSE)</f>
        <v>11</v>
      </c>
      <c r="D138">
        <f>VLOOKUP(A138,[1]Hoja1!$A$2:$P$391,16,FALSE)</f>
        <v>3960</v>
      </c>
    </row>
    <row r="139" spans="1:4" x14ac:dyDescent="0.2">
      <c r="A139" t="s">
        <v>138</v>
      </c>
      <c r="B139">
        <f>VLOOKUP(A139,[1]Hoja1!$A$2:$P$391,14,FALSE)</f>
        <v>0</v>
      </c>
      <c r="C139">
        <f>VLOOKUP(A139,[1]Hoja1!$A$2:$P$391,15,FALSE)</f>
        <v>0</v>
      </c>
      <c r="D139">
        <f>VLOOKUP(A139,[1]Hoja1!$A$2:$P$391,16,FALSE)</f>
        <v>0</v>
      </c>
    </row>
    <row r="140" spans="1:4" x14ac:dyDescent="0.2">
      <c r="A140" t="s">
        <v>139</v>
      </c>
      <c r="B140">
        <f>VLOOKUP(A140,[1]Hoja1!$A$2:$P$391,14,FALSE)</f>
        <v>1100</v>
      </c>
      <c r="C140">
        <f>VLOOKUP(A140,[1]Hoja1!$A$2:$P$391,15,FALSE)</f>
        <v>1.0582941333333333</v>
      </c>
      <c r="D140">
        <f>VLOOKUP(A140,[1]Hoja1!$A$2:$P$391,16,FALSE)</f>
        <v>1164.1235466666667</v>
      </c>
    </row>
    <row r="141" spans="1:4" x14ac:dyDescent="0.2">
      <c r="A141" t="s">
        <v>140</v>
      </c>
      <c r="B141">
        <f>VLOOKUP(A141,[1]Hoja1!$A$2:$P$391,14,FALSE)</f>
        <v>44</v>
      </c>
      <c r="C141">
        <f>VLOOKUP(A141,[1]Hoja1!$A$2:$P$391,15,FALSE)</f>
        <v>9.8974682702702701</v>
      </c>
      <c r="D141">
        <f>VLOOKUP(A141,[1]Hoja1!$A$2:$P$391,16,FALSE)</f>
        <v>435.4886038918919</v>
      </c>
    </row>
    <row r="142" spans="1:4" x14ac:dyDescent="0.2">
      <c r="A142" t="s">
        <v>141</v>
      </c>
      <c r="B142">
        <f>VLOOKUP(A142,[1]Hoja1!$A$2:$P$391,14,FALSE)</f>
        <v>2860.0000000000005</v>
      </c>
      <c r="C142">
        <f>VLOOKUP(A142,[1]Hoja1!$A$2:$P$391,15,FALSE)</f>
        <v>1.1000000000000001</v>
      </c>
      <c r="D142">
        <f>VLOOKUP(A142,[1]Hoja1!$A$2:$P$391,16,FALSE)</f>
        <v>3146.0000000000009</v>
      </c>
    </row>
    <row r="143" spans="1:4" x14ac:dyDescent="0.2">
      <c r="A143" t="s">
        <v>142</v>
      </c>
      <c r="B143">
        <f>VLOOKUP(A143,[1]Hoja1!$A$2:$P$391,14,FALSE)</f>
        <v>9.9</v>
      </c>
      <c r="C143">
        <f>VLOOKUP(A143,[1]Hoja1!$A$2:$P$391,15,FALSE)</f>
        <v>1.913333</v>
      </c>
      <c r="D143">
        <f>VLOOKUP(A143,[1]Hoja1!$A$2:$P$391,16,FALSE)</f>
        <v>18.941996700000001</v>
      </c>
    </row>
    <row r="144" spans="1:4" x14ac:dyDescent="0.2">
      <c r="A144" t="s">
        <v>143</v>
      </c>
      <c r="B144">
        <f>VLOOKUP(A144,[1]Hoja1!$A$2:$P$391,14,FALSE)</f>
        <v>220.00000000000003</v>
      </c>
      <c r="C144">
        <f>VLOOKUP(A144,[1]Hoja1!$A$2:$P$391,15,FALSE)</f>
        <v>1.7203170000000001</v>
      </c>
      <c r="D144">
        <f>VLOOKUP(A144,[1]Hoja1!$A$2:$P$391,16,FALSE)</f>
        <v>378.46974000000006</v>
      </c>
    </row>
    <row r="145" spans="1:4" x14ac:dyDescent="0.2">
      <c r="A145" t="s">
        <v>144</v>
      </c>
      <c r="B145">
        <f>VLOOKUP(A145,[1]Hoja1!$A$2:$P$391,14,FALSE)</f>
        <v>110.00000000000001</v>
      </c>
      <c r="C145">
        <f>VLOOKUP(A145,[1]Hoja1!$A$2:$P$391,15,FALSE)</f>
        <v>6.9</v>
      </c>
      <c r="D145">
        <f>VLOOKUP(A145,[1]Hoja1!$A$2:$P$391,16,FALSE)</f>
        <v>759.00000000000011</v>
      </c>
    </row>
    <row r="146" spans="1:4" x14ac:dyDescent="0.2">
      <c r="A146" t="s">
        <v>145</v>
      </c>
      <c r="B146">
        <f>VLOOKUP(A146,[1]Hoja1!$A$2:$P$391,14,FALSE)</f>
        <v>4.4000000000000004</v>
      </c>
      <c r="C146">
        <f>VLOOKUP(A146,[1]Hoja1!$A$2:$P$391,15,FALSE)</f>
        <v>1.7</v>
      </c>
      <c r="D146">
        <f>VLOOKUP(A146,[1]Hoja1!$A$2:$P$391,16,FALSE)</f>
        <v>7.48</v>
      </c>
    </row>
    <row r="147" spans="1:4" x14ac:dyDescent="0.2">
      <c r="A147" t="s">
        <v>146</v>
      </c>
      <c r="B147">
        <f>VLOOKUP(A147,[1]Hoja1!$A$2:$P$391,14,FALSE)</f>
        <v>44</v>
      </c>
      <c r="C147">
        <f>VLOOKUP(A147,[1]Hoja1!$A$2:$P$391,15,FALSE)</f>
        <v>40</v>
      </c>
      <c r="D147">
        <f>VLOOKUP(A147,[1]Hoja1!$A$2:$P$391,16,FALSE)</f>
        <v>1760</v>
      </c>
    </row>
    <row r="148" spans="1:4" x14ac:dyDescent="0.2">
      <c r="A148" t="s">
        <v>147</v>
      </c>
      <c r="B148">
        <f>VLOOKUP(A148,[1]Hoja1!$A$2:$P$391,14,FALSE)</f>
        <v>5.5</v>
      </c>
      <c r="C148">
        <f>VLOOKUP(A148,[1]Hoja1!$A$2:$P$391,15,FALSE)</f>
        <v>116.21</v>
      </c>
      <c r="D148">
        <f>VLOOKUP(A148,[1]Hoja1!$A$2:$P$391,16,FALSE)</f>
        <v>639.15499999999997</v>
      </c>
    </row>
    <row r="149" spans="1:4" x14ac:dyDescent="0.2">
      <c r="A149" t="s">
        <v>148</v>
      </c>
      <c r="B149">
        <f>VLOOKUP(A149,[1]Hoja1!$A$2:$P$391,14,FALSE)</f>
        <v>10</v>
      </c>
      <c r="C149">
        <f>VLOOKUP(A149,[1]Hoja1!$A$2:$P$391,15,FALSE)</f>
        <v>6</v>
      </c>
      <c r="D149">
        <f>VLOOKUP(A149,[1]Hoja1!$A$2:$P$391,16,FALSE)</f>
        <v>60</v>
      </c>
    </row>
    <row r="150" spans="1:4" x14ac:dyDescent="0.2">
      <c r="A150" t="s">
        <v>149</v>
      </c>
      <c r="B150">
        <f>VLOOKUP(A150,[1]Hoja1!$A$2:$P$391,14,FALSE)</f>
        <v>16.5</v>
      </c>
      <c r="C150">
        <f>VLOOKUP(A150,[1]Hoja1!$A$2:$P$391,15,FALSE)</f>
        <v>11.948333</v>
      </c>
      <c r="D150">
        <f>VLOOKUP(A150,[1]Hoja1!$A$2:$P$391,16,FALSE)</f>
        <v>197.14749449999999</v>
      </c>
    </row>
    <row r="151" spans="1:4" x14ac:dyDescent="0.2">
      <c r="A151" t="s">
        <v>150</v>
      </c>
      <c r="B151">
        <f>VLOOKUP(A151,[1]Hoja1!$A$2:$P$391,14,FALSE)</f>
        <v>17.600000000000001</v>
      </c>
      <c r="C151">
        <f>VLOOKUP(A151,[1]Hoja1!$A$2:$P$391,15,FALSE)</f>
        <v>1220.48</v>
      </c>
      <c r="D151">
        <f>VLOOKUP(A151,[1]Hoja1!$A$2:$P$391,16,FALSE)</f>
        <v>21480.448</v>
      </c>
    </row>
    <row r="152" spans="1:4" x14ac:dyDescent="0.2">
      <c r="A152" t="s">
        <v>151</v>
      </c>
      <c r="B152">
        <f>VLOOKUP(A152,[1]Hoja1!$A$2:$P$391,14,FALSE)</f>
        <v>3300.0000000000005</v>
      </c>
      <c r="C152">
        <f>VLOOKUP(A152,[1]Hoja1!$A$2:$P$391,15,FALSE)</f>
        <v>0.88319544050632914</v>
      </c>
      <c r="D152">
        <f>VLOOKUP(A152,[1]Hoja1!$A$2:$P$391,16,FALSE)</f>
        <v>2914.5449536708866</v>
      </c>
    </row>
    <row r="153" spans="1:4" x14ac:dyDescent="0.2">
      <c r="A153" t="s">
        <v>152</v>
      </c>
      <c r="B153">
        <f>VLOOKUP(A153,[1]Hoja1!$A$2:$P$391,14,FALSE)</f>
        <v>130.9</v>
      </c>
      <c r="C153">
        <f>VLOOKUP(A153,[1]Hoja1!$A$2:$P$391,15,FALSE)</f>
        <v>5.3895580000000001</v>
      </c>
      <c r="D153">
        <f>VLOOKUP(A153,[1]Hoja1!$A$2:$P$391,16,FALSE)</f>
        <v>705.49314220000008</v>
      </c>
    </row>
    <row r="154" spans="1:4" x14ac:dyDescent="0.2">
      <c r="A154" t="s">
        <v>153</v>
      </c>
      <c r="B154">
        <f>VLOOKUP(A154,[1]Hoja1!$A$2:$P$391,14,FALSE)</f>
        <v>10</v>
      </c>
      <c r="C154">
        <f>VLOOKUP(A154,[1]Hoja1!$A$2:$P$391,15,FALSE)</f>
        <v>0.42293199999999997</v>
      </c>
      <c r="D154">
        <f>VLOOKUP(A154,[1]Hoja1!$A$2:$P$391,16,FALSE)</f>
        <v>4.2293199999999995</v>
      </c>
    </row>
    <row r="155" spans="1:4" x14ac:dyDescent="0.2">
      <c r="A155" t="s">
        <v>154</v>
      </c>
      <c r="B155">
        <f>VLOOKUP(A155,[1]Hoja1!$A$2:$P$391,14,FALSE)</f>
        <v>1320</v>
      </c>
      <c r="C155">
        <f>VLOOKUP(A155,[1]Hoja1!$A$2:$P$391,15,FALSE)</f>
        <v>0.65238607484550237</v>
      </c>
      <c r="D155">
        <f>VLOOKUP(A155,[1]Hoja1!$A$2:$P$391,16,FALSE)</f>
        <v>861.14961879606312</v>
      </c>
    </row>
    <row r="156" spans="1:4" x14ac:dyDescent="0.2">
      <c r="A156" t="s">
        <v>155</v>
      </c>
      <c r="B156">
        <f>VLOOKUP(A156,[1]Hoja1!$A$2:$P$391,14,FALSE)</f>
        <v>376</v>
      </c>
      <c r="C156">
        <f>VLOOKUP(A156,[1]Hoja1!$A$2:$P$391,15,FALSE)</f>
        <v>4.0855571173184355</v>
      </c>
      <c r="D156">
        <f>VLOOKUP(A156,[1]Hoja1!$A$2:$P$391,16,FALSE)</f>
        <v>1536.1694761117317</v>
      </c>
    </row>
    <row r="157" spans="1:4" x14ac:dyDescent="0.2">
      <c r="A157" t="s">
        <v>156</v>
      </c>
      <c r="B157">
        <f>VLOOKUP(A157,[1]Hoja1!$A$2:$P$391,14,FALSE)</f>
        <v>20</v>
      </c>
      <c r="C157">
        <f>VLOOKUP(A157,[1]Hoja1!$A$2:$P$391,15,FALSE)</f>
        <v>6.9438092400000002</v>
      </c>
      <c r="D157">
        <f>VLOOKUP(A157,[1]Hoja1!$A$2:$P$391,16,FALSE)</f>
        <v>138.8761848</v>
      </c>
    </row>
    <row r="158" spans="1:4" x14ac:dyDescent="0.2">
      <c r="A158" t="s">
        <v>157</v>
      </c>
      <c r="B158">
        <f>VLOOKUP(A158,[1]Hoja1!$A$2:$P$391,14,FALSE)</f>
        <v>20</v>
      </c>
      <c r="C158">
        <f>VLOOKUP(A158,[1]Hoja1!$A$2:$P$391,15,FALSE)</f>
        <v>65.799350636363641</v>
      </c>
      <c r="D158">
        <f>VLOOKUP(A158,[1]Hoja1!$A$2:$P$391,16,FALSE)</f>
        <v>1315.9870127272729</v>
      </c>
    </row>
    <row r="159" spans="1:4" x14ac:dyDescent="0.2">
      <c r="A159" t="s">
        <v>158</v>
      </c>
      <c r="B159">
        <f>VLOOKUP(A159,[1]Hoja1!$A$2:$P$391,14,FALSE)</f>
        <v>2437</v>
      </c>
      <c r="C159">
        <f>VLOOKUP(A159,[1]Hoja1!$A$2:$P$391,15,FALSE)</f>
        <v>0.2905622517874667</v>
      </c>
      <c r="D159">
        <f>VLOOKUP(A159,[1]Hoja1!$A$2:$P$391,16,FALSE)</f>
        <v>708.1002076060563</v>
      </c>
    </row>
    <row r="160" spans="1:4" x14ac:dyDescent="0.2">
      <c r="A160" t="s">
        <v>159</v>
      </c>
      <c r="B160">
        <f>VLOOKUP(A160,[1]Hoja1!$A$2:$P$391,14,FALSE)</f>
        <v>2200</v>
      </c>
      <c r="C160">
        <f>VLOOKUP(A160,[1]Hoja1!$A$2:$P$391,15,FALSE)</f>
        <v>0.5</v>
      </c>
      <c r="D160">
        <f>VLOOKUP(A160,[1]Hoja1!$A$2:$P$391,16,FALSE)</f>
        <v>1100</v>
      </c>
    </row>
    <row r="161" spans="1:4" x14ac:dyDescent="0.2">
      <c r="A161" t="s">
        <v>160</v>
      </c>
      <c r="B161">
        <f>VLOOKUP(A161,[1]Hoja1!$A$2:$P$391,14,FALSE)</f>
        <v>25300.000000000004</v>
      </c>
      <c r="C161">
        <f>VLOOKUP(A161,[1]Hoja1!$A$2:$P$391,15,FALSE)</f>
        <v>0.49993140058840835</v>
      </c>
      <c r="D161">
        <f>VLOOKUP(A161,[1]Hoja1!$A$2:$P$391,16,FALSE)</f>
        <v>12648.264434886732</v>
      </c>
    </row>
    <row r="162" spans="1:4" x14ac:dyDescent="0.2">
      <c r="A162" t="s">
        <v>161</v>
      </c>
      <c r="B162">
        <f>VLOOKUP(A162,[1]Hoja1!$A$2:$P$391,14,FALSE)</f>
        <v>1</v>
      </c>
      <c r="C162">
        <f>VLOOKUP(A162,[1]Hoja1!$A$2:$P$391,15,FALSE)</f>
        <v>1.242073</v>
      </c>
      <c r="D162">
        <f>VLOOKUP(A162,[1]Hoja1!$A$2:$P$391,16,FALSE)</f>
        <v>1.242073</v>
      </c>
    </row>
    <row r="163" spans="1:4" x14ac:dyDescent="0.2">
      <c r="A163" t="s">
        <v>162</v>
      </c>
      <c r="B163">
        <f>VLOOKUP(A163,[1]Hoja1!$A$2:$P$391,14,FALSE)</f>
        <v>1</v>
      </c>
      <c r="C163">
        <f>VLOOKUP(A163,[1]Hoja1!$A$2:$P$391,15,FALSE)</f>
        <v>19.536999999999999</v>
      </c>
      <c r="D163">
        <f>VLOOKUP(A163,[1]Hoja1!$A$2:$P$391,16,FALSE)</f>
        <v>19.536999999999999</v>
      </c>
    </row>
    <row r="164" spans="1:4" x14ac:dyDescent="0.2">
      <c r="A164" t="s">
        <v>163</v>
      </c>
      <c r="B164">
        <f>VLOOKUP(A164,[1]Hoja1!$A$2:$P$391,14,FALSE)</f>
        <v>770.00000000000011</v>
      </c>
      <c r="C164">
        <f>VLOOKUP(A164,[1]Hoja1!$A$2:$P$391,15,FALSE)</f>
        <v>5.9061219999999999</v>
      </c>
      <c r="D164">
        <f>VLOOKUP(A164,[1]Hoja1!$A$2:$P$391,16,FALSE)</f>
        <v>4547.7139400000005</v>
      </c>
    </row>
    <row r="165" spans="1:4" x14ac:dyDescent="0.2">
      <c r="A165" t="s">
        <v>164</v>
      </c>
      <c r="B165">
        <f>VLOOKUP(A165,[1]Hoja1!$A$2:$P$391,14,FALSE)</f>
        <v>1000</v>
      </c>
      <c r="C165">
        <f>VLOOKUP(A165,[1]Hoja1!$A$2:$P$391,15,FALSE)</f>
        <v>0.84114045206172527</v>
      </c>
      <c r="D165">
        <f>VLOOKUP(A165,[1]Hoja1!$A$2:$P$391,16,FALSE)</f>
        <v>841.14045206172523</v>
      </c>
    </row>
    <row r="166" spans="1:4" x14ac:dyDescent="0.2">
      <c r="A166" t="s">
        <v>165</v>
      </c>
      <c r="B166">
        <f>VLOOKUP(A166,[1]Hoja1!$A$2:$P$391,14,FALSE)</f>
        <v>1000</v>
      </c>
      <c r="C166">
        <f>VLOOKUP(A166,[1]Hoja1!$A$2:$P$391,15,FALSE)</f>
        <v>0.43082213043478262</v>
      </c>
      <c r="D166">
        <f>VLOOKUP(A166,[1]Hoja1!$A$2:$P$391,16,FALSE)</f>
        <v>430.82213043478265</v>
      </c>
    </row>
    <row r="167" spans="1:4" x14ac:dyDescent="0.2">
      <c r="A167" t="s">
        <v>166</v>
      </c>
      <c r="B167">
        <f>VLOOKUP(A167,[1]Hoja1!$A$2:$P$391,14,FALSE)</f>
        <v>356</v>
      </c>
      <c r="C167">
        <f>VLOOKUP(A167,[1]Hoja1!$A$2:$P$391,15,FALSE)</f>
        <v>1.6325690407993338</v>
      </c>
      <c r="D167">
        <f>VLOOKUP(A167,[1]Hoja1!$A$2:$P$391,16,FALSE)</f>
        <v>581.19457852456287</v>
      </c>
    </row>
    <row r="168" spans="1:4" x14ac:dyDescent="0.2">
      <c r="A168" t="s">
        <v>167</v>
      </c>
      <c r="B168">
        <f>VLOOKUP(A168,[1]Hoja1!$A$2:$P$391,14,FALSE)</f>
        <v>30</v>
      </c>
      <c r="C168">
        <f>VLOOKUP(A168,[1]Hoja1!$A$2:$P$391,15,FALSE)</f>
        <v>45</v>
      </c>
      <c r="D168">
        <f>VLOOKUP(A168,[1]Hoja1!$A$2:$P$391,16,FALSE)</f>
        <v>1350</v>
      </c>
    </row>
    <row r="169" spans="1:4" x14ac:dyDescent="0.2">
      <c r="A169" t="s">
        <v>168</v>
      </c>
      <c r="B169">
        <f>VLOOKUP(A169,[1]Hoja1!$A$2:$P$391,14,FALSE)</f>
        <v>465</v>
      </c>
      <c r="C169">
        <f>VLOOKUP(A169,[1]Hoja1!$A$2:$P$391,15,FALSE)</f>
        <v>1.4920390098039216</v>
      </c>
      <c r="D169">
        <f>VLOOKUP(A169,[1]Hoja1!$A$2:$P$391,16,FALSE)</f>
        <v>693.79813955882355</v>
      </c>
    </row>
    <row r="170" spans="1:4" x14ac:dyDescent="0.2">
      <c r="A170" t="s">
        <v>169</v>
      </c>
      <c r="B170">
        <f>VLOOKUP(A170,[1]Hoja1!$A$2:$P$391,14,FALSE)</f>
        <v>10</v>
      </c>
      <c r="C170">
        <f>VLOOKUP(A170,[1]Hoja1!$A$2:$P$391,15,FALSE)</f>
        <v>4.5</v>
      </c>
      <c r="D170">
        <f>VLOOKUP(A170,[1]Hoja1!$A$2:$P$391,16,FALSE)</f>
        <v>45</v>
      </c>
    </row>
    <row r="171" spans="1:4" x14ac:dyDescent="0.2">
      <c r="A171" t="s">
        <v>170</v>
      </c>
      <c r="B171">
        <f>VLOOKUP(A171,[1]Hoja1!$A$2:$P$391,14,FALSE)</f>
        <v>220.00000000000003</v>
      </c>
      <c r="C171">
        <f>VLOOKUP(A171,[1]Hoja1!$A$2:$P$391,15,FALSE)</f>
        <v>11</v>
      </c>
      <c r="D171">
        <f>VLOOKUP(A171,[1]Hoja1!$A$2:$P$391,16,FALSE)</f>
        <v>2420.0000000000005</v>
      </c>
    </row>
    <row r="172" spans="1:4" x14ac:dyDescent="0.2">
      <c r="A172" t="s">
        <v>171</v>
      </c>
      <c r="B172">
        <f>VLOOKUP(A172,[1]Hoja1!$A$2:$P$391,14,FALSE)</f>
        <v>50</v>
      </c>
      <c r="C172">
        <f>VLOOKUP(A172,[1]Hoja1!$A$2:$P$391,15,FALSE)</f>
        <v>4.3201020000000003</v>
      </c>
      <c r="D172">
        <f>VLOOKUP(A172,[1]Hoja1!$A$2:$P$391,16,FALSE)</f>
        <v>216.00510000000003</v>
      </c>
    </row>
    <row r="173" spans="1:4" x14ac:dyDescent="0.2">
      <c r="A173" t="s">
        <v>172</v>
      </c>
      <c r="B173">
        <f>VLOOKUP(A173,[1]Hoja1!$A$2:$P$391,14,FALSE)</f>
        <v>186</v>
      </c>
      <c r="C173">
        <f>VLOOKUP(A173,[1]Hoja1!$A$2:$P$391,15,FALSE)</f>
        <v>4.9880946268656716</v>
      </c>
      <c r="D173">
        <f>VLOOKUP(A173,[1]Hoja1!$A$2:$P$391,16,FALSE)</f>
        <v>927.78560059701488</v>
      </c>
    </row>
    <row r="174" spans="1:4" x14ac:dyDescent="0.2">
      <c r="A174" t="s">
        <v>173</v>
      </c>
      <c r="B174">
        <f>VLOOKUP(A174,[1]Hoja1!$A$2:$P$391,14,FALSE)</f>
        <v>990.00000000000011</v>
      </c>
      <c r="C174">
        <f>VLOOKUP(A174,[1]Hoja1!$A$2:$P$391,15,FALSE)</f>
        <v>3</v>
      </c>
      <c r="D174">
        <f>VLOOKUP(A174,[1]Hoja1!$A$2:$P$391,16,FALSE)</f>
        <v>2970.0000000000005</v>
      </c>
    </row>
    <row r="175" spans="1:4" x14ac:dyDescent="0.2">
      <c r="A175" t="s">
        <v>174</v>
      </c>
      <c r="B175">
        <f>VLOOKUP(A175,[1]Hoja1!$A$2:$P$391,14,FALSE)</f>
        <v>46</v>
      </c>
      <c r="C175">
        <f>VLOOKUP(A175,[1]Hoja1!$A$2:$P$391,15,FALSE)</f>
        <v>1.1000000000000001</v>
      </c>
      <c r="D175">
        <f>VLOOKUP(A175,[1]Hoja1!$A$2:$P$391,16,FALSE)</f>
        <v>50.6</v>
      </c>
    </row>
    <row r="176" spans="1:4" x14ac:dyDescent="0.2">
      <c r="A176" t="s">
        <v>175</v>
      </c>
      <c r="B176">
        <f>VLOOKUP(A176,[1]Hoja1!$A$2:$P$391,14,FALSE)</f>
        <v>1</v>
      </c>
      <c r="C176">
        <f>VLOOKUP(A176,[1]Hoja1!$A$2:$P$391,15,FALSE)</f>
        <v>23.572856999999999</v>
      </c>
      <c r="D176">
        <f>VLOOKUP(A176,[1]Hoja1!$A$2:$P$391,16,FALSE)</f>
        <v>23.572856999999999</v>
      </c>
    </row>
    <row r="177" spans="1:4" x14ac:dyDescent="0.2">
      <c r="A177" t="s">
        <v>176</v>
      </c>
      <c r="B177">
        <f>VLOOKUP(A177,[1]Hoja1!$A$2:$P$391,14,FALSE)</f>
        <v>1100</v>
      </c>
      <c r="C177">
        <f>VLOOKUP(A177,[1]Hoja1!$A$2:$P$391,15,FALSE)</f>
        <v>4.0353440000000003</v>
      </c>
      <c r="D177">
        <f>VLOOKUP(A177,[1]Hoja1!$A$2:$P$391,16,FALSE)</f>
        <v>4438.8784000000005</v>
      </c>
    </row>
    <row r="178" spans="1:4" x14ac:dyDescent="0.2">
      <c r="A178" t="s">
        <v>177</v>
      </c>
      <c r="B178">
        <f>VLOOKUP(A178,[1]Hoja1!$A$2:$P$391,14,FALSE)</f>
        <v>2420</v>
      </c>
      <c r="C178">
        <f>VLOOKUP(A178,[1]Hoja1!$A$2:$P$391,15,FALSE)</f>
        <v>0.38220404679595277</v>
      </c>
      <c r="D178">
        <f>VLOOKUP(A178,[1]Hoja1!$A$2:$P$391,16,FALSE)</f>
        <v>924.93379324620571</v>
      </c>
    </row>
    <row r="179" spans="1:4" x14ac:dyDescent="0.2">
      <c r="A179" t="s">
        <v>178</v>
      </c>
      <c r="B179">
        <f>VLOOKUP(A179,[1]Hoja1!$A$2:$P$391,14,FALSE)</f>
        <v>321</v>
      </c>
      <c r="C179">
        <f>VLOOKUP(A179,[1]Hoja1!$A$2:$P$391,15,FALSE)</f>
        <v>6.4547461801801802</v>
      </c>
      <c r="D179">
        <f>VLOOKUP(A179,[1]Hoja1!$A$2:$P$391,16,FALSE)</f>
        <v>2071.973523837838</v>
      </c>
    </row>
    <row r="180" spans="1:4" x14ac:dyDescent="0.2">
      <c r="A180" t="s">
        <v>179</v>
      </c>
      <c r="B180">
        <f>VLOOKUP(A180,[1]Hoja1!$A$2:$P$391,14,FALSE)</f>
        <v>1320</v>
      </c>
      <c r="C180">
        <f>VLOOKUP(A180,[1]Hoja1!$A$2:$P$391,15,FALSE)</f>
        <v>2.2263158152173914</v>
      </c>
      <c r="D180">
        <f>VLOOKUP(A180,[1]Hoja1!$A$2:$P$391,16,FALSE)</f>
        <v>2938.7368760869567</v>
      </c>
    </row>
    <row r="181" spans="1:4" x14ac:dyDescent="0.2">
      <c r="A181" t="s">
        <v>180</v>
      </c>
      <c r="B181">
        <f>VLOOKUP(A181,[1]Hoja1!$A$2:$P$391,14,FALSE)</f>
        <v>220.00000000000003</v>
      </c>
      <c r="C181">
        <f>VLOOKUP(A181,[1]Hoja1!$A$2:$P$391,15,FALSE)</f>
        <v>7.5925950000000002</v>
      </c>
      <c r="D181">
        <f>VLOOKUP(A181,[1]Hoja1!$A$2:$P$391,16,FALSE)</f>
        <v>1670.3709000000003</v>
      </c>
    </row>
    <row r="182" spans="1:4" x14ac:dyDescent="0.2">
      <c r="A182" t="s">
        <v>181</v>
      </c>
      <c r="B182">
        <f>VLOOKUP(A182,[1]Hoja1!$A$2:$P$391,14,FALSE)</f>
        <v>770.00000000000011</v>
      </c>
      <c r="C182">
        <f>VLOOKUP(A182,[1]Hoja1!$A$2:$P$391,15,FALSE)</f>
        <v>0.39204897429906543</v>
      </c>
      <c r="D182">
        <f>VLOOKUP(A182,[1]Hoja1!$A$2:$P$391,16,FALSE)</f>
        <v>301.87771021028044</v>
      </c>
    </row>
    <row r="183" spans="1:4" x14ac:dyDescent="0.2">
      <c r="A183" t="s">
        <v>182</v>
      </c>
      <c r="B183">
        <f>VLOOKUP(A183,[1]Hoja1!$A$2:$P$391,14,FALSE)</f>
        <v>40</v>
      </c>
      <c r="C183">
        <f>VLOOKUP(A183,[1]Hoja1!$A$2:$P$391,15,FALSE)</f>
        <v>7</v>
      </c>
      <c r="D183">
        <f>VLOOKUP(A183,[1]Hoja1!$A$2:$P$391,16,FALSE)</f>
        <v>280</v>
      </c>
    </row>
    <row r="184" spans="1:4" x14ac:dyDescent="0.2">
      <c r="A184" t="s">
        <v>183</v>
      </c>
      <c r="B184">
        <f>VLOOKUP(A184,[1]Hoja1!$A$2:$P$391,14,FALSE)</f>
        <v>100</v>
      </c>
      <c r="C184">
        <f>VLOOKUP(A184,[1]Hoja1!$A$2:$P$391,15,FALSE)</f>
        <v>0.9</v>
      </c>
      <c r="D184">
        <f>VLOOKUP(A184,[1]Hoja1!$A$2:$P$391,16,FALSE)</f>
        <v>90</v>
      </c>
    </row>
    <row r="185" spans="1:4" x14ac:dyDescent="0.2">
      <c r="A185" t="s">
        <v>184</v>
      </c>
      <c r="B185">
        <f>VLOOKUP(A185,[1]Hoja1!$A$2:$P$391,14,FALSE)</f>
        <v>155</v>
      </c>
      <c r="C185">
        <f>VLOOKUP(A185,[1]Hoja1!$A$2:$P$391,15,FALSE)</f>
        <v>0.49623791285714286</v>
      </c>
      <c r="D185">
        <f>VLOOKUP(A185,[1]Hoja1!$A$2:$P$391,16,FALSE)</f>
        <v>76.916876492857142</v>
      </c>
    </row>
    <row r="186" spans="1:4" x14ac:dyDescent="0.2">
      <c r="A186" t="s">
        <v>185</v>
      </c>
      <c r="B186">
        <f>VLOOKUP(A186,[1]Hoja1!$A$2:$P$391,14,FALSE)</f>
        <v>100</v>
      </c>
      <c r="C186">
        <f>VLOOKUP(A186,[1]Hoja1!$A$2:$P$391,15,FALSE)</f>
        <v>0.97916300000000001</v>
      </c>
      <c r="D186">
        <f>VLOOKUP(A186,[1]Hoja1!$A$2:$P$391,16,FALSE)</f>
        <v>97.916300000000007</v>
      </c>
    </row>
    <row r="187" spans="1:4" x14ac:dyDescent="0.2">
      <c r="A187" t="s">
        <v>186</v>
      </c>
      <c r="B187">
        <f>VLOOKUP(A187,[1]Hoja1!$A$2:$P$391,14,FALSE)</f>
        <v>1430.0000000000002</v>
      </c>
      <c r="C187">
        <f>VLOOKUP(A187,[1]Hoja1!$A$2:$P$391,15,FALSE)</f>
        <v>37</v>
      </c>
      <c r="D187">
        <f>VLOOKUP(A187,[1]Hoja1!$A$2:$P$391,16,FALSE)</f>
        <v>52910.000000000007</v>
      </c>
    </row>
    <row r="188" spans="1:4" x14ac:dyDescent="0.2">
      <c r="A188" t="s">
        <v>187</v>
      </c>
      <c r="B188">
        <f>VLOOKUP(A188,[1]Hoja1!$A$2:$P$391,14,FALSE)</f>
        <v>1980.0000000000002</v>
      </c>
      <c r="C188">
        <f>VLOOKUP(A188,[1]Hoja1!$A$2:$P$391,15,FALSE)</f>
        <v>0.89704200000000001</v>
      </c>
      <c r="D188">
        <f>VLOOKUP(A188,[1]Hoja1!$A$2:$P$391,16,FALSE)</f>
        <v>1776.1431600000003</v>
      </c>
    </row>
    <row r="189" spans="1:4" x14ac:dyDescent="0.2">
      <c r="A189" t="s">
        <v>188</v>
      </c>
      <c r="B189">
        <f>VLOOKUP(A189,[1]Hoja1!$A$2:$P$391,14,FALSE)</f>
        <v>100</v>
      </c>
      <c r="C189">
        <f>VLOOKUP(A189,[1]Hoja1!$A$2:$P$391,15,FALSE)</f>
        <v>0.45132800000000001</v>
      </c>
      <c r="D189">
        <f>VLOOKUP(A189,[1]Hoja1!$A$2:$P$391,16,FALSE)</f>
        <v>45.132800000000003</v>
      </c>
    </row>
    <row r="190" spans="1:4" x14ac:dyDescent="0.2">
      <c r="A190" t="s">
        <v>189</v>
      </c>
      <c r="B190">
        <f>VLOOKUP(A190,[1]Hoja1!$A$2:$P$391,14,FALSE)</f>
        <v>660</v>
      </c>
      <c r="C190">
        <f>VLOOKUP(A190,[1]Hoja1!$A$2:$P$391,15,FALSE)</f>
        <v>15.540509999999999</v>
      </c>
      <c r="D190">
        <f>VLOOKUP(A190,[1]Hoja1!$A$2:$P$391,16,FALSE)</f>
        <v>10256.7366</v>
      </c>
    </row>
    <row r="191" spans="1:4" x14ac:dyDescent="0.2">
      <c r="A191" t="s">
        <v>190</v>
      </c>
      <c r="B191">
        <f>VLOOKUP(A191,[1]Hoja1!$A$2:$P$391,14,FALSE)</f>
        <v>107</v>
      </c>
      <c r="C191">
        <f>VLOOKUP(A191,[1]Hoja1!$A$2:$P$391,15,FALSE)</f>
        <v>9.4207433228699546</v>
      </c>
      <c r="D191">
        <f>VLOOKUP(A191,[1]Hoja1!$A$2:$P$391,16,FALSE)</f>
        <v>1008.0195355470852</v>
      </c>
    </row>
    <row r="192" spans="1:4" x14ac:dyDescent="0.2">
      <c r="A192" t="s">
        <v>191</v>
      </c>
      <c r="B192">
        <f>VLOOKUP(A192,[1]Hoja1!$A$2:$P$391,14,FALSE)</f>
        <v>341</v>
      </c>
      <c r="C192">
        <f>VLOOKUP(A192,[1]Hoja1!$A$2:$P$391,15,FALSE)</f>
        <v>1.84</v>
      </c>
      <c r="D192">
        <f>VLOOKUP(A192,[1]Hoja1!$A$2:$P$391,16,FALSE)</f>
        <v>627.44000000000005</v>
      </c>
    </row>
    <row r="193" spans="1:4" x14ac:dyDescent="0.2">
      <c r="A193" t="s">
        <v>192</v>
      </c>
      <c r="B193">
        <f>VLOOKUP(A193,[1]Hoja1!$A$2:$P$391,14,FALSE)</f>
        <v>16.5</v>
      </c>
      <c r="C193">
        <f>VLOOKUP(A193,[1]Hoja1!$A$2:$P$391,15,FALSE)</f>
        <v>32.11</v>
      </c>
      <c r="D193">
        <f>VLOOKUP(A193,[1]Hoja1!$A$2:$P$391,16,FALSE)</f>
        <v>529.81499999999994</v>
      </c>
    </row>
    <row r="194" spans="1:4" x14ac:dyDescent="0.2">
      <c r="A194" t="s">
        <v>193</v>
      </c>
      <c r="B194">
        <f>VLOOKUP(A194,[1]Hoja1!$A$2:$P$391,14,FALSE)</f>
        <v>30</v>
      </c>
      <c r="C194">
        <f>VLOOKUP(A194,[1]Hoja1!$A$2:$P$391,15,FALSE)</f>
        <v>25</v>
      </c>
      <c r="D194">
        <f>VLOOKUP(A194,[1]Hoja1!$A$2:$P$391,16,FALSE)</f>
        <v>750</v>
      </c>
    </row>
    <row r="195" spans="1:4" x14ac:dyDescent="0.2">
      <c r="A195" t="s">
        <v>194</v>
      </c>
      <c r="B195">
        <f>VLOOKUP(A195,[1]Hoja1!$A$2:$P$391,14,FALSE)</f>
        <v>220.00000000000003</v>
      </c>
      <c r="C195">
        <f>VLOOKUP(A195,[1]Hoja1!$A$2:$P$391,15,FALSE)</f>
        <v>16.8</v>
      </c>
      <c r="D195">
        <f>VLOOKUP(A195,[1]Hoja1!$A$2:$P$391,16,FALSE)</f>
        <v>3696.0000000000005</v>
      </c>
    </row>
    <row r="196" spans="1:4" x14ac:dyDescent="0.2">
      <c r="A196" t="s">
        <v>195</v>
      </c>
      <c r="B196">
        <f>VLOOKUP(A196,[1]Hoja1!$A$2:$P$391,14,FALSE)</f>
        <v>3</v>
      </c>
      <c r="C196">
        <f>VLOOKUP(A196,[1]Hoja1!$A$2:$P$391,15,FALSE)</f>
        <v>1.1887180000000002</v>
      </c>
      <c r="D196">
        <f>VLOOKUP(A196,[1]Hoja1!$A$2:$P$391,16,FALSE)</f>
        <v>3.5661540000000005</v>
      </c>
    </row>
    <row r="197" spans="1:4" x14ac:dyDescent="0.2">
      <c r="A197" t="s">
        <v>196</v>
      </c>
      <c r="B197">
        <f>VLOOKUP(A197,[1]Hoja1!$A$2:$P$391,14,FALSE)</f>
        <v>50</v>
      </c>
      <c r="C197">
        <f>VLOOKUP(A197,[1]Hoja1!$A$2:$P$391,15,FALSE)</f>
        <v>42.159813962962964</v>
      </c>
      <c r="D197">
        <f>VLOOKUP(A197,[1]Hoja1!$A$2:$P$391,16,FALSE)</f>
        <v>2107.9906981481481</v>
      </c>
    </row>
    <row r="198" spans="1:4" x14ac:dyDescent="0.2">
      <c r="A198" t="s">
        <v>197</v>
      </c>
      <c r="B198">
        <f>VLOOKUP(A198,[1]Hoja1!$A$2:$P$391,14,FALSE)</f>
        <v>2111</v>
      </c>
      <c r="C198">
        <f>VLOOKUP(A198,[1]Hoja1!$A$2:$P$391,15,FALSE)</f>
        <v>4.3670597534106408</v>
      </c>
      <c r="D198">
        <f>VLOOKUP(A198,[1]Hoja1!$A$2:$P$391,16,FALSE)</f>
        <v>9218.8631394498625</v>
      </c>
    </row>
    <row r="199" spans="1:4" x14ac:dyDescent="0.2">
      <c r="A199" t="s">
        <v>198</v>
      </c>
      <c r="B199">
        <f>VLOOKUP(A199,[1]Hoja1!$A$2:$P$391,14,FALSE)</f>
        <v>50</v>
      </c>
      <c r="C199">
        <f>VLOOKUP(A199,[1]Hoja1!$A$2:$P$391,15,FALSE)</f>
        <v>26</v>
      </c>
      <c r="D199">
        <f>VLOOKUP(A199,[1]Hoja1!$A$2:$P$391,16,FALSE)</f>
        <v>1300</v>
      </c>
    </row>
    <row r="200" spans="1:4" x14ac:dyDescent="0.2">
      <c r="A200" t="s">
        <v>199</v>
      </c>
      <c r="B200">
        <f>VLOOKUP(A200,[1]Hoja1!$A$2:$P$391,14,FALSE)</f>
        <v>660</v>
      </c>
      <c r="C200">
        <f>VLOOKUP(A200,[1]Hoja1!$A$2:$P$391,15,FALSE)</f>
        <v>1.7821709999999999</v>
      </c>
      <c r="D200">
        <f>VLOOKUP(A200,[1]Hoja1!$A$2:$P$391,16,FALSE)</f>
        <v>1176.2328600000001</v>
      </c>
    </row>
    <row r="201" spans="1:4" x14ac:dyDescent="0.2">
      <c r="A201" t="s">
        <v>200</v>
      </c>
      <c r="B201">
        <f>VLOOKUP(A201,[1]Hoja1!$A$2:$P$391,14,FALSE)</f>
        <v>212</v>
      </c>
      <c r="C201">
        <f>VLOOKUP(A201,[1]Hoja1!$A$2:$P$391,15,FALSE)</f>
        <v>1</v>
      </c>
      <c r="D201">
        <f>VLOOKUP(A201,[1]Hoja1!$A$2:$P$391,16,FALSE)</f>
        <v>212</v>
      </c>
    </row>
    <row r="202" spans="1:4" x14ac:dyDescent="0.2">
      <c r="A202" t="s">
        <v>201</v>
      </c>
      <c r="B202">
        <f>VLOOKUP(A202,[1]Hoja1!$A$2:$P$391,14,FALSE)</f>
        <v>100</v>
      </c>
      <c r="C202">
        <f>VLOOKUP(A202,[1]Hoja1!$A$2:$P$391,15,FALSE)</f>
        <v>23.839074</v>
      </c>
      <c r="D202">
        <f>VLOOKUP(A202,[1]Hoja1!$A$2:$P$391,16,FALSE)</f>
        <v>2383.9074000000001</v>
      </c>
    </row>
    <row r="203" spans="1:4" x14ac:dyDescent="0.2">
      <c r="A203" t="s">
        <v>202</v>
      </c>
      <c r="B203">
        <f>VLOOKUP(A203,[1]Hoja1!$A$2:$P$391,14,FALSE)</f>
        <v>44</v>
      </c>
      <c r="C203">
        <f>VLOOKUP(A203,[1]Hoja1!$A$2:$P$391,15,FALSE)</f>
        <v>55.639949999999999</v>
      </c>
      <c r="D203">
        <f>VLOOKUP(A203,[1]Hoja1!$A$2:$P$391,16,FALSE)</f>
        <v>2448.1578</v>
      </c>
    </row>
    <row r="204" spans="1:4" x14ac:dyDescent="0.2">
      <c r="A204" t="s">
        <v>203</v>
      </c>
      <c r="B204">
        <f>VLOOKUP(A204,[1]Hoja1!$A$2:$P$391,14,FALSE)</f>
        <v>4180</v>
      </c>
      <c r="C204">
        <f>VLOOKUP(A204,[1]Hoja1!$A$2:$P$391,15,FALSE)</f>
        <v>1.0048780800405268</v>
      </c>
      <c r="D204">
        <f>VLOOKUP(A204,[1]Hoja1!$A$2:$P$391,16,FALSE)</f>
        <v>4200.3903745694024</v>
      </c>
    </row>
    <row r="205" spans="1:4" x14ac:dyDescent="0.2">
      <c r="A205" t="s">
        <v>204</v>
      </c>
      <c r="B205">
        <f>VLOOKUP(A205,[1]Hoja1!$A$2:$P$391,14,FALSE)</f>
        <v>462.00000000000006</v>
      </c>
      <c r="C205">
        <f>VLOOKUP(A205,[1]Hoja1!$A$2:$P$391,15,FALSE)</f>
        <v>7.2</v>
      </c>
      <c r="D205">
        <f>VLOOKUP(A205,[1]Hoja1!$A$2:$P$391,16,FALSE)</f>
        <v>3326.4000000000005</v>
      </c>
    </row>
    <row r="206" spans="1:4" x14ac:dyDescent="0.2">
      <c r="A206" t="s">
        <v>205</v>
      </c>
      <c r="B206">
        <f>VLOOKUP(A206,[1]Hoja1!$A$2:$P$391,14,FALSE)</f>
        <v>0</v>
      </c>
      <c r="C206">
        <f>VLOOKUP(A206,[1]Hoja1!$A$2:$P$391,15,FALSE)</f>
        <v>0</v>
      </c>
      <c r="D206">
        <f>VLOOKUP(A206,[1]Hoja1!$A$2:$P$391,16,FALSE)</f>
        <v>0</v>
      </c>
    </row>
    <row r="207" spans="1:4" x14ac:dyDescent="0.2">
      <c r="A207" t="s">
        <v>206</v>
      </c>
      <c r="B207">
        <f>VLOOKUP(A207,[1]Hoja1!$A$2:$P$391,14,FALSE)</f>
        <v>286</v>
      </c>
      <c r="C207">
        <f>VLOOKUP(A207,[1]Hoja1!$A$2:$P$391,15,FALSE)</f>
        <v>2</v>
      </c>
      <c r="D207">
        <f>VLOOKUP(A207,[1]Hoja1!$A$2:$P$391,16,FALSE)</f>
        <v>572</v>
      </c>
    </row>
    <row r="208" spans="1:4" x14ac:dyDescent="0.2">
      <c r="A208" t="s">
        <v>207</v>
      </c>
      <c r="B208">
        <f>VLOOKUP(A208,[1]Hoja1!$A$2:$P$391,14,FALSE)</f>
        <v>0</v>
      </c>
      <c r="C208">
        <f>VLOOKUP(A208,[1]Hoja1!$A$2:$P$391,15,FALSE)</f>
        <v>0</v>
      </c>
      <c r="D208">
        <f>VLOOKUP(A208,[1]Hoja1!$A$2:$P$391,16,FALSE)</f>
        <v>0</v>
      </c>
    </row>
    <row r="209" spans="1:4" x14ac:dyDescent="0.2">
      <c r="A209" t="s">
        <v>208</v>
      </c>
      <c r="B209">
        <f>VLOOKUP(A209,[1]Hoja1!$A$2:$P$391,14,FALSE)</f>
        <v>6</v>
      </c>
      <c r="C209">
        <f>VLOOKUP(A209,[1]Hoja1!$A$2:$P$391,15,FALSE)</f>
        <v>9380.2000000000007</v>
      </c>
      <c r="D209">
        <f>VLOOKUP(A209,[1]Hoja1!$A$2:$P$391,16,FALSE)</f>
        <v>56281.200000000004</v>
      </c>
    </row>
    <row r="210" spans="1:4" x14ac:dyDescent="0.2">
      <c r="A210" t="s">
        <v>209</v>
      </c>
      <c r="B210">
        <f>VLOOKUP(A210,[1]Hoja1!$A$2:$P$391,14,FALSE)</f>
        <v>5</v>
      </c>
      <c r="C210">
        <f>VLOOKUP(A210,[1]Hoja1!$A$2:$P$391,15,FALSE)</f>
        <v>103</v>
      </c>
      <c r="D210">
        <f>VLOOKUP(A210,[1]Hoja1!$A$2:$P$391,16,FALSE)</f>
        <v>515</v>
      </c>
    </row>
    <row r="211" spans="1:4" x14ac:dyDescent="0.2">
      <c r="A211" t="s">
        <v>210</v>
      </c>
      <c r="B211">
        <f>VLOOKUP(A211,[1]Hoja1!$A$2:$P$391,14,FALSE)</f>
        <v>220.00000000000003</v>
      </c>
      <c r="C211">
        <f>VLOOKUP(A211,[1]Hoja1!$A$2:$P$391,15,FALSE)</f>
        <v>2.7</v>
      </c>
      <c r="D211">
        <f>VLOOKUP(A211,[1]Hoja1!$A$2:$P$391,16,FALSE)</f>
        <v>594.00000000000011</v>
      </c>
    </row>
    <row r="212" spans="1:4" x14ac:dyDescent="0.2">
      <c r="A212" t="s">
        <v>211</v>
      </c>
      <c r="B212">
        <f>VLOOKUP(A212,[1]Hoja1!$A$2:$P$391,14,FALSE)</f>
        <v>6800</v>
      </c>
      <c r="C212">
        <f>VLOOKUP(A212,[1]Hoja1!$A$2:$P$391,15,FALSE)</f>
        <v>2.7266732761596546</v>
      </c>
      <c r="D212">
        <f>VLOOKUP(A212,[1]Hoja1!$A$2:$P$391,16,FALSE)</f>
        <v>18541.378277885651</v>
      </c>
    </row>
    <row r="213" spans="1:4" x14ac:dyDescent="0.2">
      <c r="A213" t="s">
        <v>212</v>
      </c>
      <c r="B213">
        <f>VLOOKUP(A213,[1]Hoja1!$A$2:$P$391,14,FALSE)</f>
        <v>1540.0000000000002</v>
      </c>
      <c r="C213">
        <f>VLOOKUP(A213,[1]Hoja1!$A$2:$P$391,15,FALSE)</f>
        <v>8.000911363636364</v>
      </c>
      <c r="D213">
        <f>VLOOKUP(A213,[1]Hoja1!$A$2:$P$391,16,FALSE)</f>
        <v>12321.403500000002</v>
      </c>
    </row>
    <row r="214" spans="1:4" x14ac:dyDescent="0.2">
      <c r="A214" t="s">
        <v>213</v>
      </c>
      <c r="B214">
        <f>VLOOKUP(A214,[1]Hoja1!$A$2:$P$391,14,FALSE)</f>
        <v>1760.0000000000002</v>
      </c>
      <c r="C214">
        <f>VLOOKUP(A214,[1]Hoja1!$A$2:$P$391,15,FALSE)</f>
        <v>3.8000000099118942</v>
      </c>
      <c r="D214">
        <f>VLOOKUP(A214,[1]Hoja1!$A$2:$P$391,16,FALSE)</f>
        <v>6688.0000174449351</v>
      </c>
    </row>
    <row r="215" spans="1:4" x14ac:dyDescent="0.2">
      <c r="A215" t="s">
        <v>214</v>
      </c>
      <c r="B215">
        <f>VLOOKUP(A215,[1]Hoja1!$A$2:$P$391,14,FALSE)</f>
        <v>660</v>
      </c>
      <c r="C215">
        <f>VLOOKUP(A215,[1]Hoja1!$A$2:$P$391,15,FALSE)</f>
        <v>3.9048381562499999</v>
      </c>
      <c r="D215">
        <f>VLOOKUP(A215,[1]Hoja1!$A$2:$P$391,16,FALSE)</f>
        <v>2577.1931831249999</v>
      </c>
    </row>
    <row r="216" spans="1:4" x14ac:dyDescent="0.2">
      <c r="A216" t="s">
        <v>215</v>
      </c>
      <c r="B216">
        <f>VLOOKUP(A216,[1]Hoja1!$A$2:$P$391,14,FALSE)</f>
        <v>9900</v>
      </c>
      <c r="C216">
        <f>VLOOKUP(A216,[1]Hoja1!$A$2:$P$391,15,FALSE)</f>
        <v>0.08</v>
      </c>
      <c r="D216">
        <f>VLOOKUP(A216,[1]Hoja1!$A$2:$P$391,16,FALSE)</f>
        <v>792</v>
      </c>
    </row>
    <row r="217" spans="1:4" x14ac:dyDescent="0.2">
      <c r="A217" t="s">
        <v>216</v>
      </c>
      <c r="B217">
        <f>VLOOKUP(A217,[1]Hoja1!$A$2:$P$391,14,FALSE)</f>
        <v>1391</v>
      </c>
      <c r="C217">
        <f>VLOOKUP(A217,[1]Hoja1!$A$2:$P$391,15,FALSE)</f>
        <v>0.99830871810449573</v>
      </c>
      <c r="D217">
        <f>VLOOKUP(A217,[1]Hoja1!$A$2:$P$391,16,FALSE)</f>
        <v>1388.6474268833535</v>
      </c>
    </row>
    <row r="218" spans="1:4" x14ac:dyDescent="0.2">
      <c r="A218" t="s">
        <v>217</v>
      </c>
      <c r="B218">
        <f>VLOOKUP(A218,[1]Hoja1!$A$2:$P$391,14,FALSE)</f>
        <v>550</v>
      </c>
      <c r="C218">
        <f>VLOOKUP(A218,[1]Hoja1!$A$2:$P$391,15,FALSE)</f>
        <v>6.230441307692308</v>
      </c>
      <c r="D218">
        <f>VLOOKUP(A218,[1]Hoja1!$A$2:$P$391,16,FALSE)</f>
        <v>3426.7427192307696</v>
      </c>
    </row>
    <row r="219" spans="1:4" x14ac:dyDescent="0.2">
      <c r="A219" t="s">
        <v>218</v>
      </c>
      <c r="B219">
        <f>VLOOKUP(A219,[1]Hoja1!$A$2:$P$391,14,FALSE)</f>
        <v>14000</v>
      </c>
      <c r="C219">
        <f>VLOOKUP(A219,[1]Hoja1!$A$2:$P$391,15,FALSE)</f>
        <v>0.16872543644927537</v>
      </c>
      <c r="D219">
        <f>VLOOKUP(A219,[1]Hoja1!$A$2:$P$391,16,FALSE)</f>
        <v>2362.1561102898554</v>
      </c>
    </row>
    <row r="220" spans="1:4" x14ac:dyDescent="0.2">
      <c r="A220" t="s">
        <v>219</v>
      </c>
      <c r="B220">
        <f>VLOOKUP(A220,[1]Hoja1!$A$2:$P$391,14,FALSE)</f>
        <v>1</v>
      </c>
      <c r="C220">
        <f>VLOOKUP(A220,[1]Hoja1!$A$2:$P$391,15,FALSE)</f>
        <v>0.20014899999999999</v>
      </c>
      <c r="D220">
        <f>VLOOKUP(A220,[1]Hoja1!$A$2:$P$391,16,FALSE)</f>
        <v>0.20014899999999999</v>
      </c>
    </row>
    <row r="221" spans="1:4" x14ac:dyDescent="0.2">
      <c r="A221" t="s">
        <v>220</v>
      </c>
      <c r="B221">
        <f>VLOOKUP(A221,[1]Hoja1!$A$2:$P$391,14,FALSE)</f>
        <v>2640</v>
      </c>
      <c r="C221">
        <f>VLOOKUP(A221,[1]Hoja1!$A$2:$P$391,15,FALSE)</f>
        <v>1.6685049999999999</v>
      </c>
      <c r="D221">
        <f>VLOOKUP(A221,[1]Hoja1!$A$2:$P$391,16,FALSE)</f>
        <v>4404.8531999999996</v>
      </c>
    </row>
    <row r="222" spans="1:4" x14ac:dyDescent="0.2">
      <c r="A222" t="s">
        <v>221</v>
      </c>
      <c r="B222">
        <f>VLOOKUP(A222,[1]Hoja1!$A$2:$P$391,14,FALSE)</f>
        <v>1760.0000000000002</v>
      </c>
      <c r="C222">
        <f>VLOOKUP(A222,[1]Hoja1!$A$2:$P$391,15,FALSE)</f>
        <v>1.9993514470008218</v>
      </c>
      <c r="D222">
        <f>VLOOKUP(A222,[1]Hoja1!$A$2:$P$391,16,FALSE)</f>
        <v>3518.8585467214466</v>
      </c>
    </row>
    <row r="223" spans="1:4" x14ac:dyDescent="0.2">
      <c r="A223" t="s">
        <v>222</v>
      </c>
      <c r="B223">
        <f>VLOOKUP(A223,[1]Hoja1!$A$2:$P$391,14,FALSE)</f>
        <v>660</v>
      </c>
      <c r="C223">
        <f>VLOOKUP(A223,[1]Hoja1!$A$2:$P$391,15,FALSE)</f>
        <v>7.4</v>
      </c>
      <c r="D223">
        <f>VLOOKUP(A223,[1]Hoja1!$A$2:$P$391,16,FALSE)</f>
        <v>4884</v>
      </c>
    </row>
    <row r="224" spans="1:4" x14ac:dyDescent="0.2">
      <c r="A224" t="s">
        <v>223</v>
      </c>
      <c r="B224">
        <f>VLOOKUP(A224,[1]Hoja1!$A$2:$P$391,14,FALSE)</f>
        <v>4800</v>
      </c>
      <c r="C224">
        <f>VLOOKUP(A224,[1]Hoja1!$A$2:$P$391,15,FALSE)</f>
        <v>0.23046210442813167</v>
      </c>
      <c r="D224">
        <f>VLOOKUP(A224,[1]Hoja1!$A$2:$P$391,16,FALSE)</f>
        <v>1106.218101255032</v>
      </c>
    </row>
    <row r="225" spans="1:4" x14ac:dyDescent="0.2">
      <c r="A225" t="s">
        <v>224</v>
      </c>
      <c r="B225">
        <f>VLOOKUP(A225,[1]Hoja1!$A$2:$P$391,14,FALSE)</f>
        <v>50</v>
      </c>
      <c r="C225">
        <f>VLOOKUP(A225,[1]Hoja1!$A$2:$P$391,15,FALSE)</f>
        <v>26.141688771929825</v>
      </c>
      <c r="D225">
        <f>VLOOKUP(A225,[1]Hoja1!$A$2:$P$391,16,FALSE)</f>
        <v>1307.0844385964913</v>
      </c>
    </row>
    <row r="226" spans="1:4" x14ac:dyDescent="0.2">
      <c r="A226" t="s">
        <v>225</v>
      </c>
      <c r="B226">
        <f>VLOOKUP(A226,[1]Hoja1!$A$2:$P$391,14,FALSE)</f>
        <v>1323</v>
      </c>
      <c r="C226">
        <f>VLOOKUP(A226,[1]Hoja1!$A$2:$P$391,15,FALSE)</f>
        <v>0.55000000000000004</v>
      </c>
      <c r="D226">
        <f>VLOOKUP(A226,[1]Hoja1!$A$2:$P$391,16,FALSE)</f>
        <v>727.65000000000009</v>
      </c>
    </row>
    <row r="227" spans="1:4" x14ac:dyDescent="0.2">
      <c r="A227" t="s">
        <v>226</v>
      </c>
      <c r="B227">
        <f>VLOOKUP(A227,[1]Hoja1!$A$2:$P$391,14,FALSE)</f>
        <v>440.00000000000006</v>
      </c>
      <c r="C227">
        <f>VLOOKUP(A227,[1]Hoja1!$A$2:$P$391,15,FALSE)</f>
        <v>0.82805700000000004</v>
      </c>
      <c r="D227">
        <f>VLOOKUP(A227,[1]Hoja1!$A$2:$P$391,16,FALSE)</f>
        <v>364.34508000000005</v>
      </c>
    </row>
    <row r="228" spans="1:4" x14ac:dyDescent="0.2">
      <c r="A228" t="s">
        <v>227</v>
      </c>
      <c r="B228">
        <f>VLOOKUP(A228,[1]Hoja1!$A$2:$P$391,14,FALSE)</f>
        <v>480</v>
      </c>
      <c r="C228">
        <f>VLOOKUP(A228,[1]Hoja1!$A$2:$P$391,15,FALSE)</f>
        <v>1.2169755632424877</v>
      </c>
      <c r="D228">
        <f>VLOOKUP(A228,[1]Hoja1!$A$2:$P$391,16,FALSE)</f>
        <v>584.14827035639405</v>
      </c>
    </row>
    <row r="229" spans="1:4" x14ac:dyDescent="0.2">
      <c r="A229" t="s">
        <v>228</v>
      </c>
      <c r="B229">
        <f>VLOOKUP(A229,[1]Hoja1!$A$2:$P$391,14,FALSE)</f>
        <v>80</v>
      </c>
      <c r="C229">
        <f>VLOOKUP(A229,[1]Hoja1!$A$2:$P$391,15,FALSE)</f>
        <v>11.209551625</v>
      </c>
      <c r="D229">
        <f>VLOOKUP(A229,[1]Hoja1!$A$2:$P$391,16,FALSE)</f>
        <v>896.76413000000002</v>
      </c>
    </row>
    <row r="230" spans="1:4" x14ac:dyDescent="0.2">
      <c r="A230" t="s">
        <v>229</v>
      </c>
      <c r="B230">
        <f>VLOOKUP(A230,[1]Hoja1!$A$2:$P$391,14,FALSE)</f>
        <v>129</v>
      </c>
      <c r="C230">
        <f>VLOOKUP(A230,[1]Hoja1!$A$2:$P$391,15,FALSE)</f>
        <v>33.668762000000001</v>
      </c>
      <c r="D230">
        <f>VLOOKUP(A230,[1]Hoja1!$A$2:$P$391,16,FALSE)</f>
        <v>4343.2702980000004</v>
      </c>
    </row>
    <row r="231" spans="1:4" x14ac:dyDescent="0.2">
      <c r="A231" t="s">
        <v>230</v>
      </c>
      <c r="B231">
        <f>VLOOKUP(A231,[1]Hoja1!$A$2:$P$391,14,FALSE)</f>
        <v>330</v>
      </c>
      <c r="C231">
        <f>VLOOKUP(A231,[1]Hoja1!$A$2:$P$391,15,FALSE)</f>
        <v>8.0652183548387093</v>
      </c>
      <c r="D231">
        <f>VLOOKUP(A231,[1]Hoja1!$A$2:$P$391,16,FALSE)</f>
        <v>2661.522057096774</v>
      </c>
    </row>
    <row r="232" spans="1:4" x14ac:dyDescent="0.2">
      <c r="A232" t="s">
        <v>231</v>
      </c>
      <c r="B232">
        <f>VLOOKUP(A232,[1]Hoja1!$A$2:$P$391,14,FALSE)</f>
        <v>770.00000000000011</v>
      </c>
      <c r="C232">
        <f>VLOOKUP(A232,[1]Hoja1!$A$2:$P$391,15,FALSE)</f>
        <v>6</v>
      </c>
      <c r="D232">
        <f>VLOOKUP(A232,[1]Hoja1!$A$2:$P$391,16,FALSE)</f>
        <v>4620.0000000000009</v>
      </c>
    </row>
    <row r="233" spans="1:4" x14ac:dyDescent="0.2">
      <c r="A233" t="s">
        <v>232</v>
      </c>
      <c r="B233">
        <f>VLOOKUP(A233,[1]Hoja1!$A$2:$P$391,14,FALSE)</f>
        <v>1</v>
      </c>
      <c r="C233">
        <f>VLOOKUP(A233,[1]Hoja1!$A$2:$P$391,15,FALSE)</f>
        <v>25</v>
      </c>
      <c r="D233">
        <f>VLOOKUP(A233,[1]Hoja1!$A$2:$P$391,16,FALSE)</f>
        <v>25</v>
      </c>
    </row>
    <row r="234" spans="1:4" x14ac:dyDescent="0.2">
      <c r="A234" t="s">
        <v>233</v>
      </c>
      <c r="B234">
        <f>VLOOKUP(A234,[1]Hoja1!$A$2:$P$391,14,FALSE)</f>
        <v>30</v>
      </c>
      <c r="C234">
        <f>VLOOKUP(A234,[1]Hoja1!$A$2:$P$391,15,FALSE)</f>
        <v>120</v>
      </c>
      <c r="D234">
        <f>VLOOKUP(A234,[1]Hoja1!$A$2:$P$391,16,FALSE)</f>
        <v>3600</v>
      </c>
    </row>
    <row r="235" spans="1:4" x14ac:dyDescent="0.2">
      <c r="A235" t="s">
        <v>234</v>
      </c>
      <c r="B235">
        <f>VLOOKUP(A235,[1]Hoja1!$A$2:$P$391,14,FALSE)</f>
        <v>116</v>
      </c>
      <c r="C235">
        <f>VLOOKUP(A235,[1]Hoja1!$A$2:$P$391,15,FALSE)</f>
        <v>1.4081726431394692</v>
      </c>
      <c r="D235">
        <f>VLOOKUP(A235,[1]Hoja1!$A$2:$P$391,16,FALSE)</f>
        <v>163.34802660417841</v>
      </c>
    </row>
    <row r="236" spans="1:4" x14ac:dyDescent="0.2">
      <c r="A236" t="s">
        <v>235</v>
      </c>
      <c r="B236">
        <f>VLOOKUP(A236,[1]Hoja1!$A$2:$P$391,14,FALSE)</f>
        <v>2200</v>
      </c>
      <c r="C236">
        <f>VLOOKUP(A236,[1]Hoja1!$A$2:$P$391,15,FALSE)</f>
        <v>1.2007213491379309</v>
      </c>
      <c r="D236">
        <f>VLOOKUP(A236,[1]Hoja1!$A$2:$P$391,16,FALSE)</f>
        <v>2641.5869681034483</v>
      </c>
    </row>
    <row r="237" spans="1:4" x14ac:dyDescent="0.2">
      <c r="A237" t="s">
        <v>236</v>
      </c>
      <c r="B237">
        <f>VLOOKUP(A237,[1]Hoja1!$A$2:$P$391,14,FALSE)</f>
        <v>10</v>
      </c>
      <c r="C237">
        <f>VLOOKUP(A237,[1]Hoja1!$A$2:$P$391,15,FALSE)</f>
        <v>11.99</v>
      </c>
      <c r="D237">
        <f>VLOOKUP(A237,[1]Hoja1!$A$2:$P$391,16,FALSE)</f>
        <v>119.9</v>
      </c>
    </row>
    <row r="238" spans="1:4" x14ac:dyDescent="0.2">
      <c r="A238" t="s">
        <v>237</v>
      </c>
      <c r="B238">
        <f>VLOOKUP(A238,[1]Hoja1!$A$2:$P$391,14,FALSE)</f>
        <v>13000</v>
      </c>
      <c r="C238">
        <f>VLOOKUP(A238,[1]Hoja1!$A$2:$P$391,15,FALSE)</f>
        <v>0.13</v>
      </c>
      <c r="D238">
        <f>VLOOKUP(A238,[1]Hoja1!$A$2:$P$391,16,FALSE)</f>
        <v>1690</v>
      </c>
    </row>
    <row r="239" spans="1:4" x14ac:dyDescent="0.2">
      <c r="A239" t="s">
        <v>238</v>
      </c>
      <c r="B239">
        <f>VLOOKUP(A239,[1]Hoja1!$A$2:$P$391,14,FALSE)</f>
        <v>100</v>
      </c>
      <c r="C239">
        <f>VLOOKUP(A239,[1]Hoja1!$A$2:$P$391,15,FALSE)</f>
        <v>5.8</v>
      </c>
      <c r="D239">
        <f>VLOOKUP(A239,[1]Hoja1!$A$2:$P$391,16,FALSE)</f>
        <v>580</v>
      </c>
    </row>
    <row r="240" spans="1:4" x14ac:dyDescent="0.2">
      <c r="A240" t="s">
        <v>239</v>
      </c>
      <c r="B240">
        <f>VLOOKUP(A240,[1]Hoja1!$A$2:$P$391,14,FALSE)</f>
        <v>50</v>
      </c>
      <c r="C240">
        <f>VLOOKUP(A240,[1]Hoja1!$A$2:$P$391,15,FALSE)</f>
        <v>5</v>
      </c>
      <c r="D240">
        <f>VLOOKUP(A240,[1]Hoja1!$A$2:$P$391,16,FALSE)</f>
        <v>250</v>
      </c>
    </row>
    <row r="241" spans="1:4" x14ac:dyDescent="0.2">
      <c r="A241" t="s">
        <v>240</v>
      </c>
      <c r="B241">
        <f>VLOOKUP(A241,[1]Hoja1!$A$2:$P$391,14,FALSE)</f>
        <v>30</v>
      </c>
      <c r="C241">
        <f>VLOOKUP(A241,[1]Hoja1!$A$2:$P$391,15,FALSE)</f>
        <v>1.6382686129032258</v>
      </c>
      <c r="D241">
        <f>VLOOKUP(A241,[1]Hoja1!$A$2:$P$391,16,FALSE)</f>
        <v>49.148058387096775</v>
      </c>
    </row>
    <row r="242" spans="1:4" x14ac:dyDescent="0.2">
      <c r="A242" t="s">
        <v>241</v>
      </c>
      <c r="B242">
        <f>VLOOKUP(A242,[1]Hoja1!$A$2:$P$391,14,FALSE)</f>
        <v>318</v>
      </c>
      <c r="C242">
        <f>VLOOKUP(A242,[1]Hoja1!$A$2:$P$391,15,FALSE)</f>
        <v>4.99</v>
      </c>
      <c r="D242">
        <f>VLOOKUP(A242,[1]Hoja1!$A$2:$P$391,16,FALSE)</f>
        <v>1586.8200000000002</v>
      </c>
    </row>
    <row r="243" spans="1:4" x14ac:dyDescent="0.2">
      <c r="A243" t="s">
        <v>242</v>
      </c>
      <c r="B243">
        <f>VLOOKUP(A243,[1]Hoja1!$A$2:$P$391,14,FALSE)</f>
        <v>1100</v>
      </c>
      <c r="C243">
        <f>VLOOKUP(A243,[1]Hoja1!$A$2:$P$391,15,FALSE)</f>
        <v>1.8</v>
      </c>
      <c r="D243">
        <f>VLOOKUP(A243,[1]Hoja1!$A$2:$P$391,16,FALSE)</f>
        <v>1980</v>
      </c>
    </row>
    <row r="244" spans="1:4" x14ac:dyDescent="0.2">
      <c r="A244" t="s">
        <v>243</v>
      </c>
      <c r="B244">
        <f>VLOOKUP(A244,[1]Hoja1!$A$2:$P$391,14,FALSE)</f>
        <v>4.4000000000000004</v>
      </c>
      <c r="C244">
        <f>VLOOKUP(A244,[1]Hoja1!$A$2:$P$391,15,FALSE)</f>
        <v>44</v>
      </c>
      <c r="D244">
        <f>VLOOKUP(A244,[1]Hoja1!$A$2:$P$391,16,FALSE)</f>
        <v>193.60000000000002</v>
      </c>
    </row>
    <row r="245" spans="1:4" x14ac:dyDescent="0.2">
      <c r="A245" t="s">
        <v>244</v>
      </c>
      <c r="B245">
        <f>VLOOKUP(A245,[1]Hoja1!$A$2:$P$391,14,FALSE)</f>
        <v>10700</v>
      </c>
      <c r="C245">
        <f>VLOOKUP(A245,[1]Hoja1!$A$2:$P$391,15,FALSE)</f>
        <v>3.94</v>
      </c>
      <c r="D245">
        <f>VLOOKUP(A245,[1]Hoja1!$A$2:$P$391,16,FALSE)</f>
        <v>42158</v>
      </c>
    </row>
    <row r="246" spans="1:4" x14ac:dyDescent="0.2">
      <c r="A246" t="s">
        <v>245</v>
      </c>
      <c r="B246">
        <f>VLOOKUP(A246,[1]Hoja1!$A$2:$P$391,14,FALSE)</f>
        <v>1540.0000000000002</v>
      </c>
      <c r="C246">
        <f>VLOOKUP(A246,[1]Hoja1!$A$2:$P$391,15,FALSE)</f>
        <v>0.30100199999999999</v>
      </c>
      <c r="D246">
        <f>VLOOKUP(A246,[1]Hoja1!$A$2:$P$391,16,FALSE)</f>
        <v>463.54308000000003</v>
      </c>
    </row>
    <row r="247" spans="1:4" x14ac:dyDescent="0.2">
      <c r="A247" t="s">
        <v>246</v>
      </c>
      <c r="B247">
        <f>VLOOKUP(A247,[1]Hoja1!$A$2:$P$391,14,FALSE)</f>
        <v>4800</v>
      </c>
      <c r="C247">
        <f>VLOOKUP(A247,[1]Hoja1!$A$2:$P$391,15,FALSE)</f>
        <v>0.61004727183638685</v>
      </c>
      <c r="D247">
        <f>VLOOKUP(A247,[1]Hoja1!$A$2:$P$391,16,FALSE)</f>
        <v>2928.2269048146568</v>
      </c>
    </row>
    <row r="248" spans="1:4" x14ac:dyDescent="0.2">
      <c r="A248" t="s">
        <v>247</v>
      </c>
      <c r="B248">
        <f>VLOOKUP(A248,[1]Hoja1!$A$2:$P$391,14,FALSE)</f>
        <v>220.00000000000003</v>
      </c>
      <c r="C248">
        <f>VLOOKUP(A248,[1]Hoja1!$A$2:$P$391,15,FALSE)</f>
        <v>10.8</v>
      </c>
      <c r="D248">
        <f>VLOOKUP(A248,[1]Hoja1!$A$2:$P$391,16,FALSE)</f>
        <v>2376.0000000000005</v>
      </c>
    </row>
    <row r="249" spans="1:4" x14ac:dyDescent="0.2">
      <c r="A249" t="s">
        <v>248</v>
      </c>
      <c r="B249">
        <f>VLOOKUP(A249,[1]Hoja1!$A$2:$P$391,14,FALSE)</f>
        <v>220.00000000000003</v>
      </c>
      <c r="C249">
        <f>VLOOKUP(A249,[1]Hoja1!$A$2:$P$391,15,FALSE)</f>
        <v>0.39</v>
      </c>
      <c r="D249">
        <f>VLOOKUP(A249,[1]Hoja1!$A$2:$P$391,16,FALSE)</f>
        <v>85.800000000000011</v>
      </c>
    </row>
    <row r="250" spans="1:4" x14ac:dyDescent="0.2">
      <c r="A250" t="s">
        <v>249</v>
      </c>
      <c r="B250">
        <f>VLOOKUP(A250,[1]Hoja1!$A$2:$P$391,14,FALSE)</f>
        <v>77</v>
      </c>
      <c r="C250">
        <f>VLOOKUP(A250,[1]Hoja1!$A$2:$P$391,15,FALSE)</f>
        <v>64.989999999999995</v>
      </c>
      <c r="D250">
        <f>VLOOKUP(A250,[1]Hoja1!$A$2:$P$391,16,FALSE)</f>
        <v>5004.2299999999996</v>
      </c>
    </row>
    <row r="251" spans="1:4" x14ac:dyDescent="0.2">
      <c r="A251" t="s">
        <v>250</v>
      </c>
      <c r="B251">
        <f>VLOOKUP(A251,[1]Hoja1!$A$2:$P$391,14,FALSE)</f>
        <v>2033</v>
      </c>
      <c r="C251">
        <f>VLOOKUP(A251,[1]Hoja1!$A$2:$P$391,15,FALSE)</f>
        <v>8</v>
      </c>
      <c r="D251">
        <f>VLOOKUP(A251,[1]Hoja1!$A$2:$P$391,16,FALSE)</f>
        <v>16264</v>
      </c>
    </row>
    <row r="252" spans="1:4" x14ac:dyDescent="0.2">
      <c r="A252" t="s">
        <v>251</v>
      </c>
      <c r="B252">
        <f>VLOOKUP(A252,[1]Hoja1!$A$2:$P$391,14,FALSE)</f>
        <v>30</v>
      </c>
      <c r="C252">
        <f>VLOOKUP(A252,[1]Hoja1!$A$2:$P$391,15,FALSE)</f>
        <v>99.06</v>
      </c>
      <c r="D252">
        <f>VLOOKUP(A252,[1]Hoja1!$A$2:$P$391,16,FALSE)</f>
        <v>2971.8</v>
      </c>
    </row>
    <row r="253" spans="1:4" x14ac:dyDescent="0.2">
      <c r="A253" t="s">
        <v>252</v>
      </c>
      <c r="B253">
        <f>VLOOKUP(A253,[1]Hoja1!$A$2:$P$391,14,FALSE)</f>
        <v>735</v>
      </c>
      <c r="C253">
        <f>VLOOKUP(A253,[1]Hoja1!$A$2:$P$391,15,FALSE)</f>
        <v>2.68</v>
      </c>
      <c r="D253">
        <f>VLOOKUP(A253,[1]Hoja1!$A$2:$P$391,16,FALSE)</f>
        <v>1969.8000000000002</v>
      </c>
    </row>
    <row r="254" spans="1:4" x14ac:dyDescent="0.2">
      <c r="A254" t="s">
        <v>253</v>
      </c>
      <c r="B254">
        <f>VLOOKUP(A254,[1]Hoja1!$A$2:$P$391,14,FALSE)</f>
        <v>5400</v>
      </c>
      <c r="C254">
        <f>VLOOKUP(A254,[1]Hoja1!$A$2:$P$391,15,FALSE)</f>
        <v>3.1</v>
      </c>
      <c r="D254">
        <f>VLOOKUP(A254,[1]Hoja1!$A$2:$P$391,16,FALSE)</f>
        <v>16740</v>
      </c>
    </row>
    <row r="255" spans="1:4" x14ac:dyDescent="0.2">
      <c r="A255" t="s">
        <v>254</v>
      </c>
      <c r="B255">
        <f>VLOOKUP(A255,[1]Hoja1!$A$2:$P$391,14,FALSE)</f>
        <v>7200</v>
      </c>
      <c r="C255">
        <f>VLOOKUP(A255,[1]Hoja1!$A$2:$P$391,15,FALSE)</f>
        <v>0.4999387174429224</v>
      </c>
      <c r="D255">
        <f>VLOOKUP(A255,[1]Hoja1!$A$2:$P$391,16,FALSE)</f>
        <v>3599.5587655890413</v>
      </c>
    </row>
    <row r="256" spans="1:4" x14ac:dyDescent="0.2">
      <c r="A256" t="s">
        <v>255</v>
      </c>
      <c r="B256">
        <f>VLOOKUP(A256,[1]Hoja1!$A$2:$P$391,14,FALSE)</f>
        <v>23.1</v>
      </c>
      <c r="C256">
        <f>VLOOKUP(A256,[1]Hoja1!$A$2:$P$391,15,FALSE)</f>
        <v>4.5</v>
      </c>
      <c r="D256">
        <f>VLOOKUP(A256,[1]Hoja1!$A$2:$P$391,16,FALSE)</f>
        <v>103.95</v>
      </c>
    </row>
    <row r="257" spans="1:4" x14ac:dyDescent="0.2">
      <c r="A257" t="s">
        <v>256</v>
      </c>
      <c r="B257">
        <f>VLOOKUP(A257,[1]Hoja1!$A$2:$P$391,14,FALSE)</f>
        <v>550</v>
      </c>
      <c r="C257">
        <f>VLOOKUP(A257,[1]Hoja1!$A$2:$P$391,15,FALSE)</f>
        <v>18.218232</v>
      </c>
      <c r="D257">
        <f>VLOOKUP(A257,[1]Hoja1!$A$2:$P$391,16,FALSE)</f>
        <v>10020.027599999999</v>
      </c>
    </row>
    <row r="258" spans="1:4" x14ac:dyDescent="0.2">
      <c r="A258" t="s">
        <v>257</v>
      </c>
      <c r="B258">
        <f>VLOOKUP(A258,[1]Hoja1!$A$2:$P$391,14,FALSE)</f>
        <v>785</v>
      </c>
      <c r="C258">
        <f>VLOOKUP(A258,[1]Hoja1!$A$2:$P$391,15,FALSE)</f>
        <v>0.4</v>
      </c>
      <c r="D258">
        <f>VLOOKUP(A258,[1]Hoja1!$A$2:$P$391,16,FALSE)</f>
        <v>314</v>
      </c>
    </row>
    <row r="259" spans="1:4" x14ac:dyDescent="0.2">
      <c r="A259" t="s">
        <v>258</v>
      </c>
      <c r="B259">
        <f>VLOOKUP(A259,[1]Hoja1!$A$2:$P$391,14,FALSE)</f>
        <v>4700</v>
      </c>
      <c r="C259">
        <f>VLOOKUP(A259,[1]Hoja1!$A$2:$P$391,15,FALSE)</f>
        <v>0.37279314058485258</v>
      </c>
      <c r="D259">
        <f>VLOOKUP(A259,[1]Hoja1!$A$2:$P$391,16,FALSE)</f>
        <v>1752.1277607488071</v>
      </c>
    </row>
    <row r="260" spans="1:4" x14ac:dyDescent="0.2">
      <c r="A260" t="s">
        <v>259</v>
      </c>
      <c r="B260">
        <f>VLOOKUP(A260,[1]Hoja1!$A$2:$P$391,14,FALSE)</f>
        <v>6200</v>
      </c>
      <c r="C260">
        <f>VLOOKUP(A260,[1]Hoja1!$A$2:$P$391,15,FALSE)</f>
        <v>8.2200000000000006</v>
      </c>
      <c r="D260">
        <f>VLOOKUP(A260,[1]Hoja1!$A$2:$P$391,16,FALSE)</f>
        <v>50964.000000000007</v>
      </c>
    </row>
    <row r="261" spans="1:4" x14ac:dyDescent="0.2">
      <c r="A261" t="s">
        <v>260</v>
      </c>
      <c r="B261">
        <f>VLOOKUP(A261,[1]Hoja1!$A$2:$P$391,14,FALSE)</f>
        <v>220.00000000000003</v>
      </c>
      <c r="C261">
        <f>VLOOKUP(A261,[1]Hoja1!$A$2:$P$391,15,FALSE)</f>
        <v>0.41186</v>
      </c>
      <c r="D261">
        <f>VLOOKUP(A261,[1]Hoja1!$A$2:$P$391,16,FALSE)</f>
        <v>90.609200000000016</v>
      </c>
    </row>
    <row r="262" spans="1:4" x14ac:dyDescent="0.2">
      <c r="A262" t="s">
        <v>261</v>
      </c>
      <c r="B262">
        <f>VLOOKUP(A262,[1]Hoja1!$A$2:$P$391,14,FALSE)</f>
        <v>55.000000000000007</v>
      </c>
      <c r="C262">
        <f>VLOOKUP(A262,[1]Hoja1!$A$2:$P$391,15,FALSE)</f>
        <v>4.2759289999999996</v>
      </c>
      <c r="D262">
        <f>VLOOKUP(A262,[1]Hoja1!$A$2:$P$391,16,FALSE)</f>
        <v>235.176095</v>
      </c>
    </row>
    <row r="263" spans="1:4" x14ac:dyDescent="0.2">
      <c r="A263" t="s">
        <v>262</v>
      </c>
      <c r="B263">
        <f>VLOOKUP(A263,[1]Hoja1!$A$2:$P$391,14,FALSE)</f>
        <v>1910</v>
      </c>
      <c r="C263">
        <f>VLOOKUP(A263,[1]Hoja1!$A$2:$P$391,15,FALSE)</f>
        <v>0.36</v>
      </c>
      <c r="D263">
        <f>VLOOKUP(A263,[1]Hoja1!$A$2:$P$391,16,FALSE)</f>
        <v>687.6</v>
      </c>
    </row>
    <row r="264" spans="1:4" x14ac:dyDescent="0.2">
      <c r="A264" t="s">
        <v>263</v>
      </c>
      <c r="B264">
        <f>VLOOKUP(A264,[1]Hoja1!$A$2:$P$391,14,FALSE)</f>
        <v>0</v>
      </c>
      <c r="C264">
        <f>VLOOKUP(A264,[1]Hoja1!$A$2:$P$391,15,FALSE)</f>
        <v>0</v>
      </c>
      <c r="D264">
        <f>VLOOKUP(A264,[1]Hoja1!$A$2:$P$391,16,FALSE)</f>
        <v>0</v>
      </c>
    </row>
    <row r="265" spans="1:4" x14ac:dyDescent="0.2">
      <c r="A265" t="s">
        <v>264</v>
      </c>
      <c r="B265">
        <f>VLOOKUP(A265,[1]Hoja1!$A$2:$P$391,14,FALSE)</f>
        <v>660</v>
      </c>
      <c r="C265">
        <f>VLOOKUP(A265,[1]Hoja1!$A$2:$P$391,15,FALSE)</f>
        <v>7</v>
      </c>
      <c r="D265">
        <f>VLOOKUP(A265,[1]Hoja1!$A$2:$P$391,16,FALSE)</f>
        <v>4620</v>
      </c>
    </row>
    <row r="266" spans="1:4" x14ac:dyDescent="0.2">
      <c r="A266" t="s">
        <v>265</v>
      </c>
      <c r="B266">
        <f>VLOOKUP(A266,[1]Hoja1!$A$2:$P$391,14,FALSE)</f>
        <v>511</v>
      </c>
      <c r="C266">
        <f>VLOOKUP(A266,[1]Hoja1!$A$2:$P$391,15,FALSE)</f>
        <v>0.38134827188465498</v>
      </c>
      <c r="D266">
        <f>VLOOKUP(A266,[1]Hoja1!$A$2:$P$391,16,FALSE)</f>
        <v>194.86896693305869</v>
      </c>
    </row>
    <row r="267" spans="1:4" x14ac:dyDescent="0.2">
      <c r="A267" t="s">
        <v>266</v>
      </c>
      <c r="B267">
        <f>VLOOKUP(A267,[1]Hoja1!$A$2:$P$391,14,FALSE)</f>
        <v>100</v>
      </c>
      <c r="C267">
        <f>VLOOKUP(A267,[1]Hoja1!$A$2:$P$391,15,FALSE)</f>
        <v>3</v>
      </c>
      <c r="D267">
        <f>VLOOKUP(A267,[1]Hoja1!$A$2:$P$391,16,FALSE)</f>
        <v>300</v>
      </c>
    </row>
    <row r="268" spans="1:4" x14ac:dyDescent="0.2">
      <c r="A268" t="s">
        <v>267</v>
      </c>
      <c r="B268">
        <f>VLOOKUP(A268,[1]Hoja1!$A$2:$P$391,14,FALSE)</f>
        <v>660</v>
      </c>
      <c r="C268">
        <f>VLOOKUP(A268,[1]Hoja1!$A$2:$P$391,15,FALSE)</f>
        <v>3.5</v>
      </c>
      <c r="D268">
        <f>VLOOKUP(A268,[1]Hoja1!$A$2:$P$391,16,FALSE)</f>
        <v>2310</v>
      </c>
    </row>
    <row r="269" spans="1:4" x14ac:dyDescent="0.2">
      <c r="A269" t="s">
        <v>268</v>
      </c>
      <c r="B269">
        <f>VLOOKUP(A269,[1]Hoja1!$A$2:$P$391,14,FALSE)</f>
        <v>65</v>
      </c>
      <c r="C269">
        <f>VLOOKUP(A269,[1]Hoja1!$A$2:$P$391,15,FALSE)</f>
        <v>1.2010931762711865</v>
      </c>
      <c r="D269">
        <f>VLOOKUP(A269,[1]Hoja1!$A$2:$P$391,16,FALSE)</f>
        <v>78.071056457627122</v>
      </c>
    </row>
    <row r="270" spans="1:4" x14ac:dyDescent="0.2">
      <c r="A270" t="s">
        <v>269</v>
      </c>
      <c r="B270">
        <f>VLOOKUP(A270,[1]Hoja1!$A$2:$P$391,14,FALSE)</f>
        <v>1</v>
      </c>
      <c r="C270">
        <f>VLOOKUP(A270,[1]Hoja1!$A$2:$P$391,15,FALSE)</f>
        <v>0.20602000000000001</v>
      </c>
      <c r="D270">
        <f>VLOOKUP(A270,[1]Hoja1!$A$2:$P$391,16,FALSE)</f>
        <v>0.20602000000000001</v>
      </c>
    </row>
    <row r="271" spans="1:4" x14ac:dyDescent="0.2">
      <c r="A271" t="s">
        <v>270</v>
      </c>
      <c r="B271">
        <f>VLOOKUP(A271,[1]Hoja1!$A$2:$P$391,14,FALSE)</f>
        <v>100</v>
      </c>
      <c r="C271">
        <f>VLOOKUP(A271,[1]Hoja1!$A$2:$P$391,15,FALSE)</f>
        <v>1.961587</v>
      </c>
      <c r="D271">
        <f>VLOOKUP(A271,[1]Hoja1!$A$2:$P$391,16,FALSE)</f>
        <v>196.15870000000001</v>
      </c>
    </row>
    <row r="272" spans="1:4" x14ac:dyDescent="0.2">
      <c r="A272" t="s">
        <v>271</v>
      </c>
      <c r="B272">
        <f>VLOOKUP(A272,[1]Hoja1!$A$2:$P$391,14,FALSE)</f>
        <v>0</v>
      </c>
      <c r="C272">
        <f>VLOOKUP(A272,[1]Hoja1!$A$2:$P$391,15,FALSE)</f>
        <v>0</v>
      </c>
      <c r="D272">
        <f>VLOOKUP(A272,[1]Hoja1!$A$2:$P$391,16,FALSE)</f>
        <v>0</v>
      </c>
    </row>
    <row r="273" spans="1:4" x14ac:dyDescent="0.2">
      <c r="A273" t="s">
        <v>272</v>
      </c>
      <c r="B273">
        <f>VLOOKUP(A273,[1]Hoja1!$A$2:$P$391,14,FALSE)</f>
        <v>1</v>
      </c>
      <c r="C273">
        <f>VLOOKUP(A273,[1]Hoja1!$A$2:$P$391,15,FALSE)</f>
        <v>4.5</v>
      </c>
      <c r="D273">
        <f>VLOOKUP(A273,[1]Hoja1!$A$2:$P$391,16,FALSE)</f>
        <v>4.5</v>
      </c>
    </row>
    <row r="274" spans="1:4" x14ac:dyDescent="0.2">
      <c r="A274" t="s">
        <v>273</v>
      </c>
      <c r="B274">
        <f>VLOOKUP(A274,[1]Hoja1!$A$2:$P$391,14,FALSE)</f>
        <v>44</v>
      </c>
      <c r="C274">
        <f>VLOOKUP(A274,[1]Hoja1!$A$2:$P$391,15,FALSE)</f>
        <v>9.35</v>
      </c>
      <c r="D274">
        <f>VLOOKUP(A274,[1]Hoja1!$A$2:$P$391,16,FALSE)</f>
        <v>411.4</v>
      </c>
    </row>
    <row r="275" spans="1:4" x14ac:dyDescent="0.2">
      <c r="A275" t="s">
        <v>274</v>
      </c>
      <c r="B275">
        <f>VLOOKUP(A275,[1]Hoja1!$A$2:$P$391,14,FALSE)</f>
        <v>20</v>
      </c>
      <c r="C275">
        <f>VLOOKUP(A275,[1]Hoja1!$A$2:$P$391,15,FALSE)</f>
        <v>36.216951489361705</v>
      </c>
      <c r="D275">
        <f>VLOOKUP(A275,[1]Hoja1!$A$2:$P$391,16,FALSE)</f>
        <v>724.33902978723404</v>
      </c>
    </row>
    <row r="276" spans="1:4" x14ac:dyDescent="0.2">
      <c r="A276" t="s">
        <v>275</v>
      </c>
      <c r="B276">
        <f>VLOOKUP(A276,[1]Hoja1!$A$2:$P$391,14,FALSE)</f>
        <v>0</v>
      </c>
      <c r="C276">
        <f>VLOOKUP(A276,[1]Hoja1!$A$2:$P$391,15,FALSE)</f>
        <v>0</v>
      </c>
      <c r="D276">
        <f>VLOOKUP(A276,[1]Hoja1!$A$2:$P$391,16,FALSE)</f>
        <v>0</v>
      </c>
    </row>
    <row r="277" spans="1:4" x14ac:dyDescent="0.2">
      <c r="A277" t="s">
        <v>276</v>
      </c>
      <c r="B277">
        <f>VLOOKUP(A277,[1]Hoja1!$A$2:$P$391,14,FALSE)</f>
        <v>120</v>
      </c>
      <c r="C277">
        <f>VLOOKUP(A277,[1]Hoja1!$A$2:$P$391,15,FALSE)</f>
        <v>16.681818181818183</v>
      </c>
      <c r="D277">
        <f>VLOOKUP(A277,[1]Hoja1!$A$2:$P$391,16,FALSE)</f>
        <v>2001.818181818182</v>
      </c>
    </row>
    <row r="278" spans="1:4" x14ac:dyDescent="0.2">
      <c r="A278" t="s">
        <v>277</v>
      </c>
      <c r="B278">
        <f>VLOOKUP(A278,[1]Hoja1!$A$2:$P$391,14,FALSE)</f>
        <v>143</v>
      </c>
      <c r="C278">
        <f>VLOOKUP(A278,[1]Hoja1!$A$2:$P$391,15,FALSE)</f>
        <v>71.700263239999998</v>
      </c>
      <c r="D278">
        <f>VLOOKUP(A278,[1]Hoja1!$A$2:$P$391,16,FALSE)</f>
        <v>10253.13764332</v>
      </c>
    </row>
    <row r="279" spans="1:4" x14ac:dyDescent="0.2">
      <c r="A279" t="s">
        <v>278</v>
      </c>
      <c r="B279">
        <f>VLOOKUP(A279,[1]Hoja1!$A$2:$P$391,14,FALSE)</f>
        <v>1100</v>
      </c>
      <c r="C279">
        <f>VLOOKUP(A279,[1]Hoja1!$A$2:$P$391,15,FALSE)</f>
        <v>2.5</v>
      </c>
      <c r="D279">
        <f>VLOOKUP(A279,[1]Hoja1!$A$2:$P$391,16,FALSE)</f>
        <v>2750</v>
      </c>
    </row>
    <row r="280" spans="1:4" x14ac:dyDescent="0.2">
      <c r="A280" t="s">
        <v>279</v>
      </c>
      <c r="B280">
        <f>VLOOKUP(A280,[1]Hoja1!$A$2:$P$391,14,FALSE)</f>
        <v>5000</v>
      </c>
      <c r="C280">
        <f>VLOOKUP(A280,[1]Hoja1!$A$2:$P$391,15,FALSE)</f>
        <v>0.26328635850324894</v>
      </c>
      <c r="D280">
        <f>VLOOKUP(A280,[1]Hoja1!$A$2:$P$391,16,FALSE)</f>
        <v>1316.4317925162447</v>
      </c>
    </row>
    <row r="281" spans="1:4" x14ac:dyDescent="0.2">
      <c r="A281" t="s">
        <v>280</v>
      </c>
      <c r="B281">
        <f>VLOOKUP(A281,[1]Hoja1!$A$2:$P$391,14,FALSE)</f>
        <v>286</v>
      </c>
      <c r="C281">
        <f>VLOOKUP(A281,[1]Hoja1!$A$2:$P$391,15,FALSE)</f>
        <v>14.797578444444444</v>
      </c>
      <c r="D281">
        <f>VLOOKUP(A281,[1]Hoja1!$A$2:$P$391,16,FALSE)</f>
        <v>4232.107435111111</v>
      </c>
    </row>
    <row r="282" spans="1:4" x14ac:dyDescent="0.2">
      <c r="A282" t="s">
        <v>281</v>
      </c>
      <c r="B282">
        <f>VLOOKUP(A282,[1]Hoja1!$A$2:$P$391,14,FALSE)</f>
        <v>159</v>
      </c>
      <c r="C282">
        <f>VLOOKUP(A282,[1]Hoja1!$A$2:$P$391,15,FALSE)</f>
        <v>5.2298924987012985</v>
      </c>
      <c r="D282">
        <f>VLOOKUP(A282,[1]Hoja1!$A$2:$P$391,16,FALSE)</f>
        <v>831.55290729350645</v>
      </c>
    </row>
    <row r="283" spans="1:4" x14ac:dyDescent="0.2">
      <c r="A283" t="s">
        <v>282</v>
      </c>
      <c r="B283">
        <f>VLOOKUP(A283,[1]Hoja1!$A$2:$P$391,14,FALSE)</f>
        <v>500</v>
      </c>
      <c r="C283">
        <f>VLOOKUP(A283,[1]Hoja1!$A$2:$P$391,15,FALSE)</f>
        <v>0.1344337811900192</v>
      </c>
      <c r="D283">
        <f>VLOOKUP(A283,[1]Hoja1!$A$2:$P$391,16,FALSE)</f>
        <v>67.216890595009602</v>
      </c>
    </row>
    <row r="284" spans="1:4" x14ac:dyDescent="0.2">
      <c r="A284" t="s">
        <v>283</v>
      </c>
      <c r="B284">
        <f>VLOOKUP(A284,[1]Hoja1!$A$2:$P$391,14,FALSE)</f>
        <v>5</v>
      </c>
      <c r="C284">
        <f>VLOOKUP(A284,[1]Hoja1!$A$2:$P$391,15,FALSE)</f>
        <v>6.39</v>
      </c>
      <c r="D284">
        <f>VLOOKUP(A284,[1]Hoja1!$A$2:$P$391,16,FALSE)</f>
        <v>31.95</v>
      </c>
    </row>
    <row r="285" spans="1:4" x14ac:dyDescent="0.2">
      <c r="A285" t="s">
        <v>284</v>
      </c>
      <c r="B285">
        <f>VLOOKUP(A285,[1]Hoja1!$A$2:$P$391,14,FALSE)</f>
        <v>271</v>
      </c>
      <c r="C285">
        <f>VLOOKUP(A285,[1]Hoja1!$A$2:$P$391,15,FALSE)</f>
        <v>1.2145306838565022</v>
      </c>
      <c r="D285">
        <f>VLOOKUP(A285,[1]Hoja1!$A$2:$P$391,16,FALSE)</f>
        <v>329.13781532511211</v>
      </c>
    </row>
    <row r="286" spans="1:4" x14ac:dyDescent="0.2">
      <c r="A286" t="s">
        <v>285</v>
      </c>
      <c r="B286">
        <f>VLOOKUP(A286,[1]Hoja1!$A$2:$P$391,14,FALSE)</f>
        <v>1</v>
      </c>
      <c r="C286">
        <f>VLOOKUP(A286,[1]Hoja1!$A$2:$P$391,15,FALSE)</f>
        <v>3</v>
      </c>
      <c r="D286">
        <f>VLOOKUP(A286,[1]Hoja1!$A$2:$P$391,16,FALSE)</f>
        <v>3</v>
      </c>
    </row>
    <row r="287" spans="1:4" x14ac:dyDescent="0.2">
      <c r="A287" t="s">
        <v>286</v>
      </c>
      <c r="B287">
        <f>VLOOKUP(A287,[1]Hoja1!$A$2:$P$391,14,FALSE)</f>
        <v>4400</v>
      </c>
      <c r="C287">
        <f>VLOOKUP(A287,[1]Hoja1!$A$2:$P$391,15,FALSE)</f>
        <v>0.29094519773635152</v>
      </c>
      <c r="D287">
        <f>VLOOKUP(A287,[1]Hoja1!$A$2:$P$391,16,FALSE)</f>
        <v>1280.1588700399468</v>
      </c>
    </row>
    <row r="288" spans="1:4" x14ac:dyDescent="0.2">
      <c r="A288" t="s">
        <v>287</v>
      </c>
      <c r="B288">
        <f>VLOOKUP(A288,[1]Hoja1!$A$2:$P$391,14,FALSE)</f>
        <v>110.00000000000001</v>
      </c>
      <c r="C288">
        <f>VLOOKUP(A288,[1]Hoja1!$A$2:$P$391,15,FALSE)</f>
        <v>10.403537764705883</v>
      </c>
      <c r="D288">
        <f>VLOOKUP(A288,[1]Hoja1!$A$2:$P$391,16,FALSE)</f>
        <v>1144.3891541176472</v>
      </c>
    </row>
    <row r="289" spans="1:4" x14ac:dyDescent="0.2">
      <c r="A289" t="s">
        <v>288</v>
      </c>
      <c r="B289">
        <f>VLOOKUP(A289,[1]Hoja1!$A$2:$P$391,14,FALSE)</f>
        <v>10</v>
      </c>
      <c r="C289">
        <f>VLOOKUP(A289,[1]Hoja1!$A$2:$P$391,15,FALSE)</f>
        <v>34</v>
      </c>
      <c r="D289">
        <f>VLOOKUP(A289,[1]Hoja1!$A$2:$P$391,16,FALSE)</f>
        <v>340</v>
      </c>
    </row>
    <row r="290" spans="1:4" x14ac:dyDescent="0.2">
      <c r="A290" t="s">
        <v>289</v>
      </c>
      <c r="B290">
        <f>VLOOKUP(A290,[1]Hoja1!$A$2:$P$391,14,FALSE)</f>
        <v>0</v>
      </c>
      <c r="C290">
        <f>VLOOKUP(A290,[1]Hoja1!$A$2:$P$391,15,FALSE)</f>
        <v>0</v>
      </c>
      <c r="D290">
        <f>VLOOKUP(A290,[1]Hoja1!$A$2:$P$391,16,FALSE)</f>
        <v>0</v>
      </c>
    </row>
    <row r="291" spans="1:4" x14ac:dyDescent="0.2">
      <c r="A291" t="s">
        <v>290</v>
      </c>
      <c r="B291">
        <f>VLOOKUP(A291,[1]Hoja1!$A$2:$P$391,14,FALSE)</f>
        <v>7.7000000000000011</v>
      </c>
      <c r="C291">
        <f>VLOOKUP(A291,[1]Hoja1!$A$2:$P$391,15,FALSE)</f>
        <v>19.7</v>
      </c>
      <c r="D291">
        <f>VLOOKUP(A291,[1]Hoja1!$A$2:$P$391,16,FALSE)</f>
        <v>151.69000000000003</v>
      </c>
    </row>
    <row r="292" spans="1:4" x14ac:dyDescent="0.2">
      <c r="A292" t="s">
        <v>291</v>
      </c>
      <c r="B292">
        <f>VLOOKUP(A292,[1]Hoja1!$A$2:$P$391,14,FALSE)</f>
        <v>286</v>
      </c>
      <c r="C292">
        <f>VLOOKUP(A292,[1]Hoja1!$A$2:$P$391,15,FALSE)</f>
        <v>7.8000000000000007</v>
      </c>
      <c r="D292">
        <f>VLOOKUP(A292,[1]Hoja1!$A$2:$P$391,16,FALSE)</f>
        <v>2230.8000000000002</v>
      </c>
    </row>
    <row r="293" spans="1:4" x14ac:dyDescent="0.2">
      <c r="A293" t="s">
        <v>292</v>
      </c>
      <c r="B293">
        <f>VLOOKUP(A293,[1]Hoja1!$A$2:$P$391,14,FALSE)</f>
        <v>143</v>
      </c>
      <c r="C293">
        <f>VLOOKUP(A293,[1]Hoja1!$A$2:$P$391,15,FALSE)</f>
        <v>49.99</v>
      </c>
      <c r="D293">
        <f>VLOOKUP(A293,[1]Hoja1!$A$2:$P$391,16,FALSE)</f>
        <v>7148.5700000000006</v>
      </c>
    </row>
    <row r="294" spans="1:4" x14ac:dyDescent="0.2">
      <c r="A294" t="s">
        <v>293</v>
      </c>
      <c r="B294">
        <f>VLOOKUP(A294,[1]Hoja1!$A$2:$P$391,14,FALSE)</f>
        <v>6.6000000000000005</v>
      </c>
      <c r="C294">
        <f>VLOOKUP(A294,[1]Hoja1!$A$2:$P$391,15,FALSE)</f>
        <v>19</v>
      </c>
      <c r="D294">
        <f>VLOOKUP(A294,[1]Hoja1!$A$2:$P$391,16,FALSE)</f>
        <v>125.4</v>
      </c>
    </row>
    <row r="295" spans="1:4" x14ac:dyDescent="0.2">
      <c r="A295" t="s">
        <v>294</v>
      </c>
      <c r="B295">
        <f>VLOOKUP(A295,[1]Hoja1!$A$2:$P$391,14,FALSE)</f>
        <v>44</v>
      </c>
      <c r="C295">
        <f>VLOOKUP(A295,[1]Hoja1!$A$2:$P$391,15,FALSE)</f>
        <v>6.5064713033707866</v>
      </c>
      <c r="D295">
        <f>VLOOKUP(A295,[1]Hoja1!$A$2:$P$391,16,FALSE)</f>
        <v>286.28473734831459</v>
      </c>
    </row>
    <row r="296" spans="1:4" x14ac:dyDescent="0.2">
      <c r="A296" t="s">
        <v>295</v>
      </c>
      <c r="B296">
        <f>VLOOKUP(A296,[1]Hoja1!$A$2:$P$391,14,FALSE)</f>
        <v>634</v>
      </c>
      <c r="C296">
        <f>VLOOKUP(A296,[1]Hoja1!$A$2:$P$391,15,FALSE)</f>
        <v>14.999524092831962</v>
      </c>
      <c r="D296">
        <f>VLOOKUP(A296,[1]Hoja1!$A$2:$P$391,16,FALSE)</f>
        <v>9509.6982748554638</v>
      </c>
    </row>
    <row r="297" spans="1:4" x14ac:dyDescent="0.2">
      <c r="A297" t="s">
        <v>296</v>
      </c>
      <c r="B297">
        <f>VLOOKUP(A297,[1]Hoja1!$A$2:$P$391,14,FALSE)</f>
        <v>40</v>
      </c>
      <c r="C297">
        <f>VLOOKUP(A297,[1]Hoja1!$A$2:$P$391,15,FALSE)</f>
        <v>20.7</v>
      </c>
      <c r="D297">
        <f>VLOOKUP(A297,[1]Hoja1!$A$2:$P$391,16,FALSE)</f>
        <v>828</v>
      </c>
    </row>
    <row r="298" spans="1:4" x14ac:dyDescent="0.2">
      <c r="A298" t="s">
        <v>297</v>
      </c>
      <c r="B298">
        <f>VLOOKUP(A298,[1]Hoja1!$A$2:$P$391,14,FALSE)</f>
        <v>132</v>
      </c>
      <c r="C298">
        <f>VLOOKUP(A298,[1]Hoja1!$A$2:$P$391,15,FALSE)</f>
        <v>21</v>
      </c>
      <c r="D298">
        <f>VLOOKUP(A298,[1]Hoja1!$A$2:$P$391,16,FALSE)</f>
        <v>2772</v>
      </c>
    </row>
    <row r="299" spans="1:4" x14ac:dyDescent="0.2">
      <c r="A299" t="s">
        <v>298</v>
      </c>
      <c r="B299">
        <f>VLOOKUP(A299,[1]Hoja1!$A$2:$P$391,14,FALSE)</f>
        <v>132</v>
      </c>
      <c r="C299">
        <f>VLOOKUP(A299,[1]Hoja1!$A$2:$P$391,15,FALSE)</f>
        <v>19.600000000000001</v>
      </c>
      <c r="D299">
        <f>VLOOKUP(A299,[1]Hoja1!$A$2:$P$391,16,FALSE)</f>
        <v>2587.2000000000003</v>
      </c>
    </row>
    <row r="300" spans="1:4" x14ac:dyDescent="0.2">
      <c r="A300" t="s">
        <v>299</v>
      </c>
      <c r="B300">
        <f>VLOOKUP(A300,[1]Hoja1!$A$2:$P$391,14,FALSE)</f>
        <v>0</v>
      </c>
      <c r="C300">
        <f>VLOOKUP(A300,[1]Hoja1!$A$2:$P$391,15,FALSE)</f>
        <v>0</v>
      </c>
      <c r="D300">
        <f>VLOOKUP(A300,[1]Hoja1!$A$2:$P$391,16,FALSE)</f>
        <v>0</v>
      </c>
    </row>
    <row r="301" spans="1:4" x14ac:dyDescent="0.2">
      <c r="A301" t="s">
        <v>300</v>
      </c>
      <c r="B301">
        <f>VLOOKUP(A301,[1]Hoja1!$A$2:$P$391,14,FALSE)</f>
        <v>110.00000000000001</v>
      </c>
      <c r="C301">
        <f>VLOOKUP(A301,[1]Hoja1!$A$2:$P$391,15,FALSE)</f>
        <v>60</v>
      </c>
      <c r="D301">
        <f>VLOOKUP(A301,[1]Hoja1!$A$2:$P$391,16,FALSE)</f>
        <v>6600.0000000000009</v>
      </c>
    </row>
    <row r="302" spans="1:4" x14ac:dyDescent="0.2">
      <c r="A302" t="s">
        <v>301</v>
      </c>
      <c r="B302">
        <f>VLOOKUP(A302,[1]Hoja1!$A$2:$P$391,14,FALSE)</f>
        <v>66</v>
      </c>
      <c r="C302">
        <f>VLOOKUP(A302,[1]Hoja1!$A$2:$P$391,15,FALSE)</f>
        <v>24.9</v>
      </c>
      <c r="D302">
        <f>VLOOKUP(A302,[1]Hoja1!$A$2:$P$391,16,FALSE)</f>
        <v>1643.3999999999999</v>
      </c>
    </row>
    <row r="303" spans="1:4" x14ac:dyDescent="0.2">
      <c r="A303" t="s">
        <v>302</v>
      </c>
      <c r="B303">
        <f>VLOOKUP(A303,[1]Hoja1!$A$2:$P$391,14,FALSE)</f>
        <v>3080.0000000000005</v>
      </c>
      <c r="C303">
        <f>VLOOKUP(A303,[1]Hoja1!$A$2:$P$391,15,FALSE)</f>
        <v>6.1064334381533101</v>
      </c>
      <c r="D303">
        <f>VLOOKUP(A303,[1]Hoja1!$A$2:$P$391,16,FALSE)</f>
        <v>18807.814989512197</v>
      </c>
    </row>
    <row r="304" spans="1:4" x14ac:dyDescent="0.2">
      <c r="A304" t="s">
        <v>303</v>
      </c>
      <c r="B304">
        <f>VLOOKUP(A304,[1]Hoja1!$A$2:$P$391,14,FALSE)</f>
        <v>40</v>
      </c>
      <c r="C304">
        <f>VLOOKUP(A304,[1]Hoja1!$A$2:$P$391,15,FALSE)</f>
        <v>99.75</v>
      </c>
      <c r="D304">
        <f>VLOOKUP(A304,[1]Hoja1!$A$2:$P$391,16,FALSE)</f>
        <v>3990</v>
      </c>
    </row>
    <row r="305" spans="1:4" x14ac:dyDescent="0.2">
      <c r="A305" t="s">
        <v>304</v>
      </c>
      <c r="B305">
        <f>VLOOKUP(A305,[1]Hoja1!$A$2:$P$391,14,FALSE)</f>
        <v>173.8</v>
      </c>
      <c r="C305">
        <f>VLOOKUP(A305,[1]Hoja1!$A$2:$P$391,15,FALSE)</f>
        <v>53.989901623188409</v>
      </c>
      <c r="D305">
        <f>VLOOKUP(A305,[1]Hoja1!$A$2:$P$391,16,FALSE)</f>
        <v>9383.4449021101464</v>
      </c>
    </row>
    <row r="306" spans="1:4" x14ac:dyDescent="0.2">
      <c r="A306" t="s">
        <v>305</v>
      </c>
      <c r="B306">
        <f>VLOOKUP(A306,[1]Hoja1!$A$2:$P$391,14,FALSE)</f>
        <v>60</v>
      </c>
      <c r="C306">
        <f>VLOOKUP(A306,[1]Hoja1!$A$2:$P$391,15,FALSE)</f>
        <v>178.9</v>
      </c>
      <c r="D306">
        <f>VLOOKUP(A306,[1]Hoja1!$A$2:$P$391,16,FALSE)</f>
        <v>10734</v>
      </c>
    </row>
    <row r="307" spans="1:4" x14ac:dyDescent="0.2">
      <c r="A307" t="s">
        <v>306</v>
      </c>
      <c r="B307">
        <f>VLOOKUP(A307,[1]Hoja1!$A$2:$P$391,14,FALSE)</f>
        <v>2</v>
      </c>
      <c r="C307">
        <f>VLOOKUP(A307,[1]Hoja1!$A$2:$P$391,15,FALSE)</f>
        <v>57.13</v>
      </c>
      <c r="D307">
        <f>VLOOKUP(A307,[1]Hoja1!$A$2:$P$391,16,FALSE)</f>
        <v>114.26</v>
      </c>
    </row>
    <row r="308" spans="1:4" x14ac:dyDescent="0.2">
      <c r="A308" t="s">
        <v>307</v>
      </c>
      <c r="B308">
        <f>VLOOKUP(A308,[1]Hoja1!$A$2:$P$391,14,FALSE)</f>
        <v>85</v>
      </c>
      <c r="C308">
        <f>VLOOKUP(A308,[1]Hoja1!$A$2:$P$391,15,FALSE)</f>
        <v>304.88</v>
      </c>
      <c r="D308">
        <f>VLOOKUP(A308,[1]Hoja1!$A$2:$P$391,16,FALSE)</f>
        <v>25914.799999999999</v>
      </c>
    </row>
    <row r="309" spans="1:4" x14ac:dyDescent="0.2">
      <c r="A309" t="s">
        <v>308</v>
      </c>
      <c r="B309">
        <f>VLOOKUP(A309,[1]Hoja1!$A$2:$P$391,14,FALSE)</f>
        <v>30</v>
      </c>
      <c r="C309">
        <f>VLOOKUP(A309,[1]Hoja1!$A$2:$P$391,15,FALSE)</f>
        <v>450</v>
      </c>
      <c r="D309">
        <f>VLOOKUP(A309,[1]Hoja1!$A$2:$P$391,16,FALSE)</f>
        <v>13500</v>
      </c>
    </row>
    <row r="310" spans="1:4" x14ac:dyDescent="0.2">
      <c r="A310" t="s">
        <v>309</v>
      </c>
      <c r="B310">
        <f>VLOOKUP(A310,[1]Hoja1!$A$2:$P$391,14,FALSE)</f>
        <v>16</v>
      </c>
      <c r="C310">
        <f>VLOOKUP(A310,[1]Hoja1!$A$2:$P$391,15,FALSE)</f>
        <v>130.08066600000001</v>
      </c>
      <c r="D310">
        <f>VLOOKUP(A310,[1]Hoja1!$A$2:$P$391,16,FALSE)</f>
        <v>2081.2906560000001</v>
      </c>
    </row>
    <row r="311" spans="1:4" x14ac:dyDescent="0.2">
      <c r="A311" t="s">
        <v>310</v>
      </c>
      <c r="B311">
        <f>VLOOKUP(A311,[1]Hoja1!$A$2:$P$391,14,FALSE)</f>
        <v>25</v>
      </c>
      <c r="C311">
        <f>VLOOKUP(A311,[1]Hoja1!$A$2:$P$391,15,FALSE)</f>
        <v>156.80000000000001</v>
      </c>
      <c r="D311">
        <f>VLOOKUP(A311,[1]Hoja1!$A$2:$P$391,16,FALSE)</f>
        <v>3920.0000000000005</v>
      </c>
    </row>
    <row r="312" spans="1:4" x14ac:dyDescent="0.2">
      <c r="A312" t="s">
        <v>311</v>
      </c>
      <c r="B312">
        <f>VLOOKUP(A312,[1]Hoja1!$A$2:$P$391,14,FALSE)</f>
        <v>3</v>
      </c>
      <c r="C312">
        <f>VLOOKUP(A312,[1]Hoja1!$A$2:$P$391,15,FALSE)</f>
        <v>234.33</v>
      </c>
      <c r="D312">
        <f>VLOOKUP(A312,[1]Hoja1!$A$2:$P$391,16,FALSE)</f>
        <v>702.99</v>
      </c>
    </row>
    <row r="313" spans="1:4" x14ac:dyDescent="0.2">
      <c r="A313" t="s">
        <v>312</v>
      </c>
      <c r="B313">
        <f>VLOOKUP(A313,[1]Hoja1!$A$2:$P$391,14,FALSE)</f>
        <v>30</v>
      </c>
      <c r="C313">
        <f>VLOOKUP(A313,[1]Hoja1!$A$2:$P$391,15,FALSE)</f>
        <v>140</v>
      </c>
      <c r="D313">
        <f>VLOOKUP(A313,[1]Hoja1!$A$2:$P$391,16,FALSE)</f>
        <v>4200</v>
      </c>
    </row>
    <row r="314" spans="1:4" x14ac:dyDescent="0.2">
      <c r="A314" t="s">
        <v>313</v>
      </c>
      <c r="B314">
        <f>VLOOKUP(A314,[1]Hoja1!$A$2:$P$391,14,FALSE)</f>
        <v>2</v>
      </c>
      <c r="C314">
        <f>VLOOKUP(A314,[1]Hoja1!$A$2:$P$391,15,FALSE)</f>
        <v>6.88</v>
      </c>
      <c r="D314">
        <f>VLOOKUP(A314,[1]Hoja1!$A$2:$P$391,16,FALSE)</f>
        <v>13.76</v>
      </c>
    </row>
    <row r="315" spans="1:4" x14ac:dyDescent="0.2">
      <c r="A315" t="s">
        <v>314</v>
      </c>
      <c r="B315">
        <f>VLOOKUP(A315,[1]Hoja1!$A$2:$P$391,14,FALSE)</f>
        <v>110.00000000000001</v>
      </c>
      <c r="C315">
        <f>VLOOKUP(A315,[1]Hoja1!$A$2:$P$391,15,FALSE)</f>
        <v>4</v>
      </c>
      <c r="D315">
        <f>VLOOKUP(A315,[1]Hoja1!$A$2:$P$391,16,FALSE)</f>
        <v>440.00000000000006</v>
      </c>
    </row>
    <row r="316" spans="1:4" x14ac:dyDescent="0.2">
      <c r="A316" t="s">
        <v>315</v>
      </c>
      <c r="B316">
        <f>VLOOKUP(A316,[1]Hoja1!$A$2:$P$391,14,FALSE)</f>
        <v>2</v>
      </c>
      <c r="C316">
        <f>VLOOKUP(A316,[1]Hoja1!$A$2:$P$391,15,FALSE)</f>
        <v>1.1682349999999999</v>
      </c>
      <c r="D316">
        <f>VLOOKUP(A316,[1]Hoja1!$A$2:$P$391,16,FALSE)</f>
        <v>2.3364699999999998</v>
      </c>
    </row>
    <row r="317" spans="1:4" x14ac:dyDescent="0.2">
      <c r="A317" t="s">
        <v>316</v>
      </c>
      <c r="B317">
        <f>VLOOKUP(A317,[1]Hoja1!$A$2:$P$391,14,FALSE)</f>
        <v>0</v>
      </c>
      <c r="C317">
        <f>VLOOKUP(A317,[1]Hoja1!$A$2:$P$391,15,FALSE)</f>
        <v>64.323333000000005</v>
      </c>
      <c r="D317">
        <f>VLOOKUP(A317,[1]Hoja1!$A$2:$P$391,16,FALSE)</f>
        <v>0</v>
      </c>
    </row>
    <row r="318" spans="1:4" x14ac:dyDescent="0.2">
      <c r="A318" t="s">
        <v>317</v>
      </c>
      <c r="B318">
        <f>VLOOKUP(A318,[1]Hoja1!$A$2:$P$391,14,FALSE)</f>
        <v>2</v>
      </c>
      <c r="C318">
        <f>VLOOKUP(A318,[1]Hoja1!$A$2:$P$391,15,FALSE)</f>
        <v>21.084</v>
      </c>
      <c r="D318">
        <f>VLOOKUP(A318,[1]Hoja1!$A$2:$P$391,16,FALSE)</f>
        <v>42.167999999999999</v>
      </c>
    </row>
    <row r="319" spans="1:4" x14ac:dyDescent="0.2">
      <c r="A319" t="s">
        <v>318</v>
      </c>
      <c r="B319">
        <f>VLOOKUP(A319,[1]Hoja1!$A$2:$P$391,14,FALSE)</f>
        <v>0</v>
      </c>
      <c r="C319">
        <f>VLOOKUP(A319,[1]Hoja1!$A$2:$P$391,15,FALSE)</f>
        <v>0</v>
      </c>
      <c r="D319">
        <f>VLOOKUP(A319,[1]Hoja1!$A$2:$P$391,16,FALSE)</f>
        <v>0</v>
      </c>
    </row>
    <row r="320" spans="1:4" x14ac:dyDescent="0.2">
      <c r="A320" t="s">
        <v>319</v>
      </c>
      <c r="B320">
        <f>VLOOKUP(A320,[1]Hoja1!$A$2:$P$391,14,FALSE)</f>
        <v>0</v>
      </c>
      <c r="C320">
        <f>VLOOKUP(A320,[1]Hoja1!$A$2:$P$391,15,FALSE)</f>
        <v>0</v>
      </c>
      <c r="D320">
        <f>VLOOKUP(A320,[1]Hoja1!$A$2:$P$391,16,FALSE)</f>
        <v>0</v>
      </c>
    </row>
    <row r="321" spans="1:4" x14ac:dyDescent="0.2">
      <c r="A321" t="s">
        <v>320</v>
      </c>
      <c r="B321">
        <f>VLOOKUP(A321,[1]Hoja1!$A$2:$P$391,14,FALSE)</f>
        <v>6.6000000000000005</v>
      </c>
      <c r="C321">
        <f>VLOOKUP(A321,[1]Hoja1!$A$2:$P$391,15,FALSE)</f>
        <v>14.362857</v>
      </c>
      <c r="D321">
        <f>VLOOKUP(A321,[1]Hoja1!$A$2:$P$391,16,FALSE)</f>
        <v>94.794856200000012</v>
      </c>
    </row>
    <row r="322" spans="1:4" x14ac:dyDescent="0.2">
      <c r="A322" t="s">
        <v>321</v>
      </c>
      <c r="B322">
        <f>VLOOKUP(A322,[1]Hoja1!$A$2:$P$391,14,FALSE)</f>
        <v>0</v>
      </c>
      <c r="C322">
        <f>VLOOKUP(A322,[1]Hoja1!$A$2:$P$391,15,FALSE)</f>
        <v>0</v>
      </c>
      <c r="D322">
        <f>VLOOKUP(A322,[1]Hoja1!$A$2:$P$391,16,FALSE)</f>
        <v>0</v>
      </c>
    </row>
    <row r="323" spans="1:4" x14ac:dyDescent="0.2">
      <c r="A323" t="s">
        <v>322</v>
      </c>
      <c r="B323">
        <f>VLOOKUP(A323,[1]Hoja1!$A$2:$P$391,14,FALSE)</f>
        <v>1478.4</v>
      </c>
      <c r="C323">
        <f>VLOOKUP(A323,[1]Hoja1!$A$2:$P$391,15,FALSE)</f>
        <v>13.3</v>
      </c>
      <c r="D323">
        <f>VLOOKUP(A323,[1]Hoja1!$A$2:$P$391,16,FALSE)</f>
        <v>19662.72</v>
      </c>
    </row>
    <row r="324" spans="1:4" x14ac:dyDescent="0.2">
      <c r="A324" t="s">
        <v>323</v>
      </c>
      <c r="B324">
        <f>VLOOKUP(A324,[1]Hoja1!$A$2:$P$391,14,FALSE)</f>
        <v>0</v>
      </c>
      <c r="C324">
        <f>VLOOKUP(A324,[1]Hoja1!$A$2:$P$391,15,FALSE)</f>
        <v>0</v>
      </c>
      <c r="D324">
        <f>VLOOKUP(A324,[1]Hoja1!$A$2:$P$391,16,FALSE)</f>
        <v>0</v>
      </c>
    </row>
    <row r="325" spans="1:4" x14ac:dyDescent="0.2">
      <c r="A325" t="s">
        <v>324</v>
      </c>
      <c r="B325">
        <f>VLOOKUP(A325,[1]Hoja1!$A$2:$P$391,14,FALSE)</f>
        <v>0</v>
      </c>
      <c r="C325">
        <f>VLOOKUP(A325,[1]Hoja1!$A$2:$P$391,15,FALSE)</f>
        <v>0</v>
      </c>
      <c r="D325">
        <f>VLOOKUP(A325,[1]Hoja1!$A$2:$P$391,16,FALSE)</f>
        <v>0</v>
      </c>
    </row>
    <row r="326" spans="1:4" x14ac:dyDescent="0.2">
      <c r="A326" t="s">
        <v>325</v>
      </c>
      <c r="B326">
        <f>VLOOKUP(A326,[1]Hoja1!$A$2:$P$391,14,FALSE)</f>
        <v>0</v>
      </c>
      <c r="C326">
        <f>VLOOKUP(A326,[1]Hoja1!$A$2:$P$391,15,FALSE)</f>
        <v>0</v>
      </c>
      <c r="D326">
        <f>VLOOKUP(A326,[1]Hoja1!$A$2:$P$391,16,FALSE)</f>
        <v>0</v>
      </c>
    </row>
    <row r="327" spans="1:4" x14ac:dyDescent="0.2">
      <c r="A327" t="s">
        <v>326</v>
      </c>
      <c r="B327">
        <f>VLOOKUP(A327,[1]Hoja1!$A$2:$P$391,14,FALSE)</f>
        <v>0</v>
      </c>
      <c r="C327">
        <f>VLOOKUP(A327,[1]Hoja1!$A$2:$P$391,15,FALSE)</f>
        <v>0</v>
      </c>
      <c r="D327">
        <f>VLOOKUP(A327,[1]Hoja1!$A$2:$P$391,16,FALSE)</f>
        <v>0</v>
      </c>
    </row>
    <row r="328" spans="1:4" x14ac:dyDescent="0.2">
      <c r="A328" t="s">
        <v>327</v>
      </c>
      <c r="B328">
        <f>VLOOKUP(A328,[1]Hoja1!$A$2:$P$391,14,FALSE)</f>
        <v>0</v>
      </c>
      <c r="C328">
        <f>VLOOKUP(A328,[1]Hoja1!$A$2:$P$391,15,FALSE)</f>
        <v>0</v>
      </c>
      <c r="D328">
        <f>VLOOKUP(A328,[1]Hoja1!$A$2:$P$391,16,FALSE)</f>
        <v>0</v>
      </c>
    </row>
    <row r="329" spans="1:4" x14ac:dyDescent="0.2">
      <c r="A329" t="s">
        <v>328</v>
      </c>
      <c r="B329">
        <f>VLOOKUP(A329,[1]Hoja1!$A$2:$P$391,14,FALSE)</f>
        <v>2880</v>
      </c>
      <c r="C329">
        <f>VLOOKUP(A329,[1]Hoja1!$A$2:$P$391,15,FALSE)</f>
        <v>130</v>
      </c>
      <c r="D329">
        <f>VLOOKUP(A329,[1]Hoja1!$A$2:$P$391,16,FALSE)</f>
        <v>374400</v>
      </c>
    </row>
    <row r="330" spans="1:4" x14ac:dyDescent="0.2">
      <c r="A330" t="s">
        <v>329</v>
      </c>
      <c r="B330">
        <f>VLOOKUP(A330,[1]Hoja1!$A$2:$P$391,14,FALSE)</f>
        <v>19.8</v>
      </c>
      <c r="C330">
        <f>VLOOKUP(A330,[1]Hoja1!$A$2:$P$391,15,FALSE)</f>
        <v>423</v>
      </c>
      <c r="D330">
        <f>VLOOKUP(A330,[1]Hoja1!$A$2:$P$391,16,FALSE)</f>
        <v>8375.4</v>
      </c>
    </row>
    <row r="331" spans="1:4" x14ac:dyDescent="0.2">
      <c r="A331" t="s">
        <v>330</v>
      </c>
      <c r="B331">
        <f>VLOOKUP(A331,[1]Hoja1!$A$2:$P$391,14,FALSE)</f>
        <v>28600.000000000004</v>
      </c>
      <c r="C331">
        <f>VLOOKUP(A331,[1]Hoja1!$A$2:$P$391,15,FALSE)</f>
        <v>5</v>
      </c>
      <c r="D331">
        <f>VLOOKUP(A331,[1]Hoja1!$A$2:$P$391,16,FALSE)</f>
        <v>143000.00000000003</v>
      </c>
    </row>
    <row r="332" spans="1:4" x14ac:dyDescent="0.2">
      <c r="A332" t="s">
        <v>331</v>
      </c>
      <c r="B332">
        <f>VLOOKUP(A332,[1]Hoja1!$A$2:$P$391,14,FALSE)</f>
        <v>1760.0000000000002</v>
      </c>
      <c r="C332">
        <f>VLOOKUP(A332,[1]Hoja1!$A$2:$P$391,15,FALSE)</f>
        <v>9.74</v>
      </c>
      <c r="D332">
        <f>VLOOKUP(A332,[1]Hoja1!$A$2:$P$391,16,FALSE)</f>
        <v>17142.400000000001</v>
      </c>
    </row>
    <row r="333" spans="1:4" x14ac:dyDescent="0.2">
      <c r="A333" t="s">
        <v>332</v>
      </c>
      <c r="B333">
        <f>VLOOKUP(A333,[1]Hoja1!$A$2:$P$391,14,FALSE)</f>
        <v>100</v>
      </c>
      <c r="C333">
        <f>VLOOKUP(A333,[1]Hoja1!$A$2:$P$391,15,FALSE)</f>
        <v>2.54</v>
      </c>
      <c r="D333">
        <f>VLOOKUP(A333,[1]Hoja1!$A$2:$P$391,16,FALSE)</f>
        <v>254</v>
      </c>
    </row>
    <row r="334" spans="1:4" x14ac:dyDescent="0.2">
      <c r="A334" t="s">
        <v>333</v>
      </c>
      <c r="B334">
        <f>VLOOKUP(A334,[1]Hoja1!$A$2:$P$391,14,FALSE)</f>
        <v>5.5</v>
      </c>
      <c r="C334">
        <f>VLOOKUP(A334,[1]Hoja1!$A$2:$P$391,15,FALSE)</f>
        <v>9.8000000000000007</v>
      </c>
      <c r="D334">
        <f>VLOOKUP(A334,[1]Hoja1!$A$2:$P$391,16,FALSE)</f>
        <v>53.900000000000006</v>
      </c>
    </row>
    <row r="335" spans="1:4" x14ac:dyDescent="0.2">
      <c r="A335" t="s">
        <v>334</v>
      </c>
      <c r="B335">
        <f>VLOOKUP(A335,[1]Hoja1!$A$2:$P$391,14,FALSE)</f>
        <v>44</v>
      </c>
      <c r="C335">
        <f>VLOOKUP(A335,[1]Hoja1!$A$2:$P$391,15,FALSE)</f>
        <v>47.762307</v>
      </c>
      <c r="D335">
        <f>VLOOKUP(A335,[1]Hoja1!$A$2:$P$391,16,FALSE)</f>
        <v>2101.5415079999998</v>
      </c>
    </row>
    <row r="336" spans="1:4" x14ac:dyDescent="0.2">
      <c r="A336" t="s">
        <v>335</v>
      </c>
      <c r="B336">
        <f>VLOOKUP(A336,[1]Hoja1!$A$2:$P$391,14,FALSE)</f>
        <v>0</v>
      </c>
      <c r="C336">
        <f>VLOOKUP(A336,[1]Hoja1!$A$2:$P$391,15,FALSE)</f>
        <v>0</v>
      </c>
      <c r="D336">
        <f>VLOOKUP(A336,[1]Hoja1!$A$2:$P$391,16,FALSE)</f>
        <v>0</v>
      </c>
    </row>
    <row r="337" spans="1:4" x14ac:dyDescent="0.2">
      <c r="A337" t="s">
        <v>336</v>
      </c>
      <c r="B337">
        <f>VLOOKUP(A337,[1]Hoja1!$A$2:$P$391,14,FALSE)</f>
        <v>0</v>
      </c>
      <c r="C337">
        <f>VLOOKUP(A337,[1]Hoja1!$A$2:$P$391,15,FALSE)</f>
        <v>0</v>
      </c>
      <c r="D337">
        <f>VLOOKUP(A337,[1]Hoja1!$A$2:$P$391,16,FALSE)</f>
        <v>0</v>
      </c>
    </row>
    <row r="338" spans="1:4" x14ac:dyDescent="0.2">
      <c r="A338" t="s">
        <v>337</v>
      </c>
      <c r="B338">
        <f>VLOOKUP(A338,[1]Hoja1!$A$2:$P$391,14,FALSE)</f>
        <v>20</v>
      </c>
      <c r="C338">
        <f>VLOOKUP(A338,[1]Hoja1!$A$2:$P$391,15,FALSE)</f>
        <v>6.9</v>
      </c>
      <c r="D338">
        <f>VLOOKUP(A338,[1]Hoja1!$A$2:$P$391,16,FALSE)</f>
        <v>138</v>
      </c>
    </row>
    <row r="339" spans="1:4" x14ac:dyDescent="0.2">
      <c r="A339" t="s">
        <v>338</v>
      </c>
      <c r="B339">
        <f>VLOOKUP(A339,[1]Hoja1!$A$2:$P$391,14,FALSE)</f>
        <v>6.6000000000000005</v>
      </c>
      <c r="C339">
        <f>VLOOKUP(A339,[1]Hoja1!$A$2:$P$391,15,FALSE)</f>
        <v>3.04</v>
      </c>
      <c r="D339">
        <f>VLOOKUP(A339,[1]Hoja1!$A$2:$P$391,16,FALSE)</f>
        <v>20.064000000000004</v>
      </c>
    </row>
    <row r="340" spans="1:4" x14ac:dyDescent="0.2">
      <c r="A340" t="s">
        <v>339</v>
      </c>
      <c r="B340">
        <f>VLOOKUP(A340,[1]Hoja1!$A$2:$P$391,14,FALSE)</f>
        <v>3800</v>
      </c>
      <c r="C340">
        <f>VLOOKUP(A340,[1]Hoja1!$A$2:$P$391,15,FALSE)</f>
        <v>6.99</v>
      </c>
      <c r="D340">
        <f>VLOOKUP(A340,[1]Hoja1!$A$2:$P$391,16,FALSE)</f>
        <v>26562</v>
      </c>
    </row>
    <row r="341" spans="1:4" x14ac:dyDescent="0.2">
      <c r="A341" t="s">
        <v>340</v>
      </c>
      <c r="B341">
        <f>VLOOKUP(A341,[1]Hoja1!$A$2:$P$391,14,FALSE)</f>
        <v>220.00000000000003</v>
      </c>
      <c r="C341">
        <f>VLOOKUP(A341,[1]Hoja1!$A$2:$P$391,15,FALSE)</f>
        <v>25.746083369230771</v>
      </c>
      <c r="D341">
        <f>VLOOKUP(A341,[1]Hoja1!$A$2:$P$391,16,FALSE)</f>
        <v>5664.1383412307705</v>
      </c>
    </row>
    <row r="342" spans="1:4" x14ac:dyDescent="0.2">
      <c r="A342" t="s">
        <v>341</v>
      </c>
      <c r="B342">
        <f>VLOOKUP(A342,[1]Hoja1!$A$2:$P$391,14,FALSE)</f>
        <v>132</v>
      </c>
      <c r="C342">
        <f>VLOOKUP(A342,[1]Hoja1!$A$2:$P$391,15,FALSE)</f>
        <v>7.3</v>
      </c>
      <c r="D342">
        <f>VLOOKUP(A342,[1]Hoja1!$A$2:$P$391,16,FALSE)</f>
        <v>963.6</v>
      </c>
    </row>
    <row r="343" spans="1:4" x14ac:dyDescent="0.2">
      <c r="A343" t="s">
        <v>342</v>
      </c>
      <c r="B343">
        <f>VLOOKUP(A343,[1]Hoja1!$A$2:$P$391,14,FALSE)</f>
        <v>33</v>
      </c>
      <c r="C343">
        <f>VLOOKUP(A343,[1]Hoja1!$A$2:$P$391,15,FALSE)</f>
        <v>13.8</v>
      </c>
      <c r="D343">
        <f>VLOOKUP(A343,[1]Hoja1!$A$2:$P$391,16,FALSE)</f>
        <v>455.40000000000003</v>
      </c>
    </row>
    <row r="344" spans="1:4" x14ac:dyDescent="0.2">
      <c r="A344" t="s">
        <v>343</v>
      </c>
      <c r="B344">
        <f>VLOOKUP(A344,[1]Hoja1!$A$2:$P$391,14,FALSE)</f>
        <v>5500</v>
      </c>
      <c r="C344">
        <f>VLOOKUP(A344,[1]Hoja1!$A$2:$P$391,15,FALSE)</f>
        <v>5</v>
      </c>
      <c r="D344">
        <f>VLOOKUP(A344,[1]Hoja1!$A$2:$P$391,16,FALSE)</f>
        <v>27500</v>
      </c>
    </row>
    <row r="345" spans="1:4" x14ac:dyDescent="0.2">
      <c r="A345" t="s">
        <v>344</v>
      </c>
      <c r="B345">
        <f>VLOOKUP(A345,[1]Hoja1!$A$2:$P$391,14,FALSE)</f>
        <v>30</v>
      </c>
      <c r="C345">
        <f>VLOOKUP(A345,[1]Hoja1!$A$2:$P$391,15,FALSE)</f>
        <v>36</v>
      </c>
      <c r="D345">
        <f>VLOOKUP(A345,[1]Hoja1!$A$2:$P$391,16,FALSE)</f>
        <v>1080</v>
      </c>
    </row>
    <row r="346" spans="1:4" x14ac:dyDescent="0.2">
      <c r="A346" t="s">
        <v>345</v>
      </c>
      <c r="B346">
        <f>VLOOKUP(A346,[1]Hoja1!$A$2:$P$391,14,FALSE)</f>
        <v>0</v>
      </c>
      <c r="C346">
        <f>VLOOKUP(A346,[1]Hoja1!$A$2:$P$391,15,FALSE)</f>
        <v>0</v>
      </c>
      <c r="D346">
        <f>VLOOKUP(A346,[1]Hoja1!$A$2:$P$391,16,FALSE)</f>
        <v>0</v>
      </c>
    </row>
    <row r="347" spans="1:4" x14ac:dyDescent="0.2">
      <c r="A347" t="s">
        <v>346</v>
      </c>
      <c r="B347">
        <f>VLOOKUP(A347,[1]Hoja1!$A$2:$P$391,14,FALSE)</f>
        <v>1</v>
      </c>
      <c r="C347">
        <f>VLOOKUP(A347,[1]Hoja1!$A$2:$P$391,15,FALSE)</f>
        <v>80</v>
      </c>
      <c r="D347">
        <f>VLOOKUP(A347,[1]Hoja1!$A$2:$P$391,16,FALSE)</f>
        <v>80</v>
      </c>
    </row>
    <row r="348" spans="1:4" x14ac:dyDescent="0.2">
      <c r="A348" t="s">
        <v>347</v>
      </c>
      <c r="B348">
        <f>VLOOKUP(A348,[1]Hoja1!$A$2:$P$391,14,FALSE)</f>
        <v>330</v>
      </c>
      <c r="C348">
        <f>VLOOKUP(A348,[1]Hoja1!$A$2:$P$391,15,FALSE)</f>
        <v>34.99</v>
      </c>
      <c r="D348">
        <f>VLOOKUP(A348,[1]Hoja1!$A$2:$P$391,16,FALSE)</f>
        <v>11546.7</v>
      </c>
    </row>
    <row r="349" spans="1:4" x14ac:dyDescent="0.2">
      <c r="A349" t="s">
        <v>348</v>
      </c>
      <c r="B349">
        <f>VLOOKUP(A349,[1]Hoja1!$A$2:$P$391,14,FALSE)</f>
        <v>55.000000000000007</v>
      </c>
      <c r="C349">
        <f>VLOOKUP(A349,[1]Hoja1!$A$2:$P$391,15,FALSE)</f>
        <v>99</v>
      </c>
      <c r="D349">
        <f>VLOOKUP(A349,[1]Hoja1!$A$2:$P$391,16,FALSE)</f>
        <v>5445.0000000000009</v>
      </c>
    </row>
    <row r="350" spans="1:4" x14ac:dyDescent="0.2">
      <c r="A350" t="s">
        <v>349</v>
      </c>
      <c r="B350">
        <f>VLOOKUP(A350,[1]Hoja1!$A$2:$P$391,14,FALSE)</f>
        <v>11</v>
      </c>
      <c r="C350">
        <f>VLOOKUP(A350,[1]Hoja1!$A$2:$P$391,15,FALSE)</f>
        <v>2.9</v>
      </c>
      <c r="D350">
        <f>VLOOKUP(A350,[1]Hoja1!$A$2:$P$391,16,FALSE)</f>
        <v>31.9</v>
      </c>
    </row>
    <row r="351" spans="1:4" x14ac:dyDescent="0.2">
      <c r="A351" t="s">
        <v>350</v>
      </c>
      <c r="B351">
        <f>VLOOKUP(A351,[1]Hoja1!$A$2:$P$391,14,FALSE)</f>
        <v>332.20000000000005</v>
      </c>
      <c r="C351">
        <f>VLOOKUP(A351,[1]Hoja1!$A$2:$P$391,15,FALSE)</f>
        <v>41</v>
      </c>
      <c r="D351">
        <f>VLOOKUP(A351,[1]Hoja1!$A$2:$P$391,16,FALSE)</f>
        <v>13620.200000000003</v>
      </c>
    </row>
    <row r="352" spans="1:4" x14ac:dyDescent="0.2">
      <c r="A352" t="s">
        <v>351</v>
      </c>
      <c r="B352">
        <f>VLOOKUP(A352,[1]Hoja1!$A$2:$P$391,14,FALSE)</f>
        <v>0</v>
      </c>
      <c r="C352">
        <f>VLOOKUP(A352,[1]Hoja1!$A$2:$P$391,15,FALSE)</f>
        <v>0</v>
      </c>
      <c r="D352">
        <f>VLOOKUP(A352,[1]Hoja1!$A$2:$P$391,16,FALSE)</f>
        <v>0</v>
      </c>
    </row>
    <row r="353" spans="1:4" x14ac:dyDescent="0.2">
      <c r="A353" t="s">
        <v>352</v>
      </c>
      <c r="B353">
        <f>VLOOKUP(A353,[1]Hoja1!$A$2:$P$391,14,FALSE)</f>
        <v>0</v>
      </c>
      <c r="C353">
        <f>VLOOKUP(A353,[1]Hoja1!$A$2:$P$391,15,FALSE)</f>
        <v>0</v>
      </c>
      <c r="D353">
        <f>VLOOKUP(A353,[1]Hoja1!$A$2:$P$391,16,FALSE)</f>
        <v>0</v>
      </c>
    </row>
    <row r="354" spans="1:4" x14ac:dyDescent="0.2">
      <c r="A354" t="s">
        <v>353</v>
      </c>
      <c r="B354">
        <f>VLOOKUP(A354,[1]Hoja1!$A$2:$P$391,14,FALSE)</f>
        <v>100</v>
      </c>
      <c r="C354">
        <f>VLOOKUP(A354,[1]Hoja1!$A$2:$P$391,15,FALSE)</f>
        <v>200</v>
      </c>
      <c r="D354">
        <f>VLOOKUP(A354,[1]Hoja1!$A$2:$P$391,16,FALSE)</f>
        <v>20000</v>
      </c>
    </row>
    <row r="355" spans="1:4" x14ac:dyDescent="0.2">
      <c r="A355" t="s">
        <v>354</v>
      </c>
      <c r="B355">
        <f>VLOOKUP(A355,[1]Hoja1!$A$2:$P$391,14,FALSE)</f>
        <v>2</v>
      </c>
      <c r="C355">
        <f>VLOOKUP(A355,[1]Hoja1!$A$2:$P$391,15,FALSE)</f>
        <v>301.72000000000003</v>
      </c>
      <c r="D355">
        <f>VLOOKUP(A355,[1]Hoja1!$A$2:$P$391,16,FALSE)</f>
        <v>603.44000000000005</v>
      </c>
    </row>
    <row r="356" spans="1:4" x14ac:dyDescent="0.2">
      <c r="A356" t="s">
        <v>355</v>
      </c>
      <c r="B356">
        <f>VLOOKUP(A356,[1]Hoja1!$A$2:$P$391,14,FALSE)</f>
        <v>60</v>
      </c>
      <c r="C356">
        <f>VLOOKUP(A356,[1]Hoja1!$A$2:$P$391,15,FALSE)</f>
        <v>1180</v>
      </c>
      <c r="D356">
        <f>VLOOKUP(A356,[1]Hoja1!$A$2:$P$391,16,FALSE)</f>
        <v>70800</v>
      </c>
    </row>
    <row r="357" spans="1:4" x14ac:dyDescent="0.2">
      <c r="A357" t="s">
        <v>356</v>
      </c>
      <c r="B357">
        <f>VLOOKUP(A357,[1]Hoja1!$A$2:$P$391,14,FALSE)</f>
        <v>0</v>
      </c>
      <c r="C357">
        <f>VLOOKUP(A357,[1]Hoja1!$A$2:$P$391,15,FALSE)</f>
        <v>0</v>
      </c>
      <c r="D357">
        <f>VLOOKUP(A357,[1]Hoja1!$A$2:$P$391,16,FALSE)</f>
        <v>0</v>
      </c>
    </row>
    <row r="358" spans="1:4" x14ac:dyDescent="0.2">
      <c r="A358" t="s">
        <v>357</v>
      </c>
      <c r="B358">
        <f>VLOOKUP(A358,[1]Hoja1!$A$2:$P$391,14,FALSE)</f>
        <v>120</v>
      </c>
      <c r="C358">
        <f>VLOOKUP(A358,[1]Hoja1!$A$2:$P$391,15,FALSE)</f>
        <v>199.6</v>
      </c>
      <c r="D358">
        <f>VLOOKUP(A358,[1]Hoja1!$A$2:$P$391,16,FALSE)</f>
        <v>23952</v>
      </c>
    </row>
    <row r="359" spans="1:4" x14ac:dyDescent="0.2">
      <c r="A359" t="s">
        <v>358</v>
      </c>
      <c r="B359">
        <f>VLOOKUP(A359,[1]Hoja1!$A$2:$P$391,14,FALSE)</f>
        <v>0</v>
      </c>
      <c r="C359">
        <f>VLOOKUP(A359,[1]Hoja1!$A$2:$P$391,15,FALSE)</f>
        <v>0</v>
      </c>
      <c r="D359">
        <f>VLOOKUP(A359,[1]Hoja1!$A$2:$P$391,16,FALSE)</f>
        <v>0</v>
      </c>
    </row>
    <row r="360" spans="1:4" x14ac:dyDescent="0.2">
      <c r="A360" t="s">
        <v>359</v>
      </c>
      <c r="B360">
        <f>VLOOKUP(A360,[1]Hoja1!$A$2:$P$391,14,FALSE)</f>
        <v>0</v>
      </c>
      <c r="C360">
        <f>VLOOKUP(A360,[1]Hoja1!$A$2:$P$391,15,FALSE)</f>
        <v>0</v>
      </c>
      <c r="D360">
        <f>VLOOKUP(A360,[1]Hoja1!$A$2:$P$391,16,FALSE)</f>
        <v>0</v>
      </c>
    </row>
    <row r="361" spans="1:4" x14ac:dyDescent="0.2">
      <c r="A361" t="s">
        <v>360</v>
      </c>
      <c r="B361">
        <f>VLOOKUP(A361,[1]Hoja1!$A$2:$P$391,14,FALSE)</f>
        <v>455.40000000000003</v>
      </c>
      <c r="C361">
        <f>VLOOKUP(A361,[1]Hoja1!$A$2:$P$391,15,FALSE)</f>
        <v>40</v>
      </c>
      <c r="D361">
        <f>VLOOKUP(A361,[1]Hoja1!$A$2:$P$391,16,FALSE)</f>
        <v>18216</v>
      </c>
    </row>
    <row r="362" spans="1:4" x14ac:dyDescent="0.2">
      <c r="A362" t="s">
        <v>361</v>
      </c>
      <c r="B362">
        <f>VLOOKUP(A362,[1]Hoja1!$A$2:$P$391,14,FALSE)</f>
        <v>0</v>
      </c>
      <c r="C362">
        <f>VLOOKUP(A362,[1]Hoja1!$A$2:$P$391,15,FALSE)</f>
        <v>0</v>
      </c>
      <c r="D362">
        <f>VLOOKUP(A362,[1]Hoja1!$A$2:$P$391,16,FALSE)</f>
        <v>0</v>
      </c>
    </row>
    <row r="363" spans="1:4" x14ac:dyDescent="0.2">
      <c r="A363" t="s">
        <v>362</v>
      </c>
      <c r="B363">
        <f>VLOOKUP(A363,[1]Hoja1!$A$2:$P$391,14,FALSE)</f>
        <v>1</v>
      </c>
      <c r="C363">
        <f>VLOOKUP(A363,[1]Hoja1!$A$2:$P$391,15,FALSE)</f>
        <v>2.3963000000000001</v>
      </c>
      <c r="D363">
        <f>VLOOKUP(A363,[1]Hoja1!$A$2:$P$391,16,FALSE)</f>
        <v>2.3963000000000001</v>
      </c>
    </row>
    <row r="364" spans="1:4" x14ac:dyDescent="0.2">
      <c r="A364" t="s">
        <v>363</v>
      </c>
      <c r="B364">
        <f>VLOOKUP(A364,[1]Hoja1!$A$2:$P$391,14,FALSE)</f>
        <v>1</v>
      </c>
      <c r="C364">
        <f>VLOOKUP(A364,[1]Hoja1!$A$2:$P$391,15,FALSE)</f>
        <v>1.2623070000000001</v>
      </c>
      <c r="D364">
        <f>VLOOKUP(A364,[1]Hoja1!$A$2:$P$391,16,FALSE)</f>
        <v>1.2623070000000001</v>
      </c>
    </row>
    <row r="365" spans="1:4" x14ac:dyDescent="0.2">
      <c r="A365" t="s">
        <v>364</v>
      </c>
      <c r="B365">
        <f>VLOOKUP(A365,[1]Hoja1!$A$2:$P$391,14,FALSE)</f>
        <v>20</v>
      </c>
      <c r="C365">
        <f>VLOOKUP(A365,[1]Hoja1!$A$2:$P$391,15,FALSE)</f>
        <v>59</v>
      </c>
      <c r="D365">
        <f>VLOOKUP(A365,[1]Hoja1!$A$2:$P$391,16,FALSE)</f>
        <v>1180</v>
      </c>
    </row>
    <row r="366" spans="1:4" x14ac:dyDescent="0.2">
      <c r="A366" t="s">
        <v>365</v>
      </c>
      <c r="B366">
        <f>VLOOKUP(A366,[1]Hoja1!$A$2:$P$391,14,FALSE)</f>
        <v>0</v>
      </c>
      <c r="C366">
        <f>VLOOKUP(A366,[1]Hoja1!$A$2:$P$391,15,FALSE)</f>
        <v>0</v>
      </c>
      <c r="D366">
        <f>VLOOKUP(A366,[1]Hoja1!$A$2:$P$391,16,FALSE)</f>
        <v>0</v>
      </c>
    </row>
    <row r="367" spans="1:4" x14ac:dyDescent="0.2">
      <c r="A367" t="s">
        <v>366</v>
      </c>
      <c r="B367">
        <f>VLOOKUP(A367,[1]Hoja1!$A$2:$P$391,14,FALSE)</f>
        <v>1320</v>
      </c>
      <c r="C367">
        <f>VLOOKUP(A367,[1]Hoja1!$A$2:$P$391,15,FALSE)</f>
        <v>3.34</v>
      </c>
      <c r="D367">
        <f>VLOOKUP(A367,[1]Hoja1!$A$2:$P$391,16,FALSE)</f>
        <v>4408.8</v>
      </c>
    </row>
    <row r="368" spans="1:4" x14ac:dyDescent="0.2">
      <c r="A368" t="s">
        <v>367</v>
      </c>
      <c r="B368">
        <f>VLOOKUP(A368,[1]Hoja1!$A$2:$P$391,14,FALSE)</f>
        <v>440.00000000000006</v>
      </c>
      <c r="C368">
        <f>VLOOKUP(A368,[1]Hoja1!$A$2:$P$391,15,FALSE)</f>
        <v>6.38</v>
      </c>
      <c r="D368">
        <f>VLOOKUP(A368,[1]Hoja1!$A$2:$P$391,16,FALSE)</f>
        <v>2807.2000000000003</v>
      </c>
    </row>
    <row r="369" spans="1:4" x14ac:dyDescent="0.2">
      <c r="A369" t="s">
        <v>368</v>
      </c>
      <c r="B369">
        <f>VLOOKUP(A369,[1]Hoja1!$A$2:$P$391,14,FALSE)</f>
        <v>1782.0000000000002</v>
      </c>
      <c r="C369">
        <f>VLOOKUP(A369,[1]Hoja1!$A$2:$P$391,15,FALSE)</f>
        <v>8.33</v>
      </c>
      <c r="D369">
        <f>VLOOKUP(A369,[1]Hoja1!$A$2:$P$391,16,FALSE)</f>
        <v>14844.060000000001</v>
      </c>
    </row>
    <row r="370" spans="1:4" x14ac:dyDescent="0.2">
      <c r="A370" t="s">
        <v>369</v>
      </c>
      <c r="B370">
        <f>VLOOKUP(A370,[1]Hoja1!$A$2:$P$391,14,FALSE)</f>
        <v>1760.0000000000002</v>
      </c>
      <c r="C370">
        <f>VLOOKUP(A370,[1]Hoja1!$A$2:$P$391,15,FALSE)</f>
        <v>11.38</v>
      </c>
      <c r="D370">
        <f>VLOOKUP(A370,[1]Hoja1!$A$2:$P$391,16,FALSE)</f>
        <v>20028.800000000003</v>
      </c>
    </row>
    <row r="371" spans="1:4" x14ac:dyDescent="0.2">
      <c r="A371" t="s">
        <v>370</v>
      </c>
      <c r="B371">
        <f>VLOOKUP(A371,[1]Hoja1!$A$2:$P$391,14,FALSE)</f>
        <v>100</v>
      </c>
      <c r="C371">
        <f>VLOOKUP(A371,[1]Hoja1!$A$2:$P$391,15,FALSE)</f>
        <v>42.64</v>
      </c>
      <c r="D371">
        <f>VLOOKUP(A371,[1]Hoja1!$A$2:$P$391,16,FALSE)</f>
        <v>4264</v>
      </c>
    </row>
    <row r="372" spans="1:4" x14ac:dyDescent="0.2">
      <c r="A372" t="s">
        <v>371</v>
      </c>
      <c r="B372">
        <f>VLOOKUP(A372,[1]Hoja1!$A$2:$P$391,14,FALSE)</f>
        <v>0</v>
      </c>
      <c r="C372">
        <f>VLOOKUP(A372,[1]Hoja1!$A$2:$P$391,15,FALSE)</f>
        <v>0</v>
      </c>
      <c r="D372">
        <f>VLOOKUP(A372,[1]Hoja1!$A$2:$P$391,16,FALSE)</f>
        <v>0</v>
      </c>
    </row>
    <row r="373" spans="1:4" x14ac:dyDescent="0.2">
      <c r="A373" t="s">
        <v>372</v>
      </c>
      <c r="B373">
        <f>VLOOKUP(A373,[1]Hoja1!$A$2:$P$391,14,FALSE)</f>
        <v>1</v>
      </c>
      <c r="C373">
        <f>VLOOKUP(A373,[1]Hoja1!$A$2:$P$391,15,FALSE)</f>
        <v>4.7090180000000004</v>
      </c>
      <c r="D373">
        <f>VLOOKUP(A373,[1]Hoja1!$A$2:$P$391,16,FALSE)</f>
        <v>4.7090180000000004</v>
      </c>
    </row>
    <row r="374" spans="1:4" x14ac:dyDescent="0.2">
      <c r="A374" t="s">
        <v>373</v>
      </c>
      <c r="B374">
        <f>VLOOKUP(A374,[1]Hoja1!$A$2:$P$391,14,FALSE)</f>
        <v>0</v>
      </c>
      <c r="C374">
        <f>VLOOKUP(A374,[1]Hoja1!$A$2:$P$391,15,FALSE)</f>
        <v>0</v>
      </c>
      <c r="D374">
        <f>VLOOKUP(A374,[1]Hoja1!$A$2:$P$391,16,FALSE)</f>
        <v>0</v>
      </c>
    </row>
    <row r="375" spans="1:4" x14ac:dyDescent="0.2">
      <c r="A375" t="s">
        <v>374</v>
      </c>
      <c r="B375">
        <f>VLOOKUP(A375,[1]Hoja1!$A$2:$P$391,14,FALSE)</f>
        <v>0</v>
      </c>
      <c r="C375">
        <f>VLOOKUP(A375,[1]Hoja1!$A$2:$P$391,15,FALSE)</f>
        <v>0</v>
      </c>
      <c r="D375">
        <f>VLOOKUP(A375,[1]Hoja1!$A$2:$P$391,16,FALSE)</f>
        <v>0</v>
      </c>
    </row>
    <row r="376" spans="1:4" x14ac:dyDescent="0.2">
      <c r="A376" t="s">
        <v>375</v>
      </c>
      <c r="B376">
        <f>VLOOKUP(A376,[1]Hoja1!$A$2:$P$391,14,FALSE)</f>
        <v>0</v>
      </c>
      <c r="C376">
        <f>VLOOKUP(A376,[1]Hoja1!$A$2:$P$391,15,FALSE)</f>
        <v>0</v>
      </c>
      <c r="D376">
        <f>VLOOKUP(A376,[1]Hoja1!$A$2:$P$391,16,FALSE)</f>
        <v>0</v>
      </c>
    </row>
    <row r="377" spans="1:4" x14ac:dyDescent="0.2">
      <c r="A377" t="s">
        <v>376</v>
      </c>
      <c r="B377">
        <f>VLOOKUP(A377,[1]Hoja1!$A$2:$P$391,14,FALSE)</f>
        <v>0</v>
      </c>
      <c r="C377">
        <f>VLOOKUP(A377,[1]Hoja1!$A$2:$P$391,15,FALSE)</f>
        <v>0</v>
      </c>
      <c r="D377">
        <f>VLOOKUP(A377,[1]Hoja1!$A$2:$P$391,16,FALSE)</f>
        <v>0</v>
      </c>
    </row>
    <row r="378" spans="1:4" x14ac:dyDescent="0.2">
      <c r="A378" t="s">
        <v>377</v>
      </c>
      <c r="B378">
        <f>VLOOKUP(A378,[1]Hoja1!$A$2:$P$391,14,FALSE)</f>
        <v>0</v>
      </c>
      <c r="C378">
        <f>VLOOKUP(A378,[1]Hoja1!$A$2:$P$391,15,FALSE)</f>
        <v>0</v>
      </c>
      <c r="D378">
        <f>VLOOKUP(A378,[1]Hoja1!$A$2:$P$391,16,FALSE)</f>
        <v>0</v>
      </c>
    </row>
    <row r="379" spans="1:4" x14ac:dyDescent="0.2">
      <c r="A379" t="s">
        <v>378</v>
      </c>
      <c r="B379">
        <f>VLOOKUP(A379,[1]Hoja1!$A$2:$P$391,14,FALSE)</f>
        <v>0</v>
      </c>
      <c r="C379">
        <f>VLOOKUP(A379,[1]Hoja1!$A$2:$P$391,15,FALSE)</f>
        <v>0</v>
      </c>
      <c r="D379">
        <f>VLOOKUP(A379,[1]Hoja1!$A$2:$P$391,16,FALSE)</f>
        <v>0</v>
      </c>
    </row>
    <row r="380" spans="1:4" x14ac:dyDescent="0.2">
      <c r="A380" t="s">
        <v>379</v>
      </c>
      <c r="B380">
        <f>VLOOKUP(A380,[1]Hoja1!$A$2:$P$391,14,FALSE)</f>
        <v>0</v>
      </c>
      <c r="C380">
        <f>VLOOKUP(A380,[1]Hoja1!$A$2:$P$391,15,FALSE)</f>
        <v>0</v>
      </c>
      <c r="D380">
        <f>VLOOKUP(A380,[1]Hoja1!$A$2:$P$391,16,FALSE)</f>
        <v>0</v>
      </c>
    </row>
    <row r="381" spans="1:4" x14ac:dyDescent="0.2">
      <c r="A381" t="s">
        <v>380</v>
      </c>
      <c r="B381">
        <f>VLOOKUP(A381,[1]Hoja1!$A$2:$P$391,14,FALSE)</f>
        <v>0</v>
      </c>
      <c r="C381">
        <f>VLOOKUP(A381,[1]Hoja1!$A$2:$P$391,15,FALSE)</f>
        <v>0</v>
      </c>
      <c r="D381">
        <f>VLOOKUP(A381,[1]Hoja1!$A$2:$P$391,16,FALSE)</f>
        <v>0</v>
      </c>
    </row>
    <row r="382" spans="1:4" x14ac:dyDescent="0.2">
      <c r="A382" t="s">
        <v>381</v>
      </c>
      <c r="B382">
        <f>VLOOKUP(A382,[1]Hoja1!$A$2:$P$391,14,FALSE)</f>
        <v>300</v>
      </c>
      <c r="C382">
        <f>VLOOKUP(A382,[1]Hoja1!$A$2:$P$391,15,FALSE)</f>
        <v>68.3</v>
      </c>
      <c r="D382">
        <f>VLOOKUP(A382,[1]Hoja1!$A$2:$P$391,16,FALSE)</f>
        <v>20490</v>
      </c>
    </row>
    <row r="383" spans="1:4" x14ac:dyDescent="0.2">
      <c r="A383" t="s">
        <v>382</v>
      </c>
      <c r="B383">
        <f>VLOOKUP(A383,[1]Hoja1!$A$2:$P$391,14,FALSE)</f>
        <v>50</v>
      </c>
      <c r="C383">
        <f>VLOOKUP(A383,[1]Hoja1!$A$2:$P$391,15,FALSE)</f>
        <v>31.36</v>
      </c>
      <c r="D383">
        <f>VLOOKUP(A383,[1]Hoja1!$A$2:$P$391,16,FALSE)</f>
        <v>1568</v>
      </c>
    </row>
    <row r="384" spans="1:4" x14ac:dyDescent="0.2">
      <c r="A384" t="s">
        <v>383</v>
      </c>
      <c r="B384">
        <f>VLOOKUP(A384,[1]Hoja1!$A$2:$P$391,14,FALSE)</f>
        <v>2</v>
      </c>
      <c r="C384">
        <f>VLOOKUP(A384,[1]Hoja1!$A$2:$P$391,15,FALSE)</f>
        <v>1.9252769999999999</v>
      </c>
      <c r="D384">
        <f>VLOOKUP(A384,[1]Hoja1!$A$2:$P$391,16,FALSE)</f>
        <v>3.8505539999999998</v>
      </c>
    </row>
    <row r="385" spans="1:4" x14ac:dyDescent="0.2">
      <c r="A385" t="s">
        <v>384</v>
      </c>
      <c r="B385">
        <f>VLOOKUP(A385,[1]Hoja1!$A$2:$P$391,14,FALSE)</f>
        <v>25</v>
      </c>
      <c r="C385">
        <f>VLOOKUP(A385,[1]Hoja1!$A$2:$P$391,15,FALSE)</f>
        <v>18.65368699322034</v>
      </c>
      <c r="D385">
        <f>VLOOKUP(A385,[1]Hoja1!$A$2:$P$391,16,FALSE)</f>
        <v>466.3421748305085</v>
      </c>
    </row>
    <row r="386" spans="1:4" x14ac:dyDescent="0.2">
      <c r="A386" t="s">
        <v>385</v>
      </c>
      <c r="B386">
        <f>VLOOKUP(A386,[1]Hoja1!$A$2:$P$391,14,FALSE)</f>
        <v>2</v>
      </c>
      <c r="C386">
        <f>VLOOKUP(A386,[1]Hoja1!$A$2:$P$391,15,FALSE)</f>
        <v>105.632575</v>
      </c>
      <c r="D386">
        <f>VLOOKUP(A386,[1]Hoja1!$A$2:$P$391,16,FALSE)</f>
        <v>211.26515000000001</v>
      </c>
    </row>
    <row r="387" spans="1:4" x14ac:dyDescent="0.2">
      <c r="A387" t="s">
        <v>386</v>
      </c>
      <c r="B387">
        <f>VLOOKUP(A387,[1]Hoja1!$A$2:$P$391,14,FALSE)</f>
        <v>10</v>
      </c>
      <c r="C387">
        <f>VLOOKUP(A387,[1]Hoja1!$A$2:$P$391,15,FALSE)</f>
        <v>52</v>
      </c>
      <c r="D387">
        <f>VLOOKUP(A387,[1]Hoja1!$A$2:$P$391,16,FALSE)</f>
        <v>520</v>
      </c>
    </row>
    <row r="388" spans="1:4" x14ac:dyDescent="0.2">
      <c r="A388" t="s">
        <v>387</v>
      </c>
      <c r="B388">
        <f>VLOOKUP(A388,[1]Hoja1!$A$2:$P$391,14,FALSE)</f>
        <v>2</v>
      </c>
      <c r="C388">
        <f>VLOOKUP(A388,[1]Hoja1!$A$2:$P$391,15,FALSE)</f>
        <v>13.19</v>
      </c>
      <c r="D388">
        <f>VLOOKUP(A388,[1]Hoja1!$A$2:$P$391,16,FALSE)</f>
        <v>26.38</v>
      </c>
    </row>
    <row r="389" spans="1:4" x14ac:dyDescent="0.2">
      <c r="A389" t="s">
        <v>388</v>
      </c>
      <c r="B389">
        <f>VLOOKUP(A389,[1]Hoja1!$A$2:$P$391,14,FALSE)</f>
        <v>1</v>
      </c>
      <c r="C389">
        <f>VLOOKUP(A389,[1]Hoja1!$A$2:$P$391,15,FALSE)</f>
        <v>19.052076</v>
      </c>
      <c r="D389">
        <f>VLOOKUP(A389,[1]Hoja1!$A$2:$P$391,16,FALSE)</f>
        <v>19.052076</v>
      </c>
    </row>
    <row r="390" spans="1:4" x14ac:dyDescent="0.2">
      <c r="A390" t="s">
        <v>389</v>
      </c>
      <c r="B390">
        <f>VLOOKUP(A390,[1]Hoja1!$A$2:$P$391,14,FALSE)</f>
        <v>1</v>
      </c>
      <c r="C390">
        <f>VLOOKUP(A390,[1]Hoja1!$A$2:$P$391,15,FALSE)</f>
        <v>178</v>
      </c>
      <c r="D390">
        <f>VLOOKUP(A390,[1]Hoja1!$A$2:$P$391,16,FALSE)</f>
        <v>178</v>
      </c>
    </row>
    <row r="391" spans="1:4" x14ac:dyDescent="0.2">
      <c r="A391" t="s">
        <v>390</v>
      </c>
      <c r="B391">
        <f>VLOOKUP(A391,[1]Hoja1!$A$2:$P$391,14,FALSE)</f>
        <v>1</v>
      </c>
      <c r="C391">
        <f>VLOOKUP(A391,[1]Hoja1!$A$2:$P$391,15,FALSE)</f>
        <v>5.19909</v>
      </c>
      <c r="D391">
        <f>VLOOKUP(A391,[1]Hoja1!$A$2:$P$391,16,FALSE)</f>
        <v>5.19909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Miguel Jurado Camacho</dc:creator>
  <cp:lastModifiedBy>Martín Miguel Jurado Camacho</cp:lastModifiedBy>
  <dcterms:created xsi:type="dcterms:W3CDTF">2026-02-11T21:50:23Z</dcterms:created>
  <dcterms:modified xsi:type="dcterms:W3CDTF">2026-02-11T21:54:23Z</dcterms:modified>
</cp:coreProperties>
</file>