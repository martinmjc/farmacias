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jurado/Documents/Malitzin/1datosSeguroUniversitario/BWO/"/>
    </mc:Choice>
  </mc:AlternateContent>
  <xr:revisionPtr revIDLastSave="0" documentId="8_{73170240-2E73-3343-8D95-F8EFF70944E2}" xr6:coauthVersionLast="47" xr6:coauthVersionMax="47" xr10:uidLastSave="{00000000-0000-0000-0000-000000000000}"/>
  <bookViews>
    <workbookView xWindow="0" yWindow="0" windowWidth="28800" windowHeight="18000" xr2:uid="{81B5A6B2-0A70-4340-947B-3CF20B01BA89}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2" i="1"/>
</calcChain>
</file>

<file path=xl/sharedStrings.xml><?xml version="1.0" encoding="utf-8"?>
<sst xmlns="http://schemas.openxmlformats.org/spreadsheetml/2006/main" count="391" uniqueCount="391">
  <si>
    <t>Código</t>
  </si>
  <si>
    <t>A-02-01</t>
  </si>
  <si>
    <t>A-02-02</t>
  </si>
  <si>
    <t>A-02-03</t>
  </si>
  <si>
    <t>A-02-04</t>
  </si>
  <si>
    <t>A-02-05</t>
  </si>
  <si>
    <t>A-03-01</t>
  </si>
  <si>
    <t>A-03-02</t>
  </si>
  <si>
    <t>A-03-04</t>
  </si>
  <si>
    <t>A-03-06</t>
  </si>
  <si>
    <t>A-03-07</t>
  </si>
  <si>
    <t>A-03-08</t>
  </si>
  <si>
    <t>A-03-09</t>
  </si>
  <si>
    <t>A-03-10</t>
  </si>
  <si>
    <t>A-03-11</t>
  </si>
  <si>
    <t>A-03-12</t>
  </si>
  <si>
    <t>A-03-13</t>
  </si>
  <si>
    <t>A-04-01</t>
  </si>
  <si>
    <t>A-05-01</t>
  </si>
  <si>
    <t>A-06-01</t>
  </si>
  <si>
    <t>A-06-02</t>
  </si>
  <si>
    <t>A-06-04</t>
  </si>
  <si>
    <t>A-06-05</t>
  </si>
  <si>
    <t>A-06-06</t>
  </si>
  <si>
    <t>A-06-07</t>
  </si>
  <si>
    <t>A-07-02</t>
  </si>
  <si>
    <t>A-07-04</t>
  </si>
  <si>
    <t>A-07-06</t>
  </si>
  <si>
    <t>A-07-07</t>
  </si>
  <si>
    <t>A-09-01</t>
  </si>
  <si>
    <t>A-10-01</t>
  </si>
  <si>
    <t>A-10-02</t>
  </si>
  <si>
    <t>A-10-03</t>
  </si>
  <si>
    <t>A-10-04</t>
  </si>
  <si>
    <t>A-10-05</t>
  </si>
  <si>
    <t>A-10-07</t>
  </si>
  <si>
    <t>A-11-02</t>
  </si>
  <si>
    <t>A-11-03</t>
  </si>
  <si>
    <t>A-11-04</t>
  </si>
  <si>
    <t>A-11-06</t>
  </si>
  <si>
    <t>A-11-07</t>
  </si>
  <si>
    <t>A-11-09</t>
  </si>
  <si>
    <t>A-11-10</t>
  </si>
  <si>
    <t>A-11-11</t>
  </si>
  <si>
    <t>A-11-13</t>
  </si>
  <si>
    <t>A-11-17</t>
  </si>
  <si>
    <t>A-11-19</t>
  </si>
  <si>
    <t>A-12-01</t>
  </si>
  <si>
    <t>A-12-02</t>
  </si>
  <si>
    <t>A-12-03</t>
  </si>
  <si>
    <t>A-12-05</t>
  </si>
  <si>
    <t>A-12-06</t>
  </si>
  <si>
    <t>B-01-01</t>
  </si>
  <si>
    <t>B-01-03</t>
  </si>
  <si>
    <t>B-01-031</t>
  </si>
  <si>
    <t>B-01-04</t>
  </si>
  <si>
    <t>B-01-05</t>
  </si>
  <si>
    <t>B-01-06</t>
  </si>
  <si>
    <t>B-02-02</t>
  </si>
  <si>
    <t>B-03-01</t>
  </si>
  <si>
    <t>B-03-02</t>
  </si>
  <si>
    <t>B-03-04</t>
  </si>
  <si>
    <t>B-03-05</t>
  </si>
  <si>
    <t>B-03-07</t>
  </si>
  <si>
    <t>B-03-08</t>
  </si>
  <si>
    <t>B-03-09</t>
  </si>
  <si>
    <t>B-05-01</t>
  </si>
  <si>
    <t>B-05-02</t>
  </si>
  <si>
    <t>B-05-03</t>
  </si>
  <si>
    <t>B-05-04</t>
  </si>
  <si>
    <t>B-05-06</t>
  </si>
  <si>
    <t>B-05-07</t>
  </si>
  <si>
    <t>B-05-10</t>
  </si>
  <si>
    <t>B-05-11</t>
  </si>
  <si>
    <t>B-05-15</t>
  </si>
  <si>
    <t>B-05-16</t>
  </si>
  <si>
    <t>B-05-17</t>
  </si>
  <si>
    <t>B-05-18</t>
  </si>
  <si>
    <t>B-05-19</t>
  </si>
  <si>
    <t>B-05-20</t>
  </si>
  <si>
    <t>B-05-21</t>
  </si>
  <si>
    <t>B-05-22</t>
  </si>
  <si>
    <t>B-05-23</t>
  </si>
  <si>
    <t>B-05-25</t>
  </si>
  <si>
    <t>B-05-29</t>
  </si>
  <si>
    <t>B-05-30</t>
  </si>
  <si>
    <t>B-05-31</t>
  </si>
  <si>
    <t>B-05-32</t>
  </si>
  <si>
    <t>B-05-33</t>
  </si>
  <si>
    <t>C-01-02</t>
  </si>
  <si>
    <t>C-01-03</t>
  </si>
  <si>
    <t>C-01-04</t>
  </si>
  <si>
    <t>C-01-06</t>
  </si>
  <si>
    <t>C-01-10</t>
  </si>
  <si>
    <t>C-01-11</t>
  </si>
  <si>
    <t>C-02-08</t>
  </si>
  <si>
    <t>C-03-01</t>
  </si>
  <si>
    <t>C-03-02</t>
  </si>
  <si>
    <t>C-03-04</t>
  </si>
  <si>
    <t>C-03-05</t>
  </si>
  <si>
    <t>C-03-06</t>
  </si>
  <si>
    <t>C-03-07</t>
  </si>
  <si>
    <t>C-05-01</t>
  </si>
  <si>
    <t>C-05-02</t>
  </si>
  <si>
    <t>C-07-01</t>
  </si>
  <si>
    <t>C-07-02</t>
  </si>
  <si>
    <t>C-07-04</t>
  </si>
  <si>
    <t>C-07-05</t>
  </si>
  <si>
    <t>C-07-06</t>
  </si>
  <si>
    <t>C-08-02</t>
  </si>
  <si>
    <t>C-08-07</t>
  </si>
  <si>
    <t>C-09-01</t>
  </si>
  <si>
    <t>C-09-02</t>
  </si>
  <si>
    <t>C-10-01</t>
  </si>
  <si>
    <t>C-10-02</t>
  </si>
  <si>
    <t>C-10-04</t>
  </si>
  <si>
    <t>C-10-05</t>
  </si>
  <si>
    <t>D-01-02</t>
  </si>
  <si>
    <t>D-01-03</t>
  </si>
  <si>
    <t>D-01-04</t>
  </si>
  <si>
    <t>D-01-06</t>
  </si>
  <si>
    <t>D-01-07</t>
  </si>
  <si>
    <t>D-02-02</t>
  </si>
  <si>
    <t>D-04-01</t>
  </si>
  <si>
    <t>D-06-02</t>
  </si>
  <si>
    <t>D-06-03</t>
  </si>
  <si>
    <t>D-07-01</t>
  </si>
  <si>
    <t>D-07-02</t>
  </si>
  <si>
    <t>D-07-03</t>
  </si>
  <si>
    <t>D-07-04</t>
  </si>
  <si>
    <t>D-10-01</t>
  </si>
  <si>
    <t>D-10-03</t>
  </si>
  <si>
    <t>D-10-04</t>
  </si>
  <si>
    <t>EX-01-021</t>
  </si>
  <si>
    <t>EX-01-04</t>
  </si>
  <si>
    <t>EX-01-042</t>
  </si>
  <si>
    <t>EX-01-11</t>
  </si>
  <si>
    <t>EX-01-15</t>
  </si>
  <si>
    <t>EX-01-16</t>
  </si>
  <si>
    <t>G-01-02</t>
  </si>
  <si>
    <t>G-01-03</t>
  </si>
  <si>
    <t>G-01-04</t>
  </si>
  <si>
    <t>G-01-05</t>
  </si>
  <si>
    <t>G-02-03</t>
  </si>
  <si>
    <t>G-02-04</t>
  </si>
  <si>
    <t>G-02-09</t>
  </si>
  <si>
    <t>G-03-02</t>
  </si>
  <si>
    <t>G-03-09</t>
  </si>
  <si>
    <t>G-03-12</t>
  </si>
  <si>
    <t>G-03-13</t>
  </si>
  <si>
    <t>G-03-18</t>
  </si>
  <si>
    <t>G-04-01</t>
  </si>
  <si>
    <t>H-02-01</t>
  </si>
  <si>
    <t>H-02-03</t>
  </si>
  <si>
    <t>H-02-04</t>
  </si>
  <si>
    <t>H-02-05</t>
  </si>
  <si>
    <t>H-02-06</t>
  </si>
  <si>
    <t>H-02-07</t>
  </si>
  <si>
    <t>H-02-08</t>
  </si>
  <si>
    <t>H-02-09</t>
  </si>
  <si>
    <t>H-03-01</t>
  </si>
  <si>
    <t>J-01-01</t>
  </si>
  <si>
    <t>J-01-02</t>
  </si>
  <si>
    <t>J-01-04</t>
  </si>
  <si>
    <t>J-01-05</t>
  </si>
  <si>
    <t>J-01-06</t>
  </si>
  <si>
    <t>J-01-09</t>
  </si>
  <si>
    <t>J-01-10</t>
  </si>
  <si>
    <t>J-01-13</t>
  </si>
  <si>
    <t>J-01-15</t>
  </si>
  <si>
    <t>J-01-16</t>
  </si>
  <si>
    <t>J-01-18</t>
  </si>
  <si>
    <t>J-01-21</t>
  </si>
  <si>
    <t>J-01-22</t>
  </si>
  <si>
    <t>J-01-23</t>
  </si>
  <si>
    <t>J-01-25</t>
  </si>
  <si>
    <t>J-01-26</t>
  </si>
  <si>
    <t>J-01-27</t>
  </si>
  <si>
    <t>J-01-28</t>
  </si>
  <si>
    <t>J-01-29</t>
  </si>
  <si>
    <t>J-01-36</t>
  </si>
  <si>
    <t>J-01-37</t>
  </si>
  <si>
    <t>J-01-38</t>
  </si>
  <si>
    <t>J-01-41</t>
  </si>
  <si>
    <t>J-01-44</t>
  </si>
  <si>
    <t>J-01-45</t>
  </si>
  <si>
    <t>J-01-50</t>
  </si>
  <si>
    <t>J-01-51</t>
  </si>
  <si>
    <t>J-01-54</t>
  </si>
  <si>
    <t>J-01-55</t>
  </si>
  <si>
    <t>J-01-57</t>
  </si>
  <si>
    <t>J-01-58</t>
  </si>
  <si>
    <t>J-01-62</t>
  </si>
  <si>
    <t>J-01-63</t>
  </si>
  <si>
    <t>J-01-64</t>
  </si>
  <si>
    <t>J-01-66</t>
  </si>
  <si>
    <t>J-01-68</t>
  </si>
  <si>
    <t>J-01-71</t>
  </si>
  <si>
    <t>J-02-02</t>
  </si>
  <si>
    <t>J-02-08</t>
  </si>
  <si>
    <t>J-05-04</t>
  </si>
  <si>
    <t>J-05-36</t>
  </si>
  <si>
    <t>L-01-24</t>
  </si>
  <si>
    <t>L-01-26</t>
  </si>
  <si>
    <t>L-02-01</t>
  </si>
  <si>
    <t>L-02-03</t>
  </si>
  <si>
    <t>L-02-05</t>
  </si>
  <si>
    <t>L-02-07</t>
  </si>
  <si>
    <t>L-02-08</t>
  </si>
  <si>
    <t>L-03-01</t>
  </si>
  <si>
    <t>L-04-01</t>
  </si>
  <si>
    <t>L-04-07</t>
  </si>
  <si>
    <t>L-04-10</t>
  </si>
  <si>
    <t>L-04-12</t>
  </si>
  <si>
    <t>M-01-01</t>
  </si>
  <si>
    <t>M-01-02</t>
  </si>
  <si>
    <t>M-01-03</t>
  </si>
  <si>
    <t>M-01-04</t>
  </si>
  <si>
    <t>M-01-05</t>
  </si>
  <si>
    <t>M-01-06</t>
  </si>
  <si>
    <t>M-01-07</t>
  </si>
  <si>
    <t>M-01-09</t>
  </si>
  <si>
    <t>M-01-10</t>
  </si>
  <si>
    <t>M-01-11</t>
  </si>
  <si>
    <t>M-03-01</t>
  </si>
  <si>
    <t>M-04-01</t>
  </si>
  <si>
    <t>M-04-02</t>
  </si>
  <si>
    <t>M-05-03</t>
  </si>
  <si>
    <t>N-01-02</t>
  </si>
  <si>
    <t>N-01-05</t>
  </si>
  <si>
    <t>N-01-12</t>
  </si>
  <si>
    <t>N-01-13</t>
  </si>
  <si>
    <t>N-01-15</t>
  </si>
  <si>
    <t>N-01-16</t>
  </si>
  <si>
    <t>N-02-03</t>
  </si>
  <si>
    <t>N-02-05</t>
  </si>
  <si>
    <t>N-02-07</t>
  </si>
  <si>
    <t>N-02-08</t>
  </si>
  <si>
    <t>N-02-09</t>
  </si>
  <si>
    <t>N-02-10</t>
  </si>
  <si>
    <t>N-02-11</t>
  </si>
  <si>
    <t>N-02-14</t>
  </si>
  <si>
    <t>N-02-15</t>
  </si>
  <si>
    <t>N-02-17</t>
  </si>
  <si>
    <t>N-03-03</t>
  </si>
  <si>
    <t>N-03-04</t>
  </si>
  <si>
    <t>N-03-06</t>
  </si>
  <si>
    <t>N-03-07</t>
  </si>
  <si>
    <t>N-03-08</t>
  </si>
  <si>
    <t>N-03-12</t>
  </si>
  <si>
    <t>N-03-21</t>
  </si>
  <si>
    <t>N-03-22</t>
  </si>
  <si>
    <t>N-04-01</t>
  </si>
  <si>
    <t>N-04-02</t>
  </si>
  <si>
    <t>N-05-01</t>
  </si>
  <si>
    <t>N-05-05</t>
  </si>
  <si>
    <t>N-05-11</t>
  </si>
  <si>
    <t>N-06-01</t>
  </si>
  <si>
    <t>N-06-04</t>
  </si>
  <si>
    <t>N-06-08</t>
  </si>
  <si>
    <t>N-07-01</t>
  </si>
  <si>
    <t>N-07-05</t>
  </si>
  <si>
    <t>N-07-08</t>
  </si>
  <si>
    <t>P-01-06</t>
  </si>
  <si>
    <t>P-01-07</t>
  </si>
  <si>
    <t>P-01-09</t>
  </si>
  <si>
    <t>P-01-11</t>
  </si>
  <si>
    <t>P-01-27</t>
  </si>
  <si>
    <t>P-02-01</t>
  </si>
  <si>
    <t>P-02-03</t>
  </si>
  <si>
    <t>P-02-05</t>
  </si>
  <si>
    <t>P-02-08</t>
  </si>
  <si>
    <t>P-02-14</t>
  </si>
  <si>
    <t>P-03-01</t>
  </si>
  <si>
    <t>R-03-03</t>
  </si>
  <si>
    <t>R-03-04</t>
  </si>
  <si>
    <t>R-03-06</t>
  </si>
  <si>
    <t>R-03-11</t>
  </si>
  <si>
    <t>R-03-13</t>
  </si>
  <si>
    <t>R-05-01</t>
  </si>
  <si>
    <t>R-05-02</t>
  </si>
  <si>
    <t>R-05-03</t>
  </si>
  <si>
    <t>R-06-01</t>
  </si>
  <si>
    <t>R-06-02</t>
  </si>
  <si>
    <t>R-06-03</t>
  </si>
  <si>
    <t>R-06-04</t>
  </si>
  <si>
    <t>R-06-07</t>
  </si>
  <si>
    <t>R-06-08</t>
  </si>
  <si>
    <t>S-01-04</t>
  </si>
  <si>
    <t>S-01-05</t>
  </si>
  <si>
    <t>S-01-06</t>
  </si>
  <si>
    <t>S-01-09</t>
  </si>
  <si>
    <t>S-01-12</t>
  </si>
  <si>
    <t>S-01-15</t>
  </si>
  <si>
    <t>S-01-16</t>
  </si>
  <si>
    <t>S-01-18</t>
  </si>
  <si>
    <t>S-01-19</t>
  </si>
  <si>
    <t>S-01-22</t>
  </si>
  <si>
    <t>S-01-24</t>
  </si>
  <si>
    <t>S-01-25</t>
  </si>
  <si>
    <t>S-01-27</t>
  </si>
  <si>
    <t>S-02-01</t>
  </si>
  <si>
    <t>V-03-01</t>
  </si>
  <si>
    <t>V-06-01</t>
  </si>
  <si>
    <t>V-06-04</t>
  </si>
  <si>
    <t>V-06-05</t>
  </si>
  <si>
    <t>V-06-06</t>
  </si>
  <si>
    <t>V-08-02</t>
  </si>
  <si>
    <t>V-08-05</t>
  </si>
  <si>
    <t>V-08-06</t>
  </si>
  <si>
    <t>V-08-07</t>
  </si>
  <si>
    <t>V-08-08</t>
  </si>
  <si>
    <t>B-05-09</t>
  </si>
  <si>
    <t>B-05-24</t>
  </si>
  <si>
    <t>C-01-15</t>
  </si>
  <si>
    <t>C-02-04</t>
  </si>
  <si>
    <t>G-01-01</t>
  </si>
  <si>
    <t>J-01-24</t>
  </si>
  <si>
    <t>J-01-30</t>
  </si>
  <si>
    <t>J-01-42</t>
  </si>
  <si>
    <t>J-01-46</t>
  </si>
  <si>
    <t>J-06-02</t>
  </si>
  <si>
    <t>L-01-03</t>
  </si>
  <si>
    <t>L-01-04</t>
  </si>
  <si>
    <t>L-01-06</t>
  </si>
  <si>
    <t>L-01-18</t>
  </si>
  <si>
    <t>L-01-28</t>
  </si>
  <si>
    <t>L-01-38</t>
  </si>
  <si>
    <t>L-02-11</t>
  </si>
  <si>
    <t>M-05-04</t>
  </si>
  <si>
    <t>N-03-20</t>
  </si>
  <si>
    <t>N-05-18</t>
  </si>
  <si>
    <t>N-07-06</t>
  </si>
  <si>
    <t>P-02-02</t>
  </si>
  <si>
    <t>S-01-26</t>
  </si>
  <si>
    <t>V-03-08</t>
  </si>
  <si>
    <t>V-08-03</t>
  </si>
  <si>
    <t>A-04-02</t>
  </si>
  <si>
    <t>A-11-18</t>
  </si>
  <si>
    <t>B-01-07</t>
  </si>
  <si>
    <t>B-02-06</t>
  </si>
  <si>
    <t>B-05-34</t>
  </si>
  <si>
    <t>C-01-13</t>
  </si>
  <si>
    <t>C-10-03</t>
  </si>
  <si>
    <t>D-02-04</t>
  </si>
  <si>
    <t>EX-01-19</t>
  </si>
  <si>
    <t>J-01-67</t>
  </si>
  <si>
    <t>J-01-69</t>
  </si>
  <si>
    <t>J-01-75</t>
  </si>
  <si>
    <t>J-05-43</t>
  </si>
  <si>
    <t>L-01-17</t>
  </si>
  <si>
    <t>L-01-21</t>
  </si>
  <si>
    <t>L-01-30</t>
  </si>
  <si>
    <t>L-01-34</t>
  </si>
  <si>
    <t>L-01-35</t>
  </si>
  <si>
    <t>L-01-36</t>
  </si>
  <si>
    <t>L-01-48</t>
  </si>
  <si>
    <t>L-01-52</t>
  </si>
  <si>
    <t>L-01-60</t>
  </si>
  <si>
    <t>N-03-17</t>
  </si>
  <si>
    <t>V-03-07</t>
  </si>
  <si>
    <t>C-03-03</t>
  </si>
  <si>
    <t>G-03-03</t>
  </si>
  <si>
    <t>H-03-02</t>
  </si>
  <si>
    <t>J-05-30</t>
  </si>
  <si>
    <t>L-01-09</t>
  </si>
  <si>
    <t>L-01-19</t>
  </si>
  <si>
    <t>L-02-04</t>
  </si>
  <si>
    <t>L-02-12</t>
  </si>
  <si>
    <t>N-03-18</t>
  </si>
  <si>
    <t>G-02-11</t>
  </si>
  <si>
    <t>J-01-11</t>
  </si>
  <si>
    <t>J-01-12</t>
  </si>
  <si>
    <t>J-05-45</t>
  </si>
  <si>
    <t>L-01-40</t>
  </si>
  <si>
    <t>L-01-50</t>
  </si>
  <si>
    <t>L-01-57</t>
  </si>
  <si>
    <t>L-02-09</t>
  </si>
  <si>
    <t>N-01-01</t>
  </si>
  <si>
    <t>R-07-01</t>
  </si>
  <si>
    <t>V-08-11</t>
  </si>
  <si>
    <t>A-02-07</t>
  </si>
  <si>
    <t>B-02-03</t>
  </si>
  <si>
    <t>C-08-04</t>
  </si>
  <si>
    <t>D-08-01</t>
  </si>
  <si>
    <t>D-08-02</t>
  </si>
  <si>
    <t>D-08-08</t>
  </si>
  <si>
    <t>D-08-10</t>
  </si>
  <si>
    <t>J-05-34</t>
  </si>
  <si>
    <t>N-01-09</t>
  </si>
  <si>
    <t>R-03-01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</si>
</sst>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1datosSeguroUniversitario/inventario/INVENTARIO%202021.xlsx" TargetMode="External"/><Relationship Id="rId1" Type="http://schemas.openxmlformats.org/officeDocument/2006/relationships/externalLinkPath" Target="/Users/martinjurado/Documents/Malitzin/1datosSeguroUniversitario/inventario/INVENTARIO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1datosSeguroUniversitario/inventario/INVENTARIO%202022.xlsx" TargetMode="External"/><Relationship Id="rId1" Type="http://schemas.openxmlformats.org/officeDocument/2006/relationships/externalLinkPath" Target="/Users/martinjurado/Documents/Malitzin/1datosSeguroUniversitario/inventario/INVENTARIO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1datosSeguroUniversitario/inventario/INVENTARIO%202023.xlsx" TargetMode="External"/><Relationship Id="rId1" Type="http://schemas.openxmlformats.org/officeDocument/2006/relationships/externalLinkPath" Target="/Users/martinjurado/Documents/Malitzin/1datosSeguroUniversitario/inventario/INVENTARIO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1datosSeguroUniversitario/inventario/INVENTARIO%202024.xlsx" TargetMode="External"/><Relationship Id="rId1" Type="http://schemas.openxmlformats.org/officeDocument/2006/relationships/externalLinkPath" Target="/Users/martinjurado/Documents/Malitzin/1datosSeguroUniversitario/inventario/INVENTARIO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1datosSeguroUniversitario/inventario/INVENTARIO%202025.xlsx" TargetMode="External"/><Relationship Id="rId1" Type="http://schemas.openxmlformats.org/officeDocument/2006/relationships/externalLinkPath" Target="/Users/martinjurado/Documents/Malitzin/1datosSeguroUniversitario/inventario/INVENTARI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0">
          <cell r="B10" t="str">
            <v>Codigo</v>
          </cell>
          <cell r="C10" t="str">
            <v>Detalle</v>
          </cell>
          <cell r="D10" t="str">
            <v>Unidad</v>
          </cell>
          <cell r="E10" t="str">
            <v>Cant. Inicial</v>
          </cell>
          <cell r="F10" t="str">
            <v>Importe Inicial</v>
          </cell>
          <cell r="H10" t="str">
            <v>Cant. Entrada</v>
          </cell>
          <cell r="J10" t="str">
            <v>Imp. Entrada</v>
          </cell>
          <cell r="M10" t="str">
            <v>Cant. Ajuste(+)</v>
          </cell>
          <cell r="N10" t="str">
            <v>Imp. Ajuste(+)</v>
          </cell>
          <cell r="P10" t="str">
            <v>Cant. Salida</v>
          </cell>
          <cell r="R10" t="str">
            <v>Imp. Salida</v>
          </cell>
          <cell r="S10" t="str">
            <v>Cant. Ajuste(-)</v>
          </cell>
          <cell r="T10" t="str">
            <v>Imp. Ajuste(-)</v>
          </cell>
          <cell r="U10" t="str">
            <v>Cant. Saldo</v>
          </cell>
          <cell r="V10" t="str">
            <v>Imp/Unit Saldo</v>
          </cell>
          <cell r="W10" t="str">
            <v>Importe Total Saldo</v>
          </cell>
          <cell r="X10" t="str">
            <v>Ult. Tipo Camb</v>
          </cell>
          <cell r="Y10" t="str">
            <v>Ajuste</v>
          </cell>
          <cell r="Z10" t="str">
            <v>Costo Actualizado</v>
          </cell>
          <cell r="AA10" t="str">
            <v>Total Actualizado</v>
          </cell>
        </row>
        <row r="11">
          <cell r="B11" t="str">
            <v>A-02-01</v>
          </cell>
          <cell r="C11" t="str">
            <v>HIDROXIDO DE ALUMINIO Y MAGNESIO .:. 1 : 1</v>
          </cell>
          <cell r="D11" t="str">
            <v>Suspensión</v>
          </cell>
          <cell r="E11">
            <v>230</v>
          </cell>
          <cell r="F11">
            <v>2265.743925626</v>
          </cell>
          <cell r="H11">
            <v>900</v>
          </cell>
          <cell r="J11">
            <v>7910</v>
          </cell>
          <cell r="M11">
            <v>1</v>
          </cell>
          <cell r="N11">
            <v>9.4735969999999998</v>
          </cell>
          <cell r="P11">
            <v>895</v>
          </cell>
          <cell r="R11">
            <v>8317.9375080000009</v>
          </cell>
          <cell r="S11">
            <v>0</v>
          </cell>
          <cell r="T11">
            <v>0</v>
          </cell>
          <cell r="U11">
            <v>236</v>
          </cell>
          <cell r="V11">
            <v>7.9122033898000002</v>
          </cell>
          <cell r="W11">
            <v>1867.2799999928</v>
          </cell>
          <cell r="X11">
            <v>2.3737599999999999</v>
          </cell>
          <cell r="Y11">
            <v>0</v>
          </cell>
          <cell r="Z11">
            <v>7.9122033898000002</v>
          </cell>
          <cell r="AA11">
            <v>1867.2799999928</v>
          </cell>
        </row>
        <row r="12">
          <cell r="B12" t="str">
            <v>A-02-02</v>
          </cell>
          <cell r="C12" t="str">
            <v>OMEPRAZOL .:. 20 mg</v>
          </cell>
          <cell r="D12" t="str">
            <v>Cápsula</v>
          </cell>
          <cell r="E12">
            <v>9600</v>
          </cell>
          <cell r="F12">
            <v>2820.5288908799998</v>
          </cell>
          <cell r="H12">
            <v>79000</v>
          </cell>
          <cell r="J12">
            <v>22630</v>
          </cell>
          <cell r="M12">
            <v>80</v>
          </cell>
          <cell r="N12">
            <v>23.348240000000001</v>
          </cell>
          <cell r="P12">
            <v>66251</v>
          </cell>
          <cell r="R12">
            <v>18998.783041999999</v>
          </cell>
          <cell r="S12">
            <v>0</v>
          </cell>
          <cell r="T12">
            <v>0</v>
          </cell>
          <cell r="U12">
            <v>22429</v>
          </cell>
          <cell r="V12">
            <v>0.28869276379999997</v>
          </cell>
          <cell r="W12">
            <v>6475.0899992701998</v>
          </cell>
          <cell r="X12">
            <v>2.3737599999999999</v>
          </cell>
          <cell r="Y12">
            <v>0</v>
          </cell>
          <cell r="Z12">
            <v>0.28869276379999997</v>
          </cell>
          <cell r="AA12">
            <v>6475.0899992701998</v>
          </cell>
        </row>
        <row r="13">
          <cell r="B13" t="str">
            <v>A-02-03</v>
          </cell>
          <cell r="C13" t="str">
            <v>RANITIDINA .:. 150 mg</v>
          </cell>
          <cell r="D13" t="str">
            <v>Comprimido</v>
          </cell>
          <cell r="E13">
            <v>568</v>
          </cell>
          <cell r="F13">
            <v>188.9513729672</v>
          </cell>
          <cell r="H13">
            <v>5000</v>
          </cell>
          <cell r="J13">
            <v>1860</v>
          </cell>
          <cell r="M13">
            <v>34</v>
          </cell>
          <cell r="N13">
            <v>9.4194619999999993</v>
          </cell>
          <cell r="P13">
            <v>3773</v>
          </cell>
          <cell r="R13">
            <v>1326.7677269999999</v>
          </cell>
          <cell r="S13">
            <v>0</v>
          </cell>
          <cell r="T13">
            <v>0</v>
          </cell>
          <cell r="U13">
            <v>1829</v>
          </cell>
          <cell r="V13">
            <v>0.4</v>
          </cell>
          <cell r="W13">
            <v>731.6</v>
          </cell>
          <cell r="X13">
            <v>2.3737599999999999</v>
          </cell>
          <cell r="Y13">
            <v>0</v>
          </cell>
          <cell r="Z13">
            <v>0.4</v>
          </cell>
          <cell r="AA13">
            <v>731.6</v>
          </cell>
        </row>
        <row r="14">
          <cell r="B14" t="str">
            <v>A-02-04</v>
          </cell>
          <cell r="C14" t="str">
            <v>RANITIDINA .:. 50 mg</v>
          </cell>
          <cell r="D14" t="str">
            <v>Inyectable</v>
          </cell>
          <cell r="E14">
            <v>165</v>
          </cell>
          <cell r="F14">
            <v>231.48080361449999</v>
          </cell>
          <cell r="H14">
            <v>500</v>
          </cell>
          <cell r="J14">
            <v>580</v>
          </cell>
          <cell r="M14">
            <v>10</v>
          </cell>
          <cell r="N14">
            <v>12.56657</v>
          </cell>
          <cell r="P14">
            <v>405</v>
          </cell>
          <cell r="R14">
            <v>516.25535600000001</v>
          </cell>
          <cell r="S14">
            <v>0</v>
          </cell>
          <cell r="T14">
            <v>0</v>
          </cell>
          <cell r="U14">
            <v>270</v>
          </cell>
          <cell r="V14">
            <v>1.1399629630000001</v>
          </cell>
          <cell r="W14">
            <v>307.79000001000003</v>
          </cell>
          <cell r="X14">
            <v>2.3737599999999999</v>
          </cell>
          <cell r="Y14">
            <v>0</v>
          </cell>
          <cell r="Z14">
            <v>1.1399629630000001</v>
          </cell>
          <cell r="AA14">
            <v>307.79000001000003</v>
          </cell>
        </row>
        <row r="15">
          <cell r="B15" t="str">
            <v>A-02-05</v>
          </cell>
          <cell r="C15" t="str">
            <v>OMEPRAZOL .:. 40 mg/ml</v>
          </cell>
          <cell r="D15" t="str">
            <v>Inyectable</v>
          </cell>
          <cell r="E15">
            <v>676</v>
          </cell>
          <cell r="F15">
            <v>7373.8080642200002</v>
          </cell>
          <cell r="H15">
            <v>3200</v>
          </cell>
          <cell r="J15">
            <v>30750</v>
          </cell>
          <cell r="M15">
            <v>125</v>
          </cell>
          <cell r="N15">
            <v>1294.950836</v>
          </cell>
          <cell r="P15">
            <v>2955</v>
          </cell>
          <cell r="R15">
            <v>29136.441136000001</v>
          </cell>
          <cell r="S15">
            <v>48</v>
          </cell>
          <cell r="T15">
            <v>523.58400300000005</v>
          </cell>
          <cell r="U15">
            <v>998</v>
          </cell>
          <cell r="V15">
            <v>9.7782865731000008</v>
          </cell>
          <cell r="W15">
            <v>9758.7299999538009</v>
          </cell>
          <cell r="X15">
            <v>2.3737599999999999</v>
          </cell>
          <cell r="Y15">
            <v>0</v>
          </cell>
          <cell r="Z15">
            <v>9.7782865731000008</v>
          </cell>
          <cell r="AA15">
            <v>9758.7299999538009</v>
          </cell>
        </row>
        <row r="16">
          <cell r="B16" t="str">
            <v>A-03-01</v>
          </cell>
          <cell r="C16" t="str">
            <v>ATROPINA SULFATO .:. 1 mg/ml</v>
          </cell>
          <cell r="D16" t="str">
            <v>Inyectable</v>
          </cell>
          <cell r="E16">
            <v>24</v>
          </cell>
          <cell r="F16">
            <v>41.394806959199997</v>
          </cell>
          <cell r="H16">
            <v>200</v>
          </cell>
          <cell r="J16">
            <v>470</v>
          </cell>
          <cell r="M16">
            <v>6</v>
          </cell>
          <cell r="N16">
            <v>13.834860000000001</v>
          </cell>
          <cell r="P16">
            <v>111</v>
          </cell>
          <cell r="R16">
            <v>242.00304399999999</v>
          </cell>
          <cell r="S16">
            <v>0</v>
          </cell>
          <cell r="T16">
            <v>0</v>
          </cell>
          <cell r="U16">
            <v>119</v>
          </cell>
          <cell r="V16">
            <v>2.3800840336000002</v>
          </cell>
          <cell r="W16">
            <v>283.22999999839999</v>
          </cell>
          <cell r="X16">
            <v>2.3737599999999999</v>
          </cell>
          <cell r="Y16">
            <v>0</v>
          </cell>
          <cell r="Z16">
            <v>2.3800840336000002</v>
          </cell>
          <cell r="AA16">
            <v>283.22999999839999</v>
          </cell>
        </row>
        <row r="17">
          <cell r="B17" t="str">
            <v>A-03-02</v>
          </cell>
          <cell r="C17" t="str">
            <v>BUTILBROMURO DE HIOSCINA (BUTILESCOPOLAMINA) .:. 10 mg</v>
          </cell>
          <cell r="D17" t="str">
            <v>Comprimido</v>
          </cell>
          <cell r="E17">
            <v>290</v>
          </cell>
          <cell r="F17">
            <v>434.99998399200001</v>
          </cell>
          <cell r="H17">
            <v>550</v>
          </cell>
          <cell r="J17">
            <v>812.5</v>
          </cell>
          <cell r="M17">
            <v>6</v>
          </cell>
          <cell r="N17">
            <v>8.8484820000000006</v>
          </cell>
          <cell r="P17">
            <v>520</v>
          </cell>
          <cell r="R17">
            <v>775.58075899999994</v>
          </cell>
          <cell r="S17">
            <v>0</v>
          </cell>
          <cell r="T17">
            <v>0</v>
          </cell>
          <cell r="U17">
            <v>326</v>
          </cell>
          <cell r="V17">
            <v>1.4747546011999999</v>
          </cell>
          <cell r="W17">
            <v>480.7699999912</v>
          </cell>
          <cell r="X17">
            <v>2.3737599999999999</v>
          </cell>
          <cell r="Y17">
            <v>0</v>
          </cell>
          <cell r="Z17">
            <v>1.4747546011999999</v>
          </cell>
          <cell r="AA17">
            <v>480.7699999912</v>
          </cell>
        </row>
        <row r="18">
          <cell r="B18" t="str">
            <v>A-03-04</v>
          </cell>
          <cell r="C18" t="str">
            <v>BUTILBROMURO DE HIOSCINA (BUTILESCOPOLAMINA) .:. 20 mg/ml</v>
          </cell>
          <cell r="D18" t="str">
            <v>Inyectable</v>
          </cell>
          <cell r="E18">
            <v>59</v>
          </cell>
          <cell r="F18">
            <v>210.85491305630001</v>
          </cell>
          <cell r="H18">
            <v>350</v>
          </cell>
          <cell r="J18">
            <v>1450</v>
          </cell>
          <cell r="M18">
            <v>5</v>
          </cell>
          <cell r="N18">
            <v>19.872734999999999</v>
          </cell>
          <cell r="P18">
            <v>218</v>
          </cell>
          <cell r="R18">
            <v>906.65495699999997</v>
          </cell>
          <cell r="S18">
            <v>0</v>
          </cell>
          <cell r="T18">
            <v>0</v>
          </cell>
          <cell r="U18">
            <v>196</v>
          </cell>
          <cell r="V18">
            <v>3.9493367347000001</v>
          </cell>
          <cell r="W18">
            <v>774.07000000120001</v>
          </cell>
          <cell r="X18">
            <v>2.3737599999999999</v>
          </cell>
          <cell r="Y18">
            <v>0</v>
          </cell>
          <cell r="Z18">
            <v>3.9493367347000001</v>
          </cell>
          <cell r="AA18">
            <v>774.07000000120001</v>
          </cell>
        </row>
        <row r="19">
          <cell r="B19" t="str">
            <v>A-03-06</v>
          </cell>
          <cell r="C19" t="str">
            <v>DOMPERIDONA .:. 10 mg</v>
          </cell>
          <cell r="D19" t="str">
            <v>Comprimido</v>
          </cell>
          <cell r="E19">
            <v>4869</v>
          </cell>
          <cell r="F19">
            <v>1136.1933823887</v>
          </cell>
          <cell r="H19">
            <v>45000</v>
          </cell>
          <cell r="J19">
            <v>13110</v>
          </cell>
          <cell r="M19">
            <v>78</v>
          </cell>
          <cell r="N19">
            <v>22.404216000000002</v>
          </cell>
          <cell r="P19">
            <v>37869</v>
          </cell>
          <cell r="R19">
            <v>10971.059213</v>
          </cell>
          <cell r="S19">
            <v>0</v>
          </cell>
          <cell r="T19">
            <v>0</v>
          </cell>
          <cell r="U19">
            <v>12078</v>
          </cell>
          <cell r="V19">
            <v>0.27302036759999998</v>
          </cell>
          <cell r="W19">
            <v>3297.5399998727999</v>
          </cell>
          <cell r="X19">
            <v>2.3737599999999999</v>
          </cell>
          <cell r="Y19">
            <v>0</v>
          </cell>
          <cell r="Z19">
            <v>0.27302036759999998</v>
          </cell>
          <cell r="AA19">
            <v>3297.5399998727999</v>
          </cell>
        </row>
        <row r="20">
          <cell r="B20" t="str">
            <v>A-03-07</v>
          </cell>
          <cell r="C20" t="str">
            <v>METOCLOPRAMIDA .:. 10 mg</v>
          </cell>
          <cell r="D20" t="str">
            <v>Comprimido</v>
          </cell>
          <cell r="E20">
            <v>1851</v>
          </cell>
          <cell r="F20">
            <v>370.75697182319999</v>
          </cell>
          <cell r="H20">
            <v>2000</v>
          </cell>
          <cell r="J20">
            <v>420</v>
          </cell>
          <cell r="M20">
            <v>30</v>
          </cell>
          <cell r="N20">
            <v>5.9701500000000003</v>
          </cell>
          <cell r="P20">
            <v>2824</v>
          </cell>
          <cell r="R20">
            <v>574.75707999999997</v>
          </cell>
          <cell r="S20">
            <v>0</v>
          </cell>
          <cell r="T20">
            <v>0</v>
          </cell>
          <cell r="U20">
            <v>1057</v>
          </cell>
          <cell r="V20">
            <v>0.21</v>
          </cell>
          <cell r="W20">
            <v>221.97</v>
          </cell>
          <cell r="X20">
            <v>2.3737599999999999</v>
          </cell>
          <cell r="Y20">
            <v>0</v>
          </cell>
          <cell r="Z20">
            <v>0.21</v>
          </cell>
          <cell r="AA20">
            <v>221.97</v>
          </cell>
        </row>
        <row r="21">
          <cell r="B21" t="str">
            <v>A-03-08</v>
          </cell>
          <cell r="C21" t="str">
            <v>METOCLOPRAMIDA .:. 10 mg/2ml</v>
          </cell>
          <cell r="D21" t="str">
            <v>Inyectable</v>
          </cell>
          <cell r="E21">
            <v>358</v>
          </cell>
          <cell r="F21">
            <v>481.46880067979998</v>
          </cell>
          <cell r="H21">
            <v>1700</v>
          </cell>
          <cell r="J21">
            <v>1700</v>
          </cell>
          <cell r="M21">
            <v>74</v>
          </cell>
          <cell r="N21">
            <v>74.726393000000002</v>
          </cell>
          <cell r="P21">
            <v>1459</v>
          </cell>
          <cell r="R21">
            <v>1577.8650250000001</v>
          </cell>
          <cell r="S21">
            <v>0</v>
          </cell>
          <cell r="T21">
            <v>0</v>
          </cell>
          <cell r="U21">
            <v>673</v>
          </cell>
          <cell r="V21">
            <v>1.0079197623</v>
          </cell>
          <cell r="W21">
            <v>678.33000002790004</v>
          </cell>
          <cell r="X21">
            <v>2.3737599999999999</v>
          </cell>
          <cell r="Y21">
            <v>0</v>
          </cell>
          <cell r="Z21">
            <v>1.0079197623</v>
          </cell>
          <cell r="AA21">
            <v>678.33000002790004</v>
          </cell>
        </row>
        <row r="22">
          <cell r="B22" t="str">
            <v>A-03-09</v>
          </cell>
          <cell r="C22" t="str">
            <v>METOCLOPRAMIDA .:. 0,35% o 0,5%</v>
          </cell>
          <cell r="D22" t="str">
            <v>Solución oral gotas</v>
          </cell>
          <cell r="E22">
            <v>9</v>
          </cell>
          <cell r="F22">
            <v>46.353770489699997</v>
          </cell>
          <cell r="H22">
            <v>30</v>
          </cell>
          <cell r="J22">
            <v>144.80000000000001</v>
          </cell>
          <cell r="M22">
            <v>0</v>
          </cell>
          <cell r="N22">
            <v>0</v>
          </cell>
          <cell r="P22">
            <v>25</v>
          </cell>
          <cell r="R22">
            <v>121.293762</v>
          </cell>
          <cell r="S22">
            <v>0</v>
          </cell>
          <cell r="T22">
            <v>0</v>
          </cell>
          <cell r="U22">
            <v>14</v>
          </cell>
          <cell r="V22">
            <v>4.99</v>
          </cell>
          <cell r="W22">
            <v>69.86</v>
          </cell>
          <cell r="X22">
            <v>2.3737599999999999</v>
          </cell>
          <cell r="Y22">
            <v>0</v>
          </cell>
          <cell r="Z22">
            <v>4.99</v>
          </cell>
          <cell r="AA22">
            <v>69.86</v>
          </cell>
        </row>
        <row r="23">
          <cell r="B23" t="str">
            <v>A-03-10</v>
          </cell>
          <cell r="C23" t="str">
            <v>PROPINOXATO .:. 10 mg</v>
          </cell>
          <cell r="D23" t="str">
            <v>Comprimido</v>
          </cell>
          <cell r="E23">
            <v>2478</v>
          </cell>
          <cell r="F23">
            <v>3960.7687452437999</v>
          </cell>
          <cell r="H23">
            <v>0</v>
          </cell>
          <cell r="J23">
            <v>0</v>
          </cell>
          <cell r="M23">
            <v>0</v>
          </cell>
          <cell r="N23">
            <v>0</v>
          </cell>
          <cell r="P23">
            <v>2166</v>
          </cell>
          <cell r="R23">
            <v>3462.076102</v>
          </cell>
          <cell r="S23">
            <v>0</v>
          </cell>
          <cell r="T23">
            <v>0</v>
          </cell>
          <cell r="U23">
            <v>312</v>
          </cell>
          <cell r="V23">
            <v>1.5983653846000001</v>
          </cell>
          <cell r="W23">
            <v>498.68999999520003</v>
          </cell>
          <cell r="X23">
            <v>2.3737599999999999</v>
          </cell>
          <cell r="Y23">
            <v>0</v>
          </cell>
          <cell r="Z23">
            <v>1.5983653846000001</v>
          </cell>
          <cell r="AA23">
            <v>498.68999999520003</v>
          </cell>
        </row>
        <row r="24">
          <cell r="B24" t="str">
            <v>A-03-11</v>
          </cell>
          <cell r="C24" t="str">
            <v>PROPINOXATO .:. 5 mg/ml</v>
          </cell>
          <cell r="D24" t="str">
            <v>Inyectable</v>
          </cell>
          <cell r="E24">
            <v>301</v>
          </cell>
          <cell r="F24">
            <v>1464.7352812001</v>
          </cell>
          <cell r="H24">
            <v>300</v>
          </cell>
          <cell r="J24">
            <v>1458</v>
          </cell>
          <cell r="M24">
            <v>0</v>
          </cell>
          <cell r="N24">
            <v>0</v>
          </cell>
          <cell r="P24">
            <v>491</v>
          </cell>
          <cell r="R24">
            <v>2384.835165</v>
          </cell>
          <cell r="S24">
            <v>0</v>
          </cell>
          <cell r="T24">
            <v>0</v>
          </cell>
          <cell r="U24">
            <v>110</v>
          </cell>
          <cell r="V24">
            <v>4.8899999999999997</v>
          </cell>
          <cell r="W24">
            <v>537.9</v>
          </cell>
          <cell r="X24">
            <v>2.3737599999999999</v>
          </cell>
          <cell r="Y24">
            <v>0</v>
          </cell>
          <cell r="Z24">
            <v>4.8899999999999997</v>
          </cell>
          <cell r="AA24">
            <v>537.9</v>
          </cell>
        </row>
        <row r="25">
          <cell r="B25" t="str">
            <v>A-03-12</v>
          </cell>
          <cell r="C25" t="str">
            <v>SIMETICONA .:. 3% o 4%</v>
          </cell>
          <cell r="D25" t="str">
            <v>Suspensión</v>
          </cell>
          <cell r="E25">
            <v>51</v>
          </cell>
          <cell r="F25">
            <v>896.69907064860001</v>
          </cell>
          <cell r="H25">
            <v>100</v>
          </cell>
          <cell r="J25">
            <v>1699.3</v>
          </cell>
          <cell r="M25">
            <v>0</v>
          </cell>
          <cell r="N25">
            <v>0</v>
          </cell>
          <cell r="P25">
            <v>90</v>
          </cell>
          <cell r="R25">
            <v>1559.526196</v>
          </cell>
          <cell r="S25">
            <v>0</v>
          </cell>
          <cell r="T25">
            <v>0</v>
          </cell>
          <cell r="U25">
            <v>61</v>
          </cell>
          <cell r="V25">
            <v>16.9913114754</v>
          </cell>
          <cell r="W25">
            <v>1036.4699999994</v>
          </cell>
          <cell r="X25">
            <v>2.3737599999999999</v>
          </cell>
          <cell r="Y25">
            <v>0</v>
          </cell>
          <cell r="Z25">
            <v>16.9913114754</v>
          </cell>
          <cell r="AA25">
            <v>1036.4699999994</v>
          </cell>
        </row>
        <row r="26">
          <cell r="B26" t="str">
            <v>A-03-13</v>
          </cell>
          <cell r="C26" t="str">
            <v>SIMETICONA .:. 100 mg</v>
          </cell>
          <cell r="D26" t="str">
            <v>Comprimido</v>
          </cell>
          <cell r="E26">
            <v>7630</v>
          </cell>
          <cell r="F26">
            <v>8807.6531931150002</v>
          </cell>
          <cell r="H26">
            <v>25000</v>
          </cell>
          <cell r="J26">
            <v>30350</v>
          </cell>
          <cell r="M26">
            <v>30</v>
          </cell>
          <cell r="N26">
            <v>32.88579</v>
          </cell>
          <cell r="P26">
            <v>24969</v>
          </cell>
          <cell r="R26">
            <v>30038.248450999999</v>
          </cell>
          <cell r="S26">
            <v>0</v>
          </cell>
          <cell r="T26">
            <v>0</v>
          </cell>
          <cell r="U26">
            <v>7691</v>
          </cell>
          <cell r="V26">
            <v>1.19</v>
          </cell>
          <cell r="W26">
            <v>9152.2900000000009</v>
          </cell>
          <cell r="X26">
            <v>2.3737599999999999</v>
          </cell>
          <cell r="Y26">
            <v>0</v>
          </cell>
          <cell r="Z26">
            <v>1.19</v>
          </cell>
          <cell r="AA26">
            <v>9152.2900000000009</v>
          </cell>
        </row>
        <row r="27">
          <cell r="B27" t="str">
            <v>A-04-01</v>
          </cell>
          <cell r="C27" t="str">
            <v>ONDANSETRON .:. 8 mg</v>
          </cell>
          <cell r="D27" t="str">
            <v>Inyectable</v>
          </cell>
          <cell r="E27">
            <v>160</v>
          </cell>
          <cell r="F27">
            <v>2171.8601497919999</v>
          </cell>
          <cell r="H27">
            <v>350</v>
          </cell>
          <cell r="J27">
            <v>3775</v>
          </cell>
          <cell r="M27">
            <v>34</v>
          </cell>
          <cell r="N27">
            <v>423.45469700000001</v>
          </cell>
          <cell r="P27">
            <v>397</v>
          </cell>
          <cell r="R27">
            <v>5046.4509859999998</v>
          </cell>
          <cell r="S27">
            <v>1</v>
          </cell>
          <cell r="T27">
            <v>13.554878</v>
          </cell>
          <cell r="U27">
            <v>146</v>
          </cell>
          <cell r="V27">
            <v>8.9747260273999991</v>
          </cell>
          <cell r="W27">
            <v>1310.3100000003999</v>
          </cell>
          <cell r="X27">
            <v>2.3737599999999999</v>
          </cell>
          <cell r="Y27">
            <v>0</v>
          </cell>
          <cell r="Z27">
            <v>8.9747260273999991</v>
          </cell>
          <cell r="AA27">
            <v>1310.3100000003999</v>
          </cell>
        </row>
        <row r="28">
          <cell r="B28" t="str">
            <v>A-05-01</v>
          </cell>
          <cell r="C28" t="str">
            <v xml:space="preserve">ACIDO URSODEOXICOLICO  250 MG .:. 250 MG. </v>
          </cell>
          <cell r="D28" t="str">
            <v>Comprimido o Cápsula</v>
          </cell>
          <cell r="E28">
            <v>150</v>
          </cell>
          <cell r="F28">
            <v>1498.8830092799999</v>
          </cell>
          <cell r="H28">
            <v>2000</v>
          </cell>
          <cell r="J28">
            <v>19900</v>
          </cell>
          <cell r="M28">
            <v>0</v>
          </cell>
          <cell r="N28">
            <v>0</v>
          </cell>
          <cell r="P28">
            <v>1770</v>
          </cell>
          <cell r="R28">
            <v>17617.883009000001</v>
          </cell>
          <cell r="S28">
            <v>0</v>
          </cell>
          <cell r="T28">
            <v>0</v>
          </cell>
          <cell r="U28">
            <v>380</v>
          </cell>
          <cell r="V28">
            <v>9.9499999999999993</v>
          </cell>
          <cell r="W28">
            <v>3781</v>
          </cell>
          <cell r="X28">
            <v>2.3737599999999999</v>
          </cell>
          <cell r="Y28">
            <v>0</v>
          </cell>
          <cell r="Z28">
            <v>9.9499999999999993</v>
          </cell>
          <cell r="AA28">
            <v>3781</v>
          </cell>
        </row>
        <row r="29">
          <cell r="B29" t="str">
            <v>A-06-01</v>
          </cell>
          <cell r="C29" t="str">
            <v>ACEITE MINERAL .:. 0.4</v>
          </cell>
          <cell r="D29" t="str">
            <v>Emulsión oral</v>
          </cell>
          <cell r="E29">
            <v>22</v>
          </cell>
          <cell r="F29">
            <v>297.15487440319998</v>
          </cell>
          <cell r="H29">
            <v>650</v>
          </cell>
          <cell r="J29">
            <v>8338</v>
          </cell>
          <cell r="M29">
            <v>0</v>
          </cell>
          <cell r="N29">
            <v>0</v>
          </cell>
          <cell r="P29">
            <v>494</v>
          </cell>
          <cell r="R29">
            <v>6381.9886839999999</v>
          </cell>
          <cell r="S29">
            <v>0</v>
          </cell>
          <cell r="T29">
            <v>0</v>
          </cell>
          <cell r="U29">
            <v>178</v>
          </cell>
          <cell r="V29">
            <v>12.658258427</v>
          </cell>
          <cell r="W29">
            <v>2253.170000006</v>
          </cell>
          <cell r="X29">
            <v>2.3737599999999999</v>
          </cell>
          <cell r="Y29">
            <v>0</v>
          </cell>
          <cell r="Z29">
            <v>12.658258427</v>
          </cell>
          <cell r="AA29">
            <v>2253.170000006</v>
          </cell>
        </row>
        <row r="30">
          <cell r="B30" t="str">
            <v>A-06-02</v>
          </cell>
          <cell r="C30" t="str">
            <v>BISACODILO .:. 5 mg</v>
          </cell>
          <cell r="D30" t="str">
            <v>Comprimido</v>
          </cell>
          <cell r="E30">
            <v>167</v>
          </cell>
          <cell r="F30">
            <v>120.6242905303</v>
          </cell>
          <cell r="H30">
            <v>0</v>
          </cell>
          <cell r="J30">
            <v>0</v>
          </cell>
          <cell r="M30">
            <v>0</v>
          </cell>
          <cell r="N30">
            <v>0</v>
          </cell>
          <cell r="P30">
            <v>94</v>
          </cell>
          <cell r="R30">
            <v>67.896296000000007</v>
          </cell>
          <cell r="S30">
            <v>0</v>
          </cell>
          <cell r="T30">
            <v>0</v>
          </cell>
          <cell r="U30">
            <v>73</v>
          </cell>
          <cell r="V30">
            <v>0.72232876710000005</v>
          </cell>
          <cell r="W30">
            <v>52.729999998300002</v>
          </cell>
          <cell r="X30">
            <v>2.3737599999999999</v>
          </cell>
          <cell r="Y30">
            <v>0</v>
          </cell>
          <cell r="Z30">
            <v>0.72232876710000005</v>
          </cell>
          <cell r="AA30">
            <v>52.729999998300002</v>
          </cell>
        </row>
        <row r="31">
          <cell r="B31" t="str">
            <v>A-06-04</v>
          </cell>
          <cell r="C31" t="str">
            <v>FIBRA NATURAL .:. Según disponibilidad</v>
          </cell>
          <cell r="D31" t="str">
            <v>Polvo o granulado</v>
          </cell>
          <cell r="E31">
            <v>2049</v>
          </cell>
          <cell r="F31">
            <v>7433.1502727495999</v>
          </cell>
          <cell r="H31">
            <v>9800</v>
          </cell>
          <cell r="J31">
            <v>35460</v>
          </cell>
          <cell r="M31">
            <v>30</v>
          </cell>
          <cell r="N31">
            <v>108.00297</v>
          </cell>
          <cell r="P31">
            <v>8126</v>
          </cell>
          <cell r="R31">
            <v>29856.93606</v>
          </cell>
          <cell r="S31">
            <v>0</v>
          </cell>
          <cell r="T31">
            <v>0</v>
          </cell>
          <cell r="U31">
            <v>3753</v>
          </cell>
          <cell r="V31">
            <v>3.5023234745999998</v>
          </cell>
          <cell r="W31">
            <v>13144.2200001738</v>
          </cell>
          <cell r="X31">
            <v>2.3737599999999999</v>
          </cell>
          <cell r="Y31">
            <v>0</v>
          </cell>
          <cell r="Z31">
            <v>3.5023234745999998</v>
          </cell>
          <cell r="AA31">
            <v>13144.2200001738</v>
          </cell>
        </row>
        <row r="32">
          <cell r="B32" t="str">
            <v>A-06-05</v>
          </cell>
          <cell r="C32" t="str">
            <v>GLICEROL (GLICERINA) .:. 2 g a 4 g (adulto)</v>
          </cell>
          <cell r="D32" t="str">
            <v>Supositorio</v>
          </cell>
          <cell r="E32">
            <v>43</v>
          </cell>
          <cell r="F32">
            <v>73.886942337799994</v>
          </cell>
          <cell r="H32">
            <v>300</v>
          </cell>
          <cell r="J32">
            <v>621</v>
          </cell>
          <cell r="M32">
            <v>0</v>
          </cell>
          <cell r="N32">
            <v>0</v>
          </cell>
          <cell r="P32">
            <v>212</v>
          </cell>
          <cell r="R32">
            <v>420.09693099999998</v>
          </cell>
          <cell r="S32">
            <v>0</v>
          </cell>
          <cell r="T32">
            <v>0</v>
          </cell>
          <cell r="U32">
            <v>131</v>
          </cell>
          <cell r="V32">
            <v>2.0976335877999999</v>
          </cell>
          <cell r="W32">
            <v>274.79000000180002</v>
          </cell>
          <cell r="X32">
            <v>2.3737599999999999</v>
          </cell>
          <cell r="Y32">
            <v>0</v>
          </cell>
          <cell r="Z32">
            <v>2.0976335877999999</v>
          </cell>
          <cell r="AA32">
            <v>274.79000000180002</v>
          </cell>
        </row>
        <row r="33">
          <cell r="B33" t="str">
            <v>A-06-06</v>
          </cell>
          <cell r="C33" t="str">
            <v>GLICEROL (GLICERINA) .:. 1 g a 1,80 g (infantil)</v>
          </cell>
          <cell r="D33" t="str">
            <v>Supositorio</v>
          </cell>
          <cell r="E33">
            <v>57</v>
          </cell>
          <cell r="F33">
            <v>87.989678780700004</v>
          </cell>
          <cell r="H33">
            <v>0</v>
          </cell>
          <cell r="J33">
            <v>0</v>
          </cell>
          <cell r="M33">
            <v>0</v>
          </cell>
          <cell r="N33">
            <v>0</v>
          </cell>
          <cell r="P33">
            <v>17</v>
          </cell>
          <cell r="R33">
            <v>26.242533999999999</v>
          </cell>
          <cell r="S33">
            <v>0</v>
          </cell>
          <cell r="T33">
            <v>0</v>
          </cell>
          <cell r="U33">
            <v>40</v>
          </cell>
          <cell r="V33">
            <v>1.54375</v>
          </cell>
          <cell r="W33">
            <v>61.75</v>
          </cell>
          <cell r="X33">
            <v>2.3737599999999999</v>
          </cell>
          <cell r="Y33">
            <v>0</v>
          </cell>
          <cell r="Z33">
            <v>1.54375</v>
          </cell>
          <cell r="AA33">
            <v>61.75</v>
          </cell>
        </row>
        <row r="34">
          <cell r="B34" t="str">
            <v>A-06-07</v>
          </cell>
          <cell r="C34" t="str">
            <v>LACTULOSA .:. 65% hasta 66.7%</v>
          </cell>
          <cell r="D34" t="str">
            <v>Solución oral</v>
          </cell>
          <cell r="E34">
            <v>32</v>
          </cell>
          <cell r="F34">
            <v>1479.7293236896001</v>
          </cell>
          <cell r="H34">
            <v>630</v>
          </cell>
          <cell r="J34">
            <v>29497.7</v>
          </cell>
          <cell r="M34">
            <v>2</v>
          </cell>
          <cell r="N34">
            <v>92.396575999999996</v>
          </cell>
          <cell r="P34">
            <v>481</v>
          </cell>
          <cell r="R34">
            <v>20091.655760000001</v>
          </cell>
          <cell r="S34">
            <v>0</v>
          </cell>
          <cell r="T34">
            <v>0</v>
          </cell>
          <cell r="U34">
            <v>183</v>
          </cell>
          <cell r="V34">
            <v>59.99</v>
          </cell>
          <cell r="W34">
            <v>10978.17</v>
          </cell>
          <cell r="X34">
            <v>2.3737599999999999</v>
          </cell>
          <cell r="Y34">
            <v>0</v>
          </cell>
          <cell r="Z34">
            <v>59.99</v>
          </cell>
          <cell r="AA34">
            <v>10978.17</v>
          </cell>
        </row>
        <row r="35">
          <cell r="B35" t="str">
            <v>A-07-01</v>
          </cell>
          <cell r="C35" t="str">
            <v>CARBON MEDICINAL ACTIVADO .:. Según disponibilidad</v>
          </cell>
          <cell r="D35" t="str">
            <v>Comprimido</v>
          </cell>
          <cell r="E35">
            <v>337</v>
          </cell>
          <cell r="F35">
            <v>642.72100287759997</v>
          </cell>
          <cell r="H35">
            <v>0</v>
          </cell>
          <cell r="J35">
            <v>0</v>
          </cell>
          <cell r="M35">
            <v>0</v>
          </cell>
          <cell r="N35">
            <v>0</v>
          </cell>
          <cell r="P35">
            <v>0</v>
          </cell>
          <cell r="R35">
            <v>0</v>
          </cell>
          <cell r="S35">
            <v>337</v>
          </cell>
          <cell r="T35">
            <v>642.721002</v>
          </cell>
          <cell r="U35">
            <v>0</v>
          </cell>
          <cell r="V35">
            <v>0</v>
          </cell>
          <cell r="W35">
            <v>0</v>
          </cell>
          <cell r="X35">
            <v>2.3737599999999999</v>
          </cell>
          <cell r="Y35">
            <v>0</v>
          </cell>
          <cell r="Z35">
            <v>0</v>
          </cell>
          <cell r="AA35">
            <v>0</v>
          </cell>
        </row>
        <row r="36">
          <cell r="B36" t="str">
            <v>A-07-02</v>
          </cell>
          <cell r="C36" t="str">
            <v>LOPERAMIDA .:. 2 mg</v>
          </cell>
          <cell r="D36" t="str">
            <v>Cápsula o Comprimido</v>
          </cell>
          <cell r="E36">
            <v>212</v>
          </cell>
          <cell r="F36">
            <v>61.4818109888</v>
          </cell>
          <cell r="H36">
            <v>200</v>
          </cell>
          <cell r="J36">
            <v>40</v>
          </cell>
          <cell r="M36">
            <v>0</v>
          </cell>
          <cell r="N36">
            <v>0</v>
          </cell>
          <cell r="P36">
            <v>244</v>
          </cell>
          <cell r="R36">
            <v>67.881794999999997</v>
          </cell>
          <cell r="S36">
            <v>0</v>
          </cell>
          <cell r="T36">
            <v>0</v>
          </cell>
          <cell r="U36">
            <v>168</v>
          </cell>
          <cell r="V36">
            <v>0.2</v>
          </cell>
          <cell r="W36">
            <v>33.6</v>
          </cell>
          <cell r="X36">
            <v>2.3737599999999999</v>
          </cell>
          <cell r="Y36">
            <v>0</v>
          </cell>
          <cell r="Z36">
            <v>0.2</v>
          </cell>
          <cell r="AA36">
            <v>33.6</v>
          </cell>
        </row>
        <row r="37">
          <cell r="B37" t="str">
            <v>A-07-04</v>
          </cell>
          <cell r="C37" t="str">
            <v>NISTATINA .:. 500.000 UI/5 ml</v>
          </cell>
          <cell r="D37" t="str">
            <v>Suspensión</v>
          </cell>
          <cell r="E37">
            <v>21</v>
          </cell>
          <cell r="F37">
            <v>383.96851254090001</v>
          </cell>
          <cell r="H37">
            <v>50</v>
          </cell>
          <cell r="J37">
            <v>600</v>
          </cell>
          <cell r="M37">
            <v>1</v>
          </cell>
          <cell r="N37">
            <v>12.107198</v>
          </cell>
          <cell r="P37">
            <v>60</v>
          </cell>
          <cell r="R37">
            <v>849.36534900000004</v>
          </cell>
          <cell r="S37">
            <v>0</v>
          </cell>
          <cell r="T37">
            <v>0</v>
          </cell>
          <cell r="U37">
            <v>12</v>
          </cell>
          <cell r="V37">
            <v>12.225833333300001</v>
          </cell>
          <cell r="W37">
            <v>146.7099999996</v>
          </cell>
          <cell r="X37">
            <v>2.3737599999999999</v>
          </cell>
          <cell r="Y37">
            <v>0</v>
          </cell>
          <cell r="Z37">
            <v>12.225833333300001</v>
          </cell>
          <cell r="AA37">
            <v>146.7099999996</v>
          </cell>
        </row>
        <row r="38">
          <cell r="B38" t="str">
            <v>A-07-06</v>
          </cell>
          <cell r="C38" t="str">
            <v>SALES DE REHIDRATACION ORAL (SRO) BAJA OSMOLARIDAD .:. Según concentración eestándar</v>
          </cell>
          <cell r="D38" t="str">
            <v>Sobres</v>
          </cell>
          <cell r="E38">
            <v>453</v>
          </cell>
          <cell r="F38">
            <v>762.05925158549996</v>
          </cell>
          <cell r="H38">
            <v>1000</v>
          </cell>
          <cell r="J38">
            <v>1200</v>
          </cell>
          <cell r="M38">
            <v>0</v>
          </cell>
          <cell r="N38">
            <v>0</v>
          </cell>
          <cell r="P38">
            <v>705</v>
          </cell>
          <cell r="R38">
            <v>1064.4592500000001</v>
          </cell>
          <cell r="S38">
            <v>0</v>
          </cell>
          <cell r="T38">
            <v>0</v>
          </cell>
          <cell r="U38">
            <v>748</v>
          </cell>
          <cell r="V38">
            <v>1.2</v>
          </cell>
          <cell r="W38">
            <v>897.6</v>
          </cell>
          <cell r="X38">
            <v>2.3737599999999999</v>
          </cell>
          <cell r="Y38">
            <v>0</v>
          </cell>
          <cell r="Z38">
            <v>1.2</v>
          </cell>
          <cell r="AA38">
            <v>897.6</v>
          </cell>
        </row>
        <row r="39">
          <cell r="B39" t="str">
            <v>A-07-07</v>
          </cell>
          <cell r="C39" t="str">
            <v>MESALAZINA .:. 500 mg</v>
          </cell>
          <cell r="D39" t="str">
            <v>Comprimido</v>
          </cell>
          <cell r="E39">
            <v>179</v>
          </cell>
          <cell r="F39">
            <v>1459.8156727262999</v>
          </cell>
          <cell r="H39">
            <v>1700</v>
          </cell>
          <cell r="J39">
            <v>13260</v>
          </cell>
          <cell r="M39">
            <v>0</v>
          </cell>
          <cell r="N39">
            <v>0</v>
          </cell>
          <cell r="P39">
            <v>1759</v>
          </cell>
          <cell r="R39">
            <v>13783.815671</v>
          </cell>
          <cell r="S39">
            <v>0</v>
          </cell>
          <cell r="T39">
            <v>0</v>
          </cell>
          <cell r="U39">
            <v>120</v>
          </cell>
          <cell r="V39">
            <v>7.8</v>
          </cell>
          <cell r="W39">
            <v>936</v>
          </cell>
          <cell r="X39">
            <v>2.3737599999999999</v>
          </cell>
          <cell r="Y39">
            <v>0</v>
          </cell>
          <cell r="Z39">
            <v>7.8</v>
          </cell>
          <cell r="AA39">
            <v>936</v>
          </cell>
        </row>
        <row r="40">
          <cell r="B40" t="str">
            <v>A-09-01</v>
          </cell>
          <cell r="C40" t="str">
            <v>ENZIMAS PANCREATICAS (LIPASA, PROTEASA Y AMILASA EN COMBINACION) .:. Según disponibilidad</v>
          </cell>
          <cell r="D40" t="str">
            <v>Comprimido</v>
          </cell>
          <cell r="E40">
            <v>1111</v>
          </cell>
          <cell r="F40">
            <v>1990.4524842895</v>
          </cell>
          <cell r="H40">
            <v>8100</v>
          </cell>
          <cell r="J40">
            <v>7810</v>
          </cell>
          <cell r="M40">
            <v>0</v>
          </cell>
          <cell r="N40">
            <v>0</v>
          </cell>
          <cell r="P40">
            <v>7475</v>
          </cell>
          <cell r="R40">
            <v>8272.7724600000001</v>
          </cell>
          <cell r="S40">
            <v>0</v>
          </cell>
          <cell r="T40">
            <v>0</v>
          </cell>
          <cell r="U40">
            <v>1736</v>
          </cell>
          <cell r="V40">
            <v>0.88</v>
          </cell>
          <cell r="W40">
            <v>1527.68</v>
          </cell>
          <cell r="X40">
            <v>2.3737599999999999</v>
          </cell>
          <cell r="Y40">
            <v>0</v>
          </cell>
          <cell r="Z40">
            <v>0.88</v>
          </cell>
          <cell r="AA40">
            <v>1527.68</v>
          </cell>
        </row>
        <row r="41">
          <cell r="B41" t="str">
            <v>A-10-01</v>
          </cell>
          <cell r="C41" t="str">
            <v>GLIBENCLAMIDA .:. 5 mg</v>
          </cell>
          <cell r="D41" t="str">
            <v>Comprimido</v>
          </cell>
          <cell r="E41">
            <v>5300</v>
          </cell>
          <cell r="F41">
            <v>759.03326084000003</v>
          </cell>
          <cell r="H41">
            <v>19000</v>
          </cell>
          <cell r="J41">
            <v>2280</v>
          </cell>
          <cell r="M41">
            <v>60</v>
          </cell>
          <cell r="N41">
            <v>7.2750000000000004</v>
          </cell>
          <cell r="P41">
            <v>16735</v>
          </cell>
          <cell r="R41">
            <v>2127.2954829999999</v>
          </cell>
          <cell r="S41">
            <v>0</v>
          </cell>
          <cell r="T41">
            <v>0</v>
          </cell>
          <cell r="U41">
            <v>7625</v>
          </cell>
          <cell r="V41">
            <v>0.1205259016</v>
          </cell>
          <cell r="W41">
            <v>919.00999969999998</v>
          </cell>
          <cell r="X41">
            <v>2.3737599999999999</v>
          </cell>
          <cell r="Y41">
            <v>0</v>
          </cell>
          <cell r="Z41">
            <v>0.1205259016</v>
          </cell>
          <cell r="AA41">
            <v>919.00999969999998</v>
          </cell>
        </row>
        <row r="42">
          <cell r="B42" t="str">
            <v>A-10-02</v>
          </cell>
          <cell r="C42" t="str">
            <v>INSULINA RECOMBINANTE HUMANA NPH .:. 100 UI/ml</v>
          </cell>
          <cell r="D42" t="str">
            <v>Inyectable</v>
          </cell>
          <cell r="E42">
            <v>42</v>
          </cell>
          <cell r="F42">
            <v>3585.5556924851999</v>
          </cell>
          <cell r="H42">
            <v>370</v>
          </cell>
          <cell r="J42">
            <v>21250</v>
          </cell>
          <cell r="M42">
            <v>0</v>
          </cell>
          <cell r="N42">
            <v>0</v>
          </cell>
          <cell r="P42">
            <v>260</v>
          </cell>
          <cell r="R42">
            <v>16396.480493999999</v>
          </cell>
          <cell r="S42">
            <v>0</v>
          </cell>
          <cell r="T42">
            <v>0</v>
          </cell>
          <cell r="U42">
            <v>152</v>
          </cell>
          <cell r="V42">
            <v>55.520263157899997</v>
          </cell>
          <cell r="W42">
            <v>8439.0800000008003</v>
          </cell>
          <cell r="X42">
            <v>2.3737599999999999</v>
          </cell>
          <cell r="Y42">
            <v>0</v>
          </cell>
          <cell r="Z42">
            <v>55.520263157899997</v>
          </cell>
          <cell r="AA42">
            <v>8439.0800000008003</v>
          </cell>
        </row>
        <row r="43">
          <cell r="B43" t="str">
            <v>A-10-03</v>
          </cell>
          <cell r="C43" t="str">
            <v>INSULINA ZINC CRISTALINA  RECOMBINANTE HUMANA .:. 100 UI/ml</v>
          </cell>
          <cell r="D43" t="str">
            <v>Inyectable</v>
          </cell>
          <cell r="E43">
            <v>16</v>
          </cell>
          <cell r="F43">
            <v>1181.4678597935999</v>
          </cell>
          <cell r="H43">
            <v>90</v>
          </cell>
          <cell r="J43">
            <v>6461.2</v>
          </cell>
          <cell r="M43">
            <v>0</v>
          </cell>
          <cell r="N43">
            <v>0</v>
          </cell>
          <cell r="P43">
            <v>72</v>
          </cell>
          <cell r="R43">
            <v>5257.9078559999998</v>
          </cell>
          <cell r="S43">
            <v>0</v>
          </cell>
          <cell r="T43">
            <v>0</v>
          </cell>
          <cell r="U43">
            <v>34</v>
          </cell>
          <cell r="V43">
            <v>70.14</v>
          </cell>
          <cell r="W43">
            <v>2384.7600000000002</v>
          </cell>
          <cell r="X43">
            <v>2.3737599999999999</v>
          </cell>
          <cell r="Y43">
            <v>0</v>
          </cell>
          <cell r="Z43">
            <v>70.14</v>
          </cell>
          <cell r="AA43">
            <v>2384.7600000000002</v>
          </cell>
        </row>
        <row r="44">
          <cell r="B44" t="str">
            <v>A-10-04</v>
          </cell>
          <cell r="C44" t="str">
            <v>METFORMINA .:. 850 mg</v>
          </cell>
          <cell r="D44" t="str">
            <v>Comprimido</v>
          </cell>
          <cell r="E44">
            <v>10953</v>
          </cell>
          <cell r="F44">
            <v>3258.3917727036001</v>
          </cell>
          <cell r="H44">
            <v>97000</v>
          </cell>
          <cell r="J44">
            <v>33930</v>
          </cell>
          <cell r="M44">
            <v>90</v>
          </cell>
          <cell r="N44">
            <v>26.253360000000001</v>
          </cell>
          <cell r="P44">
            <v>82148</v>
          </cell>
          <cell r="R44">
            <v>28977.907378</v>
          </cell>
          <cell r="S44">
            <v>0</v>
          </cell>
          <cell r="T44">
            <v>0</v>
          </cell>
          <cell r="U44">
            <v>25895</v>
          </cell>
          <cell r="V44">
            <v>0.31808225530000001</v>
          </cell>
          <cell r="W44">
            <v>8236.7400009935009</v>
          </cell>
          <cell r="X44">
            <v>2.3737599999999999</v>
          </cell>
          <cell r="Y44">
            <v>0</v>
          </cell>
          <cell r="Z44">
            <v>0.31808225530000001</v>
          </cell>
          <cell r="AA44">
            <v>8236.7400009935009</v>
          </cell>
        </row>
        <row r="45">
          <cell r="B45" t="str">
            <v>A-10-05</v>
          </cell>
          <cell r="C45" t="str">
            <v>INSULINA GLARGINA .:. 100 U.I / ml</v>
          </cell>
          <cell r="D45" t="str">
            <v>Inyectable</v>
          </cell>
          <cell r="E45">
            <v>11</v>
          </cell>
          <cell r="F45">
            <v>4959.4566712514998</v>
          </cell>
          <cell r="H45">
            <v>55</v>
          </cell>
          <cell r="J45">
            <v>14849.75</v>
          </cell>
          <cell r="M45">
            <v>0</v>
          </cell>
          <cell r="N45">
            <v>0</v>
          </cell>
          <cell r="P45">
            <v>49</v>
          </cell>
          <cell r="R45">
            <v>15219.370123999999</v>
          </cell>
          <cell r="S45">
            <v>0</v>
          </cell>
          <cell r="T45">
            <v>0</v>
          </cell>
          <cell r="U45">
            <v>17</v>
          </cell>
          <cell r="V45">
            <v>269.99058823529998</v>
          </cell>
          <cell r="W45">
            <v>4589.8400000001002</v>
          </cell>
          <cell r="X45">
            <v>2.3737599999999999</v>
          </cell>
          <cell r="Y45">
            <v>0</v>
          </cell>
          <cell r="Z45">
            <v>269.99058823529998</v>
          </cell>
          <cell r="AA45">
            <v>4589.8400000001002</v>
          </cell>
        </row>
        <row r="46">
          <cell r="B46" t="str">
            <v>A-10-07</v>
          </cell>
          <cell r="C46" t="str">
            <v>METFORMINA .:. 500 mg</v>
          </cell>
          <cell r="D46" t="str">
            <v>Comprimido</v>
          </cell>
          <cell r="E46">
            <v>283</v>
          </cell>
          <cell r="F46">
            <v>240.29764091940001</v>
          </cell>
          <cell r="H46">
            <v>2300</v>
          </cell>
          <cell r="J46">
            <v>2060</v>
          </cell>
          <cell r="M46">
            <v>0</v>
          </cell>
          <cell r="N46">
            <v>0</v>
          </cell>
          <cell r="P46">
            <v>1885</v>
          </cell>
          <cell r="R46">
            <v>1602.2976389999999</v>
          </cell>
          <cell r="S46">
            <v>0</v>
          </cell>
          <cell r="T46">
            <v>0</v>
          </cell>
          <cell r="U46">
            <v>698</v>
          </cell>
          <cell r="V46">
            <v>1</v>
          </cell>
          <cell r="W46">
            <v>698</v>
          </cell>
          <cell r="X46">
            <v>2.3737599999999999</v>
          </cell>
          <cell r="Y46">
            <v>0</v>
          </cell>
          <cell r="Z46">
            <v>1</v>
          </cell>
          <cell r="AA46">
            <v>698</v>
          </cell>
        </row>
        <row r="47">
          <cell r="B47" t="str">
            <v>A-11-02</v>
          </cell>
          <cell r="C47" t="str">
            <v>ACIDO ASCORBICO (VITAMINA C) .:. 500 mg/ml (2 ml)</v>
          </cell>
          <cell r="D47" t="str">
            <v>Inyectable</v>
          </cell>
          <cell r="E47">
            <v>339</v>
          </cell>
          <cell r="F47">
            <v>985.53370998449998</v>
          </cell>
          <cell r="H47">
            <v>5900</v>
          </cell>
          <cell r="J47">
            <v>13810</v>
          </cell>
          <cell r="M47">
            <v>311</v>
          </cell>
          <cell r="N47">
            <v>704.60950800000001</v>
          </cell>
          <cell r="P47">
            <v>3575</v>
          </cell>
          <cell r="R47">
            <v>8116.2034860000003</v>
          </cell>
          <cell r="S47">
            <v>0</v>
          </cell>
          <cell r="T47">
            <v>0</v>
          </cell>
          <cell r="U47">
            <v>2975</v>
          </cell>
          <cell r="V47">
            <v>2.4819966387000001</v>
          </cell>
          <cell r="W47">
            <v>7383.9400001325002</v>
          </cell>
          <cell r="X47">
            <v>2.3737599999999999</v>
          </cell>
          <cell r="Y47">
            <v>0</v>
          </cell>
          <cell r="Z47">
            <v>2.4819966387000001</v>
          </cell>
          <cell r="AA47">
            <v>7383.9400001325002</v>
          </cell>
        </row>
        <row r="48">
          <cell r="B48" t="str">
            <v>A-11-03</v>
          </cell>
          <cell r="C48" t="str">
            <v>ACIDO ASCORBICO (VITAMINA C) .:. Según disponibilidad</v>
          </cell>
          <cell r="D48" t="str">
            <v>Solución oral gotas</v>
          </cell>
          <cell r="E48">
            <v>4</v>
          </cell>
          <cell r="F48">
            <v>65.636304814799999</v>
          </cell>
          <cell r="H48">
            <v>25</v>
          </cell>
          <cell r="J48">
            <v>250</v>
          </cell>
          <cell r="M48">
            <v>0</v>
          </cell>
          <cell r="N48">
            <v>0</v>
          </cell>
          <cell r="P48">
            <v>13</v>
          </cell>
          <cell r="R48">
            <v>155.636304</v>
          </cell>
          <cell r="S48">
            <v>0</v>
          </cell>
          <cell r="T48">
            <v>0</v>
          </cell>
          <cell r="U48">
            <v>16</v>
          </cell>
          <cell r="V48">
            <v>10</v>
          </cell>
          <cell r="W48">
            <v>160</v>
          </cell>
          <cell r="X48">
            <v>2.3737599999999999</v>
          </cell>
          <cell r="Y48">
            <v>0</v>
          </cell>
          <cell r="Z48">
            <v>10</v>
          </cell>
          <cell r="AA48">
            <v>160</v>
          </cell>
        </row>
        <row r="49">
          <cell r="B49" t="str">
            <v>A-11-04</v>
          </cell>
          <cell r="C49" t="str">
            <v>CIANOCOBALAMINA (VITAMINA B12) .:. 1 mg/ml</v>
          </cell>
          <cell r="D49" t="str">
            <v>Inyectable</v>
          </cell>
          <cell r="E49">
            <v>510</v>
          </cell>
          <cell r="F49">
            <v>2079.6905360549999</v>
          </cell>
          <cell r="H49">
            <v>1700</v>
          </cell>
          <cell r="J49">
            <v>8308.5</v>
          </cell>
          <cell r="M49">
            <v>0</v>
          </cell>
          <cell r="N49">
            <v>0</v>
          </cell>
          <cell r="P49">
            <v>1650</v>
          </cell>
          <cell r="R49">
            <v>7650.4368990000003</v>
          </cell>
          <cell r="S49">
            <v>0</v>
          </cell>
          <cell r="T49">
            <v>0</v>
          </cell>
          <cell r="U49">
            <v>560</v>
          </cell>
          <cell r="V49">
            <v>4.8888392856999996</v>
          </cell>
          <cell r="W49">
            <v>2737.7499999920001</v>
          </cell>
          <cell r="X49">
            <v>2.3737599999999999</v>
          </cell>
          <cell r="Y49">
            <v>0</v>
          </cell>
          <cell r="Z49">
            <v>4.8888392856999996</v>
          </cell>
          <cell r="AA49">
            <v>2737.7499999920001</v>
          </cell>
        </row>
        <row r="50">
          <cell r="B50" t="str">
            <v>A-11-06</v>
          </cell>
          <cell r="C50" t="str">
            <v>COMPLEJO  B (B1 + B6 + B12) .:. Según concentración eestándar</v>
          </cell>
          <cell r="D50" t="str">
            <v>Comprimido</v>
          </cell>
          <cell r="E50">
            <v>1865</v>
          </cell>
          <cell r="F50">
            <v>390.02734462749999</v>
          </cell>
          <cell r="H50">
            <v>25000</v>
          </cell>
          <cell r="J50">
            <v>3800</v>
          </cell>
          <cell r="M50">
            <v>60</v>
          </cell>
          <cell r="N50">
            <v>10.09953</v>
          </cell>
          <cell r="P50">
            <v>17654</v>
          </cell>
          <cell r="R50">
            <v>2887.931337</v>
          </cell>
          <cell r="S50">
            <v>0</v>
          </cell>
          <cell r="T50">
            <v>0</v>
          </cell>
          <cell r="U50">
            <v>9271</v>
          </cell>
          <cell r="V50">
            <v>0.14153812969999999</v>
          </cell>
          <cell r="W50">
            <v>1312.2000004486999</v>
          </cell>
          <cell r="X50">
            <v>2.3737599999999999</v>
          </cell>
          <cell r="Y50">
            <v>0</v>
          </cell>
          <cell r="Z50">
            <v>0.14153812969999999</v>
          </cell>
          <cell r="AA50">
            <v>1312.2000004486999</v>
          </cell>
        </row>
        <row r="51">
          <cell r="B51" t="str">
            <v>A-11-07</v>
          </cell>
          <cell r="C51" t="str">
            <v>COMPLEJO  B (B1 + B6 + B12) .:. Según concentración eestándar</v>
          </cell>
          <cell r="D51" t="str">
            <v>Inyectable</v>
          </cell>
          <cell r="E51">
            <v>494</v>
          </cell>
          <cell r="F51">
            <v>742.47209085400004</v>
          </cell>
          <cell r="H51">
            <v>4300</v>
          </cell>
          <cell r="J51">
            <v>5490</v>
          </cell>
          <cell r="M51">
            <v>73</v>
          </cell>
          <cell r="N51">
            <v>98.239654000000002</v>
          </cell>
          <cell r="P51">
            <v>3551</v>
          </cell>
          <cell r="R51">
            <v>4685.680198</v>
          </cell>
          <cell r="S51">
            <v>0</v>
          </cell>
          <cell r="T51">
            <v>0</v>
          </cell>
          <cell r="U51">
            <v>1316</v>
          </cell>
          <cell r="V51">
            <v>1.2500227963999999</v>
          </cell>
          <cell r="W51">
            <v>1645.0300000623999</v>
          </cell>
          <cell r="X51">
            <v>2.3737599999999999</v>
          </cell>
          <cell r="Y51">
            <v>0</v>
          </cell>
          <cell r="Z51">
            <v>1.2500227963999999</v>
          </cell>
          <cell r="AA51">
            <v>1645.0300000623999</v>
          </cell>
        </row>
        <row r="52">
          <cell r="B52" t="str">
            <v>A-11-09</v>
          </cell>
          <cell r="C52" t="str">
            <v>MULTIVITAMINAS .:. Según concentración estándar</v>
          </cell>
          <cell r="D52" t="str">
            <v>Comprimido</v>
          </cell>
          <cell r="E52">
            <v>2892</v>
          </cell>
          <cell r="F52">
            <v>1094.5368303108</v>
          </cell>
          <cell r="H52">
            <v>39120</v>
          </cell>
          <cell r="J52">
            <v>12097.93</v>
          </cell>
          <cell r="M52">
            <v>29</v>
          </cell>
          <cell r="N52">
            <v>10.305745999999999</v>
          </cell>
          <cell r="P52">
            <v>26053</v>
          </cell>
          <cell r="R52">
            <v>8466.9644079999998</v>
          </cell>
          <cell r="S52">
            <v>0</v>
          </cell>
          <cell r="T52">
            <v>0</v>
          </cell>
          <cell r="U52">
            <v>15988</v>
          </cell>
          <cell r="V52">
            <v>0.29621028269999999</v>
          </cell>
          <cell r="W52">
            <v>4735.8099998076004</v>
          </cell>
          <cell r="X52">
            <v>2.3737599999999999</v>
          </cell>
          <cell r="Y52">
            <v>0</v>
          </cell>
          <cell r="Z52">
            <v>0.29621028269999999</v>
          </cell>
          <cell r="AA52">
            <v>4735.8099998076004</v>
          </cell>
        </row>
        <row r="53">
          <cell r="B53" t="str">
            <v>A-11-10</v>
          </cell>
          <cell r="C53" t="str">
            <v>MULTIVITAMINAS .:. Según concentración estándar</v>
          </cell>
          <cell r="D53" t="str">
            <v>Jarabe</v>
          </cell>
          <cell r="E53">
            <v>28</v>
          </cell>
          <cell r="F53">
            <v>469.70706293000001</v>
          </cell>
          <cell r="H53">
            <v>120</v>
          </cell>
          <cell r="J53">
            <v>2451.6</v>
          </cell>
          <cell r="M53">
            <v>10</v>
          </cell>
          <cell r="N53">
            <v>167.64816999999999</v>
          </cell>
          <cell r="P53">
            <v>96</v>
          </cell>
          <cell r="R53">
            <v>1822.2952299999999</v>
          </cell>
          <cell r="S53">
            <v>0</v>
          </cell>
          <cell r="T53">
            <v>0</v>
          </cell>
          <cell r="U53">
            <v>62</v>
          </cell>
          <cell r="V53">
            <v>20.43</v>
          </cell>
          <cell r="W53">
            <v>1266.6600000000001</v>
          </cell>
          <cell r="X53">
            <v>2.3737599999999999</v>
          </cell>
          <cell r="Y53">
            <v>0</v>
          </cell>
          <cell r="Z53">
            <v>20.43</v>
          </cell>
          <cell r="AA53">
            <v>1266.6600000000001</v>
          </cell>
        </row>
        <row r="54">
          <cell r="B54" t="str">
            <v>A-11-11</v>
          </cell>
          <cell r="C54" t="str">
            <v>PIRIDOXINA CLORHIDRATO (VITAMINA B6) .:. 300 mg</v>
          </cell>
          <cell r="D54" t="str">
            <v>Comprimido</v>
          </cell>
          <cell r="E54">
            <v>135</v>
          </cell>
          <cell r="F54">
            <v>216.55761826950001</v>
          </cell>
          <cell r="H54">
            <v>200</v>
          </cell>
          <cell r="J54">
            <v>338</v>
          </cell>
          <cell r="M54">
            <v>0</v>
          </cell>
          <cell r="N54">
            <v>0</v>
          </cell>
          <cell r="P54">
            <v>195</v>
          </cell>
          <cell r="R54">
            <v>317.95761700000003</v>
          </cell>
          <cell r="S54">
            <v>0</v>
          </cell>
          <cell r="T54">
            <v>0</v>
          </cell>
          <cell r="U54">
            <v>140</v>
          </cell>
          <cell r="V54">
            <v>1.69</v>
          </cell>
          <cell r="W54">
            <v>236.6</v>
          </cell>
          <cell r="X54">
            <v>2.3737599999999999</v>
          </cell>
          <cell r="Y54">
            <v>0</v>
          </cell>
          <cell r="Z54">
            <v>1.69</v>
          </cell>
          <cell r="AA54">
            <v>236.6</v>
          </cell>
        </row>
        <row r="55">
          <cell r="B55" t="str">
            <v>A-11-13</v>
          </cell>
          <cell r="C55" t="str">
            <v>RETINOL (VITAMINA A) .:. 10.000 UI</v>
          </cell>
          <cell r="D55" t="str">
            <v>Cápsula o Perla</v>
          </cell>
          <cell r="E55">
            <v>360</v>
          </cell>
          <cell r="F55">
            <v>187.2</v>
          </cell>
          <cell r="H55">
            <v>200</v>
          </cell>
          <cell r="J55">
            <v>112</v>
          </cell>
          <cell r="M55">
            <v>0</v>
          </cell>
          <cell r="N55">
            <v>0</v>
          </cell>
          <cell r="P55">
            <v>268</v>
          </cell>
          <cell r="R55">
            <v>139.36000000000001</v>
          </cell>
          <cell r="S55">
            <v>0</v>
          </cell>
          <cell r="T55">
            <v>0</v>
          </cell>
          <cell r="U55">
            <v>292</v>
          </cell>
          <cell r="V55">
            <v>0.54739726030000002</v>
          </cell>
          <cell r="W55">
            <v>159.8400000076</v>
          </cell>
          <cell r="X55">
            <v>2.3737599999999999</v>
          </cell>
          <cell r="Y55">
            <v>0</v>
          </cell>
          <cell r="Z55">
            <v>0.54739726030000002</v>
          </cell>
          <cell r="AA55">
            <v>159.8400000076</v>
          </cell>
        </row>
        <row r="56">
          <cell r="B56" t="str">
            <v>A-11-17</v>
          </cell>
          <cell r="C56" t="str">
            <v>TIAMINA (VITAMINA B 1) .:. 300 mg</v>
          </cell>
          <cell r="D56" t="str">
            <v>Comprimido</v>
          </cell>
          <cell r="E56">
            <v>527</v>
          </cell>
          <cell r="F56">
            <v>492.32338787899999</v>
          </cell>
          <cell r="H56">
            <v>700</v>
          </cell>
          <cell r="J56">
            <v>763</v>
          </cell>
          <cell r="M56">
            <v>130</v>
          </cell>
          <cell r="N56">
            <v>126.01</v>
          </cell>
          <cell r="P56">
            <v>965</v>
          </cell>
          <cell r="R56">
            <v>975.844876</v>
          </cell>
          <cell r="S56">
            <v>130</v>
          </cell>
          <cell r="T56">
            <v>121.44599700000001</v>
          </cell>
          <cell r="U56">
            <v>262</v>
          </cell>
          <cell r="V56">
            <v>1.0841221374000001</v>
          </cell>
          <cell r="W56">
            <v>284.0399999988</v>
          </cell>
          <cell r="X56">
            <v>2.3737599999999999</v>
          </cell>
          <cell r="Y56">
            <v>0</v>
          </cell>
          <cell r="Z56">
            <v>1.0841221374000001</v>
          </cell>
          <cell r="AA56">
            <v>284.0399999988</v>
          </cell>
        </row>
        <row r="57">
          <cell r="B57" t="str">
            <v>A-11-19</v>
          </cell>
          <cell r="C57" t="str">
            <v>TOCOFEROL (VITAMINA E) .:. 1.000 UI</v>
          </cell>
          <cell r="D57" t="str">
            <v>Cápsula blanda</v>
          </cell>
          <cell r="E57">
            <v>1219</v>
          </cell>
          <cell r="F57">
            <v>1709.8280749803</v>
          </cell>
          <cell r="H57">
            <v>16000</v>
          </cell>
          <cell r="J57">
            <v>19000</v>
          </cell>
          <cell r="M57">
            <v>0</v>
          </cell>
          <cell r="N57">
            <v>0</v>
          </cell>
          <cell r="P57">
            <v>13450</v>
          </cell>
          <cell r="R57">
            <v>16563.018285999999</v>
          </cell>
          <cell r="S57">
            <v>0</v>
          </cell>
          <cell r="T57">
            <v>0</v>
          </cell>
          <cell r="U57">
            <v>3769</v>
          </cell>
          <cell r="V57">
            <v>1.1002414434000001</v>
          </cell>
          <cell r="W57">
            <v>4146.8100001745997</v>
          </cell>
          <cell r="X57">
            <v>2.3737599999999999</v>
          </cell>
          <cell r="Y57">
            <v>0</v>
          </cell>
          <cell r="Z57">
            <v>1.1002414434000001</v>
          </cell>
          <cell r="AA57">
            <v>4146.8100001745997</v>
          </cell>
        </row>
        <row r="58">
          <cell r="B58" t="str">
            <v>A-12-01</v>
          </cell>
          <cell r="C58" t="str">
            <v>CALCIO (CARBONATO O CITRATO) .:. 500 mg (ión calcio)</v>
          </cell>
          <cell r="D58" t="str">
            <v>Comprimido</v>
          </cell>
          <cell r="E58">
            <v>960</v>
          </cell>
          <cell r="F58">
            <v>412.87353014399997</v>
          </cell>
          <cell r="H58">
            <v>3000</v>
          </cell>
          <cell r="J58">
            <v>750</v>
          </cell>
          <cell r="M58">
            <v>120</v>
          </cell>
          <cell r="N58">
            <v>60</v>
          </cell>
          <cell r="P58">
            <v>1730</v>
          </cell>
          <cell r="R58">
            <v>635.37350900000001</v>
          </cell>
          <cell r="S58">
            <v>0</v>
          </cell>
          <cell r="T58">
            <v>0</v>
          </cell>
          <cell r="U58">
            <v>2350</v>
          </cell>
          <cell r="V58">
            <v>0.25</v>
          </cell>
          <cell r="W58">
            <v>587.5</v>
          </cell>
          <cell r="X58">
            <v>2.3737599999999999</v>
          </cell>
          <cell r="Y58">
            <v>0</v>
          </cell>
          <cell r="Z58">
            <v>0.25</v>
          </cell>
          <cell r="AA58">
            <v>587.5</v>
          </cell>
        </row>
        <row r="59">
          <cell r="B59" t="str">
            <v>A-12-02</v>
          </cell>
          <cell r="C59" t="str">
            <v>CALCIO + VITAMINA D .:. 500 mg (ión calcio); Según disponibilidad</v>
          </cell>
          <cell r="D59" t="str">
            <v>Comprimido o Cápsula</v>
          </cell>
          <cell r="E59">
            <v>1348</v>
          </cell>
          <cell r="F59">
            <v>773.73453976040003</v>
          </cell>
          <cell r="H59">
            <v>26000</v>
          </cell>
          <cell r="J59">
            <v>15440</v>
          </cell>
          <cell r="M59">
            <v>30</v>
          </cell>
          <cell r="N59">
            <v>17.872589999999999</v>
          </cell>
          <cell r="P59">
            <v>19543</v>
          </cell>
          <cell r="R59">
            <v>11563.914175</v>
          </cell>
          <cell r="S59">
            <v>120</v>
          </cell>
          <cell r="T59">
            <v>71.489867000000004</v>
          </cell>
          <cell r="U59">
            <v>7715</v>
          </cell>
          <cell r="V59">
            <v>0.59574854180000003</v>
          </cell>
          <cell r="W59">
            <v>4596.1999999870004</v>
          </cell>
          <cell r="X59">
            <v>2.3737599999999999</v>
          </cell>
          <cell r="Y59">
            <v>0</v>
          </cell>
          <cell r="Z59">
            <v>0.59574854180000003</v>
          </cell>
          <cell r="AA59">
            <v>4596.1999999870004</v>
          </cell>
        </row>
        <row r="60">
          <cell r="B60" t="str">
            <v>A-12-03</v>
          </cell>
          <cell r="C60" t="str">
            <v>CLORURO DE POTASIO .:. 1,3 mEq/ml</v>
          </cell>
          <cell r="D60" t="str">
            <v>Solución oral</v>
          </cell>
          <cell r="E60">
            <v>10</v>
          </cell>
          <cell r="F60">
            <v>299.265204842</v>
          </cell>
          <cell r="H60">
            <v>0</v>
          </cell>
          <cell r="J60">
            <v>0</v>
          </cell>
          <cell r="M60">
            <v>8</v>
          </cell>
          <cell r="N60">
            <v>197.60722200000001</v>
          </cell>
          <cell r="P60">
            <v>9</v>
          </cell>
          <cell r="R60">
            <v>239.25817499999999</v>
          </cell>
          <cell r="S60">
            <v>6</v>
          </cell>
          <cell r="T60">
            <v>179.559122</v>
          </cell>
          <cell r="U60">
            <v>3</v>
          </cell>
          <cell r="V60">
            <v>26.02</v>
          </cell>
          <cell r="W60">
            <v>78.06</v>
          </cell>
          <cell r="X60">
            <v>2.3737599999999999</v>
          </cell>
          <cell r="Y60">
            <v>0</v>
          </cell>
          <cell r="Z60">
            <v>26.02</v>
          </cell>
          <cell r="AA60">
            <v>78.06</v>
          </cell>
        </row>
        <row r="61">
          <cell r="B61" t="str">
            <v>A-12-05</v>
          </cell>
          <cell r="C61" t="str">
            <v>ZINC .:. 20 mg/5 ml (Como zinc elemental)</v>
          </cell>
          <cell r="D61" t="str">
            <v>Jarabe</v>
          </cell>
          <cell r="E61">
            <v>69</v>
          </cell>
          <cell r="F61">
            <v>1000.0599038274</v>
          </cell>
          <cell r="H61">
            <v>180</v>
          </cell>
          <cell r="J61">
            <v>1280</v>
          </cell>
          <cell r="M61">
            <v>47</v>
          </cell>
          <cell r="N61">
            <v>511.77151800000001</v>
          </cell>
          <cell r="P61">
            <v>179</v>
          </cell>
          <cell r="R61">
            <v>1981.0204120000001</v>
          </cell>
          <cell r="S61">
            <v>0</v>
          </cell>
          <cell r="T61">
            <v>0</v>
          </cell>
          <cell r="U61">
            <v>117</v>
          </cell>
          <cell r="V61">
            <v>6.93</v>
          </cell>
          <cell r="W61">
            <v>810.81</v>
          </cell>
          <cell r="X61">
            <v>2.3737599999999999</v>
          </cell>
          <cell r="Y61">
            <v>0</v>
          </cell>
          <cell r="Z61">
            <v>6.93</v>
          </cell>
          <cell r="AA61">
            <v>810.81</v>
          </cell>
        </row>
        <row r="62">
          <cell r="B62" t="str">
            <v>A-12-06</v>
          </cell>
          <cell r="C62" t="str">
            <v>ZINC (COMO SULFATO) .:. 20 mg</v>
          </cell>
          <cell r="D62" t="str">
            <v>Comprimido</v>
          </cell>
          <cell r="E62">
            <v>1968</v>
          </cell>
          <cell r="F62">
            <v>948.07057292640002</v>
          </cell>
          <cell r="H62">
            <v>12000</v>
          </cell>
          <cell r="J62">
            <v>3990</v>
          </cell>
          <cell r="M62">
            <v>26</v>
          </cell>
          <cell r="N62">
            <v>10.981488000000001</v>
          </cell>
          <cell r="P62">
            <v>8061</v>
          </cell>
          <cell r="R62">
            <v>3266.7220280000001</v>
          </cell>
          <cell r="S62">
            <v>0</v>
          </cell>
          <cell r="T62">
            <v>0</v>
          </cell>
          <cell r="U62">
            <v>5933</v>
          </cell>
          <cell r="V62">
            <v>0.2835546941</v>
          </cell>
          <cell r="W62">
            <v>1682.3300000953</v>
          </cell>
          <cell r="X62">
            <v>2.3737599999999999</v>
          </cell>
          <cell r="Y62">
            <v>0</v>
          </cell>
          <cell r="Z62">
            <v>0.2835546941</v>
          </cell>
          <cell r="AA62">
            <v>1682.3300000953</v>
          </cell>
        </row>
        <row r="63">
          <cell r="B63" t="str">
            <v>B-01-01</v>
          </cell>
          <cell r="C63" t="str">
            <v>ACIDO ACETIL SALICILICO .:. 100 mg</v>
          </cell>
          <cell r="D63" t="str">
            <v>Comprimido</v>
          </cell>
          <cell r="E63">
            <v>7610</v>
          </cell>
          <cell r="F63">
            <v>913.87260985</v>
          </cell>
          <cell r="H63">
            <v>53920</v>
          </cell>
          <cell r="J63">
            <v>7140</v>
          </cell>
          <cell r="M63">
            <v>90</v>
          </cell>
          <cell r="N63">
            <v>10.54893</v>
          </cell>
          <cell r="P63">
            <v>44408</v>
          </cell>
          <cell r="R63">
            <v>5441.2944850000003</v>
          </cell>
          <cell r="S63">
            <v>0</v>
          </cell>
          <cell r="T63">
            <v>0</v>
          </cell>
          <cell r="U63">
            <v>17212</v>
          </cell>
          <cell r="V63">
            <v>0.1524012317</v>
          </cell>
          <cell r="W63">
            <v>2623.1300000204001</v>
          </cell>
          <cell r="X63">
            <v>2.3737599999999999</v>
          </cell>
          <cell r="Y63">
            <v>0</v>
          </cell>
          <cell r="Z63">
            <v>0.1524012317</v>
          </cell>
          <cell r="AA63">
            <v>2623.1300000204001</v>
          </cell>
        </row>
        <row r="64">
          <cell r="B64" t="str">
            <v>B-01-03</v>
          </cell>
          <cell r="C64" t="str">
            <v>HEPARINA DE BAJO PESO MOLECULAR .:. 40 M.G.</v>
          </cell>
          <cell r="D64" t="str">
            <v>Inyectable</v>
          </cell>
          <cell r="E64">
            <v>146</v>
          </cell>
          <cell r="F64">
            <v>8497.3157034962005</v>
          </cell>
          <cell r="H64">
            <v>750</v>
          </cell>
          <cell r="J64">
            <v>31950</v>
          </cell>
          <cell r="M64">
            <v>9</v>
          </cell>
          <cell r="N64">
            <v>420.09968900000001</v>
          </cell>
          <cell r="P64">
            <v>683</v>
          </cell>
          <cell r="R64">
            <v>32854.916720000001</v>
          </cell>
          <cell r="S64">
            <v>0</v>
          </cell>
          <cell r="T64">
            <v>0</v>
          </cell>
          <cell r="U64">
            <v>222</v>
          </cell>
          <cell r="V64">
            <v>36.0923423423</v>
          </cell>
          <cell r="W64">
            <v>8012.4999999906004</v>
          </cell>
          <cell r="X64">
            <v>2.3737599999999999</v>
          </cell>
          <cell r="Y64">
            <v>0</v>
          </cell>
          <cell r="Z64">
            <v>36.0923423423</v>
          </cell>
          <cell r="AA64">
            <v>8012.4999999906004</v>
          </cell>
        </row>
        <row r="65">
          <cell r="B65" t="str">
            <v>B-01-031</v>
          </cell>
          <cell r="C65" t="str">
            <v>HEPARINA DE BAJO PESO MOLECULAR  60 MG .:. 60 MG</v>
          </cell>
          <cell r="D65" t="str">
            <v>Inyectable</v>
          </cell>
          <cell r="E65">
            <v>163</v>
          </cell>
          <cell r="F65">
            <v>11942.396549630401</v>
          </cell>
          <cell r="H65">
            <v>1056</v>
          </cell>
          <cell r="J65">
            <v>73068.399999999994</v>
          </cell>
          <cell r="M65">
            <v>46</v>
          </cell>
          <cell r="N65">
            <v>3301.7440689999999</v>
          </cell>
          <cell r="P65">
            <v>880</v>
          </cell>
          <cell r="R65">
            <v>65552.542417999997</v>
          </cell>
          <cell r="S65">
            <v>0</v>
          </cell>
          <cell r="T65">
            <v>0</v>
          </cell>
          <cell r="U65">
            <v>385</v>
          </cell>
          <cell r="V65">
            <v>59.116883116899999</v>
          </cell>
          <cell r="W65">
            <v>22760.000000006501</v>
          </cell>
          <cell r="X65">
            <v>2.3737599999999999</v>
          </cell>
          <cell r="Y65">
            <v>0</v>
          </cell>
          <cell r="Z65">
            <v>59.116883116899999</v>
          </cell>
          <cell r="AA65">
            <v>22760.000000006501</v>
          </cell>
        </row>
        <row r="66">
          <cell r="B66" t="str">
            <v>B-01-04</v>
          </cell>
          <cell r="C66" t="str">
            <v>HEPARINA SODICA .:. 5.000 UI/ml</v>
          </cell>
          <cell r="D66" t="str">
            <v>Inyectable</v>
          </cell>
          <cell r="E66">
            <v>13</v>
          </cell>
          <cell r="F66">
            <v>1157.0097862504999</v>
          </cell>
          <cell r="H66">
            <v>120</v>
          </cell>
          <cell r="J66">
            <v>5219.5</v>
          </cell>
          <cell r="M66">
            <v>0</v>
          </cell>
          <cell r="N66">
            <v>0</v>
          </cell>
          <cell r="P66">
            <v>122</v>
          </cell>
          <cell r="R66">
            <v>5938.0812079999996</v>
          </cell>
          <cell r="S66">
            <v>0</v>
          </cell>
          <cell r="T66">
            <v>0</v>
          </cell>
          <cell r="U66">
            <v>11</v>
          </cell>
          <cell r="V66">
            <v>39.8572727273</v>
          </cell>
          <cell r="W66">
            <v>438.43000000030003</v>
          </cell>
          <cell r="X66">
            <v>2.3737599999999999</v>
          </cell>
          <cell r="Y66">
            <v>0</v>
          </cell>
          <cell r="Z66">
            <v>39.8572727273</v>
          </cell>
          <cell r="AA66">
            <v>438.43000000030003</v>
          </cell>
        </row>
        <row r="67">
          <cell r="B67" t="str">
            <v>B-01-05</v>
          </cell>
          <cell r="C67" t="str">
            <v>WARFARINA .:. 5 mg</v>
          </cell>
          <cell r="D67" t="str">
            <v>Comprimido ranurado</v>
          </cell>
          <cell r="E67">
            <v>674</v>
          </cell>
          <cell r="F67">
            <v>544.09558241959996</v>
          </cell>
          <cell r="H67">
            <v>2300</v>
          </cell>
          <cell r="J67">
            <v>1817</v>
          </cell>
          <cell r="M67">
            <v>0</v>
          </cell>
          <cell r="N67">
            <v>0</v>
          </cell>
          <cell r="P67">
            <v>1740</v>
          </cell>
          <cell r="R67">
            <v>1383.8941910000001</v>
          </cell>
          <cell r="S67">
            <v>0</v>
          </cell>
          <cell r="T67">
            <v>0</v>
          </cell>
          <cell r="U67">
            <v>1234</v>
          </cell>
          <cell r="V67">
            <v>0.79189627230000004</v>
          </cell>
          <cell r="W67">
            <v>977.20000001819994</v>
          </cell>
          <cell r="X67">
            <v>2.3737599999999999</v>
          </cell>
          <cell r="Y67">
            <v>0</v>
          </cell>
          <cell r="Z67">
            <v>0.79189627230000004</v>
          </cell>
          <cell r="AA67">
            <v>977.20000001819994</v>
          </cell>
        </row>
        <row r="68">
          <cell r="B68" t="str">
            <v>B-01-06</v>
          </cell>
          <cell r="C68" t="str">
            <v>CLOPIDOGREL .:. 75 mg</v>
          </cell>
          <cell r="D68" t="str">
            <v>Comprimido</v>
          </cell>
          <cell r="E68">
            <v>1457</v>
          </cell>
          <cell r="F68">
            <v>1438.809834353</v>
          </cell>
          <cell r="H68">
            <v>11600</v>
          </cell>
          <cell r="J68">
            <v>14000</v>
          </cell>
          <cell r="M68">
            <v>0</v>
          </cell>
          <cell r="N68">
            <v>0</v>
          </cell>
          <cell r="P68">
            <v>9280</v>
          </cell>
          <cell r="R68">
            <v>11264.092037</v>
          </cell>
          <cell r="S68">
            <v>0</v>
          </cell>
          <cell r="T68">
            <v>0</v>
          </cell>
          <cell r="U68">
            <v>3777</v>
          </cell>
          <cell r="V68">
            <v>1.105300503</v>
          </cell>
          <cell r="W68">
            <v>4174.7199998309998</v>
          </cell>
          <cell r="X68">
            <v>2.3737599999999999</v>
          </cell>
          <cell r="Y68">
            <v>0</v>
          </cell>
          <cell r="Z68">
            <v>1.105300503</v>
          </cell>
          <cell r="AA68">
            <v>4174.7199998309998</v>
          </cell>
        </row>
        <row r="69">
          <cell r="B69" t="str">
            <v>B-02-02</v>
          </cell>
          <cell r="C69" t="str">
            <v>FITOMENADIONA  (VITAMINA K1) .:. 10 mg/ml</v>
          </cell>
          <cell r="D69" t="str">
            <v>Inyectable</v>
          </cell>
          <cell r="E69">
            <v>573</v>
          </cell>
          <cell r="F69">
            <v>1373.4204859857</v>
          </cell>
          <cell r="H69">
            <v>0</v>
          </cell>
          <cell r="J69">
            <v>0</v>
          </cell>
          <cell r="M69">
            <v>3</v>
          </cell>
          <cell r="N69">
            <v>7.4764410000000003</v>
          </cell>
          <cell r="P69">
            <v>143</v>
          </cell>
          <cell r="R69">
            <v>342.762944</v>
          </cell>
          <cell r="S69">
            <v>0</v>
          </cell>
          <cell r="T69">
            <v>0</v>
          </cell>
          <cell r="U69">
            <v>433</v>
          </cell>
          <cell r="V69">
            <v>2.3975288683999998</v>
          </cell>
          <cell r="W69">
            <v>1038.1300000172</v>
          </cell>
          <cell r="X69">
            <v>2.3737599999999999</v>
          </cell>
          <cell r="Y69">
            <v>0</v>
          </cell>
          <cell r="Z69">
            <v>2.3975288683999998</v>
          </cell>
          <cell r="AA69">
            <v>1038.1300000172</v>
          </cell>
        </row>
        <row r="70">
          <cell r="B70" t="str">
            <v>B-03-01</v>
          </cell>
          <cell r="C70" t="str">
            <v>ACIDO FOLICO .:. 5 mg</v>
          </cell>
          <cell r="D70" t="str">
            <v>Comprimido</v>
          </cell>
          <cell r="E70">
            <v>2343</v>
          </cell>
          <cell r="F70">
            <v>757.55099045999998</v>
          </cell>
          <cell r="H70">
            <v>3000</v>
          </cell>
          <cell r="J70">
            <v>820</v>
          </cell>
          <cell r="M70">
            <v>0</v>
          </cell>
          <cell r="N70">
            <v>0</v>
          </cell>
          <cell r="P70">
            <v>4290</v>
          </cell>
          <cell r="R70">
            <v>1277.908942</v>
          </cell>
          <cell r="S70">
            <v>0</v>
          </cell>
          <cell r="T70">
            <v>0</v>
          </cell>
          <cell r="U70">
            <v>1053</v>
          </cell>
          <cell r="V70">
            <v>0.28455840459999998</v>
          </cell>
          <cell r="W70">
            <v>299.6400000438</v>
          </cell>
          <cell r="X70">
            <v>2.3737599999999999</v>
          </cell>
          <cell r="Y70">
            <v>0</v>
          </cell>
          <cell r="Z70">
            <v>0.28455840459999998</v>
          </cell>
          <cell r="AA70">
            <v>299.6400000438</v>
          </cell>
        </row>
        <row r="71">
          <cell r="B71" t="str">
            <v>B-03-02</v>
          </cell>
          <cell r="C71" t="str">
            <v>ERITROPOYETINA .:. 10.000 UI</v>
          </cell>
          <cell r="D71" t="str">
            <v>Inyectable</v>
          </cell>
          <cell r="E71">
            <v>4</v>
          </cell>
          <cell r="F71">
            <v>239.75632983040001</v>
          </cell>
          <cell r="H71">
            <v>55</v>
          </cell>
          <cell r="J71">
            <v>2750</v>
          </cell>
          <cell r="M71">
            <v>0</v>
          </cell>
          <cell r="N71">
            <v>0</v>
          </cell>
          <cell r="P71">
            <v>44</v>
          </cell>
          <cell r="R71">
            <v>2239.7563279999999</v>
          </cell>
          <cell r="S71">
            <v>0</v>
          </cell>
          <cell r="T71">
            <v>0</v>
          </cell>
          <cell r="U71">
            <v>15</v>
          </cell>
          <cell r="V71">
            <v>50</v>
          </cell>
          <cell r="W71">
            <v>750</v>
          </cell>
          <cell r="X71">
            <v>2.3737599999999999</v>
          </cell>
          <cell r="Y71">
            <v>0</v>
          </cell>
          <cell r="Z71">
            <v>50</v>
          </cell>
          <cell r="AA71">
            <v>750</v>
          </cell>
        </row>
        <row r="72">
          <cell r="B72" t="str">
            <v>B-03-04</v>
          </cell>
          <cell r="C72" t="str">
            <v>HIERRO .:. 100 mg - IM o IV</v>
          </cell>
          <cell r="D72" t="str">
            <v>Inyectable</v>
          </cell>
          <cell r="E72">
            <v>5</v>
          </cell>
          <cell r="F72">
            <v>148.7912528375</v>
          </cell>
          <cell r="H72">
            <v>140</v>
          </cell>
          <cell r="J72">
            <v>3838</v>
          </cell>
          <cell r="M72">
            <v>0</v>
          </cell>
          <cell r="N72">
            <v>0</v>
          </cell>
          <cell r="P72">
            <v>113</v>
          </cell>
          <cell r="R72">
            <v>3149.5484700000002</v>
          </cell>
          <cell r="S72">
            <v>0</v>
          </cell>
          <cell r="T72">
            <v>0</v>
          </cell>
          <cell r="U72">
            <v>32</v>
          </cell>
          <cell r="V72">
            <v>26.16375</v>
          </cell>
          <cell r="W72">
            <v>837.24</v>
          </cell>
          <cell r="X72">
            <v>2.3737599999999999</v>
          </cell>
          <cell r="Y72">
            <v>0</v>
          </cell>
          <cell r="Z72">
            <v>26.16375</v>
          </cell>
          <cell r="AA72">
            <v>837.24</v>
          </cell>
        </row>
        <row r="73">
          <cell r="B73" t="str">
            <v>B-03-05</v>
          </cell>
          <cell r="C73" t="str">
            <v>MICRONUTRIENTES (VIT. C + VIT A + FE + ZN + AC. FOLICO) (CHISPITAS NUTRICIONALES) .:. Según concentración estándard</v>
          </cell>
          <cell r="D73" t="str">
            <v>Polvo</v>
          </cell>
          <cell r="E73">
            <v>134</v>
          </cell>
          <cell r="F73">
            <v>43.365050586999999</v>
          </cell>
          <cell r="H73">
            <v>960</v>
          </cell>
          <cell r="J73">
            <v>370.8</v>
          </cell>
          <cell r="M73">
            <v>79</v>
          </cell>
          <cell r="N73">
            <v>30.02</v>
          </cell>
          <cell r="P73">
            <v>734</v>
          </cell>
          <cell r="R73">
            <v>277.38124499999998</v>
          </cell>
          <cell r="S73">
            <v>79</v>
          </cell>
          <cell r="T73">
            <v>30.003793000000002</v>
          </cell>
          <cell r="U73">
            <v>360</v>
          </cell>
          <cell r="V73">
            <v>0.38</v>
          </cell>
          <cell r="W73">
            <v>136.80000000000001</v>
          </cell>
          <cell r="X73">
            <v>2.3737599999999999</v>
          </cell>
          <cell r="Y73">
            <v>0</v>
          </cell>
          <cell r="Z73">
            <v>0.38</v>
          </cell>
          <cell r="AA73">
            <v>136.80000000000001</v>
          </cell>
        </row>
        <row r="74">
          <cell r="B74" t="str">
            <v>B-03-07</v>
          </cell>
          <cell r="C74" t="str">
            <v>SULFATO FERROSO .:. 125 mg/ml</v>
          </cell>
          <cell r="D74" t="str">
            <v>Solución oral</v>
          </cell>
          <cell r="E74">
            <v>19</v>
          </cell>
          <cell r="F74">
            <v>144.8644350177</v>
          </cell>
          <cell r="H74">
            <v>0</v>
          </cell>
          <cell r="J74">
            <v>0</v>
          </cell>
          <cell r="M74">
            <v>0</v>
          </cell>
          <cell r="N74">
            <v>0</v>
          </cell>
          <cell r="P74">
            <v>15</v>
          </cell>
          <cell r="R74">
            <v>114.366647</v>
          </cell>
          <cell r="S74">
            <v>0</v>
          </cell>
          <cell r="T74">
            <v>0</v>
          </cell>
          <cell r="U74">
            <v>4</v>
          </cell>
          <cell r="V74">
            <v>7.625</v>
          </cell>
          <cell r="W74">
            <v>30.5</v>
          </cell>
          <cell r="X74">
            <v>2.3737599999999999</v>
          </cell>
          <cell r="Y74">
            <v>0</v>
          </cell>
          <cell r="Z74">
            <v>7.625</v>
          </cell>
          <cell r="AA74">
            <v>30.5</v>
          </cell>
        </row>
        <row r="75">
          <cell r="B75" t="str">
            <v>B-03-08</v>
          </cell>
          <cell r="C75" t="str">
            <v>SULFATO FERROSO + AC. FOLICO + VITAMINA C .:. 200 mg + 0,5 mg + 150 mg</v>
          </cell>
          <cell r="D75" t="str">
            <v>Comprimido</v>
          </cell>
          <cell r="E75">
            <v>705</v>
          </cell>
          <cell r="F75">
            <v>198.992820459</v>
          </cell>
          <cell r="H75">
            <v>1300</v>
          </cell>
          <cell r="J75">
            <v>676</v>
          </cell>
          <cell r="M75">
            <v>0</v>
          </cell>
          <cell r="N75">
            <v>0</v>
          </cell>
          <cell r="P75">
            <v>1514</v>
          </cell>
          <cell r="R75">
            <v>638.18347700000004</v>
          </cell>
          <cell r="S75">
            <v>0</v>
          </cell>
          <cell r="T75">
            <v>0</v>
          </cell>
          <cell r="U75">
            <v>491</v>
          </cell>
          <cell r="V75">
            <v>0.48230142570000001</v>
          </cell>
          <cell r="W75">
            <v>236.81000001870001</v>
          </cell>
          <cell r="X75">
            <v>2.3737599999999999</v>
          </cell>
          <cell r="Y75">
            <v>0</v>
          </cell>
          <cell r="Z75">
            <v>0.48230142570000001</v>
          </cell>
          <cell r="AA75">
            <v>236.81000001870001</v>
          </cell>
        </row>
        <row r="76">
          <cell r="B76" t="str">
            <v>B-03-09</v>
          </cell>
          <cell r="C76" t="str">
            <v>SULFATO FERROSO + AC. FOLICO + VITAMINA C .:. 125 mg + 0,25 mg + 30 mg</v>
          </cell>
          <cell r="D76" t="str">
            <v>Solución oral</v>
          </cell>
          <cell r="E76">
            <v>6</v>
          </cell>
          <cell r="F76">
            <v>71.075781418199995</v>
          </cell>
          <cell r="H76">
            <v>25</v>
          </cell>
          <cell r="J76">
            <v>170</v>
          </cell>
          <cell r="M76">
            <v>5</v>
          </cell>
          <cell r="N76">
            <v>59.23</v>
          </cell>
          <cell r="P76">
            <v>17</v>
          </cell>
          <cell r="R76">
            <v>145.87596300000001</v>
          </cell>
          <cell r="S76">
            <v>5</v>
          </cell>
          <cell r="T76">
            <v>59.229816999999997</v>
          </cell>
          <cell r="U76">
            <v>14</v>
          </cell>
          <cell r="V76">
            <v>6.8</v>
          </cell>
          <cell r="W76">
            <v>95.2</v>
          </cell>
          <cell r="X76">
            <v>2.3737599999999999</v>
          </cell>
          <cell r="Y76">
            <v>0</v>
          </cell>
          <cell r="Z76">
            <v>6.8</v>
          </cell>
          <cell r="AA76">
            <v>95.2</v>
          </cell>
        </row>
        <row r="77">
          <cell r="B77" t="str">
            <v>B-05-01</v>
          </cell>
          <cell r="C77" t="str">
            <v>AGUA PARA INYECCION .:. 5 ml</v>
          </cell>
          <cell r="D77" t="str">
            <v>Inyectable</v>
          </cell>
          <cell r="E77">
            <v>2382</v>
          </cell>
          <cell r="F77">
            <v>1863.9442933595999</v>
          </cell>
          <cell r="H77">
            <v>3000</v>
          </cell>
          <cell r="J77">
            <v>1690</v>
          </cell>
          <cell r="M77">
            <v>185</v>
          </cell>
          <cell r="N77">
            <v>106.53138199999999</v>
          </cell>
          <cell r="P77">
            <v>4661</v>
          </cell>
          <cell r="R77">
            <v>3047.1503010000001</v>
          </cell>
          <cell r="S77">
            <v>0</v>
          </cell>
          <cell r="T77">
            <v>0</v>
          </cell>
          <cell r="U77">
            <v>906</v>
          </cell>
          <cell r="V77">
            <v>0.67696467989999998</v>
          </cell>
          <cell r="W77">
            <v>613.32999998939999</v>
          </cell>
          <cell r="X77">
            <v>2.3737599999999999</v>
          </cell>
          <cell r="Y77">
            <v>0</v>
          </cell>
          <cell r="Z77">
            <v>0.67696467989999998</v>
          </cell>
          <cell r="AA77">
            <v>613.32999998939999</v>
          </cell>
        </row>
        <row r="78">
          <cell r="B78" t="str">
            <v>B-05-02</v>
          </cell>
          <cell r="C78" t="str">
            <v>ALBUMINA HUMANA .:. 0.2</v>
          </cell>
          <cell r="D78" t="str">
            <v>Inyectable</v>
          </cell>
          <cell r="E78">
            <v>91</v>
          </cell>
          <cell r="F78">
            <v>26740.059195813599</v>
          </cell>
          <cell r="H78">
            <v>161</v>
          </cell>
          <cell r="J78">
            <v>38960</v>
          </cell>
          <cell r="M78">
            <v>0</v>
          </cell>
          <cell r="N78">
            <v>0</v>
          </cell>
          <cell r="P78">
            <v>186</v>
          </cell>
          <cell r="R78">
            <v>49860.059164999999</v>
          </cell>
          <cell r="S78">
            <v>0</v>
          </cell>
          <cell r="T78">
            <v>0</v>
          </cell>
          <cell r="U78">
            <v>66</v>
          </cell>
          <cell r="V78">
            <v>240</v>
          </cell>
          <cell r="W78">
            <v>15840</v>
          </cell>
          <cell r="X78">
            <v>2.3737599999999999</v>
          </cell>
          <cell r="Y78">
            <v>0</v>
          </cell>
          <cell r="Z78">
            <v>240</v>
          </cell>
          <cell r="AA78">
            <v>15840</v>
          </cell>
        </row>
        <row r="79">
          <cell r="B79" t="str">
            <v>B-05-03</v>
          </cell>
          <cell r="C79" t="str">
            <v>AMINOACIDOS .:. 0.1</v>
          </cell>
          <cell r="D79" t="str">
            <v>Solución parenteral de gran volumen</v>
          </cell>
          <cell r="E79">
            <v>3</v>
          </cell>
          <cell r="F79">
            <v>448.8561342003</v>
          </cell>
          <cell r="H79">
            <v>4</v>
          </cell>
          <cell r="J79">
            <v>400</v>
          </cell>
          <cell r="M79">
            <v>2</v>
          </cell>
          <cell r="N79">
            <v>200</v>
          </cell>
          <cell r="P79">
            <v>7</v>
          </cell>
          <cell r="R79">
            <v>848.856134</v>
          </cell>
          <cell r="S79">
            <v>0</v>
          </cell>
          <cell r="T79">
            <v>0</v>
          </cell>
          <cell r="U79">
            <v>2</v>
          </cell>
          <cell r="V79">
            <v>100</v>
          </cell>
          <cell r="W79">
            <v>200</v>
          </cell>
          <cell r="X79">
            <v>2.3737599999999999</v>
          </cell>
          <cell r="Y79">
            <v>0</v>
          </cell>
          <cell r="Z79">
            <v>100</v>
          </cell>
          <cell r="AA79">
            <v>200</v>
          </cell>
        </row>
        <row r="80">
          <cell r="B80" t="str">
            <v>B-05-04</v>
          </cell>
          <cell r="C80" t="str">
            <v>BICARBONATO DE SODIO .:. 0.08</v>
          </cell>
          <cell r="D80" t="str">
            <v>Inyectable</v>
          </cell>
          <cell r="E80">
            <v>26</v>
          </cell>
          <cell r="F80">
            <v>205.5563966066</v>
          </cell>
          <cell r="H80">
            <v>0</v>
          </cell>
          <cell r="J80">
            <v>0</v>
          </cell>
          <cell r="M80">
            <v>0</v>
          </cell>
          <cell r="N80">
            <v>0</v>
          </cell>
          <cell r="P80">
            <v>26</v>
          </cell>
          <cell r="R80">
            <v>205.55639500000001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2.3737599999999999</v>
          </cell>
          <cell r="Y80">
            <v>0</v>
          </cell>
          <cell r="Z80">
            <v>0</v>
          </cell>
          <cell r="AA80">
            <v>0</v>
          </cell>
        </row>
        <row r="81">
          <cell r="B81" t="str">
            <v>B-05-06</v>
          </cell>
          <cell r="C81" t="str">
            <v>CLORURO DE POTASIO .:. 0.2</v>
          </cell>
          <cell r="D81" t="str">
            <v>Inyectable</v>
          </cell>
          <cell r="E81">
            <v>114</v>
          </cell>
          <cell r="F81">
            <v>255.32705000999999</v>
          </cell>
          <cell r="H81">
            <v>600</v>
          </cell>
          <cell r="J81">
            <v>1120</v>
          </cell>
          <cell r="M81">
            <v>19</v>
          </cell>
          <cell r="N81">
            <v>34.982832999999999</v>
          </cell>
          <cell r="P81">
            <v>496</v>
          </cell>
          <cell r="R81">
            <v>973.86565299999995</v>
          </cell>
          <cell r="S81">
            <v>0</v>
          </cell>
          <cell r="T81">
            <v>0</v>
          </cell>
          <cell r="U81">
            <v>237</v>
          </cell>
          <cell r="V81">
            <v>1.8415189873</v>
          </cell>
          <cell r="W81">
            <v>436.43999999009998</v>
          </cell>
          <cell r="X81">
            <v>2.3737599999999999</v>
          </cell>
          <cell r="Y81">
            <v>0</v>
          </cell>
          <cell r="Z81">
            <v>1.8415189873</v>
          </cell>
          <cell r="AA81">
            <v>436.43999999009998</v>
          </cell>
        </row>
        <row r="82">
          <cell r="B82" t="str">
            <v>B-05-07</v>
          </cell>
          <cell r="C82" t="str">
            <v>CLORURO DE SODIO .:. 0.2</v>
          </cell>
          <cell r="D82" t="str">
            <v>Inyectable</v>
          </cell>
          <cell r="E82">
            <v>12</v>
          </cell>
          <cell r="F82">
            <v>47.526847658400001</v>
          </cell>
          <cell r="H82">
            <v>100</v>
          </cell>
          <cell r="J82">
            <v>399</v>
          </cell>
          <cell r="M82">
            <v>0</v>
          </cell>
          <cell r="N82">
            <v>0</v>
          </cell>
          <cell r="P82">
            <v>62</v>
          </cell>
          <cell r="R82">
            <v>247.02684199999999</v>
          </cell>
          <cell r="S82">
            <v>0</v>
          </cell>
          <cell r="T82">
            <v>0</v>
          </cell>
          <cell r="U82">
            <v>50</v>
          </cell>
          <cell r="V82">
            <v>3.99</v>
          </cell>
          <cell r="W82">
            <v>199.5</v>
          </cell>
          <cell r="X82">
            <v>2.3737599999999999</v>
          </cell>
          <cell r="Y82">
            <v>0</v>
          </cell>
          <cell r="Z82">
            <v>3.99</v>
          </cell>
          <cell r="AA82">
            <v>199.5</v>
          </cell>
        </row>
        <row r="83">
          <cell r="B83" t="str">
            <v>B-05-09</v>
          </cell>
          <cell r="C83" t="str">
            <v>EMULSION DE LIPIDOS .:. Según disponibilidad</v>
          </cell>
          <cell r="D83" t="str">
            <v>Emulsión inyectable</v>
          </cell>
          <cell r="E83">
            <v>7</v>
          </cell>
          <cell r="F83">
            <v>1259.0612843255999</v>
          </cell>
          <cell r="H83">
            <v>0</v>
          </cell>
          <cell r="J83">
            <v>0</v>
          </cell>
          <cell r="M83">
            <v>0</v>
          </cell>
          <cell r="N83">
            <v>0</v>
          </cell>
          <cell r="P83">
            <v>7</v>
          </cell>
          <cell r="R83">
            <v>1259.061281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2.3737599999999999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B-05-10</v>
          </cell>
          <cell r="C84" t="str">
            <v>GLUCONATO CALCICO (CALCIO GLUCONATO) .:. 0.1</v>
          </cell>
          <cell r="D84" t="str">
            <v>Inyectable</v>
          </cell>
          <cell r="E84">
            <v>51</v>
          </cell>
          <cell r="F84">
            <v>330.14348958149998</v>
          </cell>
          <cell r="H84">
            <v>150</v>
          </cell>
          <cell r="J84">
            <v>615</v>
          </cell>
          <cell r="M84">
            <v>14</v>
          </cell>
          <cell r="N84">
            <v>70.396687999999997</v>
          </cell>
          <cell r="P84">
            <v>132</v>
          </cell>
          <cell r="R84">
            <v>725.61790299999996</v>
          </cell>
          <cell r="S84">
            <v>0</v>
          </cell>
          <cell r="T84">
            <v>0</v>
          </cell>
          <cell r="U84">
            <v>83</v>
          </cell>
          <cell r="V84">
            <v>3.4930120482000002</v>
          </cell>
          <cell r="W84">
            <v>289.9200000006</v>
          </cell>
          <cell r="X84">
            <v>2.3737599999999999</v>
          </cell>
          <cell r="Y84">
            <v>0</v>
          </cell>
          <cell r="Z84">
            <v>3.4930120482000002</v>
          </cell>
          <cell r="AA84">
            <v>289.9200000006</v>
          </cell>
        </row>
        <row r="85">
          <cell r="B85" t="str">
            <v>B-05-11</v>
          </cell>
          <cell r="C85" t="str">
            <v>OLIGOELEMENTOS PARA NUTRICION PARENTERAL .:. Según disponibilidad</v>
          </cell>
          <cell r="D85" t="str">
            <v>Solucion parenteral de gran volumen</v>
          </cell>
          <cell r="E85">
            <v>14</v>
          </cell>
          <cell r="F85">
            <v>665.89709069380001</v>
          </cell>
          <cell r="H85">
            <v>30</v>
          </cell>
          <cell r="J85">
            <v>1498.2</v>
          </cell>
          <cell r="M85">
            <v>0</v>
          </cell>
          <cell r="N85">
            <v>0</v>
          </cell>
          <cell r="P85">
            <v>16</v>
          </cell>
          <cell r="R85">
            <v>765.77708700000005</v>
          </cell>
          <cell r="S85">
            <v>0</v>
          </cell>
          <cell r="T85">
            <v>0</v>
          </cell>
          <cell r="U85">
            <v>28</v>
          </cell>
          <cell r="V85">
            <v>49.94</v>
          </cell>
          <cell r="W85">
            <v>1398.32</v>
          </cell>
          <cell r="X85">
            <v>2.3737599999999999</v>
          </cell>
          <cell r="Y85">
            <v>0</v>
          </cell>
          <cell r="Z85">
            <v>49.94</v>
          </cell>
          <cell r="AA85">
            <v>1398.32</v>
          </cell>
        </row>
        <row r="86">
          <cell r="B86" t="str">
            <v>B-05-15</v>
          </cell>
          <cell r="C86" t="str">
            <v>SOLUCION DE GLUCOSA .:. 5% (500 ml)</v>
          </cell>
          <cell r="D86" t="str">
            <v>Solución parenteral de gran volumen</v>
          </cell>
          <cell r="E86">
            <v>74</v>
          </cell>
          <cell r="F86">
            <v>683.6044472566</v>
          </cell>
          <cell r="H86">
            <v>276</v>
          </cell>
          <cell r="J86">
            <v>2565.12</v>
          </cell>
          <cell r="M86">
            <v>2</v>
          </cell>
          <cell r="N86">
            <v>18.397984000000001</v>
          </cell>
          <cell r="P86">
            <v>187</v>
          </cell>
          <cell r="R86">
            <v>1748.9132830000001</v>
          </cell>
          <cell r="S86">
            <v>0</v>
          </cell>
          <cell r="T86">
            <v>0</v>
          </cell>
          <cell r="U86">
            <v>165</v>
          </cell>
          <cell r="V86">
            <v>9.2012727272999992</v>
          </cell>
          <cell r="W86">
            <v>1518.2100000045</v>
          </cell>
          <cell r="X86">
            <v>2.3737599999999999</v>
          </cell>
          <cell r="Y86">
            <v>0</v>
          </cell>
          <cell r="Z86">
            <v>9.2012727272999992</v>
          </cell>
          <cell r="AA86">
            <v>1518.2100000045</v>
          </cell>
        </row>
        <row r="87">
          <cell r="B87" t="str">
            <v>B-05-16</v>
          </cell>
          <cell r="C87" t="str">
            <v>SOLUCION DE GLUCOSA .:. 5% (1.000 ml)</v>
          </cell>
          <cell r="D87" t="str">
            <v>Solución parenteral de gran volumen</v>
          </cell>
          <cell r="E87">
            <v>297</v>
          </cell>
          <cell r="F87">
            <v>3414.7933784019001</v>
          </cell>
          <cell r="H87">
            <v>0</v>
          </cell>
          <cell r="J87">
            <v>0</v>
          </cell>
          <cell r="M87">
            <v>10</v>
          </cell>
          <cell r="N87">
            <v>114.5213</v>
          </cell>
          <cell r="P87">
            <v>229</v>
          </cell>
          <cell r="R87">
            <v>2632.7259089999998</v>
          </cell>
          <cell r="S87">
            <v>0</v>
          </cell>
          <cell r="T87">
            <v>0</v>
          </cell>
          <cell r="U87">
            <v>78</v>
          </cell>
          <cell r="V87">
            <v>11.494743589700001</v>
          </cell>
          <cell r="W87">
            <v>896.5899999966</v>
          </cell>
          <cell r="X87">
            <v>2.3737599999999999</v>
          </cell>
          <cell r="Y87">
            <v>0</v>
          </cell>
          <cell r="Z87">
            <v>11.494743589700001</v>
          </cell>
          <cell r="AA87">
            <v>896.5899999966</v>
          </cell>
        </row>
        <row r="88">
          <cell r="B88" t="str">
            <v>B-05-17</v>
          </cell>
          <cell r="C88" t="str">
            <v>SOLUCION DE GLUCOSA .:. 10% (500 ml)</v>
          </cell>
          <cell r="D88" t="str">
            <v>Solución parenteral de gran volumen</v>
          </cell>
          <cell r="E88">
            <v>47</v>
          </cell>
          <cell r="F88">
            <v>414.48055345059998</v>
          </cell>
          <cell r="H88">
            <v>0</v>
          </cell>
          <cell r="J88">
            <v>0</v>
          </cell>
          <cell r="M88">
            <v>0</v>
          </cell>
          <cell r="N88">
            <v>0</v>
          </cell>
          <cell r="P88">
            <v>9</v>
          </cell>
          <cell r="R88">
            <v>79.368615000000005</v>
          </cell>
          <cell r="S88">
            <v>0</v>
          </cell>
          <cell r="T88">
            <v>0</v>
          </cell>
          <cell r="U88">
            <v>38</v>
          </cell>
          <cell r="V88">
            <v>8.8186842105000007</v>
          </cell>
          <cell r="W88">
            <v>335.10999999900002</v>
          </cell>
          <cell r="X88">
            <v>2.3737599999999999</v>
          </cell>
          <cell r="Y88">
            <v>0</v>
          </cell>
          <cell r="Z88">
            <v>8.8186842105000007</v>
          </cell>
          <cell r="AA88">
            <v>335.10999999900002</v>
          </cell>
        </row>
        <row r="89">
          <cell r="B89" t="str">
            <v>B-05-18</v>
          </cell>
          <cell r="C89" t="str">
            <v>SOLUCION DE GLUCOSA .:. 10% (1.000 ml)</v>
          </cell>
          <cell r="D89" t="str">
            <v>Solución parenteral de gran volumen</v>
          </cell>
          <cell r="E89">
            <v>90</v>
          </cell>
          <cell r="F89">
            <v>1138.739863887</v>
          </cell>
          <cell r="H89">
            <v>120</v>
          </cell>
          <cell r="J89">
            <v>1500.8</v>
          </cell>
          <cell r="M89">
            <v>2</v>
          </cell>
          <cell r="N89">
            <v>25.016299</v>
          </cell>
          <cell r="P89">
            <v>162</v>
          </cell>
          <cell r="R89">
            <v>2039.2422039999999</v>
          </cell>
          <cell r="S89">
            <v>0</v>
          </cell>
          <cell r="T89">
            <v>0</v>
          </cell>
          <cell r="U89">
            <v>50</v>
          </cell>
          <cell r="V89">
            <v>12.5062</v>
          </cell>
          <cell r="W89">
            <v>625.30999999999995</v>
          </cell>
          <cell r="X89">
            <v>2.3737599999999999</v>
          </cell>
          <cell r="Y89">
            <v>0</v>
          </cell>
          <cell r="Z89">
            <v>12.5062</v>
          </cell>
          <cell r="AA89">
            <v>625.30999999999995</v>
          </cell>
        </row>
        <row r="90">
          <cell r="B90" t="str">
            <v>B-05-19</v>
          </cell>
          <cell r="C90" t="str">
            <v>SOLUCION DE GLUCOSA .:. 50% (500 ml)</v>
          </cell>
          <cell r="D90" t="str">
            <v>Solución parenteral de gran volumen</v>
          </cell>
          <cell r="E90">
            <v>9</v>
          </cell>
          <cell r="F90">
            <v>230.06845917359999</v>
          </cell>
          <cell r="H90">
            <v>0</v>
          </cell>
          <cell r="J90">
            <v>0</v>
          </cell>
          <cell r="M90">
            <v>0</v>
          </cell>
          <cell r="N90">
            <v>0</v>
          </cell>
          <cell r="P90">
            <v>8</v>
          </cell>
          <cell r="R90">
            <v>204.50529599999999</v>
          </cell>
          <cell r="S90">
            <v>0</v>
          </cell>
          <cell r="T90">
            <v>0</v>
          </cell>
          <cell r="U90">
            <v>1</v>
          </cell>
          <cell r="V90">
            <v>25.56</v>
          </cell>
          <cell r="W90">
            <v>25.56</v>
          </cell>
          <cell r="X90">
            <v>2.3737599999999999</v>
          </cell>
          <cell r="Y90">
            <v>0</v>
          </cell>
          <cell r="Z90">
            <v>25.56</v>
          </cell>
          <cell r="AA90">
            <v>25.56</v>
          </cell>
        </row>
        <row r="91">
          <cell r="B91" t="str">
            <v>B-05-20</v>
          </cell>
          <cell r="C91" t="str">
            <v>SOLUCION DE GLUCOSA .:. 50% (20 ml)</v>
          </cell>
          <cell r="D91" t="str">
            <v>Inyectable</v>
          </cell>
          <cell r="E91">
            <v>0</v>
          </cell>
          <cell r="F91">
            <v>0</v>
          </cell>
          <cell r="H91">
            <v>20</v>
          </cell>
          <cell r="J91">
            <v>134.4</v>
          </cell>
          <cell r="M91">
            <v>0</v>
          </cell>
          <cell r="N91">
            <v>0</v>
          </cell>
          <cell r="P91">
            <v>0</v>
          </cell>
          <cell r="R91">
            <v>0</v>
          </cell>
          <cell r="S91">
            <v>0</v>
          </cell>
          <cell r="T91">
            <v>0</v>
          </cell>
          <cell r="U91">
            <v>20</v>
          </cell>
          <cell r="V91">
            <v>6.72</v>
          </cell>
          <cell r="W91">
            <v>134.4</v>
          </cell>
          <cell r="X91">
            <v>2.3737599999999999</v>
          </cell>
          <cell r="Y91">
            <v>0</v>
          </cell>
          <cell r="Z91">
            <v>6.72</v>
          </cell>
          <cell r="AA91">
            <v>134.4</v>
          </cell>
        </row>
        <row r="92">
          <cell r="B92" t="str">
            <v>B-05-21</v>
          </cell>
          <cell r="C92" t="str">
            <v>SOLUCION DE MANITOL .:. 20% (500 ml)</v>
          </cell>
          <cell r="D92" t="str">
            <v>Solución parenteral de gran volumen</v>
          </cell>
          <cell r="E92">
            <v>60</v>
          </cell>
          <cell r="F92">
            <v>1430.6021099699999</v>
          </cell>
          <cell r="H92">
            <v>0</v>
          </cell>
          <cell r="J92">
            <v>0</v>
          </cell>
          <cell r="M92">
            <v>2</v>
          </cell>
          <cell r="N92">
            <v>47.686736000000003</v>
          </cell>
          <cell r="P92">
            <v>60</v>
          </cell>
          <cell r="R92">
            <v>1430.6020820000001</v>
          </cell>
          <cell r="S92">
            <v>0</v>
          </cell>
          <cell r="T92">
            <v>0</v>
          </cell>
          <cell r="U92">
            <v>2</v>
          </cell>
          <cell r="V92">
            <v>23.844999999999999</v>
          </cell>
          <cell r="W92">
            <v>47.69</v>
          </cell>
          <cell r="X92">
            <v>2.3737599999999999</v>
          </cell>
          <cell r="Y92">
            <v>0</v>
          </cell>
          <cell r="Z92">
            <v>23.844999999999999</v>
          </cell>
          <cell r="AA92">
            <v>47.69</v>
          </cell>
        </row>
        <row r="93">
          <cell r="B93" t="str">
            <v>B-05-22</v>
          </cell>
          <cell r="C93" t="str">
            <v>SOLUCION FISIOLOGICA .:. 0,9% (500 ml)</v>
          </cell>
          <cell r="D93" t="str">
            <v>Solución parenteral de gran volumen</v>
          </cell>
          <cell r="E93">
            <v>194</v>
          </cell>
          <cell r="F93">
            <v>1683.5944580089999</v>
          </cell>
          <cell r="H93">
            <v>1750</v>
          </cell>
          <cell r="J93">
            <v>15185</v>
          </cell>
          <cell r="M93">
            <v>64</v>
          </cell>
          <cell r="N93">
            <v>555.48207600000001</v>
          </cell>
          <cell r="P93">
            <v>1398</v>
          </cell>
          <cell r="R93">
            <v>12129.633522</v>
          </cell>
          <cell r="S93">
            <v>0</v>
          </cell>
          <cell r="T93">
            <v>0</v>
          </cell>
          <cell r="U93">
            <v>610</v>
          </cell>
          <cell r="V93">
            <v>8.6794098360999996</v>
          </cell>
          <cell r="W93">
            <v>5294.4400000209998</v>
          </cell>
          <cell r="X93">
            <v>2.3737599999999999</v>
          </cell>
          <cell r="Y93">
            <v>0</v>
          </cell>
          <cell r="Z93">
            <v>8.6794098360999996</v>
          </cell>
          <cell r="AA93">
            <v>5294.4400000209998</v>
          </cell>
        </row>
        <row r="94">
          <cell r="B94" t="str">
            <v>B-05-23</v>
          </cell>
          <cell r="C94" t="str">
            <v>SOLUCION FISIOLOGICA .:. 0,9% (1.000 ml)</v>
          </cell>
          <cell r="D94" t="str">
            <v>Solución parenteral de gran volumen</v>
          </cell>
          <cell r="E94">
            <v>527</v>
          </cell>
          <cell r="F94">
            <v>5500.5442453524001</v>
          </cell>
          <cell r="H94">
            <v>1800</v>
          </cell>
          <cell r="J94">
            <v>16440</v>
          </cell>
          <cell r="M94">
            <v>40</v>
          </cell>
          <cell r="N94">
            <v>371.96678200000002</v>
          </cell>
          <cell r="P94">
            <v>1611</v>
          </cell>
          <cell r="R94">
            <v>15326.877936000001</v>
          </cell>
          <cell r="S94">
            <v>0</v>
          </cell>
          <cell r="T94">
            <v>0</v>
          </cell>
          <cell r="U94">
            <v>756</v>
          </cell>
          <cell r="V94">
            <v>9.2402513228000007</v>
          </cell>
          <cell r="W94">
            <v>6985.6300000368001</v>
          </cell>
          <cell r="X94">
            <v>2.3737599999999999</v>
          </cell>
          <cell r="Y94">
            <v>0</v>
          </cell>
          <cell r="Z94">
            <v>9.2402513228000007</v>
          </cell>
          <cell r="AA94">
            <v>6985.6300000368001</v>
          </cell>
        </row>
        <row r="95">
          <cell r="B95" t="str">
            <v>B-05-24</v>
          </cell>
          <cell r="C95" t="str">
            <v>SOLUCION GLUCOSADA CLORURADA .:. 500 ml</v>
          </cell>
          <cell r="D95" t="str">
            <v>Solución parenteral de gran volumen</v>
          </cell>
          <cell r="E95">
            <v>4</v>
          </cell>
          <cell r="F95">
            <v>27.523838509600001</v>
          </cell>
          <cell r="H95">
            <v>0</v>
          </cell>
          <cell r="J95">
            <v>0</v>
          </cell>
          <cell r="M95">
            <v>1</v>
          </cell>
          <cell r="N95">
            <v>6.88096</v>
          </cell>
          <cell r="P95">
            <v>1</v>
          </cell>
          <cell r="R95">
            <v>6.8809589999999998</v>
          </cell>
          <cell r="S95">
            <v>0</v>
          </cell>
          <cell r="T95">
            <v>0</v>
          </cell>
          <cell r="U95">
            <v>4</v>
          </cell>
          <cell r="V95">
            <v>6.88</v>
          </cell>
          <cell r="W95">
            <v>27.52</v>
          </cell>
          <cell r="X95">
            <v>2.3737599999999999</v>
          </cell>
          <cell r="Y95">
            <v>0</v>
          </cell>
          <cell r="Z95">
            <v>6.88</v>
          </cell>
          <cell r="AA95">
            <v>27.52</v>
          </cell>
        </row>
        <row r="96">
          <cell r="B96" t="str">
            <v>B-05-25</v>
          </cell>
          <cell r="C96" t="str">
            <v>SOLUCION GLUCOSADA CLORURADA .:. 1.000 ml</v>
          </cell>
          <cell r="D96" t="str">
            <v>Solución parenteral de gran volumen</v>
          </cell>
          <cell r="E96">
            <v>4</v>
          </cell>
          <cell r="F96">
            <v>36.195123301199999</v>
          </cell>
          <cell r="H96">
            <v>0</v>
          </cell>
          <cell r="J96">
            <v>0</v>
          </cell>
          <cell r="M96">
            <v>2</v>
          </cell>
          <cell r="N96">
            <v>18.097562</v>
          </cell>
          <cell r="P96">
            <v>1</v>
          </cell>
          <cell r="R96">
            <v>9.0487800000000007</v>
          </cell>
          <cell r="S96">
            <v>0</v>
          </cell>
          <cell r="T96">
            <v>0</v>
          </cell>
          <cell r="U96">
            <v>5</v>
          </cell>
          <cell r="V96">
            <v>9.048</v>
          </cell>
          <cell r="W96">
            <v>45.24</v>
          </cell>
          <cell r="X96">
            <v>2.3737599999999999</v>
          </cell>
          <cell r="Y96">
            <v>0</v>
          </cell>
          <cell r="Z96">
            <v>9.048</v>
          </cell>
          <cell r="AA96">
            <v>45.24</v>
          </cell>
        </row>
        <row r="97">
          <cell r="B97" t="str">
            <v>B-05-29</v>
          </cell>
          <cell r="C97" t="str">
            <v>SOLUCION RINGER LACTATO .:. 500 ml</v>
          </cell>
          <cell r="D97" t="str">
            <v>Solución parenteral de gran volumen</v>
          </cell>
          <cell r="E97">
            <v>15</v>
          </cell>
          <cell r="F97">
            <v>118.62303648300001</v>
          </cell>
          <cell r="H97">
            <v>12</v>
          </cell>
          <cell r="J97">
            <v>96.6</v>
          </cell>
          <cell r="M97">
            <v>0</v>
          </cell>
          <cell r="N97">
            <v>0</v>
          </cell>
          <cell r="P97">
            <v>20</v>
          </cell>
          <cell r="R97">
            <v>159.389174</v>
          </cell>
          <cell r="S97">
            <v>0</v>
          </cell>
          <cell r="T97">
            <v>0</v>
          </cell>
          <cell r="U97">
            <v>7</v>
          </cell>
          <cell r="V97">
            <v>7.9757142856999996</v>
          </cell>
          <cell r="W97">
            <v>55.829999999899997</v>
          </cell>
          <cell r="X97">
            <v>2.3737599999999999</v>
          </cell>
          <cell r="Y97">
            <v>0</v>
          </cell>
          <cell r="Z97">
            <v>7.9757142856999996</v>
          </cell>
          <cell r="AA97">
            <v>55.829999999899997</v>
          </cell>
        </row>
        <row r="98">
          <cell r="B98" t="str">
            <v>B-05-30</v>
          </cell>
          <cell r="C98" t="str">
            <v>SOLUCION RINGER LACTATO .:. 1.000 ml</v>
          </cell>
          <cell r="D98" t="str">
            <v>Solución parenteral de gran volumen</v>
          </cell>
          <cell r="E98">
            <v>3</v>
          </cell>
          <cell r="F98">
            <v>32.775996109200001</v>
          </cell>
          <cell r="H98">
            <v>140</v>
          </cell>
          <cell r="J98">
            <v>1525</v>
          </cell>
          <cell r="M98">
            <v>2</v>
          </cell>
          <cell r="N98">
            <v>21.783942</v>
          </cell>
          <cell r="P98">
            <v>103</v>
          </cell>
          <cell r="R98">
            <v>1122.0901650000001</v>
          </cell>
          <cell r="S98">
            <v>0</v>
          </cell>
          <cell r="T98">
            <v>0</v>
          </cell>
          <cell r="U98">
            <v>42</v>
          </cell>
          <cell r="V98">
            <v>10.8921428571</v>
          </cell>
          <cell r="W98">
            <v>457.46999999820002</v>
          </cell>
          <cell r="X98">
            <v>2.3737599999999999</v>
          </cell>
          <cell r="Y98">
            <v>0</v>
          </cell>
          <cell r="Z98">
            <v>10.8921428571</v>
          </cell>
          <cell r="AA98">
            <v>457.46999999820002</v>
          </cell>
        </row>
        <row r="99">
          <cell r="B99" t="str">
            <v>B-05-31</v>
          </cell>
          <cell r="C99" t="str">
            <v>SOLUCION RINGER NORMAL .:. 500 ml</v>
          </cell>
          <cell r="D99" t="str">
            <v>Solución parenteral de gran volumen</v>
          </cell>
          <cell r="E99">
            <v>87</v>
          </cell>
          <cell r="F99">
            <v>665.84494068360004</v>
          </cell>
          <cell r="H99">
            <v>100</v>
          </cell>
          <cell r="J99">
            <v>783</v>
          </cell>
          <cell r="M99">
            <v>12</v>
          </cell>
          <cell r="N99">
            <v>92.624663999999996</v>
          </cell>
          <cell r="P99">
            <v>106</v>
          </cell>
          <cell r="R99">
            <v>813.27957900000001</v>
          </cell>
          <cell r="S99">
            <v>0</v>
          </cell>
          <cell r="T99">
            <v>0</v>
          </cell>
          <cell r="U99">
            <v>93</v>
          </cell>
          <cell r="V99">
            <v>7.83</v>
          </cell>
          <cell r="W99">
            <v>728.19</v>
          </cell>
          <cell r="X99">
            <v>2.3737599999999999</v>
          </cell>
          <cell r="Y99">
            <v>0</v>
          </cell>
          <cell r="Z99">
            <v>7.83</v>
          </cell>
          <cell r="AA99">
            <v>728.19</v>
          </cell>
        </row>
        <row r="100">
          <cell r="B100" t="str">
            <v>B-05-32</v>
          </cell>
          <cell r="C100" t="str">
            <v>SOLUCION RINGER NORMAL .:. 1.000 ml</v>
          </cell>
          <cell r="D100" t="str">
            <v>Solución parenteral de gran volumen</v>
          </cell>
          <cell r="E100">
            <v>319</v>
          </cell>
          <cell r="F100">
            <v>3361.9297439255001</v>
          </cell>
          <cell r="H100">
            <v>1900</v>
          </cell>
          <cell r="J100">
            <v>20311</v>
          </cell>
          <cell r="M100">
            <v>168</v>
          </cell>
          <cell r="N100">
            <v>1795.5056509999999</v>
          </cell>
          <cell r="P100">
            <v>1610</v>
          </cell>
          <cell r="R100">
            <v>17162.426466000001</v>
          </cell>
          <cell r="S100">
            <v>0</v>
          </cell>
          <cell r="T100">
            <v>0</v>
          </cell>
          <cell r="U100">
            <v>777</v>
          </cell>
          <cell r="V100">
            <v>10.6898455598</v>
          </cell>
          <cell r="W100">
            <v>8306.0099999646009</v>
          </cell>
          <cell r="X100">
            <v>2.3737599999999999</v>
          </cell>
          <cell r="Y100">
            <v>0</v>
          </cell>
          <cell r="Z100">
            <v>10.6898455598</v>
          </cell>
          <cell r="AA100">
            <v>8306.0099999646009</v>
          </cell>
        </row>
        <row r="101">
          <cell r="B101" t="str">
            <v>B-05-33</v>
          </cell>
          <cell r="C101" t="str">
            <v>SULFATO DE MAGNESIO .:. 0.1</v>
          </cell>
          <cell r="D101" t="str">
            <v>Inyectable</v>
          </cell>
          <cell r="E101">
            <v>70</v>
          </cell>
          <cell r="F101">
            <v>234.74219388200001</v>
          </cell>
          <cell r="H101">
            <v>400</v>
          </cell>
          <cell r="J101">
            <v>1791</v>
          </cell>
          <cell r="M101">
            <v>19</v>
          </cell>
          <cell r="N101">
            <v>90.413629</v>
          </cell>
          <cell r="P101">
            <v>355</v>
          </cell>
          <cell r="R101">
            <v>1477.484492</v>
          </cell>
          <cell r="S101">
            <v>0</v>
          </cell>
          <cell r="T101">
            <v>0</v>
          </cell>
          <cell r="U101">
            <v>134</v>
          </cell>
          <cell r="V101">
            <v>4.7661940299000003</v>
          </cell>
          <cell r="W101">
            <v>638.67000000660005</v>
          </cell>
          <cell r="X101">
            <v>2.3737599999999999</v>
          </cell>
          <cell r="Y101">
            <v>0</v>
          </cell>
          <cell r="Z101">
            <v>4.7661940299000003</v>
          </cell>
          <cell r="AA101">
            <v>638.67000000660005</v>
          </cell>
        </row>
        <row r="102">
          <cell r="B102" t="str">
            <v>C-01-02</v>
          </cell>
          <cell r="C102" t="str">
            <v>AMIODARONA (CLORHIDRATO) .:. 200 mg</v>
          </cell>
          <cell r="D102" t="str">
            <v>Comprimido</v>
          </cell>
          <cell r="E102">
            <v>1054</v>
          </cell>
          <cell r="F102">
            <v>1589.9373277574</v>
          </cell>
          <cell r="H102">
            <v>6800</v>
          </cell>
          <cell r="J102">
            <v>6380</v>
          </cell>
          <cell r="M102">
            <v>0</v>
          </cell>
          <cell r="N102">
            <v>0</v>
          </cell>
          <cell r="P102">
            <v>5340</v>
          </cell>
          <cell r="R102">
            <v>5630.4185580000003</v>
          </cell>
          <cell r="S102">
            <v>0</v>
          </cell>
          <cell r="T102">
            <v>0</v>
          </cell>
          <cell r="U102">
            <v>2514</v>
          </cell>
          <cell r="V102">
            <v>0.93059665869999997</v>
          </cell>
          <cell r="W102">
            <v>2339.5199999718002</v>
          </cell>
          <cell r="X102">
            <v>2.3737599999999999</v>
          </cell>
          <cell r="Y102">
            <v>0</v>
          </cell>
          <cell r="Z102">
            <v>0.93059665869999997</v>
          </cell>
          <cell r="AA102">
            <v>2339.5199999718002</v>
          </cell>
        </row>
        <row r="103">
          <cell r="B103" t="str">
            <v>C-01-03</v>
          </cell>
          <cell r="C103" t="str">
            <v>AMIODARONA (CLORHIDRATO) .:. 50 mg/ml</v>
          </cell>
          <cell r="D103" t="str">
            <v>Inyectable</v>
          </cell>
          <cell r="E103">
            <v>81</v>
          </cell>
          <cell r="F103">
            <v>578.28579556950001</v>
          </cell>
          <cell r="H103">
            <v>0</v>
          </cell>
          <cell r="J103">
            <v>0</v>
          </cell>
          <cell r="M103">
            <v>3</v>
          </cell>
          <cell r="N103">
            <v>21.417992999999999</v>
          </cell>
          <cell r="P103">
            <v>70</v>
          </cell>
          <cell r="R103">
            <v>499.75315000000001</v>
          </cell>
          <cell r="S103">
            <v>0</v>
          </cell>
          <cell r="T103">
            <v>0</v>
          </cell>
          <cell r="U103">
            <v>14</v>
          </cell>
          <cell r="V103">
            <v>7.1392857142999997</v>
          </cell>
          <cell r="W103">
            <v>99.950000000200006</v>
          </cell>
          <cell r="X103">
            <v>2.3737599999999999</v>
          </cell>
          <cell r="Y103">
            <v>0</v>
          </cell>
          <cell r="Z103">
            <v>7.1392857142999997</v>
          </cell>
          <cell r="AA103">
            <v>99.950000000200006</v>
          </cell>
        </row>
        <row r="104">
          <cell r="B104" t="str">
            <v>C-01-04</v>
          </cell>
          <cell r="C104" t="str">
            <v>DIGOXINA .:. 0,75 mg/ml</v>
          </cell>
          <cell r="D104" t="str">
            <v>Solución oral gotas</v>
          </cell>
          <cell r="E104">
            <v>4</v>
          </cell>
          <cell r="F104">
            <v>341.30417572959999</v>
          </cell>
          <cell r="H104">
            <v>0</v>
          </cell>
          <cell r="J104">
            <v>0</v>
          </cell>
          <cell r="M104">
            <v>0</v>
          </cell>
          <cell r="N104">
            <v>0</v>
          </cell>
          <cell r="P104">
            <v>2</v>
          </cell>
          <cell r="R104">
            <v>170.652086</v>
          </cell>
          <cell r="S104">
            <v>0</v>
          </cell>
          <cell r="T104">
            <v>0</v>
          </cell>
          <cell r="U104">
            <v>2</v>
          </cell>
          <cell r="V104">
            <v>85.325000000000003</v>
          </cell>
          <cell r="W104">
            <v>170.65</v>
          </cell>
          <cell r="X104">
            <v>2.3737599999999999</v>
          </cell>
          <cell r="Y104">
            <v>0</v>
          </cell>
          <cell r="Z104">
            <v>85.325000000000003</v>
          </cell>
          <cell r="AA104">
            <v>170.65</v>
          </cell>
        </row>
        <row r="105">
          <cell r="B105" t="str">
            <v>C-01-06</v>
          </cell>
          <cell r="C105" t="str">
            <v>DIGOXINA .:. 0,25 mg</v>
          </cell>
          <cell r="D105" t="str">
            <v>Comprimido ranurado</v>
          </cell>
          <cell r="E105">
            <v>313</v>
          </cell>
          <cell r="F105">
            <v>162.49167643059999</v>
          </cell>
          <cell r="H105">
            <v>500</v>
          </cell>
          <cell r="J105">
            <v>250</v>
          </cell>
          <cell r="M105">
            <v>0</v>
          </cell>
          <cell r="N105">
            <v>0</v>
          </cell>
          <cell r="P105">
            <v>688</v>
          </cell>
          <cell r="R105">
            <v>349.53164800000002</v>
          </cell>
          <cell r="S105">
            <v>0</v>
          </cell>
          <cell r="T105">
            <v>0</v>
          </cell>
          <cell r="U105">
            <v>125</v>
          </cell>
          <cell r="V105">
            <v>0.50368000000000002</v>
          </cell>
          <cell r="W105">
            <v>62.96</v>
          </cell>
          <cell r="X105">
            <v>2.3737599999999999</v>
          </cell>
          <cell r="Y105">
            <v>0</v>
          </cell>
          <cell r="Z105">
            <v>0.50368000000000002</v>
          </cell>
          <cell r="AA105">
            <v>62.96</v>
          </cell>
        </row>
        <row r="106">
          <cell r="B106" t="str">
            <v>C-01-10</v>
          </cell>
          <cell r="C106" t="str">
            <v>EPINEFRINA (ADRENALINA) .:. 1 mg/ml</v>
          </cell>
          <cell r="D106" t="str">
            <v>Inyectable</v>
          </cell>
          <cell r="E106">
            <v>20</v>
          </cell>
          <cell r="F106">
            <v>128.02496322799999</v>
          </cell>
          <cell r="H106">
            <v>105</v>
          </cell>
          <cell r="J106">
            <v>578.9</v>
          </cell>
          <cell r="M106">
            <v>0</v>
          </cell>
          <cell r="N106">
            <v>0</v>
          </cell>
          <cell r="P106">
            <v>74</v>
          </cell>
          <cell r="R106">
            <v>413.87111299999998</v>
          </cell>
          <cell r="S106">
            <v>0</v>
          </cell>
          <cell r="T106">
            <v>0</v>
          </cell>
          <cell r="U106">
            <v>51</v>
          </cell>
          <cell r="V106">
            <v>5.7460784314</v>
          </cell>
          <cell r="W106">
            <v>293.05000000140001</v>
          </cell>
          <cell r="X106">
            <v>2.3737599999999999</v>
          </cell>
          <cell r="Y106">
            <v>0</v>
          </cell>
          <cell r="Z106">
            <v>5.7460784314</v>
          </cell>
          <cell r="AA106">
            <v>293.05000000140001</v>
          </cell>
        </row>
        <row r="107">
          <cell r="B107" t="str">
            <v>C-01-11</v>
          </cell>
          <cell r="C107" t="str">
            <v>ISOSORBIDA MONONITRATO .:. 20 mg</v>
          </cell>
          <cell r="D107" t="str">
            <v>Comprimido</v>
          </cell>
          <cell r="E107">
            <v>440</v>
          </cell>
          <cell r="F107">
            <v>680.95436345200005</v>
          </cell>
          <cell r="H107">
            <v>800</v>
          </cell>
          <cell r="J107">
            <v>1608</v>
          </cell>
          <cell r="M107">
            <v>0</v>
          </cell>
          <cell r="N107">
            <v>0</v>
          </cell>
          <cell r="P107">
            <v>730</v>
          </cell>
          <cell r="R107">
            <v>1298.975289</v>
          </cell>
          <cell r="S107">
            <v>0</v>
          </cell>
          <cell r="T107">
            <v>0</v>
          </cell>
          <cell r="U107">
            <v>510</v>
          </cell>
          <cell r="V107">
            <v>1.9411372549000001</v>
          </cell>
          <cell r="W107">
            <v>989.97999999900003</v>
          </cell>
          <cell r="X107">
            <v>2.3737599999999999</v>
          </cell>
          <cell r="Y107">
            <v>0</v>
          </cell>
          <cell r="Z107">
            <v>1.9411372549000001</v>
          </cell>
          <cell r="AA107">
            <v>989.97999999900003</v>
          </cell>
        </row>
        <row r="108">
          <cell r="B108" t="str">
            <v>C-01-15</v>
          </cell>
          <cell r="C108" t="str">
            <v>NORADRENALINA .:. 1 mg/ml</v>
          </cell>
          <cell r="D108" t="str">
            <v>Inyectable</v>
          </cell>
          <cell r="E108">
            <v>0</v>
          </cell>
          <cell r="F108">
            <v>0</v>
          </cell>
          <cell r="H108">
            <v>75</v>
          </cell>
          <cell r="J108">
            <v>1300</v>
          </cell>
          <cell r="M108">
            <v>0</v>
          </cell>
          <cell r="N108">
            <v>0</v>
          </cell>
          <cell r="P108">
            <v>50</v>
          </cell>
          <cell r="R108">
            <v>900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2.3737599999999999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C-02-04</v>
          </cell>
          <cell r="C109" t="str">
            <v>METILDOPA (ALFAMETILDOPA) .:. 500 mg</v>
          </cell>
          <cell r="D109" t="str">
            <v>Comprimido</v>
          </cell>
          <cell r="E109">
            <v>100</v>
          </cell>
          <cell r="F109">
            <v>116.82168158</v>
          </cell>
          <cell r="H109">
            <v>0</v>
          </cell>
          <cell r="J109">
            <v>0</v>
          </cell>
          <cell r="M109">
            <v>0</v>
          </cell>
          <cell r="N109">
            <v>0</v>
          </cell>
          <cell r="P109">
            <v>66</v>
          </cell>
          <cell r="R109">
            <v>77.102307999999994</v>
          </cell>
          <cell r="S109">
            <v>0</v>
          </cell>
          <cell r="T109">
            <v>0</v>
          </cell>
          <cell r="U109">
            <v>34</v>
          </cell>
          <cell r="V109">
            <v>1.1682352941</v>
          </cell>
          <cell r="W109">
            <v>39.719999999400002</v>
          </cell>
          <cell r="X109">
            <v>2.3737599999999999</v>
          </cell>
          <cell r="Y109">
            <v>0</v>
          </cell>
          <cell r="Z109">
            <v>1.1682352941</v>
          </cell>
          <cell r="AA109">
            <v>39.719999999400002</v>
          </cell>
        </row>
        <row r="110">
          <cell r="B110" t="str">
            <v>C-02-08</v>
          </cell>
          <cell r="C110" t="str">
            <v>SILDENAFILO .:. 50 mg</v>
          </cell>
          <cell r="D110" t="str">
            <v>Comprimido</v>
          </cell>
          <cell r="E110">
            <v>230</v>
          </cell>
          <cell r="F110">
            <v>615.64309971600005</v>
          </cell>
          <cell r="H110">
            <v>150</v>
          </cell>
          <cell r="J110">
            <v>390</v>
          </cell>
          <cell r="M110">
            <v>0</v>
          </cell>
          <cell r="N110">
            <v>0</v>
          </cell>
          <cell r="P110">
            <v>260</v>
          </cell>
          <cell r="R110">
            <v>693.64309300000002</v>
          </cell>
          <cell r="S110">
            <v>0</v>
          </cell>
          <cell r="T110">
            <v>0</v>
          </cell>
          <cell r="U110">
            <v>120</v>
          </cell>
          <cell r="V110">
            <v>2.6</v>
          </cell>
          <cell r="W110">
            <v>312</v>
          </cell>
          <cell r="X110">
            <v>2.3737599999999999</v>
          </cell>
          <cell r="Y110">
            <v>0</v>
          </cell>
          <cell r="Z110">
            <v>2.6</v>
          </cell>
          <cell r="AA110">
            <v>312</v>
          </cell>
        </row>
        <row r="111">
          <cell r="B111" t="str">
            <v>C-03-01</v>
          </cell>
          <cell r="C111" t="str">
            <v>ACETAZOLAMIDA .:. 250 mg</v>
          </cell>
          <cell r="D111" t="str">
            <v>Comprimido</v>
          </cell>
          <cell r="E111">
            <v>58</v>
          </cell>
          <cell r="F111">
            <v>100.6066678238</v>
          </cell>
          <cell r="H111">
            <v>250</v>
          </cell>
          <cell r="J111">
            <v>477.5</v>
          </cell>
          <cell r="M111">
            <v>0</v>
          </cell>
          <cell r="N111">
            <v>0</v>
          </cell>
          <cell r="P111">
            <v>246</v>
          </cell>
          <cell r="R111">
            <v>459.686666</v>
          </cell>
          <cell r="S111">
            <v>0</v>
          </cell>
          <cell r="T111">
            <v>0</v>
          </cell>
          <cell r="U111">
            <v>62</v>
          </cell>
          <cell r="V111">
            <v>1.91</v>
          </cell>
          <cell r="W111">
            <v>118.42</v>
          </cell>
          <cell r="X111">
            <v>2.3737599999999999</v>
          </cell>
          <cell r="Y111">
            <v>0</v>
          </cell>
          <cell r="Z111">
            <v>1.91</v>
          </cell>
          <cell r="AA111">
            <v>118.42</v>
          </cell>
        </row>
        <row r="112">
          <cell r="B112" t="str">
            <v>C-03-02</v>
          </cell>
          <cell r="C112" t="str">
            <v>ESPIRONOLACTONA .:. 100 mg</v>
          </cell>
          <cell r="D112" t="str">
            <v>Comprimido</v>
          </cell>
          <cell r="E112">
            <v>363</v>
          </cell>
          <cell r="F112">
            <v>544.51279458839997</v>
          </cell>
          <cell r="H112">
            <v>2900</v>
          </cell>
          <cell r="J112">
            <v>4150</v>
          </cell>
          <cell r="M112">
            <v>0</v>
          </cell>
          <cell r="N112">
            <v>0</v>
          </cell>
          <cell r="P112">
            <v>2254</v>
          </cell>
          <cell r="R112">
            <v>3555.3621119999998</v>
          </cell>
          <cell r="S112">
            <v>0</v>
          </cell>
          <cell r="T112">
            <v>0</v>
          </cell>
          <cell r="U112">
            <v>1009</v>
          </cell>
          <cell r="V112">
            <v>1.1289890980999999</v>
          </cell>
          <cell r="W112">
            <v>1139.1499999829</v>
          </cell>
          <cell r="X112">
            <v>2.3737599999999999</v>
          </cell>
          <cell r="Y112">
            <v>0</v>
          </cell>
          <cell r="Z112">
            <v>1.1289890980999999</v>
          </cell>
          <cell r="AA112">
            <v>1139.1499999829</v>
          </cell>
        </row>
        <row r="113">
          <cell r="B113" t="str">
            <v>C-03-04</v>
          </cell>
          <cell r="C113" t="str">
            <v>FUROSEMIDA .:. 40 mg</v>
          </cell>
          <cell r="D113" t="str">
            <v>Comprimido ranurado</v>
          </cell>
          <cell r="E113">
            <v>1018</v>
          </cell>
          <cell r="F113">
            <v>224.76719673380001</v>
          </cell>
          <cell r="H113">
            <v>2500</v>
          </cell>
          <cell r="J113">
            <v>600</v>
          </cell>
          <cell r="M113">
            <v>30</v>
          </cell>
          <cell r="N113">
            <v>6.5465400000000002</v>
          </cell>
          <cell r="P113">
            <v>2787</v>
          </cell>
          <cell r="R113">
            <v>708.31613700000003</v>
          </cell>
          <cell r="S113">
            <v>0</v>
          </cell>
          <cell r="T113">
            <v>0</v>
          </cell>
          <cell r="U113">
            <v>761</v>
          </cell>
          <cell r="V113">
            <v>0.16162943499999999</v>
          </cell>
          <cell r="W113">
            <v>123.000000035</v>
          </cell>
          <cell r="X113">
            <v>2.3737599999999999</v>
          </cell>
          <cell r="Y113">
            <v>0</v>
          </cell>
          <cell r="Z113">
            <v>0.16162943499999999</v>
          </cell>
          <cell r="AA113">
            <v>123.000000035</v>
          </cell>
        </row>
        <row r="114">
          <cell r="B114" t="str">
            <v>C-03-05</v>
          </cell>
          <cell r="C114" t="str">
            <v>FUROSEMIDA .:. 10 mg/ml</v>
          </cell>
          <cell r="D114" t="str">
            <v>Inyectable</v>
          </cell>
          <cell r="E114">
            <v>424</v>
          </cell>
          <cell r="F114">
            <v>589.65366634320003</v>
          </cell>
          <cell r="H114">
            <v>1000</v>
          </cell>
          <cell r="J114">
            <v>1796</v>
          </cell>
          <cell r="M114">
            <v>301</v>
          </cell>
          <cell r="N114">
            <v>438.83520600000003</v>
          </cell>
          <cell r="P114">
            <v>868</v>
          </cell>
          <cell r="R114">
            <v>1417.432368</v>
          </cell>
          <cell r="S114">
            <v>284</v>
          </cell>
          <cell r="T114">
            <v>394.95669800000002</v>
          </cell>
          <cell r="U114">
            <v>573</v>
          </cell>
          <cell r="V114">
            <v>1.7663176265</v>
          </cell>
          <cell r="W114">
            <v>1012.0999999845</v>
          </cell>
          <cell r="X114">
            <v>2.3737599999999999</v>
          </cell>
          <cell r="Y114">
            <v>0</v>
          </cell>
          <cell r="Z114">
            <v>1.7663176265</v>
          </cell>
          <cell r="AA114">
            <v>1012.0999999845</v>
          </cell>
        </row>
        <row r="115">
          <cell r="B115" t="str">
            <v>C-03-06</v>
          </cell>
          <cell r="C115" t="str">
            <v>HIDROCLOROTIAZIDA .:. 50 mg</v>
          </cell>
          <cell r="D115" t="str">
            <v>Comprimido ranurado</v>
          </cell>
          <cell r="E115">
            <v>2080</v>
          </cell>
          <cell r="F115">
            <v>520.865178496</v>
          </cell>
          <cell r="H115">
            <v>5000</v>
          </cell>
          <cell r="J115">
            <v>1110</v>
          </cell>
          <cell r="M115">
            <v>21</v>
          </cell>
          <cell r="N115">
            <v>5.2593199999999998</v>
          </cell>
          <cell r="P115">
            <v>5170</v>
          </cell>
          <cell r="R115">
            <v>1256.7524269999999</v>
          </cell>
          <cell r="S115">
            <v>0</v>
          </cell>
          <cell r="T115">
            <v>0</v>
          </cell>
          <cell r="U115">
            <v>1931</v>
          </cell>
          <cell r="V115">
            <v>0.19646297260000001</v>
          </cell>
          <cell r="W115">
            <v>379.3700000906</v>
          </cell>
          <cell r="X115">
            <v>2.3737599999999999</v>
          </cell>
          <cell r="Y115">
            <v>0</v>
          </cell>
          <cell r="Z115">
            <v>0.19646297260000001</v>
          </cell>
          <cell r="AA115">
            <v>379.3700000906</v>
          </cell>
        </row>
        <row r="116">
          <cell r="B116" t="str">
            <v>C-03-07</v>
          </cell>
          <cell r="C116" t="str">
            <v>HIDROCLOROTIAZIDA + AMILORIDA .:. 50 mg + 5 mg</v>
          </cell>
          <cell r="D116" t="str">
            <v>Comprimido</v>
          </cell>
          <cell r="E116">
            <v>180</v>
          </cell>
          <cell r="F116">
            <v>221.78907396</v>
          </cell>
          <cell r="H116">
            <v>900</v>
          </cell>
          <cell r="J116">
            <v>724</v>
          </cell>
          <cell r="M116">
            <v>0</v>
          </cell>
          <cell r="N116">
            <v>0</v>
          </cell>
          <cell r="P116">
            <v>725</v>
          </cell>
          <cell r="R116">
            <v>708.57863499999996</v>
          </cell>
          <cell r="S116">
            <v>0</v>
          </cell>
          <cell r="T116">
            <v>0</v>
          </cell>
          <cell r="U116">
            <v>355</v>
          </cell>
          <cell r="V116">
            <v>0.66819718309999998</v>
          </cell>
          <cell r="W116">
            <v>237.2100000005</v>
          </cell>
          <cell r="X116">
            <v>2.3737599999999999</v>
          </cell>
          <cell r="Y116">
            <v>0</v>
          </cell>
          <cell r="Z116">
            <v>0.66819718309999998</v>
          </cell>
          <cell r="AA116">
            <v>237.2100000005</v>
          </cell>
        </row>
        <row r="117">
          <cell r="B117" t="str">
            <v>C-05-01</v>
          </cell>
          <cell r="C117" t="str">
            <v>CORTICOIDE + ANESTESICO .:. Según disponibilidad</v>
          </cell>
          <cell r="D117" t="str">
            <v>Supositorio</v>
          </cell>
          <cell r="E117">
            <v>122</v>
          </cell>
          <cell r="F117">
            <v>382.35900995100002</v>
          </cell>
          <cell r="H117">
            <v>1000</v>
          </cell>
          <cell r="J117">
            <v>3140</v>
          </cell>
          <cell r="M117">
            <v>0</v>
          </cell>
          <cell r="N117">
            <v>0</v>
          </cell>
          <cell r="P117">
            <v>611</v>
          </cell>
          <cell r="R117">
            <v>1917.8190010000001</v>
          </cell>
          <cell r="S117">
            <v>0</v>
          </cell>
          <cell r="T117">
            <v>0</v>
          </cell>
          <cell r="U117">
            <v>511</v>
          </cell>
          <cell r="V117">
            <v>3.14</v>
          </cell>
          <cell r="W117">
            <v>1604.54</v>
          </cell>
          <cell r="X117">
            <v>2.3737599999999999</v>
          </cell>
          <cell r="Y117">
            <v>0</v>
          </cell>
          <cell r="Z117">
            <v>3.14</v>
          </cell>
          <cell r="AA117">
            <v>1604.54</v>
          </cell>
        </row>
        <row r="118">
          <cell r="B118" t="str">
            <v>C-05-02</v>
          </cell>
          <cell r="C118" t="str">
            <v>CORTICOIDE + ANESTESICO .:. Según disponibilidad</v>
          </cell>
          <cell r="D118" t="str">
            <v>Crema o Pomada</v>
          </cell>
          <cell r="E118">
            <v>16</v>
          </cell>
          <cell r="F118">
            <v>943.82766785119998</v>
          </cell>
          <cell r="H118">
            <v>100</v>
          </cell>
          <cell r="J118">
            <v>5467.4</v>
          </cell>
          <cell r="M118">
            <v>0</v>
          </cell>
          <cell r="N118">
            <v>0</v>
          </cell>
          <cell r="P118">
            <v>84</v>
          </cell>
          <cell r="R118">
            <v>5019.3261249999996</v>
          </cell>
          <cell r="S118">
            <v>0</v>
          </cell>
          <cell r="T118">
            <v>0</v>
          </cell>
          <cell r="U118">
            <v>32</v>
          </cell>
          <cell r="V118">
            <v>43.496875000000003</v>
          </cell>
          <cell r="W118">
            <v>1391.9</v>
          </cell>
          <cell r="X118">
            <v>2.3737599999999999</v>
          </cell>
          <cell r="Y118">
            <v>0</v>
          </cell>
          <cell r="Z118">
            <v>43.496875000000003</v>
          </cell>
          <cell r="AA118">
            <v>1391.9</v>
          </cell>
        </row>
        <row r="119">
          <cell r="B119" t="str">
            <v>C-07-01</v>
          </cell>
          <cell r="C119" t="str">
            <v>ATENOLOL .:. 100 mg</v>
          </cell>
          <cell r="D119" t="str">
            <v>Comprimido ranurado</v>
          </cell>
          <cell r="E119">
            <v>345</v>
          </cell>
          <cell r="F119">
            <v>195.86504440799999</v>
          </cell>
          <cell r="H119">
            <v>2000</v>
          </cell>
          <cell r="J119">
            <v>480</v>
          </cell>
          <cell r="M119">
            <v>0</v>
          </cell>
          <cell r="N119">
            <v>0</v>
          </cell>
          <cell r="P119">
            <v>1688</v>
          </cell>
          <cell r="R119">
            <v>518.18503299999998</v>
          </cell>
          <cell r="S119">
            <v>0</v>
          </cell>
          <cell r="T119">
            <v>0</v>
          </cell>
          <cell r="U119">
            <v>657</v>
          </cell>
          <cell r="V119">
            <v>0.24</v>
          </cell>
          <cell r="W119">
            <v>157.68</v>
          </cell>
          <cell r="X119">
            <v>2.3737599999999999</v>
          </cell>
          <cell r="Y119">
            <v>0</v>
          </cell>
          <cell r="Z119">
            <v>0.24</v>
          </cell>
          <cell r="AA119">
            <v>157.68</v>
          </cell>
        </row>
        <row r="120">
          <cell r="B120" t="str">
            <v>C-07-02</v>
          </cell>
          <cell r="C120" t="str">
            <v>PROPRANOLOL .:. 40 mg</v>
          </cell>
          <cell r="D120" t="str">
            <v>Comprimido</v>
          </cell>
          <cell r="E120">
            <v>9</v>
          </cell>
          <cell r="F120">
            <v>3.0084109739999998</v>
          </cell>
          <cell r="H120">
            <v>900</v>
          </cell>
          <cell r="J120">
            <v>292</v>
          </cell>
          <cell r="M120">
            <v>0</v>
          </cell>
          <cell r="N120">
            <v>0</v>
          </cell>
          <cell r="P120">
            <v>899</v>
          </cell>
          <cell r="R120">
            <v>291.61793</v>
          </cell>
          <cell r="S120">
            <v>0</v>
          </cell>
          <cell r="T120">
            <v>0</v>
          </cell>
          <cell r="U120">
            <v>10</v>
          </cell>
          <cell r="V120">
            <v>0.33900000000000002</v>
          </cell>
          <cell r="W120">
            <v>3.39</v>
          </cell>
          <cell r="X120">
            <v>2.3737599999999999</v>
          </cell>
          <cell r="Y120">
            <v>0</v>
          </cell>
          <cell r="Z120">
            <v>0.33900000000000002</v>
          </cell>
          <cell r="AA120">
            <v>3.39</v>
          </cell>
        </row>
        <row r="121">
          <cell r="B121" t="str">
            <v>C-07-04</v>
          </cell>
          <cell r="C121" t="str">
            <v>CARVEDILOL .:. 6,25 mg</v>
          </cell>
          <cell r="D121" t="str">
            <v>Comprimido</v>
          </cell>
          <cell r="E121">
            <v>11584</v>
          </cell>
          <cell r="F121">
            <v>5219.3426269824004</v>
          </cell>
          <cell r="H121">
            <v>15000</v>
          </cell>
          <cell r="J121">
            <v>7890</v>
          </cell>
          <cell r="M121">
            <v>60</v>
          </cell>
          <cell r="N121">
            <v>28.16076</v>
          </cell>
          <cell r="P121">
            <v>20003</v>
          </cell>
          <cell r="R121">
            <v>9757.7679320000007</v>
          </cell>
          <cell r="S121">
            <v>0</v>
          </cell>
          <cell r="T121">
            <v>0</v>
          </cell>
          <cell r="U121">
            <v>6641</v>
          </cell>
          <cell r="V121">
            <v>0.50892034330000002</v>
          </cell>
          <cell r="W121">
            <v>3379.7399998553001</v>
          </cell>
          <cell r="X121">
            <v>2.3737599999999999</v>
          </cell>
          <cell r="Y121">
            <v>0</v>
          </cell>
          <cell r="Z121">
            <v>0.50892034330000002</v>
          </cell>
          <cell r="AA121">
            <v>3379.7399998553001</v>
          </cell>
        </row>
        <row r="122">
          <cell r="B122" t="str">
            <v>C-07-05</v>
          </cell>
          <cell r="C122" t="str">
            <v>CARVEDILOL .:. 12,5 mg</v>
          </cell>
          <cell r="D122" t="str">
            <v>Comprimido</v>
          </cell>
          <cell r="E122">
            <v>3948</v>
          </cell>
          <cell r="F122">
            <v>3582.0117657239998</v>
          </cell>
          <cell r="H122">
            <v>10000</v>
          </cell>
          <cell r="J122">
            <v>12000</v>
          </cell>
          <cell r="M122">
            <v>30</v>
          </cell>
          <cell r="N122">
            <v>35.716799999999999</v>
          </cell>
          <cell r="P122">
            <v>9116</v>
          </cell>
          <cell r="R122">
            <v>9866.3034449999996</v>
          </cell>
          <cell r="S122">
            <v>0</v>
          </cell>
          <cell r="T122">
            <v>0</v>
          </cell>
          <cell r="U122">
            <v>4862</v>
          </cell>
          <cell r="V122">
            <v>1.1829350061999999</v>
          </cell>
          <cell r="W122">
            <v>5751.4300001443999</v>
          </cell>
          <cell r="X122">
            <v>2.3737599999999999</v>
          </cell>
          <cell r="Y122">
            <v>0</v>
          </cell>
          <cell r="Z122">
            <v>1.1829350061999999</v>
          </cell>
          <cell r="AA122">
            <v>5751.4300001443999</v>
          </cell>
        </row>
        <row r="123">
          <cell r="B123" t="str">
            <v>C-07-06</v>
          </cell>
          <cell r="C123" t="str">
            <v>BISOPROLOL .:. 5 mg</v>
          </cell>
          <cell r="D123" t="str">
            <v>Comprimido</v>
          </cell>
          <cell r="E123">
            <v>120</v>
          </cell>
          <cell r="F123">
            <v>356.300615892</v>
          </cell>
          <cell r="H123">
            <v>2500</v>
          </cell>
          <cell r="J123">
            <v>7390</v>
          </cell>
          <cell r="M123">
            <v>0</v>
          </cell>
          <cell r="N123">
            <v>0</v>
          </cell>
          <cell r="P123">
            <v>2097</v>
          </cell>
          <cell r="R123">
            <v>6198.4664650000004</v>
          </cell>
          <cell r="S123">
            <v>0</v>
          </cell>
          <cell r="T123">
            <v>0</v>
          </cell>
          <cell r="U123">
            <v>523</v>
          </cell>
          <cell r="V123">
            <v>2.9595219885000001</v>
          </cell>
          <cell r="W123">
            <v>1547.8299999855001</v>
          </cell>
          <cell r="X123">
            <v>2.3737599999999999</v>
          </cell>
          <cell r="Y123">
            <v>0</v>
          </cell>
          <cell r="Z123">
            <v>2.9595219885000001</v>
          </cell>
          <cell r="AA123">
            <v>1547.8299999855001</v>
          </cell>
        </row>
        <row r="124">
          <cell r="B124" t="str">
            <v>C-08-02</v>
          </cell>
          <cell r="C124" t="str">
            <v>NIMODIPINA .:. 30 mg</v>
          </cell>
          <cell r="D124" t="str">
            <v>Comprimido</v>
          </cell>
          <cell r="E124">
            <v>5922</v>
          </cell>
          <cell r="F124">
            <v>2120.8259395763998</v>
          </cell>
          <cell r="H124">
            <v>12000</v>
          </cell>
          <cell r="J124">
            <v>4760</v>
          </cell>
          <cell r="M124">
            <v>0</v>
          </cell>
          <cell r="N124">
            <v>0</v>
          </cell>
          <cell r="P124">
            <v>12105</v>
          </cell>
          <cell r="R124">
            <v>4624.0126799999998</v>
          </cell>
          <cell r="S124">
            <v>0</v>
          </cell>
          <cell r="T124">
            <v>0</v>
          </cell>
          <cell r="U124">
            <v>5817</v>
          </cell>
          <cell r="V124">
            <v>0.38796802479999998</v>
          </cell>
          <cell r="W124">
            <v>2256.8100002616002</v>
          </cell>
          <cell r="X124">
            <v>2.3737599999999999</v>
          </cell>
          <cell r="Y124">
            <v>0</v>
          </cell>
          <cell r="Z124">
            <v>0.38796802479999998</v>
          </cell>
          <cell r="AA124">
            <v>2256.8100002616002</v>
          </cell>
        </row>
        <row r="125">
          <cell r="B125" t="str">
            <v>C-08-04</v>
          </cell>
          <cell r="C125" t="str">
            <v>VERAPAMILO .:. 80 mg</v>
          </cell>
          <cell r="D125" t="str">
            <v>Comprimido</v>
          </cell>
          <cell r="E125">
            <v>36</v>
          </cell>
          <cell r="F125">
            <v>69.308364780000005</v>
          </cell>
          <cell r="H125">
            <v>0</v>
          </cell>
          <cell r="J125">
            <v>0</v>
          </cell>
          <cell r="M125">
            <v>0</v>
          </cell>
          <cell r="N125">
            <v>0</v>
          </cell>
          <cell r="P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36</v>
          </cell>
          <cell r="V125">
            <v>1.9252777778000001</v>
          </cell>
          <cell r="W125">
            <v>69.310000000800002</v>
          </cell>
          <cell r="X125">
            <v>2.3737599999999999</v>
          </cell>
          <cell r="Y125">
            <v>0</v>
          </cell>
          <cell r="Z125">
            <v>1.9252777778000001</v>
          </cell>
          <cell r="AA125">
            <v>69.310000000800002</v>
          </cell>
        </row>
        <row r="126">
          <cell r="B126" t="str">
            <v>C-08-07</v>
          </cell>
          <cell r="C126" t="str">
            <v>AMLODIPINA .:. 10 mg</v>
          </cell>
          <cell r="D126" t="str">
            <v>Comprimido</v>
          </cell>
          <cell r="E126">
            <v>4075</v>
          </cell>
          <cell r="F126">
            <v>1181.5001927200001</v>
          </cell>
          <cell r="H126">
            <v>15000</v>
          </cell>
          <cell r="J126">
            <v>3530</v>
          </cell>
          <cell r="M126">
            <v>31</v>
          </cell>
          <cell r="N126">
            <v>8.2142180000000007</v>
          </cell>
          <cell r="P126">
            <v>14424</v>
          </cell>
          <cell r="R126">
            <v>3383.9564700000001</v>
          </cell>
          <cell r="S126">
            <v>0</v>
          </cell>
          <cell r="T126">
            <v>0</v>
          </cell>
          <cell r="U126">
            <v>4682</v>
          </cell>
          <cell r="V126">
            <v>0.2852968817</v>
          </cell>
          <cell r="W126">
            <v>1335.7600001194</v>
          </cell>
          <cell r="X126">
            <v>2.3737599999999999</v>
          </cell>
          <cell r="Y126">
            <v>0</v>
          </cell>
          <cell r="Z126">
            <v>0.2852968817</v>
          </cell>
          <cell r="AA126">
            <v>1335.7600001194</v>
          </cell>
        </row>
        <row r="127">
          <cell r="B127" t="str">
            <v>C-09-01</v>
          </cell>
          <cell r="C127" t="str">
            <v>ENALAPRIL MALEATO .:. 10 mg</v>
          </cell>
          <cell r="D127" t="str">
            <v>Comprimido ranurado</v>
          </cell>
          <cell r="E127">
            <v>2287</v>
          </cell>
          <cell r="F127">
            <v>457.86005978100002</v>
          </cell>
          <cell r="H127">
            <v>4000</v>
          </cell>
          <cell r="J127">
            <v>720</v>
          </cell>
          <cell r="M127">
            <v>30</v>
          </cell>
          <cell r="N127">
            <v>6.00345</v>
          </cell>
          <cell r="P127">
            <v>4241</v>
          </cell>
          <cell r="R127">
            <v>802.09443799999997</v>
          </cell>
          <cell r="S127">
            <v>0</v>
          </cell>
          <cell r="T127">
            <v>0</v>
          </cell>
          <cell r="U127">
            <v>2076</v>
          </cell>
          <cell r="V127">
            <v>0.1838969171</v>
          </cell>
          <cell r="W127">
            <v>381.76999989960001</v>
          </cell>
          <cell r="X127">
            <v>2.3737599999999999</v>
          </cell>
          <cell r="Y127">
            <v>0</v>
          </cell>
          <cell r="Z127">
            <v>0.1838969171</v>
          </cell>
          <cell r="AA127">
            <v>381.76999989960001</v>
          </cell>
        </row>
        <row r="128">
          <cell r="B128" t="str">
            <v>C-09-02</v>
          </cell>
          <cell r="C128" t="str">
            <v>LOSARTAN .:. 50 mg</v>
          </cell>
          <cell r="D128" t="str">
            <v>Comprimido</v>
          </cell>
          <cell r="E128">
            <v>33507</v>
          </cell>
          <cell r="F128">
            <v>22469.712332346899</v>
          </cell>
          <cell r="H128">
            <v>134000</v>
          </cell>
          <cell r="J128">
            <v>89780</v>
          </cell>
          <cell r="M128">
            <v>97</v>
          </cell>
          <cell r="N128">
            <v>65.178016999999997</v>
          </cell>
          <cell r="P128">
            <v>116425</v>
          </cell>
          <cell r="R128">
            <v>78024.959900000002</v>
          </cell>
          <cell r="S128">
            <v>0</v>
          </cell>
          <cell r="T128">
            <v>0</v>
          </cell>
          <cell r="U128">
            <v>51179</v>
          </cell>
          <cell r="V128">
            <v>0.67</v>
          </cell>
          <cell r="W128">
            <v>34289.93</v>
          </cell>
          <cell r="X128">
            <v>2.3737599999999999</v>
          </cell>
          <cell r="Y128">
            <v>0</v>
          </cell>
          <cell r="Z128">
            <v>0.67</v>
          </cell>
          <cell r="AA128">
            <v>34289.93</v>
          </cell>
        </row>
        <row r="129">
          <cell r="B129" t="str">
            <v>C-10-01</v>
          </cell>
          <cell r="C129" t="str">
            <v>ATORVASTATINA .:. 10 mg</v>
          </cell>
          <cell r="D129" t="str">
            <v>Comprimido</v>
          </cell>
          <cell r="E129">
            <v>3264</v>
          </cell>
          <cell r="F129">
            <v>1646.4955088639999</v>
          </cell>
          <cell r="H129">
            <v>14000</v>
          </cell>
          <cell r="J129">
            <v>3220</v>
          </cell>
          <cell r="M129">
            <v>1</v>
          </cell>
          <cell r="N129">
            <v>0.23</v>
          </cell>
          <cell r="P129">
            <v>11966</v>
          </cell>
          <cell r="R129">
            <v>3646.1917480000002</v>
          </cell>
          <cell r="S129">
            <v>0</v>
          </cell>
          <cell r="T129">
            <v>0</v>
          </cell>
          <cell r="U129">
            <v>5299</v>
          </cell>
          <cell r="V129">
            <v>0.2303321381</v>
          </cell>
          <cell r="W129">
            <v>1220.5299997919001</v>
          </cell>
          <cell r="X129">
            <v>2.3737599999999999</v>
          </cell>
          <cell r="Y129">
            <v>0</v>
          </cell>
          <cell r="Z129">
            <v>0.2303321381</v>
          </cell>
          <cell r="AA129">
            <v>1220.5299997919001</v>
          </cell>
        </row>
        <row r="130">
          <cell r="B130" t="str">
            <v>C-10-02</v>
          </cell>
          <cell r="C130" t="str">
            <v>GENFIBROZILO .:. 600 mg</v>
          </cell>
          <cell r="D130" t="str">
            <v>Comprimido</v>
          </cell>
          <cell r="E130">
            <v>1121</v>
          </cell>
          <cell r="F130">
            <v>1508.221876763</v>
          </cell>
          <cell r="H130">
            <v>8000</v>
          </cell>
          <cell r="J130">
            <v>6700</v>
          </cell>
          <cell r="M130">
            <v>30</v>
          </cell>
          <cell r="N130">
            <v>46.209539999999997</v>
          </cell>
          <cell r="P130">
            <v>6475</v>
          </cell>
          <cell r="R130">
            <v>6060.9413379999996</v>
          </cell>
          <cell r="S130">
            <v>0</v>
          </cell>
          <cell r="T130">
            <v>0</v>
          </cell>
          <cell r="U130">
            <v>2676</v>
          </cell>
          <cell r="V130">
            <v>0.81968983559999997</v>
          </cell>
          <cell r="W130">
            <v>2193.4900000655998</v>
          </cell>
          <cell r="X130">
            <v>2.3737599999999999</v>
          </cell>
          <cell r="Y130">
            <v>0</v>
          </cell>
          <cell r="Z130">
            <v>0.81968983559999997</v>
          </cell>
          <cell r="AA130">
            <v>2193.4900000655998</v>
          </cell>
        </row>
        <row r="131">
          <cell r="B131" t="str">
            <v>C-10-04</v>
          </cell>
          <cell r="C131" t="str">
            <v>FENOFIBRATO .:. 200 mg</v>
          </cell>
          <cell r="D131" t="str">
            <v>Cápsula o Comprimido</v>
          </cell>
          <cell r="E131">
            <v>0</v>
          </cell>
          <cell r="F131">
            <v>0</v>
          </cell>
          <cell r="H131">
            <v>1980</v>
          </cell>
          <cell r="J131">
            <v>11286</v>
          </cell>
          <cell r="M131">
            <v>0</v>
          </cell>
          <cell r="N131">
            <v>0</v>
          </cell>
          <cell r="P131">
            <v>1980</v>
          </cell>
          <cell r="R131">
            <v>11286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2.3737599999999999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C-10-05</v>
          </cell>
          <cell r="C132" t="str">
            <v>ATORVASTATINA .:. 20 mg.</v>
          </cell>
          <cell r="D132" t="str">
            <v>Comprimido</v>
          </cell>
          <cell r="E132">
            <v>6536</v>
          </cell>
          <cell r="F132">
            <v>5765.1948610591999</v>
          </cell>
          <cell r="H132">
            <v>51000</v>
          </cell>
          <cell r="J132">
            <v>32300</v>
          </cell>
          <cell r="M132">
            <v>1</v>
          </cell>
          <cell r="N132">
            <v>0.89106300000000005</v>
          </cell>
          <cell r="P132">
            <v>42791</v>
          </cell>
          <cell r="R132">
            <v>33640.625810999998</v>
          </cell>
          <cell r="S132">
            <v>0</v>
          </cell>
          <cell r="T132">
            <v>0</v>
          </cell>
          <cell r="U132">
            <v>14746</v>
          </cell>
          <cell r="V132">
            <v>0.30011257289999999</v>
          </cell>
          <cell r="W132">
            <v>4425.4599999833999</v>
          </cell>
          <cell r="X132">
            <v>2.3737599999999999</v>
          </cell>
          <cell r="Y132">
            <v>0</v>
          </cell>
          <cell r="Z132">
            <v>0.30011257289999999</v>
          </cell>
          <cell r="AA132">
            <v>4425.4599999833999</v>
          </cell>
        </row>
        <row r="133">
          <cell r="B133" t="str">
            <v>D-01-02</v>
          </cell>
          <cell r="C133" t="str">
            <v>BACITRACINA + NEOMICINA SULFATO .:. 500 UI + 5 mg/g</v>
          </cell>
          <cell r="D133" t="str">
            <v>Crema o Pomada</v>
          </cell>
          <cell r="E133">
            <v>22</v>
          </cell>
          <cell r="F133">
            <v>149.92017121399999</v>
          </cell>
          <cell r="H133">
            <v>60</v>
          </cell>
          <cell r="J133">
            <v>390</v>
          </cell>
          <cell r="M133">
            <v>0</v>
          </cell>
          <cell r="N133">
            <v>0</v>
          </cell>
          <cell r="P133">
            <v>71</v>
          </cell>
          <cell r="R133">
            <v>468.42016599999999</v>
          </cell>
          <cell r="S133">
            <v>0</v>
          </cell>
          <cell r="T133">
            <v>0</v>
          </cell>
          <cell r="U133">
            <v>11</v>
          </cell>
          <cell r="V133">
            <v>6.5</v>
          </cell>
          <cell r="W133">
            <v>71.5</v>
          </cell>
          <cell r="X133">
            <v>2.3737599999999999</v>
          </cell>
          <cell r="Y133">
            <v>0</v>
          </cell>
          <cell r="Z133">
            <v>6.5</v>
          </cell>
          <cell r="AA133">
            <v>71.5</v>
          </cell>
        </row>
        <row r="134">
          <cell r="B134" t="str">
            <v>D-01-03</v>
          </cell>
          <cell r="C134" t="str">
            <v>CLOTRIMAZOL .:. 0.01</v>
          </cell>
          <cell r="D134" t="str">
            <v>Crema o Pomada</v>
          </cell>
          <cell r="E134">
            <v>191</v>
          </cell>
          <cell r="F134">
            <v>1100.6070158079001</v>
          </cell>
          <cell r="H134">
            <v>150</v>
          </cell>
          <cell r="J134">
            <v>898.5</v>
          </cell>
          <cell r="M134">
            <v>0</v>
          </cell>
          <cell r="N134">
            <v>0</v>
          </cell>
          <cell r="P134">
            <v>259</v>
          </cell>
          <cell r="R134">
            <v>1507.9269400000001</v>
          </cell>
          <cell r="S134">
            <v>0</v>
          </cell>
          <cell r="T134">
            <v>0</v>
          </cell>
          <cell r="U134">
            <v>82</v>
          </cell>
          <cell r="V134">
            <v>5.99</v>
          </cell>
          <cell r="W134">
            <v>491.18</v>
          </cell>
          <cell r="X134">
            <v>2.3737599999999999</v>
          </cell>
          <cell r="Y134">
            <v>0</v>
          </cell>
          <cell r="Z134">
            <v>5.99</v>
          </cell>
          <cell r="AA134">
            <v>491.18</v>
          </cell>
        </row>
        <row r="135">
          <cell r="B135" t="str">
            <v>D-01-04</v>
          </cell>
          <cell r="C135" t="str">
            <v>NISTATINA .:. 100.000 UI/g</v>
          </cell>
          <cell r="D135" t="str">
            <v>Crema o Pomada</v>
          </cell>
          <cell r="E135">
            <v>26</v>
          </cell>
          <cell r="F135">
            <v>241.15648024519999</v>
          </cell>
          <cell r="H135">
            <v>0</v>
          </cell>
          <cell r="J135">
            <v>0</v>
          </cell>
          <cell r="M135">
            <v>0</v>
          </cell>
          <cell r="N135">
            <v>0</v>
          </cell>
          <cell r="P135">
            <v>19</v>
          </cell>
          <cell r="R135">
            <v>176.22973099999999</v>
          </cell>
          <cell r="S135">
            <v>0</v>
          </cell>
          <cell r="T135">
            <v>0</v>
          </cell>
          <cell r="U135">
            <v>7</v>
          </cell>
          <cell r="V135">
            <v>9.2757142856999995</v>
          </cell>
          <cell r="W135">
            <v>64.929999999900005</v>
          </cell>
          <cell r="X135">
            <v>2.3737599999999999</v>
          </cell>
          <cell r="Y135">
            <v>0</v>
          </cell>
          <cell r="Z135">
            <v>9.2757142856999995</v>
          </cell>
          <cell r="AA135">
            <v>64.929999999900005</v>
          </cell>
        </row>
        <row r="136">
          <cell r="B136" t="str">
            <v>D-01-06</v>
          </cell>
          <cell r="C136" t="str">
            <v>TOLNAFTATO .:. 0.01</v>
          </cell>
          <cell r="D136" t="str">
            <v>Solución</v>
          </cell>
          <cell r="E136">
            <v>11</v>
          </cell>
          <cell r="F136">
            <v>255.1647073844</v>
          </cell>
          <cell r="H136">
            <v>20</v>
          </cell>
          <cell r="J136">
            <v>464</v>
          </cell>
          <cell r="M136">
            <v>1</v>
          </cell>
          <cell r="N136">
            <v>23.2</v>
          </cell>
          <cell r="P136">
            <v>31</v>
          </cell>
          <cell r="R136">
            <v>719.16791000000001</v>
          </cell>
          <cell r="S136">
            <v>1</v>
          </cell>
          <cell r="T136">
            <v>23.196791000000001</v>
          </cell>
          <cell r="U136">
            <v>0</v>
          </cell>
          <cell r="V136">
            <v>0</v>
          </cell>
          <cell r="W136">
            <v>0</v>
          </cell>
          <cell r="X136">
            <v>2.3737599999999999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D-01-07</v>
          </cell>
          <cell r="C137" t="str">
            <v>VIOLETA DE GENCIANA (CLORURO DE METILROSANILINA) .:. 0.01</v>
          </cell>
          <cell r="D137" t="str">
            <v>Solución</v>
          </cell>
          <cell r="E137">
            <v>14</v>
          </cell>
          <cell r="F137">
            <v>48.174141156399997</v>
          </cell>
          <cell r="H137">
            <v>0</v>
          </cell>
          <cell r="J137">
            <v>0</v>
          </cell>
          <cell r="M137">
            <v>0</v>
          </cell>
          <cell r="N137">
            <v>0</v>
          </cell>
          <cell r="P137">
            <v>13</v>
          </cell>
          <cell r="R137">
            <v>44.733130000000003</v>
          </cell>
          <cell r="S137">
            <v>0</v>
          </cell>
          <cell r="T137">
            <v>0</v>
          </cell>
          <cell r="U137">
            <v>1</v>
          </cell>
          <cell r="V137">
            <v>3.44</v>
          </cell>
          <cell r="W137">
            <v>3.44</v>
          </cell>
          <cell r="X137">
            <v>2.3737599999999999</v>
          </cell>
          <cell r="Y137">
            <v>0</v>
          </cell>
          <cell r="Z137">
            <v>3.44</v>
          </cell>
          <cell r="AA137">
            <v>3.44</v>
          </cell>
        </row>
        <row r="138">
          <cell r="B138" t="str">
            <v>D-02-02</v>
          </cell>
          <cell r="C138" t="str">
            <v>OXIDO DE ZINC CON O SIN ACEITE .:. Según disponibilidad</v>
          </cell>
          <cell r="D138" t="str">
            <v>Pasta o Pomada</v>
          </cell>
          <cell r="E138">
            <v>26</v>
          </cell>
          <cell r="F138">
            <v>222.12249331480001</v>
          </cell>
          <cell r="H138">
            <v>0</v>
          </cell>
          <cell r="J138">
            <v>0</v>
          </cell>
          <cell r="M138">
            <v>0</v>
          </cell>
          <cell r="N138">
            <v>0</v>
          </cell>
          <cell r="P138">
            <v>26</v>
          </cell>
          <cell r="R138">
            <v>222.12247199999999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2.3737599999999999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D-04-01</v>
          </cell>
          <cell r="C139" t="str">
            <v>LIDOCAINA .:. 0.02</v>
          </cell>
          <cell r="D139" t="str">
            <v>Gel o Jalea</v>
          </cell>
          <cell r="E139">
            <v>31</v>
          </cell>
          <cell r="F139">
            <v>483.6713848439</v>
          </cell>
          <cell r="H139">
            <v>2</v>
          </cell>
          <cell r="J139">
            <v>70</v>
          </cell>
          <cell r="M139">
            <v>0</v>
          </cell>
          <cell r="N139">
            <v>0</v>
          </cell>
          <cell r="P139">
            <v>33</v>
          </cell>
          <cell r="R139">
            <v>553.67137200000002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2.3737599999999999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D-06-02</v>
          </cell>
          <cell r="C140" t="str">
            <v>SULFADIAZINA DE PLATA .:. 0.01</v>
          </cell>
          <cell r="D140" t="str">
            <v>Crema o Pomada</v>
          </cell>
          <cell r="E140">
            <v>26</v>
          </cell>
          <cell r="F140">
            <v>961.00275745500005</v>
          </cell>
          <cell r="H140">
            <v>55</v>
          </cell>
          <cell r="J140">
            <v>1888.4</v>
          </cell>
          <cell r="M140">
            <v>0</v>
          </cell>
          <cell r="N140">
            <v>0</v>
          </cell>
          <cell r="P140">
            <v>46</v>
          </cell>
          <cell r="R140">
            <v>1647.8377350000001</v>
          </cell>
          <cell r="S140">
            <v>0</v>
          </cell>
          <cell r="T140">
            <v>0</v>
          </cell>
          <cell r="U140">
            <v>35</v>
          </cell>
          <cell r="V140">
            <v>34.330571428600003</v>
          </cell>
          <cell r="W140">
            <v>1201.5700000009999</v>
          </cell>
          <cell r="X140">
            <v>2.3737599999999999</v>
          </cell>
          <cell r="Y140">
            <v>0</v>
          </cell>
          <cell r="Z140">
            <v>34.330571428600003</v>
          </cell>
          <cell r="AA140">
            <v>1201.5700000009999</v>
          </cell>
        </row>
        <row r="141">
          <cell r="B141" t="str">
            <v>D-06-03</v>
          </cell>
          <cell r="C141" t="str">
            <v>ACICLOVIR .:. 0.05</v>
          </cell>
          <cell r="D141" t="str">
            <v>Crema dermica</v>
          </cell>
          <cell r="E141">
            <v>27</v>
          </cell>
          <cell r="F141">
            <v>535.53777181919997</v>
          </cell>
          <cell r="H141">
            <v>25</v>
          </cell>
          <cell r="J141">
            <v>419</v>
          </cell>
          <cell r="M141">
            <v>0</v>
          </cell>
          <cell r="N141">
            <v>0</v>
          </cell>
          <cell r="P141">
            <v>38</v>
          </cell>
          <cell r="R141">
            <v>719.89776400000005</v>
          </cell>
          <cell r="S141">
            <v>0</v>
          </cell>
          <cell r="T141">
            <v>0</v>
          </cell>
          <cell r="U141">
            <v>14</v>
          </cell>
          <cell r="V141">
            <v>16.760000000000002</v>
          </cell>
          <cell r="W141">
            <v>234.64</v>
          </cell>
          <cell r="X141">
            <v>2.3737599999999999</v>
          </cell>
          <cell r="Y141">
            <v>0</v>
          </cell>
          <cell r="Z141">
            <v>16.760000000000002</v>
          </cell>
          <cell r="AA141">
            <v>234.64</v>
          </cell>
        </row>
        <row r="142">
          <cell r="B142" t="str">
            <v>D-07-01</v>
          </cell>
          <cell r="C142" t="str">
            <v>BETAMETASONA (VALERATO) .:. 0,1%</v>
          </cell>
          <cell r="D142" t="str">
            <v>Crema o Pomada</v>
          </cell>
          <cell r="E142">
            <v>99</v>
          </cell>
          <cell r="F142">
            <v>664.18231328460001</v>
          </cell>
          <cell r="H142">
            <v>0</v>
          </cell>
          <cell r="J142">
            <v>0</v>
          </cell>
          <cell r="M142">
            <v>16</v>
          </cell>
          <cell r="N142">
            <v>109.76</v>
          </cell>
          <cell r="P142">
            <v>90</v>
          </cell>
          <cell r="R142">
            <v>605.13165000000004</v>
          </cell>
          <cell r="S142">
            <v>16</v>
          </cell>
          <cell r="T142">
            <v>107.342595</v>
          </cell>
          <cell r="U142">
            <v>9</v>
          </cell>
          <cell r="V142">
            <v>6.83</v>
          </cell>
          <cell r="W142">
            <v>61.47</v>
          </cell>
          <cell r="X142">
            <v>2.3737599999999999</v>
          </cell>
          <cell r="Y142">
            <v>0</v>
          </cell>
          <cell r="Z142">
            <v>6.83</v>
          </cell>
          <cell r="AA142">
            <v>61.47</v>
          </cell>
        </row>
        <row r="143">
          <cell r="B143" t="str">
            <v>D-07-02</v>
          </cell>
          <cell r="C143" t="str">
            <v>CLOBETASOL .:. 0,05%</v>
          </cell>
          <cell r="D143" t="str">
            <v>Crema o Pomada</v>
          </cell>
          <cell r="E143">
            <v>24</v>
          </cell>
          <cell r="F143">
            <v>338.57126338080002</v>
          </cell>
          <cell r="H143">
            <v>85</v>
          </cell>
          <cell r="J143">
            <v>1131.3499999999999</v>
          </cell>
          <cell r="M143">
            <v>1</v>
          </cell>
          <cell r="N143">
            <v>14.347708000000001</v>
          </cell>
          <cell r="P143">
            <v>77</v>
          </cell>
          <cell r="R143">
            <v>1045.0389479999999</v>
          </cell>
          <cell r="S143">
            <v>0</v>
          </cell>
          <cell r="T143">
            <v>0</v>
          </cell>
          <cell r="U143">
            <v>33</v>
          </cell>
          <cell r="V143">
            <v>13.31</v>
          </cell>
          <cell r="W143">
            <v>439.23</v>
          </cell>
          <cell r="X143">
            <v>2.3737599999999999</v>
          </cell>
          <cell r="Y143">
            <v>0</v>
          </cell>
          <cell r="Z143">
            <v>13.31</v>
          </cell>
          <cell r="AA143">
            <v>439.23</v>
          </cell>
        </row>
        <row r="144">
          <cell r="B144" t="str">
            <v>D-07-03</v>
          </cell>
          <cell r="C144" t="str">
            <v>CLOBETASOL .:. 0,05%</v>
          </cell>
          <cell r="D144" t="str">
            <v>Solución</v>
          </cell>
          <cell r="E144">
            <v>6</v>
          </cell>
          <cell r="F144">
            <v>342.64186587299997</v>
          </cell>
          <cell r="H144">
            <v>30</v>
          </cell>
          <cell r="J144">
            <v>1560</v>
          </cell>
          <cell r="M144">
            <v>0</v>
          </cell>
          <cell r="N144">
            <v>0</v>
          </cell>
          <cell r="P144">
            <v>30</v>
          </cell>
          <cell r="R144">
            <v>1594.723031</v>
          </cell>
          <cell r="S144">
            <v>0</v>
          </cell>
          <cell r="T144">
            <v>0</v>
          </cell>
          <cell r="U144">
            <v>6</v>
          </cell>
          <cell r="V144">
            <v>51.32</v>
          </cell>
          <cell r="W144">
            <v>307.92</v>
          </cell>
          <cell r="X144">
            <v>2.3737599999999999</v>
          </cell>
          <cell r="Y144">
            <v>0</v>
          </cell>
          <cell r="Z144">
            <v>51.32</v>
          </cell>
          <cell r="AA144">
            <v>307.92</v>
          </cell>
        </row>
        <row r="145">
          <cell r="B145" t="str">
            <v>D-07-04</v>
          </cell>
          <cell r="C145" t="str">
            <v>HIDROCORTISONA ACETATO .:. 0.01</v>
          </cell>
          <cell r="D145" t="str">
            <v>Crema o Pomada</v>
          </cell>
          <cell r="E145">
            <v>98</v>
          </cell>
          <cell r="F145">
            <v>736.94396251559999</v>
          </cell>
          <cell r="H145">
            <v>40</v>
          </cell>
          <cell r="J145">
            <v>312</v>
          </cell>
          <cell r="M145">
            <v>1</v>
          </cell>
          <cell r="N145">
            <v>7.8094450000000002</v>
          </cell>
          <cell r="P145">
            <v>111</v>
          </cell>
          <cell r="R145">
            <v>842.78896799999995</v>
          </cell>
          <cell r="S145">
            <v>0</v>
          </cell>
          <cell r="T145">
            <v>0</v>
          </cell>
          <cell r="U145">
            <v>28</v>
          </cell>
          <cell r="V145">
            <v>7.6414285713999996</v>
          </cell>
          <cell r="W145">
            <v>213.95999999919999</v>
          </cell>
          <cell r="X145">
            <v>2.3737599999999999</v>
          </cell>
          <cell r="Y145">
            <v>0</v>
          </cell>
          <cell r="Z145">
            <v>7.6414285713999996</v>
          </cell>
          <cell r="AA145">
            <v>213.95999999919999</v>
          </cell>
        </row>
        <row r="146">
          <cell r="B146" t="str">
            <v>D-08-01</v>
          </cell>
          <cell r="C146" t="str">
            <v>ALCOHOL ETILICO (ETANOL) .:. 70% a 95%</v>
          </cell>
          <cell r="D146" t="str">
            <v>Solución 1 l</v>
          </cell>
          <cell r="E146">
            <v>163</v>
          </cell>
          <cell r="F146">
            <v>2139.2054795436002</v>
          </cell>
          <cell r="H146">
            <v>1600</v>
          </cell>
          <cell r="J146">
            <v>20800</v>
          </cell>
          <cell r="M146">
            <v>0</v>
          </cell>
          <cell r="N146">
            <v>0</v>
          </cell>
          <cell r="P146">
            <v>1327</v>
          </cell>
          <cell r="R146">
            <v>17270.956781000001</v>
          </cell>
          <cell r="S146">
            <v>0</v>
          </cell>
          <cell r="T146">
            <v>0</v>
          </cell>
          <cell r="U146">
            <v>436</v>
          </cell>
          <cell r="V146">
            <v>13.0005733945</v>
          </cell>
          <cell r="W146">
            <v>5668.250000002</v>
          </cell>
          <cell r="X146">
            <v>2.3737599999999999</v>
          </cell>
          <cell r="Y146">
            <v>0</v>
          </cell>
          <cell r="Z146">
            <v>13.0005733945</v>
          </cell>
          <cell r="AA146">
            <v>5668.250000002</v>
          </cell>
        </row>
        <row r="147">
          <cell r="B147" t="str">
            <v>D-08-02</v>
          </cell>
          <cell r="C147" t="str">
            <v>CLORHEXIDINA GLUCONATO .:. Según disponibilidad</v>
          </cell>
          <cell r="D147" t="str">
            <v>Solución</v>
          </cell>
          <cell r="E147">
            <v>5</v>
          </cell>
          <cell r="F147">
            <v>535.16355480599998</v>
          </cell>
          <cell r="H147">
            <v>17</v>
          </cell>
          <cell r="J147">
            <v>1670</v>
          </cell>
          <cell r="M147">
            <v>0</v>
          </cell>
          <cell r="N147">
            <v>0</v>
          </cell>
          <cell r="P147">
            <v>12</v>
          </cell>
          <cell r="R147">
            <v>1202.8164839999999</v>
          </cell>
          <cell r="S147">
            <v>0</v>
          </cell>
          <cell r="T147">
            <v>0</v>
          </cell>
          <cell r="U147">
            <v>10</v>
          </cell>
          <cell r="V147">
            <v>100.235</v>
          </cell>
          <cell r="W147">
            <v>1002.35</v>
          </cell>
          <cell r="X147">
            <v>2.3737599999999999</v>
          </cell>
          <cell r="Y147">
            <v>0</v>
          </cell>
          <cell r="Z147">
            <v>100.235</v>
          </cell>
          <cell r="AA147">
            <v>1002.35</v>
          </cell>
        </row>
        <row r="148">
          <cell r="B148" t="str">
            <v>D-08-04</v>
          </cell>
          <cell r="C148" t="str">
            <v>FORMALDEHIDO .:. 40% p/v</v>
          </cell>
          <cell r="D148" t="str">
            <v>Solución</v>
          </cell>
          <cell r="E148">
            <v>1</v>
          </cell>
          <cell r="F148">
            <v>30.902513660099999</v>
          </cell>
          <cell r="H148">
            <v>0</v>
          </cell>
          <cell r="J148">
            <v>0</v>
          </cell>
          <cell r="M148">
            <v>0</v>
          </cell>
          <cell r="N148">
            <v>0</v>
          </cell>
          <cell r="P148">
            <v>1</v>
          </cell>
          <cell r="R148">
            <v>30.902512999999999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2.3737599999999999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D-08-08</v>
          </cell>
          <cell r="C149" t="str">
            <v>IODO POVIDONA (YODOPOVIDONA) .:. 0.1</v>
          </cell>
          <cell r="D149" t="str">
            <v>Solución</v>
          </cell>
          <cell r="E149">
            <v>0</v>
          </cell>
          <cell r="F149">
            <v>0</v>
          </cell>
          <cell r="H149">
            <v>6</v>
          </cell>
          <cell r="J149">
            <v>330</v>
          </cell>
          <cell r="M149">
            <v>0</v>
          </cell>
          <cell r="N149">
            <v>0</v>
          </cell>
          <cell r="P149">
            <v>6</v>
          </cell>
          <cell r="R149">
            <v>330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2.3737599999999999</v>
          </cell>
          <cell r="Y149">
            <v>0</v>
          </cell>
          <cell r="Z149">
            <v>0</v>
          </cell>
          <cell r="AA149">
            <v>0</v>
          </cell>
        </row>
        <row r="150">
          <cell r="B150" t="str">
            <v>D-08-10</v>
          </cell>
          <cell r="C150" t="str">
            <v>PEROXIDO DE HIDROGENO (AGUA OXIGENADA) .:. 2% o 3%</v>
          </cell>
          <cell r="D150" t="str">
            <v>Solución</v>
          </cell>
          <cell r="E150">
            <v>0</v>
          </cell>
          <cell r="F150">
            <v>0</v>
          </cell>
          <cell r="H150">
            <v>5</v>
          </cell>
          <cell r="J150">
            <v>62.5</v>
          </cell>
          <cell r="M150">
            <v>0</v>
          </cell>
          <cell r="N150">
            <v>0</v>
          </cell>
          <cell r="P150">
            <v>2</v>
          </cell>
          <cell r="R150">
            <v>25</v>
          </cell>
          <cell r="S150">
            <v>0</v>
          </cell>
          <cell r="T150">
            <v>0</v>
          </cell>
          <cell r="U150">
            <v>3</v>
          </cell>
          <cell r="V150">
            <v>12.5</v>
          </cell>
          <cell r="W150">
            <v>37.5</v>
          </cell>
          <cell r="X150">
            <v>2.3737599999999999</v>
          </cell>
          <cell r="Y150">
            <v>0</v>
          </cell>
          <cell r="Z150">
            <v>12.5</v>
          </cell>
          <cell r="AA150">
            <v>37.5</v>
          </cell>
        </row>
        <row r="151">
          <cell r="B151" t="str">
            <v>D-10-01</v>
          </cell>
          <cell r="C151" t="str">
            <v>ERITROMICINA .:. 2% a 4%</v>
          </cell>
          <cell r="D151" t="str">
            <v>Loción</v>
          </cell>
          <cell r="E151">
            <v>15</v>
          </cell>
          <cell r="F151">
            <v>849.60840290850001</v>
          </cell>
          <cell r="H151">
            <v>50</v>
          </cell>
          <cell r="J151">
            <v>2830.6</v>
          </cell>
          <cell r="M151">
            <v>0</v>
          </cell>
          <cell r="N151">
            <v>0</v>
          </cell>
          <cell r="P151">
            <v>46</v>
          </cell>
          <cell r="R151">
            <v>2604.2655420000001</v>
          </cell>
          <cell r="S151">
            <v>0</v>
          </cell>
          <cell r="T151">
            <v>0</v>
          </cell>
          <cell r="U151">
            <v>19</v>
          </cell>
          <cell r="V151">
            <v>56.628421052599997</v>
          </cell>
          <cell r="W151">
            <v>1075.9399999994</v>
          </cell>
          <cell r="X151">
            <v>2.3737599999999999</v>
          </cell>
          <cell r="Y151">
            <v>0</v>
          </cell>
          <cell r="Z151">
            <v>56.628421052599997</v>
          </cell>
          <cell r="AA151">
            <v>1075.9399999994</v>
          </cell>
        </row>
        <row r="152">
          <cell r="B152" t="str">
            <v>D-10-03</v>
          </cell>
          <cell r="C152" t="str">
            <v>PEROXIDO DE BENZOILO .:. 0.05</v>
          </cell>
          <cell r="D152" t="str">
            <v>Crema, Pomada o Gel</v>
          </cell>
          <cell r="E152">
            <v>0</v>
          </cell>
          <cell r="F152">
            <v>0</v>
          </cell>
          <cell r="H152">
            <v>40</v>
          </cell>
          <cell r="J152">
            <v>3404.1</v>
          </cell>
          <cell r="M152">
            <v>0</v>
          </cell>
          <cell r="N152">
            <v>0</v>
          </cell>
          <cell r="P152">
            <v>34</v>
          </cell>
          <cell r="R152">
            <v>2893.5</v>
          </cell>
          <cell r="S152">
            <v>0</v>
          </cell>
          <cell r="T152">
            <v>0</v>
          </cell>
          <cell r="U152">
            <v>6</v>
          </cell>
          <cell r="V152">
            <v>85.1</v>
          </cell>
          <cell r="W152">
            <v>510.6</v>
          </cell>
          <cell r="X152">
            <v>2.3737599999999999</v>
          </cell>
          <cell r="Y152">
            <v>0</v>
          </cell>
          <cell r="Z152">
            <v>85.1</v>
          </cell>
          <cell r="AA152">
            <v>510.6</v>
          </cell>
        </row>
        <row r="153">
          <cell r="B153" t="str">
            <v>D-10-04</v>
          </cell>
          <cell r="C153" t="str">
            <v>RESORCINOL .:. 0.1</v>
          </cell>
          <cell r="D153" t="str">
            <v>Crema o Pomada</v>
          </cell>
          <cell r="E153">
            <v>14</v>
          </cell>
          <cell r="F153">
            <v>299.26806519399997</v>
          </cell>
          <cell r="H153">
            <v>0</v>
          </cell>
          <cell r="J153">
            <v>0</v>
          </cell>
          <cell r="M153">
            <v>0</v>
          </cell>
          <cell r="N153">
            <v>0</v>
          </cell>
          <cell r="P153">
            <v>2</v>
          </cell>
          <cell r="R153">
            <v>42.752580000000002</v>
          </cell>
          <cell r="S153">
            <v>0</v>
          </cell>
          <cell r="T153">
            <v>0</v>
          </cell>
          <cell r="U153">
            <v>12</v>
          </cell>
          <cell r="V153">
            <v>21.3766666667</v>
          </cell>
          <cell r="W153">
            <v>256.52000000039999</v>
          </cell>
          <cell r="X153">
            <v>2.3737599999999999</v>
          </cell>
          <cell r="Y153">
            <v>0</v>
          </cell>
          <cell r="Z153">
            <v>21.3766666667</v>
          </cell>
          <cell r="AA153">
            <v>256.52000000039999</v>
          </cell>
        </row>
        <row r="154">
          <cell r="B154" t="str">
            <v>D-11-01</v>
          </cell>
          <cell r="C154" t="str">
            <v>HIDROQUINONA .:. 4% o 5%</v>
          </cell>
          <cell r="D154" t="str">
            <v>Loción</v>
          </cell>
          <cell r="E154">
            <v>4</v>
          </cell>
          <cell r="F154">
            <v>193.5189388432</v>
          </cell>
          <cell r="H154">
            <v>0</v>
          </cell>
          <cell r="J154">
            <v>0</v>
          </cell>
          <cell r="M154">
            <v>0</v>
          </cell>
          <cell r="N154">
            <v>0</v>
          </cell>
          <cell r="P154">
            <v>4</v>
          </cell>
          <cell r="R154">
            <v>193.518936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2.3737599999999999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DAC001</v>
          </cell>
          <cell r="C155" t="str">
            <v>AGUJA DESCARTABLE .:. 18 * 1 1/2 "</v>
          </cell>
          <cell r="D155" t="str">
            <v>Sobre estéril</v>
          </cell>
          <cell r="E155">
            <v>0</v>
          </cell>
          <cell r="F155">
            <v>0</v>
          </cell>
          <cell r="H155">
            <v>400</v>
          </cell>
          <cell r="J155">
            <v>72</v>
          </cell>
          <cell r="M155">
            <v>1</v>
          </cell>
          <cell r="N155">
            <v>0.18</v>
          </cell>
          <cell r="P155">
            <v>134</v>
          </cell>
          <cell r="R155">
            <v>24.12</v>
          </cell>
          <cell r="S155">
            <v>0</v>
          </cell>
          <cell r="T155">
            <v>0</v>
          </cell>
          <cell r="U155">
            <v>267</v>
          </cell>
          <cell r="V155">
            <v>0.18</v>
          </cell>
          <cell r="W155">
            <v>48.06</v>
          </cell>
          <cell r="X155">
            <v>2.3737599999999999</v>
          </cell>
          <cell r="Y155">
            <v>0</v>
          </cell>
          <cell r="Z155">
            <v>0.18</v>
          </cell>
          <cell r="AA155">
            <v>48.06</v>
          </cell>
        </row>
        <row r="156">
          <cell r="B156" t="str">
            <v>DAC002</v>
          </cell>
          <cell r="C156" t="str">
            <v>AGUJA DESCARTABLE .:. N° 21 * 1"</v>
          </cell>
          <cell r="D156" t="str">
            <v>Sobre estéril</v>
          </cell>
          <cell r="E156">
            <v>305</v>
          </cell>
          <cell r="F156">
            <v>59.881588149499997</v>
          </cell>
          <cell r="H156">
            <v>0</v>
          </cell>
          <cell r="J156">
            <v>0</v>
          </cell>
          <cell r="M156">
            <v>0</v>
          </cell>
          <cell r="N156">
            <v>0</v>
          </cell>
          <cell r="P156">
            <v>305</v>
          </cell>
          <cell r="R156">
            <v>59.881585999999999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2.3737599999999999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DAC007</v>
          </cell>
          <cell r="C157" t="str">
            <v>AGUJA DESCARTABLE .:. N° 25 * 5/8"</v>
          </cell>
          <cell r="D157" t="str">
            <v>Sobre estéril</v>
          </cell>
          <cell r="E157">
            <v>1040</v>
          </cell>
          <cell r="F157">
            <v>176.47496776</v>
          </cell>
          <cell r="H157">
            <v>900</v>
          </cell>
          <cell r="J157">
            <v>171</v>
          </cell>
          <cell r="M157">
            <v>8</v>
          </cell>
          <cell r="N157">
            <v>1.344632</v>
          </cell>
          <cell r="P157">
            <v>1251</v>
          </cell>
          <cell r="R157">
            <v>216.47395800000001</v>
          </cell>
          <cell r="S157">
            <v>0</v>
          </cell>
          <cell r="T157">
            <v>0</v>
          </cell>
          <cell r="U157">
            <v>697</v>
          </cell>
          <cell r="V157">
            <v>0.1898852224</v>
          </cell>
          <cell r="W157">
            <v>132.3500000128</v>
          </cell>
          <cell r="X157">
            <v>2.3737599999999999</v>
          </cell>
          <cell r="Y157">
            <v>0</v>
          </cell>
          <cell r="Z157">
            <v>0.1898852224</v>
          </cell>
          <cell r="AA157">
            <v>132.3500000128</v>
          </cell>
        </row>
        <row r="158">
          <cell r="B158" t="str">
            <v>DAC008</v>
          </cell>
          <cell r="C158" t="str">
            <v>AGUJA DESCARTABLE .:. N° 21 * 1 1/2"</v>
          </cell>
          <cell r="D158" t="str">
            <v>Sobre estéril</v>
          </cell>
          <cell r="E158">
            <v>2996</v>
          </cell>
          <cell r="F158">
            <v>455.62837571159997</v>
          </cell>
          <cell r="H158">
            <v>0</v>
          </cell>
          <cell r="J158">
            <v>0</v>
          </cell>
          <cell r="M158">
            <v>0</v>
          </cell>
          <cell r="N158">
            <v>0</v>
          </cell>
          <cell r="P158">
            <v>1714</v>
          </cell>
          <cell r="R158">
            <v>260.66321299999998</v>
          </cell>
          <cell r="S158">
            <v>0</v>
          </cell>
          <cell r="T158">
            <v>0</v>
          </cell>
          <cell r="U158">
            <v>1282</v>
          </cell>
          <cell r="V158">
            <v>0.15208268329999999</v>
          </cell>
          <cell r="W158">
            <v>194.9699999906</v>
          </cell>
          <cell r="X158">
            <v>2.3737599999999999</v>
          </cell>
          <cell r="Y158">
            <v>0</v>
          </cell>
          <cell r="Z158">
            <v>0.15208268329999999</v>
          </cell>
          <cell r="AA158">
            <v>194.9699999906</v>
          </cell>
        </row>
        <row r="159">
          <cell r="B159" t="str">
            <v>DAC009</v>
          </cell>
          <cell r="C159" t="str">
            <v>AGUJA DESCARTABLE .:. N° 22 * 1 1/2"</v>
          </cell>
          <cell r="D159" t="str">
            <v>Sobre estéril</v>
          </cell>
          <cell r="E159">
            <v>395</v>
          </cell>
          <cell r="F159">
            <v>50.294958633999997</v>
          </cell>
          <cell r="H159">
            <v>0</v>
          </cell>
          <cell r="J159">
            <v>0</v>
          </cell>
          <cell r="M159">
            <v>0</v>
          </cell>
          <cell r="N159">
            <v>0</v>
          </cell>
          <cell r="P159">
            <v>395</v>
          </cell>
          <cell r="R159">
            <v>50.294956999999997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2.3737599999999999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DAC010</v>
          </cell>
          <cell r="C160" t="str">
            <v>AGUJA DESCARTABLE .:. N° 23 * 1 1/2"</v>
          </cell>
          <cell r="D160" t="str">
            <v>Sobre estéril</v>
          </cell>
          <cell r="E160">
            <v>1739</v>
          </cell>
          <cell r="F160">
            <v>250.2377394575</v>
          </cell>
          <cell r="H160">
            <v>4000</v>
          </cell>
          <cell r="J160">
            <v>740</v>
          </cell>
          <cell r="M160">
            <v>0</v>
          </cell>
          <cell r="N160">
            <v>0</v>
          </cell>
          <cell r="P160">
            <v>3665</v>
          </cell>
          <cell r="R160">
            <v>600.93861800000002</v>
          </cell>
          <cell r="S160">
            <v>0</v>
          </cell>
          <cell r="T160">
            <v>0</v>
          </cell>
          <cell r="U160">
            <v>2074</v>
          </cell>
          <cell r="V160">
            <v>0.187704918</v>
          </cell>
          <cell r="W160">
            <v>389.29999993199999</v>
          </cell>
          <cell r="X160">
            <v>2.3737599999999999</v>
          </cell>
          <cell r="Y160">
            <v>0</v>
          </cell>
          <cell r="Z160">
            <v>0.187704918</v>
          </cell>
          <cell r="AA160">
            <v>389.29999993199999</v>
          </cell>
        </row>
        <row r="161">
          <cell r="B161" t="str">
            <v>DAC013</v>
          </cell>
          <cell r="C161" t="str">
            <v>AGUJA PARA ANESTESIA RAQUIDEA .:. N° 25 PUNTA DE LAPIZ</v>
          </cell>
          <cell r="D161" t="str">
            <v>Sobre estéril</v>
          </cell>
          <cell r="E161">
            <v>30</v>
          </cell>
          <cell r="F161">
            <v>1170.0096828000001</v>
          </cell>
          <cell r="H161">
            <v>25</v>
          </cell>
          <cell r="J161">
            <v>967.25</v>
          </cell>
          <cell r="M161">
            <v>0</v>
          </cell>
          <cell r="N161">
            <v>0</v>
          </cell>
          <cell r="P161">
            <v>33</v>
          </cell>
          <cell r="R161">
            <v>1284.94181</v>
          </cell>
          <cell r="S161">
            <v>0</v>
          </cell>
          <cell r="T161">
            <v>0</v>
          </cell>
          <cell r="U161">
            <v>22</v>
          </cell>
          <cell r="V161">
            <v>38.741818181799999</v>
          </cell>
          <cell r="W161">
            <v>852.31999999959999</v>
          </cell>
          <cell r="X161">
            <v>2.3737599999999999</v>
          </cell>
          <cell r="Y161">
            <v>0</v>
          </cell>
          <cell r="Z161">
            <v>38.741818181799999</v>
          </cell>
          <cell r="AA161">
            <v>852.31999999959999</v>
          </cell>
        </row>
        <row r="162">
          <cell r="B162" t="str">
            <v>DAC014</v>
          </cell>
          <cell r="C162" t="str">
            <v>AGUJA PARA ANESTESIA RAQUIDEA .:. N° 27 PUNTA DE LAPIZ</v>
          </cell>
          <cell r="D162" t="str">
            <v>Sobre estéril</v>
          </cell>
          <cell r="E162">
            <v>38</v>
          </cell>
          <cell r="F162">
            <v>1565.7273587784</v>
          </cell>
          <cell r="H162">
            <v>75</v>
          </cell>
          <cell r="J162">
            <v>2999</v>
          </cell>
          <cell r="M162">
            <v>0</v>
          </cell>
          <cell r="N162">
            <v>0</v>
          </cell>
          <cell r="P162">
            <v>86</v>
          </cell>
          <cell r="R162">
            <v>3484.7273340000002</v>
          </cell>
          <cell r="S162">
            <v>0</v>
          </cell>
          <cell r="T162">
            <v>0</v>
          </cell>
          <cell r="U162">
            <v>27</v>
          </cell>
          <cell r="V162">
            <v>40</v>
          </cell>
          <cell r="W162">
            <v>1080</v>
          </cell>
          <cell r="X162">
            <v>2.3737599999999999</v>
          </cell>
          <cell r="Y162">
            <v>0</v>
          </cell>
          <cell r="Z162">
            <v>40</v>
          </cell>
          <cell r="AA162">
            <v>1080</v>
          </cell>
        </row>
        <row r="163">
          <cell r="B163" t="str">
            <v>DAC060</v>
          </cell>
          <cell r="C163" t="str">
            <v>CATETER VENOSO CENTRAL .:. TRIPLE LUMEN SET 7F X 12" (30CM)</v>
          </cell>
          <cell r="D163" t="str">
            <v>Sobre estéril</v>
          </cell>
          <cell r="E163">
            <v>3</v>
          </cell>
          <cell r="F163">
            <v>1596.7156526066999</v>
          </cell>
          <cell r="H163">
            <v>40</v>
          </cell>
          <cell r="J163">
            <v>10900</v>
          </cell>
          <cell r="M163">
            <v>1</v>
          </cell>
          <cell r="N163">
            <v>263.33333299999998</v>
          </cell>
          <cell r="P163">
            <v>26</v>
          </cell>
          <cell r="R163">
            <v>8020.0489829999997</v>
          </cell>
          <cell r="S163">
            <v>0</v>
          </cell>
          <cell r="T163">
            <v>0</v>
          </cell>
          <cell r="U163">
            <v>18</v>
          </cell>
          <cell r="V163">
            <v>263.3333333333</v>
          </cell>
          <cell r="W163">
            <v>4739.9999999993997</v>
          </cell>
          <cell r="X163">
            <v>2.3737599999999999</v>
          </cell>
          <cell r="Y163">
            <v>0</v>
          </cell>
          <cell r="Z163">
            <v>263.3333333333</v>
          </cell>
          <cell r="AA163">
            <v>4739.9999999993997</v>
          </cell>
        </row>
        <row r="164">
          <cell r="B164" t="str">
            <v>DAC065</v>
          </cell>
          <cell r="C164" t="str">
            <v>CATETER VENOSO PERIFERICO .:. Nº  18  CON ALETAS DE FIJACION</v>
          </cell>
          <cell r="D164" t="str">
            <v>Sobre estéril</v>
          </cell>
          <cell r="E164">
            <v>89</v>
          </cell>
          <cell r="F164">
            <v>335.76101827010001</v>
          </cell>
          <cell r="H164">
            <v>200</v>
          </cell>
          <cell r="J164">
            <v>760</v>
          </cell>
          <cell r="M164">
            <v>1</v>
          </cell>
          <cell r="N164">
            <v>3.992184</v>
          </cell>
          <cell r="P164">
            <v>184</v>
          </cell>
          <cell r="R164">
            <v>711.79257099999995</v>
          </cell>
          <cell r="S164">
            <v>0</v>
          </cell>
          <cell r="T164">
            <v>0</v>
          </cell>
          <cell r="U164">
            <v>106</v>
          </cell>
          <cell r="V164">
            <v>3.66</v>
          </cell>
          <cell r="W164">
            <v>387.96</v>
          </cell>
          <cell r="X164">
            <v>2.3737599999999999</v>
          </cell>
          <cell r="Y164">
            <v>0</v>
          </cell>
          <cell r="Z164">
            <v>3.66</v>
          </cell>
          <cell r="AA164">
            <v>387.96</v>
          </cell>
        </row>
        <row r="165">
          <cell r="B165" t="str">
            <v>DAC066</v>
          </cell>
          <cell r="C165" t="str">
            <v>CATETER VENOSO PERIFERICO .:. Nº 20 CON ALETAS DE FIJACION</v>
          </cell>
          <cell r="D165" t="str">
            <v>Sobre estéril</v>
          </cell>
          <cell r="E165">
            <v>86</v>
          </cell>
          <cell r="F165">
            <v>315.93397282479998</v>
          </cell>
          <cell r="H165">
            <v>500</v>
          </cell>
          <cell r="J165">
            <v>1920</v>
          </cell>
          <cell r="M165">
            <v>4</v>
          </cell>
          <cell r="N165">
            <v>16.050404</v>
          </cell>
          <cell r="P165">
            <v>436</v>
          </cell>
          <cell r="R165">
            <v>1687.0226829999999</v>
          </cell>
          <cell r="S165">
            <v>0</v>
          </cell>
          <cell r="T165">
            <v>0</v>
          </cell>
          <cell r="U165">
            <v>154</v>
          </cell>
          <cell r="V165">
            <v>3.6685714286</v>
          </cell>
          <cell r="W165">
            <v>564.96000000439994</v>
          </cell>
          <cell r="X165">
            <v>2.3737599999999999</v>
          </cell>
          <cell r="Y165">
            <v>0</v>
          </cell>
          <cell r="Z165">
            <v>3.6685714286</v>
          </cell>
          <cell r="AA165">
            <v>564.96000000439994</v>
          </cell>
        </row>
        <row r="166">
          <cell r="B166" t="str">
            <v>DAC067</v>
          </cell>
          <cell r="C166" t="str">
            <v>CATETER VENOSO PERIFERICO .:. Nº  22 CON ALETAS DE FIJACION</v>
          </cell>
          <cell r="D166" t="str">
            <v>Sobre estéril</v>
          </cell>
          <cell r="E166">
            <v>385</v>
          </cell>
          <cell r="F166">
            <v>1446.4216638795001</v>
          </cell>
          <cell r="H166">
            <v>1400</v>
          </cell>
          <cell r="J166">
            <v>5220</v>
          </cell>
          <cell r="M166">
            <v>14</v>
          </cell>
          <cell r="N166">
            <v>53.980981999999997</v>
          </cell>
          <cell r="P166">
            <v>1032</v>
          </cell>
          <cell r="R166">
            <v>3950.501405</v>
          </cell>
          <cell r="S166">
            <v>0</v>
          </cell>
          <cell r="T166">
            <v>0</v>
          </cell>
          <cell r="U166">
            <v>767</v>
          </cell>
          <cell r="V166">
            <v>3.6113428943999999</v>
          </cell>
          <cell r="W166">
            <v>2769.9000000047999</v>
          </cell>
          <cell r="X166">
            <v>2.3737599999999999</v>
          </cell>
          <cell r="Y166">
            <v>0</v>
          </cell>
          <cell r="Z166">
            <v>3.6113428943999999</v>
          </cell>
          <cell r="AA166">
            <v>2769.9000000047999</v>
          </cell>
        </row>
        <row r="167">
          <cell r="B167" t="str">
            <v>DAC068</v>
          </cell>
          <cell r="C167" t="str">
            <v>CATETER VENOSO PERIFERICO .:. Nº  24 CON ALETAS DE FIJACION</v>
          </cell>
          <cell r="D167" t="str">
            <v>Sobre estéril</v>
          </cell>
          <cell r="E167">
            <v>104</v>
          </cell>
          <cell r="F167">
            <v>336.84533168000002</v>
          </cell>
          <cell r="H167">
            <v>220</v>
          </cell>
          <cell r="J167">
            <v>816</v>
          </cell>
          <cell r="M167">
            <v>2</v>
          </cell>
          <cell r="N167">
            <v>7.0388989999999998</v>
          </cell>
          <cell r="P167">
            <v>169</v>
          </cell>
          <cell r="R167">
            <v>580.16590799999994</v>
          </cell>
          <cell r="S167">
            <v>0</v>
          </cell>
          <cell r="T167">
            <v>0</v>
          </cell>
          <cell r="U167">
            <v>157</v>
          </cell>
          <cell r="V167">
            <v>3.6924840764</v>
          </cell>
          <cell r="W167">
            <v>579.71999999479999</v>
          </cell>
          <cell r="X167">
            <v>2.3737599999999999</v>
          </cell>
          <cell r="Y167">
            <v>0</v>
          </cell>
          <cell r="Z167">
            <v>3.6924840764</v>
          </cell>
          <cell r="AA167">
            <v>579.71999999479999</v>
          </cell>
        </row>
        <row r="168">
          <cell r="B168" t="str">
            <v>DAC069</v>
          </cell>
          <cell r="C168" t="str">
            <v>DISPOSITIVO BIDIRECCIONAL .:. PARA TRANSFERENCIA DE MEDICAMENTOS</v>
          </cell>
          <cell r="D168" t="str">
            <v>Sobre estéril</v>
          </cell>
          <cell r="E168">
            <v>8</v>
          </cell>
          <cell r="F168">
            <v>38.139631019200003</v>
          </cell>
          <cell r="H168">
            <v>20</v>
          </cell>
          <cell r="J168">
            <v>100</v>
          </cell>
          <cell r="M168">
            <v>0</v>
          </cell>
          <cell r="N168">
            <v>0</v>
          </cell>
          <cell r="P168">
            <v>6</v>
          </cell>
          <cell r="R168">
            <v>28.992296</v>
          </cell>
          <cell r="S168">
            <v>0</v>
          </cell>
          <cell r="T168">
            <v>0</v>
          </cell>
          <cell r="U168">
            <v>22</v>
          </cell>
          <cell r="V168">
            <v>4.9613636363999998</v>
          </cell>
          <cell r="W168">
            <v>109.15000000080001</v>
          </cell>
          <cell r="X168">
            <v>2.3737599999999999</v>
          </cell>
          <cell r="Y168">
            <v>0</v>
          </cell>
          <cell r="Z168">
            <v>4.9613636363999998</v>
          </cell>
          <cell r="AA168">
            <v>109.15000000080001</v>
          </cell>
        </row>
        <row r="169">
          <cell r="B169" t="str">
            <v>DAC074</v>
          </cell>
          <cell r="C169" t="str">
            <v>EQUIPO DE VENOCLISIS .:. CON AGUJA Nº 21</v>
          </cell>
          <cell r="D169" t="str">
            <v>Sobre estéril</v>
          </cell>
          <cell r="E169">
            <v>368</v>
          </cell>
          <cell r="F169">
            <v>827.77043725759995</v>
          </cell>
          <cell r="H169">
            <v>2500</v>
          </cell>
          <cell r="J169">
            <v>5790</v>
          </cell>
          <cell r="M169">
            <v>24</v>
          </cell>
          <cell r="N169">
            <v>50.015064000000002</v>
          </cell>
          <cell r="P169">
            <v>1959</v>
          </cell>
          <cell r="R169">
            <v>4276.4663620000001</v>
          </cell>
          <cell r="S169">
            <v>0</v>
          </cell>
          <cell r="T169">
            <v>0</v>
          </cell>
          <cell r="U169">
            <v>933</v>
          </cell>
          <cell r="V169">
            <v>2.5630439442999999</v>
          </cell>
          <cell r="W169">
            <v>2391.3200000318998</v>
          </cell>
          <cell r="X169">
            <v>2.3737599999999999</v>
          </cell>
          <cell r="Y169">
            <v>0</v>
          </cell>
          <cell r="Z169">
            <v>2.5630439442999999</v>
          </cell>
          <cell r="AA169">
            <v>2391.3200000318998</v>
          </cell>
        </row>
        <row r="170">
          <cell r="B170" t="str">
            <v>DAC078</v>
          </cell>
          <cell r="C170" t="str">
            <v>EXTENSOR DE VIA .:. DE 120 CM</v>
          </cell>
          <cell r="D170" t="str">
            <v>Sobre estéril</v>
          </cell>
          <cell r="E170">
            <v>7</v>
          </cell>
          <cell r="F170">
            <v>73.067503636400005</v>
          </cell>
          <cell r="H170">
            <v>10</v>
          </cell>
          <cell r="J170">
            <v>123</v>
          </cell>
          <cell r="M170">
            <v>0</v>
          </cell>
          <cell r="N170">
            <v>0</v>
          </cell>
          <cell r="P170">
            <v>10</v>
          </cell>
          <cell r="R170">
            <v>109.96749800000001</v>
          </cell>
          <cell r="S170">
            <v>0</v>
          </cell>
          <cell r="T170">
            <v>0</v>
          </cell>
          <cell r="U170">
            <v>7</v>
          </cell>
          <cell r="V170">
            <v>12.3</v>
          </cell>
          <cell r="W170">
            <v>86.1</v>
          </cell>
          <cell r="X170">
            <v>2.3737599999999999</v>
          </cell>
          <cell r="Y170">
            <v>0</v>
          </cell>
          <cell r="Z170">
            <v>12.3</v>
          </cell>
          <cell r="AA170">
            <v>86.1</v>
          </cell>
        </row>
        <row r="171">
          <cell r="B171" t="str">
            <v>DAC088</v>
          </cell>
          <cell r="C171" t="str">
            <v>LLAVE DE 3 VIAS .:. CON ALARGADOR 50 CM - 10CM</v>
          </cell>
          <cell r="D171" t="str">
            <v>Sobre estéril</v>
          </cell>
          <cell r="E171">
            <v>42</v>
          </cell>
          <cell r="F171">
            <v>191.7488451312</v>
          </cell>
          <cell r="H171">
            <v>310</v>
          </cell>
          <cell r="J171">
            <v>1228</v>
          </cell>
          <cell r="M171">
            <v>2</v>
          </cell>
          <cell r="N171">
            <v>9.1034520000000008</v>
          </cell>
          <cell r="P171">
            <v>204</v>
          </cell>
          <cell r="R171">
            <v>851.56980099999998</v>
          </cell>
          <cell r="S171">
            <v>0</v>
          </cell>
          <cell r="T171">
            <v>0</v>
          </cell>
          <cell r="U171">
            <v>150</v>
          </cell>
          <cell r="V171">
            <v>3.8485333332999998</v>
          </cell>
          <cell r="W171">
            <v>577.27999999500003</v>
          </cell>
          <cell r="X171">
            <v>2.3737599999999999</v>
          </cell>
          <cell r="Y171">
            <v>0</v>
          </cell>
          <cell r="Z171">
            <v>3.8485333332999998</v>
          </cell>
          <cell r="AA171">
            <v>577.27999999500003</v>
          </cell>
        </row>
        <row r="172">
          <cell r="B172" t="str">
            <v>DAC089</v>
          </cell>
          <cell r="C172" t="str">
            <v>LLAVE DE 3 VIAS .:. SIN ALARGADOR</v>
          </cell>
          <cell r="D172" t="str">
            <v>Sobre estéril</v>
          </cell>
          <cell r="E172">
            <v>81</v>
          </cell>
          <cell r="F172">
            <v>146.9372805486</v>
          </cell>
          <cell r="H172">
            <v>170</v>
          </cell>
          <cell r="J172">
            <v>433</v>
          </cell>
          <cell r="M172">
            <v>1</v>
          </cell>
          <cell r="N172">
            <v>1.898061</v>
          </cell>
          <cell r="P172">
            <v>165</v>
          </cell>
          <cell r="R172">
            <v>320.835283</v>
          </cell>
          <cell r="S172">
            <v>0</v>
          </cell>
          <cell r="T172">
            <v>0</v>
          </cell>
          <cell r="U172">
            <v>87</v>
          </cell>
          <cell r="V172">
            <v>3</v>
          </cell>
          <cell r="W172">
            <v>261</v>
          </cell>
          <cell r="X172">
            <v>2.3737599999999999</v>
          </cell>
          <cell r="Y172">
            <v>0</v>
          </cell>
          <cell r="Z172">
            <v>3</v>
          </cell>
          <cell r="AA172">
            <v>261</v>
          </cell>
        </row>
        <row r="173">
          <cell r="B173" t="str">
            <v>DAC091</v>
          </cell>
          <cell r="C173" t="str">
            <v>MICROGOTERO .:. CON DEPOSITO RIGIDO 100 ML - 150ML</v>
          </cell>
          <cell r="D173" t="str">
            <v>Sobre estéril</v>
          </cell>
          <cell r="E173">
            <v>0</v>
          </cell>
          <cell r="F173">
            <v>0</v>
          </cell>
          <cell r="H173">
            <v>400</v>
          </cell>
          <cell r="J173">
            <v>4028</v>
          </cell>
          <cell r="M173">
            <v>12</v>
          </cell>
          <cell r="N173">
            <v>104.946729</v>
          </cell>
          <cell r="P173">
            <v>301</v>
          </cell>
          <cell r="R173">
            <v>2890.2369610000001</v>
          </cell>
          <cell r="S173">
            <v>0</v>
          </cell>
          <cell r="T173">
            <v>0</v>
          </cell>
          <cell r="U173">
            <v>111</v>
          </cell>
          <cell r="V173">
            <v>11.1955855856</v>
          </cell>
          <cell r="W173">
            <v>1242.7100000016001</v>
          </cell>
          <cell r="X173">
            <v>2.3737599999999999</v>
          </cell>
          <cell r="Y173">
            <v>0</v>
          </cell>
          <cell r="Z173">
            <v>11.1955855856</v>
          </cell>
          <cell r="AA173">
            <v>1242.7100000016001</v>
          </cell>
        </row>
        <row r="174">
          <cell r="B174" t="str">
            <v>DAC093</v>
          </cell>
          <cell r="C174" t="str">
            <v>TAPON HEPARINIZADO .:. PIEZA</v>
          </cell>
          <cell r="D174" t="str">
            <v>Pieza</v>
          </cell>
          <cell r="E174">
            <v>50</v>
          </cell>
          <cell r="F174">
            <v>110.999751055</v>
          </cell>
          <cell r="H174">
            <v>470</v>
          </cell>
          <cell r="J174">
            <v>880.3</v>
          </cell>
          <cell r="M174">
            <v>3</v>
          </cell>
          <cell r="N174">
            <v>6.0508769999999998</v>
          </cell>
          <cell r="P174">
            <v>347</v>
          </cell>
          <cell r="R174">
            <v>680.55050100000005</v>
          </cell>
          <cell r="S174">
            <v>0</v>
          </cell>
          <cell r="T174">
            <v>0</v>
          </cell>
          <cell r="U174">
            <v>176</v>
          </cell>
          <cell r="V174">
            <v>1.8</v>
          </cell>
          <cell r="W174">
            <v>316.8</v>
          </cell>
          <cell r="X174">
            <v>2.3737599999999999</v>
          </cell>
          <cell r="Y174">
            <v>0</v>
          </cell>
          <cell r="Z174">
            <v>1.8</v>
          </cell>
          <cell r="AA174">
            <v>316.8</v>
          </cell>
        </row>
        <row r="175">
          <cell r="B175" t="str">
            <v>DB002</v>
          </cell>
          <cell r="C175" t="str">
            <v>BOLSA COLECTORA DE ORINA .:. 2000 ML. CON VALVULA ANTIRREFLUJO</v>
          </cell>
          <cell r="D175" t="str">
            <v>Bolsa esteril</v>
          </cell>
          <cell r="E175">
            <v>74</v>
          </cell>
          <cell r="F175">
            <v>256.03608596240002</v>
          </cell>
          <cell r="H175">
            <v>100</v>
          </cell>
          <cell r="J175">
            <v>500</v>
          </cell>
          <cell r="M175">
            <v>1</v>
          </cell>
          <cell r="N175">
            <v>4.9266639999999997</v>
          </cell>
          <cell r="P175">
            <v>105</v>
          </cell>
          <cell r="R175">
            <v>416.09624700000001</v>
          </cell>
          <cell r="S175">
            <v>0</v>
          </cell>
          <cell r="T175">
            <v>0</v>
          </cell>
          <cell r="U175">
            <v>70</v>
          </cell>
          <cell r="V175">
            <v>4.9267142857000001</v>
          </cell>
          <cell r="W175">
            <v>344.86999999900002</v>
          </cell>
          <cell r="X175">
            <v>2.3737599999999999</v>
          </cell>
          <cell r="Y175">
            <v>0</v>
          </cell>
          <cell r="Z175">
            <v>4.9267142857000001</v>
          </cell>
          <cell r="AA175">
            <v>344.86999999900002</v>
          </cell>
        </row>
        <row r="176">
          <cell r="B176" t="str">
            <v>DI001</v>
          </cell>
          <cell r="C176" t="str">
            <v>PLACA RADIOAGRAFICA .:. 18 X 24</v>
          </cell>
          <cell r="D176" t="str">
            <v>Caja</v>
          </cell>
          <cell r="E176">
            <v>0</v>
          </cell>
          <cell r="F176">
            <v>0</v>
          </cell>
          <cell r="H176">
            <v>2</v>
          </cell>
          <cell r="J176">
            <v>3500</v>
          </cell>
          <cell r="M176">
            <v>0</v>
          </cell>
          <cell r="N176">
            <v>0</v>
          </cell>
          <cell r="P176">
            <v>2</v>
          </cell>
          <cell r="R176">
            <v>3500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2.3737599999999999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DJ003</v>
          </cell>
          <cell r="C177" t="str">
            <v>JERINGA DESCARTABLE .:. 3 ML CON AGUJA 21 X 1 1/2" C/ROSCA</v>
          </cell>
          <cell r="D177" t="str">
            <v>Sobre estéril</v>
          </cell>
          <cell r="E177">
            <v>921</v>
          </cell>
          <cell r="F177">
            <v>278.109974067</v>
          </cell>
          <cell r="H177">
            <v>3000</v>
          </cell>
          <cell r="J177">
            <v>1200</v>
          </cell>
          <cell r="M177">
            <v>0</v>
          </cell>
          <cell r="N177">
            <v>0</v>
          </cell>
          <cell r="P177">
            <v>2035</v>
          </cell>
          <cell r="R177">
            <v>723.70996500000001</v>
          </cell>
          <cell r="S177">
            <v>0</v>
          </cell>
          <cell r="T177">
            <v>0</v>
          </cell>
          <cell r="U177">
            <v>1886</v>
          </cell>
          <cell r="V177">
            <v>0.4</v>
          </cell>
          <cell r="W177">
            <v>754.4</v>
          </cell>
          <cell r="X177">
            <v>2.3737599999999999</v>
          </cell>
          <cell r="Y177">
            <v>0</v>
          </cell>
          <cell r="Z177">
            <v>0.4</v>
          </cell>
          <cell r="AA177">
            <v>754.4</v>
          </cell>
        </row>
        <row r="178">
          <cell r="B178" t="str">
            <v>DJ004</v>
          </cell>
          <cell r="C178" t="str">
            <v>JERINGA DESCARTABLE .:. 5 ML CON AGUJA 21 X 1 1/2" C/ROSCA</v>
          </cell>
          <cell r="D178" t="str">
            <v>Sobre estéril</v>
          </cell>
          <cell r="E178">
            <v>1288</v>
          </cell>
          <cell r="F178">
            <v>412.06906101760001</v>
          </cell>
          <cell r="H178">
            <v>3000</v>
          </cell>
          <cell r="J178">
            <v>1095</v>
          </cell>
          <cell r="M178">
            <v>57</v>
          </cell>
          <cell r="N178">
            <v>18.267295000000001</v>
          </cell>
          <cell r="P178">
            <v>2982</v>
          </cell>
          <cell r="R178">
            <v>966.50623900000005</v>
          </cell>
          <cell r="S178">
            <v>0</v>
          </cell>
          <cell r="T178">
            <v>0</v>
          </cell>
          <cell r="U178">
            <v>1363</v>
          </cell>
          <cell r="V178">
            <v>0.41</v>
          </cell>
          <cell r="W178">
            <v>558.83000000000004</v>
          </cell>
          <cell r="X178">
            <v>2.3737599999999999</v>
          </cell>
          <cell r="Y178">
            <v>0</v>
          </cell>
          <cell r="Z178">
            <v>0.41</v>
          </cell>
          <cell r="AA178">
            <v>558.83000000000004</v>
          </cell>
        </row>
        <row r="179">
          <cell r="B179" t="str">
            <v>DJ005</v>
          </cell>
          <cell r="C179" t="str">
            <v>JERINGA DESCARTABLE .:. 10 ML CON AGUJA 21 X 1 1/2" C/ROSCA</v>
          </cell>
          <cell r="D179" t="str">
            <v>Sobre estéril</v>
          </cell>
          <cell r="E179">
            <v>9176</v>
          </cell>
          <cell r="F179">
            <v>3593.7899467103998</v>
          </cell>
          <cell r="H179">
            <v>14000</v>
          </cell>
          <cell r="J179">
            <v>7820</v>
          </cell>
          <cell r="M179">
            <v>238</v>
          </cell>
          <cell r="N179">
            <v>118.14306999999999</v>
          </cell>
          <cell r="P179">
            <v>17219</v>
          </cell>
          <cell r="R179">
            <v>8023.7838400000001</v>
          </cell>
          <cell r="S179">
            <v>0</v>
          </cell>
          <cell r="T179">
            <v>0</v>
          </cell>
          <cell r="U179">
            <v>6195</v>
          </cell>
          <cell r="V179">
            <v>0.56628732849999996</v>
          </cell>
          <cell r="W179">
            <v>3508.1500000575002</v>
          </cell>
          <cell r="X179">
            <v>2.3737599999999999</v>
          </cell>
          <cell r="Y179">
            <v>0</v>
          </cell>
          <cell r="Z179">
            <v>0.56628732849999996</v>
          </cell>
          <cell r="AA179">
            <v>3508.1500000575002</v>
          </cell>
        </row>
        <row r="180">
          <cell r="B180" t="str">
            <v>DJ006</v>
          </cell>
          <cell r="C180" t="str">
            <v>JERINGA DESCARTABLE .:. 20 ML CON AGUJA 21X 1 1/2" C/ ROSCA</v>
          </cell>
          <cell r="D180" t="str">
            <v>Sobre estéril</v>
          </cell>
          <cell r="E180">
            <v>526</v>
          </cell>
          <cell r="F180">
            <v>345.77996783219999</v>
          </cell>
          <cell r="H180">
            <v>6600</v>
          </cell>
          <cell r="J180">
            <v>5256</v>
          </cell>
          <cell r="M180">
            <v>179</v>
          </cell>
          <cell r="N180">
            <v>118.741908</v>
          </cell>
          <cell r="P180">
            <v>4697</v>
          </cell>
          <cell r="R180">
            <v>3219.956385</v>
          </cell>
          <cell r="S180">
            <v>0</v>
          </cell>
          <cell r="T180">
            <v>0</v>
          </cell>
          <cell r="U180">
            <v>2608</v>
          </cell>
          <cell r="V180">
            <v>0.95880751529999997</v>
          </cell>
          <cell r="W180">
            <v>2500.5699999024</v>
          </cell>
          <cell r="X180">
            <v>2.3737599999999999</v>
          </cell>
          <cell r="Y180">
            <v>0</v>
          </cell>
          <cell r="Z180">
            <v>0.95880751529999997</v>
          </cell>
          <cell r="AA180">
            <v>2500.5699999024</v>
          </cell>
        </row>
        <row r="181">
          <cell r="B181" t="str">
            <v>DJ007</v>
          </cell>
          <cell r="C181" t="str">
            <v>JERINGA DESCARTABLE 50 ML LUER .:. 50 ML LUER</v>
          </cell>
          <cell r="D181" t="str">
            <v>Sobre estéril</v>
          </cell>
          <cell r="E181">
            <v>61</v>
          </cell>
          <cell r="F181">
            <v>144.97931167749999</v>
          </cell>
          <cell r="H181">
            <v>150</v>
          </cell>
          <cell r="J181">
            <v>376</v>
          </cell>
          <cell r="M181">
            <v>2</v>
          </cell>
          <cell r="N181">
            <v>5.0154319999999997</v>
          </cell>
          <cell r="P181">
            <v>130</v>
          </cell>
          <cell r="R181">
            <v>317.74093900000003</v>
          </cell>
          <cell r="S181">
            <v>0</v>
          </cell>
          <cell r="T181">
            <v>0</v>
          </cell>
          <cell r="U181">
            <v>83</v>
          </cell>
          <cell r="V181">
            <v>2.5090361446</v>
          </cell>
          <cell r="W181">
            <v>208.2500000018</v>
          </cell>
          <cell r="X181">
            <v>2.3737599999999999</v>
          </cell>
          <cell r="Y181">
            <v>0</v>
          </cell>
          <cell r="Z181">
            <v>2.5090361446</v>
          </cell>
          <cell r="AA181">
            <v>208.2500000018</v>
          </cell>
        </row>
        <row r="182">
          <cell r="B182" t="str">
            <v>DJ009</v>
          </cell>
          <cell r="C182" t="str">
            <v>JERINGA INSULINA DESCARTABLE .:. 1 ML C/AGUJA DESMONTABLE N° 28</v>
          </cell>
          <cell r="D182" t="str">
            <v>Sobre estéril</v>
          </cell>
          <cell r="E182">
            <v>405</v>
          </cell>
          <cell r="F182">
            <v>194.8458144825</v>
          </cell>
          <cell r="H182">
            <v>1400</v>
          </cell>
          <cell r="J182">
            <v>697.5</v>
          </cell>
          <cell r="M182">
            <v>16</v>
          </cell>
          <cell r="N182">
            <v>8.0060959999999994</v>
          </cell>
          <cell r="P182">
            <v>1101</v>
          </cell>
          <cell r="R182">
            <v>542.717893</v>
          </cell>
          <cell r="S182">
            <v>0</v>
          </cell>
          <cell r="T182">
            <v>0</v>
          </cell>
          <cell r="U182">
            <v>720</v>
          </cell>
          <cell r="V182">
            <v>0.49670833330000003</v>
          </cell>
          <cell r="W182">
            <v>357.62999997600002</v>
          </cell>
          <cell r="X182">
            <v>2.3737599999999999</v>
          </cell>
          <cell r="Y182">
            <v>0</v>
          </cell>
          <cell r="Z182">
            <v>0.49670833330000003</v>
          </cell>
          <cell r="AA182">
            <v>357.62999997600002</v>
          </cell>
        </row>
        <row r="183">
          <cell r="B183" t="str">
            <v>DL199</v>
          </cell>
          <cell r="C183" t="str">
            <v>FOSFATASA ALCALINA CINETICA .:. POR, 100. Ó POR 200 DETER. SEGUN REQUERIMIENTO.</v>
          </cell>
          <cell r="D183" t="str">
            <v>Caja</v>
          </cell>
          <cell r="E183">
            <v>0</v>
          </cell>
          <cell r="F183">
            <v>0</v>
          </cell>
          <cell r="H183">
            <v>3</v>
          </cell>
          <cell r="J183">
            <v>300</v>
          </cell>
          <cell r="M183">
            <v>0</v>
          </cell>
          <cell r="N183">
            <v>0</v>
          </cell>
          <cell r="P183">
            <v>3</v>
          </cell>
          <cell r="R183">
            <v>300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2.3737599999999999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DL315</v>
          </cell>
          <cell r="C184" t="str">
            <v>PORTA OBJETOS  ESMERILADO .:. POR 50 PIEZAS O  MAS CON BORDE ESMERILADO</v>
          </cell>
          <cell r="D184" t="str">
            <v>Caja</v>
          </cell>
          <cell r="E184">
            <v>24</v>
          </cell>
          <cell r="F184">
            <v>362.84125560479998</v>
          </cell>
          <cell r="H184">
            <v>0</v>
          </cell>
          <cell r="J184">
            <v>0</v>
          </cell>
          <cell r="M184">
            <v>0</v>
          </cell>
          <cell r="N184">
            <v>0</v>
          </cell>
          <cell r="P184">
            <v>6</v>
          </cell>
          <cell r="R184">
            <v>90.710312999999999</v>
          </cell>
          <cell r="S184">
            <v>0</v>
          </cell>
          <cell r="T184">
            <v>0</v>
          </cell>
          <cell r="U184">
            <v>18</v>
          </cell>
          <cell r="V184">
            <v>15.118333333300001</v>
          </cell>
          <cell r="W184">
            <v>272.12999999940001</v>
          </cell>
          <cell r="X184">
            <v>2.3737599999999999</v>
          </cell>
          <cell r="Y184">
            <v>0</v>
          </cell>
          <cell r="Z184">
            <v>15.118333333300001</v>
          </cell>
          <cell r="AA184">
            <v>272.12999999940001</v>
          </cell>
        </row>
        <row r="185">
          <cell r="B185" t="str">
            <v>DL366</v>
          </cell>
          <cell r="C185" t="str">
            <v>TIRAS REACTIVAS PARAGLUCOMETRO .:. CAJA POR 50 TIRAS BUENA REPRODUCIBILIDAD REPETITIVIDAD TENGA ESTABILIDAD EXACTITUD APTA PARA USO A DIFERENTES ALTURAS, HASTA 4000 M. DE ALTURA SOBRE EL NIVEL DE MAR (PRESENTAR CERTIFICADO DE CALIBRACION DE ALTURA DE LA FABRICA DE ORIGEN).</v>
          </cell>
          <cell r="D185" t="str">
            <v>Caja</v>
          </cell>
          <cell r="E185">
            <v>0</v>
          </cell>
          <cell r="F185">
            <v>0</v>
          </cell>
          <cell r="H185">
            <v>12</v>
          </cell>
          <cell r="J185">
            <v>3600</v>
          </cell>
          <cell r="M185">
            <v>6</v>
          </cell>
          <cell r="N185">
            <v>1800</v>
          </cell>
          <cell r="P185">
            <v>17</v>
          </cell>
          <cell r="R185">
            <v>5100</v>
          </cell>
          <cell r="S185">
            <v>0</v>
          </cell>
          <cell r="T185">
            <v>0</v>
          </cell>
          <cell r="U185">
            <v>1</v>
          </cell>
          <cell r="V185">
            <v>300</v>
          </cell>
          <cell r="W185">
            <v>300</v>
          </cell>
          <cell r="X185">
            <v>2.3737599999999999</v>
          </cell>
          <cell r="Y185">
            <v>0</v>
          </cell>
          <cell r="Z185">
            <v>300</v>
          </cell>
          <cell r="AA185">
            <v>300</v>
          </cell>
        </row>
        <row r="186">
          <cell r="B186" t="str">
            <v>DL3661</v>
          </cell>
          <cell r="C186" t="str">
            <v>TIRAS REACTIVAS PARA GLUCOMETRO .:. TIRAS DE BUENA REPRODUCIBILIDAD REPETITIVIDAD TENGA ESTABILIDAD EXACTITUD APTA PARA USO A DIFERENTES ALTURAS, HASTA 4000 M. DE ALTURA SOBRE EL NIVEL DE MAR (PRESENTAR CERTIFICADO DE CALIBRACION DE ALTURA DE LA FABRICA DE ORIGEN).</v>
          </cell>
          <cell r="D186" t="str">
            <v>Pieza</v>
          </cell>
          <cell r="E186">
            <v>0</v>
          </cell>
          <cell r="F186">
            <v>0</v>
          </cell>
          <cell r="H186">
            <v>1500</v>
          </cell>
          <cell r="J186">
            <v>8900</v>
          </cell>
          <cell r="M186">
            <v>4</v>
          </cell>
          <cell r="N186">
            <v>24.048096000000001</v>
          </cell>
          <cell r="P186">
            <v>712</v>
          </cell>
          <cell r="R186">
            <v>4268.243238</v>
          </cell>
          <cell r="S186">
            <v>0</v>
          </cell>
          <cell r="T186">
            <v>0</v>
          </cell>
          <cell r="U186">
            <v>792</v>
          </cell>
          <cell r="V186">
            <v>5.8785353535000002</v>
          </cell>
          <cell r="W186">
            <v>4655.7999999719996</v>
          </cell>
          <cell r="X186">
            <v>2.3737599999999999</v>
          </cell>
          <cell r="Y186">
            <v>0</v>
          </cell>
          <cell r="Z186">
            <v>5.8785353535000002</v>
          </cell>
          <cell r="AA186">
            <v>4655.7999999719996</v>
          </cell>
        </row>
        <row r="187">
          <cell r="B187" t="str">
            <v>DMQ005</v>
          </cell>
          <cell r="C187" t="str">
            <v>CAMPO QUIRURGICO .:. DESCARTABLE</v>
          </cell>
          <cell r="D187" t="str">
            <v>Sobre estéril</v>
          </cell>
          <cell r="E187">
            <v>0</v>
          </cell>
          <cell r="F187">
            <v>0</v>
          </cell>
          <cell r="H187">
            <v>7</v>
          </cell>
          <cell r="J187">
            <v>806</v>
          </cell>
          <cell r="M187">
            <v>0</v>
          </cell>
          <cell r="N187">
            <v>0</v>
          </cell>
          <cell r="P187">
            <v>5</v>
          </cell>
          <cell r="R187">
            <v>575.71428500000002</v>
          </cell>
          <cell r="S187">
            <v>0</v>
          </cell>
          <cell r="T187">
            <v>0</v>
          </cell>
          <cell r="U187">
            <v>2</v>
          </cell>
          <cell r="V187">
            <v>115.145</v>
          </cell>
          <cell r="W187">
            <v>230.29</v>
          </cell>
          <cell r="X187">
            <v>2.3737599999999999</v>
          </cell>
          <cell r="Y187">
            <v>0</v>
          </cell>
          <cell r="Z187">
            <v>115.145</v>
          </cell>
          <cell r="AA187">
            <v>230.29</v>
          </cell>
        </row>
        <row r="188">
          <cell r="B188" t="str">
            <v>DMQ012</v>
          </cell>
          <cell r="C188" t="str">
            <v>ELECTRODOS .:. DE ESPUMA PARA ADULTO</v>
          </cell>
          <cell r="D188" t="str">
            <v>Sobre</v>
          </cell>
          <cell r="E188">
            <v>69</v>
          </cell>
          <cell r="F188">
            <v>110.4575724753</v>
          </cell>
          <cell r="H188">
            <v>1600</v>
          </cell>
          <cell r="J188">
            <v>2220</v>
          </cell>
          <cell r="M188">
            <v>0</v>
          </cell>
          <cell r="N188">
            <v>0</v>
          </cell>
          <cell r="P188">
            <v>1075</v>
          </cell>
          <cell r="R188">
            <v>1404.3569950000001</v>
          </cell>
          <cell r="S188">
            <v>0</v>
          </cell>
          <cell r="T188">
            <v>0</v>
          </cell>
          <cell r="U188">
            <v>594</v>
          </cell>
          <cell r="V188">
            <v>1.5590909091</v>
          </cell>
          <cell r="W188">
            <v>926.10000000540003</v>
          </cell>
          <cell r="X188">
            <v>2.3737599999999999</v>
          </cell>
          <cell r="Y188">
            <v>0</v>
          </cell>
          <cell r="Z188">
            <v>1.5590909091</v>
          </cell>
          <cell r="AA188">
            <v>926.10000000540003</v>
          </cell>
        </row>
        <row r="189">
          <cell r="B189" t="str">
            <v>DMQ016</v>
          </cell>
          <cell r="C189" t="str">
            <v>EQUIPO PARA ANESTESIA PERIDURAL -RAQUIDEA .:. CONTINUA COMBINADA  CON AGUJA TUOHY Nº 18 X 3 1/4" CON ORIFICIO OVAL EN LA PARTE INFERIOR +CON CATETER Y FILTRO+ AGUJA ESPINAL N° 27 PUNTA DE LAPIZ</v>
          </cell>
          <cell r="D189" t="str">
            <v>Sobre estéril</v>
          </cell>
          <cell r="E189">
            <v>8</v>
          </cell>
          <cell r="F189">
            <v>748.06745779120001</v>
          </cell>
          <cell r="H189">
            <v>0</v>
          </cell>
          <cell r="J189">
            <v>0</v>
          </cell>
          <cell r="M189">
            <v>0</v>
          </cell>
          <cell r="N189">
            <v>0</v>
          </cell>
          <cell r="P189">
            <v>1</v>
          </cell>
          <cell r="R189">
            <v>93.508431999999999</v>
          </cell>
          <cell r="S189">
            <v>7</v>
          </cell>
          <cell r="T189">
            <v>654.55902500000002</v>
          </cell>
          <cell r="U189">
            <v>0</v>
          </cell>
          <cell r="V189">
            <v>0</v>
          </cell>
          <cell r="W189">
            <v>0</v>
          </cell>
          <cell r="X189">
            <v>2.3737599999999999</v>
          </cell>
          <cell r="Y189">
            <v>0</v>
          </cell>
          <cell r="Z189">
            <v>0</v>
          </cell>
          <cell r="AA189">
            <v>0</v>
          </cell>
        </row>
        <row r="190">
          <cell r="B190" t="str">
            <v>DMQ019</v>
          </cell>
          <cell r="C190" t="str">
            <v>GUANTES QUIRURGICOS .:. N° 6  PUNO LARGO</v>
          </cell>
          <cell r="D190" t="str">
            <v>Sobre estéril</v>
          </cell>
          <cell r="E190">
            <v>34</v>
          </cell>
          <cell r="F190">
            <v>52.896576419600002</v>
          </cell>
          <cell r="H190">
            <v>90</v>
          </cell>
          <cell r="J190">
            <v>171</v>
          </cell>
          <cell r="M190">
            <v>0</v>
          </cell>
          <cell r="N190">
            <v>0</v>
          </cell>
          <cell r="P190">
            <v>52</v>
          </cell>
          <cell r="R190">
            <v>93.892107999999993</v>
          </cell>
          <cell r="S190">
            <v>0</v>
          </cell>
          <cell r="T190">
            <v>0</v>
          </cell>
          <cell r="U190">
            <v>72</v>
          </cell>
          <cell r="V190">
            <v>1.8055555556</v>
          </cell>
          <cell r="W190">
            <v>130.0000000032</v>
          </cell>
          <cell r="X190">
            <v>2.3737599999999999</v>
          </cell>
          <cell r="Y190">
            <v>0</v>
          </cell>
          <cell r="Z190">
            <v>1.8055555556</v>
          </cell>
          <cell r="AA190">
            <v>130.0000000032</v>
          </cell>
        </row>
        <row r="191">
          <cell r="B191" t="str">
            <v>DMQ020</v>
          </cell>
          <cell r="C191" t="str">
            <v>GUANTES QUIRURGICOS ESTERIL .:. N° 6 1/2 PUNO LARGO</v>
          </cell>
          <cell r="D191" t="str">
            <v>Sobre estéril</v>
          </cell>
          <cell r="E191">
            <v>1672</v>
          </cell>
          <cell r="F191">
            <v>3987.9196503431999</v>
          </cell>
          <cell r="H191">
            <v>0</v>
          </cell>
          <cell r="J191">
            <v>0</v>
          </cell>
          <cell r="M191">
            <v>0</v>
          </cell>
          <cell r="N191">
            <v>0</v>
          </cell>
          <cell r="P191">
            <v>700</v>
          </cell>
          <cell r="R191">
            <v>1669.5835070000001</v>
          </cell>
          <cell r="S191">
            <v>0</v>
          </cell>
          <cell r="T191">
            <v>0</v>
          </cell>
          <cell r="U191">
            <v>972</v>
          </cell>
          <cell r="V191">
            <v>2.3851234568000002</v>
          </cell>
          <cell r="W191">
            <v>2318.3400000095999</v>
          </cell>
          <cell r="X191">
            <v>2.3737599999999999</v>
          </cell>
          <cell r="Y191">
            <v>0</v>
          </cell>
          <cell r="Z191">
            <v>2.3851234568000002</v>
          </cell>
          <cell r="AA191">
            <v>2318.3400000095999</v>
          </cell>
        </row>
        <row r="192">
          <cell r="B192" t="str">
            <v>DMQ021</v>
          </cell>
          <cell r="C192" t="str">
            <v>GUANTES QUIRURGICOS ESTERIL .:. N° 7 PUNO LARGO</v>
          </cell>
          <cell r="D192" t="str">
            <v>Sobre estéril</v>
          </cell>
          <cell r="E192">
            <v>1381</v>
          </cell>
          <cell r="F192">
            <v>3319.7172192794001</v>
          </cell>
          <cell r="H192">
            <v>0</v>
          </cell>
          <cell r="J192">
            <v>0</v>
          </cell>
          <cell r="M192">
            <v>0</v>
          </cell>
          <cell r="N192">
            <v>0</v>
          </cell>
          <cell r="P192">
            <v>902</v>
          </cell>
          <cell r="R192">
            <v>2168.2728520000001</v>
          </cell>
          <cell r="S192">
            <v>0</v>
          </cell>
          <cell r="T192">
            <v>0</v>
          </cell>
          <cell r="U192">
            <v>479</v>
          </cell>
          <cell r="V192">
            <v>2.4038413361000002</v>
          </cell>
          <cell r="W192">
            <v>1151.4399999919001</v>
          </cell>
          <cell r="X192">
            <v>2.3737599999999999</v>
          </cell>
          <cell r="Y192">
            <v>0</v>
          </cell>
          <cell r="Z192">
            <v>2.4038413361000002</v>
          </cell>
          <cell r="AA192">
            <v>1151.4399999919001</v>
          </cell>
        </row>
        <row r="193">
          <cell r="B193" t="str">
            <v>DMQ022</v>
          </cell>
          <cell r="C193" t="str">
            <v>GUANTES QUIRURGICOS ESTERIL .:. N° 7 1/2 PUNO LARGO</v>
          </cell>
          <cell r="D193" t="str">
            <v>Sobre estéril</v>
          </cell>
          <cell r="E193">
            <v>1640</v>
          </cell>
          <cell r="F193">
            <v>3887.3793134359998</v>
          </cell>
          <cell r="H193">
            <v>300</v>
          </cell>
          <cell r="J193">
            <v>750</v>
          </cell>
          <cell r="M193">
            <v>1</v>
          </cell>
          <cell r="N193">
            <v>2.2913790000000001</v>
          </cell>
          <cell r="P193">
            <v>1338</v>
          </cell>
          <cell r="R193">
            <v>3183.8089439999999</v>
          </cell>
          <cell r="S193">
            <v>0</v>
          </cell>
          <cell r="T193">
            <v>0</v>
          </cell>
          <cell r="U193">
            <v>603</v>
          </cell>
          <cell r="V193">
            <v>2.4143615257</v>
          </cell>
          <cell r="W193">
            <v>1455.8599999971</v>
          </cell>
          <cell r="X193">
            <v>2.3737599999999999</v>
          </cell>
          <cell r="Y193">
            <v>0</v>
          </cell>
          <cell r="Z193">
            <v>2.4143615257</v>
          </cell>
          <cell r="AA193">
            <v>1455.8599999971</v>
          </cell>
        </row>
        <row r="194">
          <cell r="B194" t="str">
            <v>DMQ023</v>
          </cell>
          <cell r="C194" t="str">
            <v>GUANTES QUIRURGICOS ESTERIL .:. N° 8 PUNO LARGO</v>
          </cell>
          <cell r="D194" t="str">
            <v>Sobre estéril</v>
          </cell>
          <cell r="E194">
            <v>487</v>
          </cell>
          <cell r="F194">
            <v>1170.6750802238</v>
          </cell>
          <cell r="H194">
            <v>0</v>
          </cell>
          <cell r="J194">
            <v>0</v>
          </cell>
          <cell r="M194">
            <v>0</v>
          </cell>
          <cell r="N194">
            <v>0</v>
          </cell>
          <cell r="P194">
            <v>94</v>
          </cell>
          <cell r="R194">
            <v>225.96191300000001</v>
          </cell>
          <cell r="S194">
            <v>0</v>
          </cell>
          <cell r="T194">
            <v>0</v>
          </cell>
          <cell r="U194">
            <v>393</v>
          </cell>
          <cell r="V194">
            <v>2.4038422391999998</v>
          </cell>
          <cell r="W194">
            <v>944.71000000560002</v>
          </cell>
          <cell r="X194">
            <v>2.3737599999999999</v>
          </cell>
          <cell r="Y194">
            <v>0</v>
          </cell>
          <cell r="Z194">
            <v>2.4038422391999998</v>
          </cell>
          <cell r="AA194">
            <v>944.71000000560002</v>
          </cell>
        </row>
        <row r="195">
          <cell r="B195" t="str">
            <v>DMQ026</v>
          </cell>
          <cell r="C195" t="str">
            <v>HOJA DE BISTURI .:. Nº 22 - CAJA DE 100 PIEZAS</v>
          </cell>
          <cell r="D195" t="str">
            <v>Sobre estéril</v>
          </cell>
          <cell r="E195">
            <v>78</v>
          </cell>
          <cell r="F195">
            <v>58.419237380399998</v>
          </cell>
          <cell r="H195">
            <v>0</v>
          </cell>
          <cell r="J195">
            <v>0</v>
          </cell>
          <cell r="M195">
            <v>0</v>
          </cell>
          <cell r="N195">
            <v>0</v>
          </cell>
          <cell r="P195">
            <v>78</v>
          </cell>
          <cell r="R195">
            <v>58.419207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2.3737599999999999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DMQ028</v>
          </cell>
          <cell r="C196" t="str">
            <v>HOJAS DE BISTURI .:. N° 11</v>
          </cell>
          <cell r="D196" t="str">
            <v>Sobre estéril</v>
          </cell>
          <cell r="E196">
            <v>34</v>
          </cell>
          <cell r="F196">
            <v>21.013688643999998</v>
          </cell>
          <cell r="H196">
            <v>50</v>
          </cell>
          <cell r="J196">
            <v>30</v>
          </cell>
          <cell r="M196">
            <v>0</v>
          </cell>
          <cell r="N196">
            <v>0</v>
          </cell>
          <cell r="P196">
            <v>38</v>
          </cell>
          <cell r="R196">
            <v>23.413678999999998</v>
          </cell>
          <cell r="S196">
            <v>0</v>
          </cell>
          <cell r="T196">
            <v>0</v>
          </cell>
          <cell r="U196">
            <v>46</v>
          </cell>
          <cell r="V196">
            <v>0.6</v>
          </cell>
          <cell r="W196">
            <v>27.6</v>
          </cell>
          <cell r="X196">
            <v>2.3737599999999999</v>
          </cell>
          <cell r="Y196">
            <v>0</v>
          </cell>
          <cell r="Z196">
            <v>0.6</v>
          </cell>
          <cell r="AA196">
            <v>27.6</v>
          </cell>
        </row>
        <row r="197">
          <cell r="B197" t="str">
            <v>DMQ030</v>
          </cell>
          <cell r="C197" t="str">
            <v>HOJAS DE BISTURI N° 15 .:. N° 15</v>
          </cell>
          <cell r="D197" t="str">
            <v>Sobre estéril</v>
          </cell>
          <cell r="E197">
            <v>52</v>
          </cell>
          <cell r="F197">
            <v>34.516632207199997</v>
          </cell>
          <cell r="H197">
            <v>160</v>
          </cell>
          <cell r="J197">
            <v>97</v>
          </cell>
          <cell r="M197">
            <v>0</v>
          </cell>
          <cell r="N197">
            <v>0</v>
          </cell>
          <cell r="P197">
            <v>116</v>
          </cell>
          <cell r="R197">
            <v>75.836609999999993</v>
          </cell>
          <cell r="S197">
            <v>0</v>
          </cell>
          <cell r="T197">
            <v>0</v>
          </cell>
          <cell r="U197">
            <v>96</v>
          </cell>
          <cell r="V197">
            <v>0.57999999999999996</v>
          </cell>
          <cell r="W197">
            <v>55.68</v>
          </cell>
          <cell r="X197">
            <v>2.3737599999999999</v>
          </cell>
          <cell r="Y197">
            <v>0</v>
          </cell>
          <cell r="Z197">
            <v>0.57999999999999996</v>
          </cell>
          <cell r="AA197">
            <v>55.68</v>
          </cell>
        </row>
        <row r="198">
          <cell r="B198" t="str">
            <v>DMQ034</v>
          </cell>
          <cell r="C198" t="str">
            <v>MALLA DE POLIPROPILENO .:. 15 X 15 CM</v>
          </cell>
          <cell r="D198" t="str">
            <v>Sobre estéril</v>
          </cell>
          <cell r="E198">
            <v>5</v>
          </cell>
          <cell r="F198">
            <v>2060.1676076975</v>
          </cell>
          <cell r="H198">
            <v>0</v>
          </cell>
          <cell r="J198">
            <v>0</v>
          </cell>
          <cell r="M198">
            <v>0</v>
          </cell>
          <cell r="N198">
            <v>0</v>
          </cell>
          <cell r="P198">
            <v>5</v>
          </cell>
          <cell r="R198">
            <v>2060.167606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2.3737599999999999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DO001</v>
          </cell>
          <cell r="C199" t="str">
            <v>ACIDO GRABADOR .:. GEL  37%</v>
          </cell>
          <cell r="D199" t="str">
            <v>Jeringa</v>
          </cell>
          <cell r="E199">
            <v>0</v>
          </cell>
          <cell r="F199">
            <v>0</v>
          </cell>
          <cell r="H199">
            <v>5</v>
          </cell>
          <cell r="J199">
            <v>495</v>
          </cell>
          <cell r="M199">
            <v>0</v>
          </cell>
          <cell r="N199">
            <v>0</v>
          </cell>
          <cell r="P199">
            <v>5</v>
          </cell>
          <cell r="R199">
            <v>495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2.3737599999999999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DO005</v>
          </cell>
          <cell r="C200" t="str">
            <v>AGUJA PARA CARPULE CORTA .:. 30 G</v>
          </cell>
          <cell r="D200" t="str">
            <v>Caja</v>
          </cell>
          <cell r="E200">
            <v>0</v>
          </cell>
          <cell r="F200">
            <v>0</v>
          </cell>
          <cell r="H200">
            <v>4</v>
          </cell>
          <cell r="J200">
            <v>192</v>
          </cell>
          <cell r="M200">
            <v>0</v>
          </cell>
          <cell r="N200">
            <v>0</v>
          </cell>
          <cell r="P200">
            <v>4</v>
          </cell>
          <cell r="R200">
            <v>192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2.3737599999999999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DO006</v>
          </cell>
          <cell r="C201" t="str">
            <v>APLICADORES PARA ADHESIVO .:. DIFERENTES FORMAS</v>
          </cell>
          <cell r="D201" t="str">
            <v>Frasco</v>
          </cell>
          <cell r="E201">
            <v>0</v>
          </cell>
          <cell r="F201">
            <v>0</v>
          </cell>
          <cell r="H201">
            <v>4</v>
          </cell>
          <cell r="J201">
            <v>120</v>
          </cell>
          <cell r="M201">
            <v>0</v>
          </cell>
          <cell r="N201">
            <v>0</v>
          </cell>
          <cell r="P201">
            <v>4</v>
          </cell>
          <cell r="R201">
            <v>120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2.3737599999999999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DO011</v>
          </cell>
          <cell r="C202" t="str">
            <v>CEMENTO OXIFOSFATO .:. POLVO  LIQUIDO</v>
          </cell>
          <cell r="D202" t="str">
            <v>Caja</v>
          </cell>
          <cell r="E202">
            <v>0</v>
          </cell>
          <cell r="F202">
            <v>0</v>
          </cell>
          <cell r="H202">
            <v>2</v>
          </cell>
          <cell r="J202">
            <v>160</v>
          </cell>
          <cell r="M202">
            <v>0</v>
          </cell>
          <cell r="N202">
            <v>0</v>
          </cell>
          <cell r="P202">
            <v>2</v>
          </cell>
          <cell r="R202">
            <v>160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2.3737599999999999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DO012</v>
          </cell>
          <cell r="C203" t="str">
            <v>CEMENTO PROVISIONAL .:. LIBRE DE EUGENOL</v>
          </cell>
          <cell r="D203" t="str">
            <v>Frasco/TUBO</v>
          </cell>
          <cell r="E203">
            <v>0</v>
          </cell>
          <cell r="F203">
            <v>0</v>
          </cell>
          <cell r="H203">
            <v>3</v>
          </cell>
          <cell r="J203">
            <v>105</v>
          </cell>
          <cell r="M203">
            <v>0</v>
          </cell>
          <cell r="N203">
            <v>0</v>
          </cell>
          <cell r="P203">
            <v>3</v>
          </cell>
          <cell r="R203">
            <v>105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2.3737599999999999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DO017</v>
          </cell>
          <cell r="C204" t="str">
            <v>CEPILLO PROFILACTICO .:. DIFERENTES FORMAS</v>
          </cell>
          <cell r="D204" t="str">
            <v>Pieza</v>
          </cell>
          <cell r="E204">
            <v>0</v>
          </cell>
          <cell r="F204">
            <v>0</v>
          </cell>
          <cell r="H204">
            <v>15</v>
          </cell>
          <cell r="J204">
            <v>67.5</v>
          </cell>
          <cell r="M204">
            <v>0</v>
          </cell>
          <cell r="N204">
            <v>0</v>
          </cell>
          <cell r="P204">
            <v>15</v>
          </cell>
          <cell r="R204">
            <v>67.5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2.3737599999999999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DO024</v>
          </cell>
          <cell r="C205" t="str">
            <v>CUÑAS .:. INTERPROXIMALES</v>
          </cell>
          <cell r="D205" t="str">
            <v>Caja x 100 U</v>
          </cell>
          <cell r="E205">
            <v>0</v>
          </cell>
          <cell r="F205">
            <v>0</v>
          </cell>
          <cell r="H205">
            <v>1</v>
          </cell>
          <cell r="J205">
            <v>70</v>
          </cell>
          <cell r="M205">
            <v>0</v>
          </cell>
          <cell r="N205">
            <v>0</v>
          </cell>
          <cell r="P205">
            <v>1</v>
          </cell>
          <cell r="R205">
            <v>70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2.3737599999999999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DO026</v>
          </cell>
          <cell r="C206" t="str">
            <v>DESVITALIZANTE PULPAR SIN ARSENICO .:. PASTA</v>
          </cell>
          <cell r="D206" t="str">
            <v>Jeringa .</v>
          </cell>
          <cell r="E206">
            <v>0</v>
          </cell>
          <cell r="F206">
            <v>0</v>
          </cell>
          <cell r="H206">
            <v>1</v>
          </cell>
          <cell r="J206">
            <v>665</v>
          </cell>
          <cell r="M206">
            <v>0</v>
          </cell>
          <cell r="N206">
            <v>0</v>
          </cell>
          <cell r="P206">
            <v>1</v>
          </cell>
          <cell r="R206">
            <v>665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2.3737599999999999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DO029</v>
          </cell>
          <cell r="C207" t="str">
            <v>EDTA .:. SOLUCION</v>
          </cell>
          <cell r="D207" t="str">
            <v>Frasco</v>
          </cell>
          <cell r="E207">
            <v>0</v>
          </cell>
          <cell r="F207">
            <v>0</v>
          </cell>
          <cell r="H207">
            <v>1</v>
          </cell>
          <cell r="J207">
            <v>28</v>
          </cell>
          <cell r="M207">
            <v>0</v>
          </cell>
          <cell r="N207">
            <v>0</v>
          </cell>
          <cell r="P207">
            <v>1</v>
          </cell>
          <cell r="R207">
            <v>28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2.3737599999999999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DO033</v>
          </cell>
          <cell r="C208" t="str">
            <v>EUGENOL .:. SOLUCION</v>
          </cell>
          <cell r="D208" t="str">
            <v>Frasco</v>
          </cell>
          <cell r="E208">
            <v>0</v>
          </cell>
          <cell r="F208">
            <v>0</v>
          </cell>
          <cell r="H208">
            <v>2</v>
          </cell>
          <cell r="J208">
            <v>74</v>
          </cell>
          <cell r="M208">
            <v>0</v>
          </cell>
          <cell r="N208">
            <v>0</v>
          </cell>
          <cell r="P208">
            <v>2</v>
          </cell>
          <cell r="R208">
            <v>74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2.3737599999999999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DO034</v>
          </cell>
          <cell r="C209" t="str">
            <v>EYECTORES DE SALIVA .:. PIEZA</v>
          </cell>
          <cell r="D209" t="str">
            <v>Bolsa x 100 U</v>
          </cell>
          <cell r="E209">
            <v>0</v>
          </cell>
          <cell r="F209">
            <v>0</v>
          </cell>
          <cell r="H209">
            <v>10</v>
          </cell>
          <cell r="J209">
            <v>360</v>
          </cell>
          <cell r="M209">
            <v>0</v>
          </cell>
          <cell r="N209">
            <v>0</v>
          </cell>
          <cell r="P209">
            <v>10</v>
          </cell>
          <cell r="R209">
            <v>360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2.3737599999999999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DO038</v>
          </cell>
          <cell r="C210" t="str">
            <v>FRESA  PARA PULIR RESINA .:. DIFRENTES FORMAS</v>
          </cell>
          <cell r="D210" t="str">
            <v>kit</v>
          </cell>
          <cell r="E210">
            <v>0</v>
          </cell>
          <cell r="F210">
            <v>0</v>
          </cell>
          <cell r="H210">
            <v>10</v>
          </cell>
          <cell r="J210">
            <v>100</v>
          </cell>
          <cell r="M210">
            <v>0</v>
          </cell>
          <cell r="N210">
            <v>0</v>
          </cell>
          <cell r="P210">
            <v>10</v>
          </cell>
          <cell r="R210">
            <v>100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2.3737599999999999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DO042</v>
          </cell>
          <cell r="C211" t="str">
            <v>FRESAS DE DIAMANTE AV .:. DIFERENTES FORMAS Y TAMANOS</v>
          </cell>
          <cell r="D211" t="str">
            <v>Pieza</v>
          </cell>
          <cell r="E211">
            <v>0</v>
          </cell>
          <cell r="F211">
            <v>0</v>
          </cell>
          <cell r="H211">
            <v>40</v>
          </cell>
          <cell r="J211">
            <v>320</v>
          </cell>
          <cell r="M211">
            <v>0</v>
          </cell>
          <cell r="N211">
            <v>0</v>
          </cell>
          <cell r="P211">
            <v>40</v>
          </cell>
          <cell r="R211">
            <v>320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2.3737599999999999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DO053</v>
          </cell>
          <cell r="C212" t="str">
            <v>HIDROXIDO DE CALCIO .:. PASTA/ BASE Y CATALIZADOR</v>
          </cell>
          <cell r="D212" t="str">
            <v>Caja</v>
          </cell>
          <cell r="E212">
            <v>0</v>
          </cell>
          <cell r="F212">
            <v>0</v>
          </cell>
          <cell r="H212">
            <v>2</v>
          </cell>
          <cell r="J212">
            <v>376</v>
          </cell>
          <cell r="M212">
            <v>0</v>
          </cell>
          <cell r="N212">
            <v>0</v>
          </cell>
          <cell r="P212">
            <v>2</v>
          </cell>
          <cell r="R212">
            <v>376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2.3737599999999999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DO055</v>
          </cell>
          <cell r="C213" t="str">
            <v>HILO DENTAL .:. PIEZA</v>
          </cell>
          <cell r="D213" t="str">
            <v>Pieza</v>
          </cell>
          <cell r="E213">
            <v>0</v>
          </cell>
          <cell r="F213">
            <v>0</v>
          </cell>
          <cell r="H213">
            <v>2</v>
          </cell>
          <cell r="J213">
            <v>28</v>
          </cell>
          <cell r="M213">
            <v>0</v>
          </cell>
          <cell r="N213">
            <v>0</v>
          </cell>
          <cell r="P213">
            <v>2</v>
          </cell>
          <cell r="R213">
            <v>28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2.3737599999999999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DO056</v>
          </cell>
          <cell r="C214" t="str">
            <v>IODOFORMO .:. POLVO</v>
          </cell>
          <cell r="D214" t="str">
            <v>Frasco</v>
          </cell>
          <cell r="E214">
            <v>0</v>
          </cell>
          <cell r="F214">
            <v>0</v>
          </cell>
          <cell r="H214">
            <v>1</v>
          </cell>
          <cell r="J214">
            <v>80</v>
          </cell>
          <cell r="M214">
            <v>0</v>
          </cell>
          <cell r="N214">
            <v>0</v>
          </cell>
          <cell r="P214">
            <v>1</v>
          </cell>
          <cell r="R214">
            <v>80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2.3737599999999999</v>
          </cell>
          <cell r="Y214">
            <v>0</v>
          </cell>
          <cell r="Z214">
            <v>0</v>
          </cell>
          <cell r="AA214">
            <v>0</v>
          </cell>
        </row>
        <row r="215">
          <cell r="B215" t="str">
            <v>DO059</v>
          </cell>
          <cell r="C215" t="str">
            <v>IONOMERO DE VIDRIO BASE .:. AUTOPOLIMERIZABLE POLVO LIQUIDO</v>
          </cell>
          <cell r="D215" t="str">
            <v>Caja</v>
          </cell>
          <cell r="E215">
            <v>0</v>
          </cell>
          <cell r="F215">
            <v>0</v>
          </cell>
          <cell r="H215">
            <v>4</v>
          </cell>
          <cell r="J215">
            <v>1424</v>
          </cell>
          <cell r="M215">
            <v>0</v>
          </cell>
          <cell r="N215">
            <v>0</v>
          </cell>
          <cell r="P215">
            <v>4</v>
          </cell>
          <cell r="R215">
            <v>1424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2.3737599999999999</v>
          </cell>
          <cell r="Y215">
            <v>0</v>
          </cell>
          <cell r="Z215">
            <v>0</v>
          </cell>
          <cell r="AA215">
            <v>0</v>
          </cell>
        </row>
        <row r="216">
          <cell r="B216" t="str">
            <v>DO060</v>
          </cell>
          <cell r="C216" t="str">
            <v>IONOMERO DE VIDRIO DE  RESTAURACION .:. AUTOPOLIMERIZABLE POLVO LIQUIDO</v>
          </cell>
          <cell r="D216" t="str">
            <v>Caja</v>
          </cell>
          <cell r="E216">
            <v>0</v>
          </cell>
          <cell r="F216">
            <v>0</v>
          </cell>
          <cell r="H216">
            <v>4</v>
          </cell>
          <cell r="J216">
            <v>1900</v>
          </cell>
          <cell r="M216">
            <v>0</v>
          </cell>
          <cell r="N216">
            <v>0</v>
          </cell>
          <cell r="P216">
            <v>4</v>
          </cell>
          <cell r="R216">
            <v>1900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2.3737599999999999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DO073</v>
          </cell>
          <cell r="C217" t="str">
            <v>MASCARA FACIAL .:. TRANSPARENTE</v>
          </cell>
          <cell r="D217" t="str">
            <v>Pieza</v>
          </cell>
          <cell r="E217">
            <v>0</v>
          </cell>
          <cell r="F217">
            <v>0</v>
          </cell>
          <cell r="H217">
            <v>3</v>
          </cell>
          <cell r="J217">
            <v>177</v>
          </cell>
          <cell r="M217">
            <v>0</v>
          </cell>
          <cell r="N217">
            <v>0</v>
          </cell>
          <cell r="P217">
            <v>3</v>
          </cell>
          <cell r="R217">
            <v>177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2.3737599999999999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DO074</v>
          </cell>
          <cell r="C218" t="str">
            <v>MATRIZ METALICA .:. PIEZA</v>
          </cell>
          <cell r="D218" t="str">
            <v>CajaRollo</v>
          </cell>
          <cell r="E218">
            <v>0</v>
          </cell>
          <cell r="F218">
            <v>0</v>
          </cell>
          <cell r="H218">
            <v>2</v>
          </cell>
          <cell r="J218">
            <v>18</v>
          </cell>
          <cell r="M218">
            <v>0</v>
          </cell>
          <cell r="N218">
            <v>0</v>
          </cell>
          <cell r="P218">
            <v>2</v>
          </cell>
          <cell r="R218">
            <v>18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2.3737599999999999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DO081</v>
          </cell>
          <cell r="C219" t="str">
            <v>PASTA ALVEOLAR ANTISEPTICA .:. ANTISEPTICA PASTA</v>
          </cell>
          <cell r="D219" t="str">
            <v>Frasco</v>
          </cell>
          <cell r="E219">
            <v>0</v>
          </cell>
          <cell r="F219">
            <v>0</v>
          </cell>
          <cell r="H219">
            <v>2</v>
          </cell>
          <cell r="J219">
            <v>158</v>
          </cell>
          <cell r="M219">
            <v>0</v>
          </cell>
          <cell r="N219">
            <v>0</v>
          </cell>
          <cell r="P219">
            <v>2</v>
          </cell>
          <cell r="R219">
            <v>158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2.3737599999999999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DO083</v>
          </cell>
          <cell r="C220" t="str">
            <v>PASTA PROFILACTICA .:. PASTA</v>
          </cell>
          <cell r="D220" t="str">
            <v>Frasco</v>
          </cell>
          <cell r="E220">
            <v>0</v>
          </cell>
          <cell r="F220">
            <v>0</v>
          </cell>
          <cell r="H220">
            <v>2</v>
          </cell>
          <cell r="J220">
            <v>60</v>
          </cell>
          <cell r="M220">
            <v>0</v>
          </cell>
          <cell r="N220">
            <v>0</v>
          </cell>
          <cell r="P220">
            <v>2</v>
          </cell>
          <cell r="R220">
            <v>60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2.3737599999999999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DO087</v>
          </cell>
          <cell r="C221" t="str">
            <v>RESINA FLUIDA .:. FOTOPOLIMERIZABLE A1A2 DE 2 G</v>
          </cell>
          <cell r="D221" t="str">
            <v>Jeringa .</v>
          </cell>
          <cell r="E221">
            <v>0</v>
          </cell>
          <cell r="F221">
            <v>0</v>
          </cell>
          <cell r="H221">
            <v>2</v>
          </cell>
          <cell r="J221">
            <v>200</v>
          </cell>
          <cell r="M221">
            <v>0</v>
          </cell>
          <cell r="N221">
            <v>0</v>
          </cell>
          <cell r="P221">
            <v>2</v>
          </cell>
          <cell r="R221">
            <v>200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2.3737599999999999</v>
          </cell>
          <cell r="Y221">
            <v>0</v>
          </cell>
          <cell r="Z221">
            <v>0</v>
          </cell>
          <cell r="AA221">
            <v>0</v>
          </cell>
        </row>
        <row r="222">
          <cell r="B222" t="str">
            <v>DO091</v>
          </cell>
          <cell r="C222" t="str">
            <v>ROLLOS DE ALGODON .:. TRENZADO</v>
          </cell>
          <cell r="D222" t="str">
            <v>Bolsa</v>
          </cell>
          <cell r="E222">
            <v>0</v>
          </cell>
          <cell r="F222">
            <v>0</v>
          </cell>
          <cell r="H222">
            <v>8</v>
          </cell>
          <cell r="J222">
            <v>416</v>
          </cell>
          <cell r="M222">
            <v>0</v>
          </cell>
          <cell r="N222">
            <v>0</v>
          </cell>
          <cell r="P222">
            <v>8</v>
          </cell>
          <cell r="R222">
            <v>416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2.3737599999999999</v>
          </cell>
          <cell r="Y222">
            <v>0</v>
          </cell>
          <cell r="Z222">
            <v>0</v>
          </cell>
          <cell r="AA222">
            <v>0</v>
          </cell>
        </row>
        <row r="223">
          <cell r="B223" t="str">
            <v>DO102</v>
          </cell>
          <cell r="C223" t="str">
            <v>VASOS DAPPEN .:. VIDRIO</v>
          </cell>
          <cell r="D223" t="str">
            <v>Pieza</v>
          </cell>
          <cell r="E223">
            <v>0</v>
          </cell>
          <cell r="F223">
            <v>0</v>
          </cell>
          <cell r="H223">
            <v>2</v>
          </cell>
          <cell r="J223">
            <v>12</v>
          </cell>
          <cell r="M223">
            <v>0</v>
          </cell>
          <cell r="N223">
            <v>0</v>
          </cell>
          <cell r="P223">
            <v>2</v>
          </cell>
          <cell r="R223">
            <v>12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2.3737599999999999</v>
          </cell>
          <cell r="Y223">
            <v>0</v>
          </cell>
          <cell r="Z223">
            <v>0</v>
          </cell>
          <cell r="AA223">
            <v>0</v>
          </cell>
        </row>
        <row r="224">
          <cell r="B224" t="str">
            <v>DOI002</v>
          </cell>
          <cell r="C224" t="str">
            <v>ALGODONERO .:. ACERO INOXIDABLE</v>
          </cell>
          <cell r="D224" t="str">
            <v>Pieza</v>
          </cell>
          <cell r="E224">
            <v>0</v>
          </cell>
          <cell r="F224">
            <v>0</v>
          </cell>
          <cell r="H224">
            <v>2</v>
          </cell>
          <cell r="J224">
            <v>110</v>
          </cell>
          <cell r="M224">
            <v>0</v>
          </cell>
          <cell r="N224">
            <v>0</v>
          </cell>
          <cell r="P224">
            <v>2</v>
          </cell>
          <cell r="R224">
            <v>110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2.3737599999999999</v>
          </cell>
          <cell r="Y224">
            <v>0</v>
          </cell>
          <cell r="Z224">
            <v>0</v>
          </cell>
          <cell r="AA224">
            <v>0</v>
          </cell>
        </row>
        <row r="225">
          <cell r="B225" t="str">
            <v>DOI018</v>
          </cell>
          <cell r="C225" t="str">
            <v>ESPATULA PARA RESINA .:. ACERO INOXIDABLE, BIPOLAR</v>
          </cell>
          <cell r="D225" t="str">
            <v>Pieza</v>
          </cell>
          <cell r="E225">
            <v>0</v>
          </cell>
          <cell r="F225">
            <v>0</v>
          </cell>
          <cell r="H225">
            <v>2</v>
          </cell>
          <cell r="J225">
            <v>440</v>
          </cell>
          <cell r="M225">
            <v>0</v>
          </cell>
          <cell r="N225">
            <v>0</v>
          </cell>
          <cell r="P225">
            <v>2</v>
          </cell>
          <cell r="R225">
            <v>440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2.3737599999999999</v>
          </cell>
          <cell r="Y225">
            <v>0</v>
          </cell>
          <cell r="Z225">
            <v>0</v>
          </cell>
          <cell r="AA225">
            <v>0</v>
          </cell>
        </row>
        <row r="226">
          <cell r="B226" t="str">
            <v>DOI019</v>
          </cell>
          <cell r="C226" t="str">
            <v>ESPEJO BUCAL .:. PIEZA</v>
          </cell>
          <cell r="D226" t="str">
            <v>Pieza</v>
          </cell>
          <cell r="E226">
            <v>0</v>
          </cell>
          <cell r="F226">
            <v>0</v>
          </cell>
          <cell r="H226">
            <v>15</v>
          </cell>
          <cell r="J226">
            <v>150</v>
          </cell>
          <cell r="M226">
            <v>0</v>
          </cell>
          <cell r="N226">
            <v>0</v>
          </cell>
          <cell r="P226">
            <v>15</v>
          </cell>
          <cell r="R226">
            <v>150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2.3737599999999999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DOI022</v>
          </cell>
          <cell r="C227" t="str">
            <v>ESPATULA PARACEMENTO .:. ACERO INOXIDABLE, BIPOLAR</v>
          </cell>
          <cell r="D227" t="str">
            <v>Pieza</v>
          </cell>
          <cell r="E227">
            <v>0</v>
          </cell>
          <cell r="F227">
            <v>0</v>
          </cell>
          <cell r="H227">
            <v>3</v>
          </cell>
          <cell r="J227">
            <v>42</v>
          </cell>
          <cell r="M227">
            <v>0</v>
          </cell>
          <cell r="N227">
            <v>0</v>
          </cell>
          <cell r="P227">
            <v>3</v>
          </cell>
          <cell r="R227">
            <v>42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2.3737599999999999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DOI034</v>
          </cell>
          <cell r="C228" t="str">
            <v>MATRIZ SECCIONAL .:. ACERO INOXIDABLE</v>
          </cell>
          <cell r="D228" t="str">
            <v>Caja x 50 U</v>
          </cell>
          <cell r="E228">
            <v>0</v>
          </cell>
          <cell r="F228">
            <v>0</v>
          </cell>
          <cell r="H228">
            <v>1</v>
          </cell>
          <cell r="J228">
            <v>130</v>
          </cell>
          <cell r="M228">
            <v>0</v>
          </cell>
          <cell r="N228">
            <v>0</v>
          </cell>
          <cell r="P228">
            <v>1</v>
          </cell>
          <cell r="R228">
            <v>130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2.3737599999999999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DOI044</v>
          </cell>
          <cell r="C229" t="str">
            <v>PORTA AGUJAS TIPO MATHIU .:. ACERO INOXIDABLE</v>
          </cell>
          <cell r="D229" t="str">
            <v>Pieza</v>
          </cell>
          <cell r="E229">
            <v>0</v>
          </cell>
          <cell r="F229">
            <v>0</v>
          </cell>
          <cell r="H229">
            <v>2</v>
          </cell>
          <cell r="J229">
            <v>110</v>
          </cell>
          <cell r="M229">
            <v>0</v>
          </cell>
          <cell r="N229">
            <v>0</v>
          </cell>
          <cell r="P229">
            <v>2</v>
          </cell>
          <cell r="R229">
            <v>110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2.3737599999999999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DOI057</v>
          </cell>
          <cell r="C230" t="str">
            <v>TIJERA PARA ENCIA CURVA .:. CURVA ACERO INOXIDABLE</v>
          </cell>
          <cell r="D230" t="str">
            <v>Pieza</v>
          </cell>
          <cell r="E230">
            <v>0</v>
          </cell>
          <cell r="F230">
            <v>0</v>
          </cell>
          <cell r="H230">
            <v>2</v>
          </cell>
          <cell r="J230">
            <v>36</v>
          </cell>
          <cell r="M230">
            <v>0</v>
          </cell>
          <cell r="N230">
            <v>0</v>
          </cell>
          <cell r="P230">
            <v>2</v>
          </cell>
          <cell r="R230">
            <v>36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2.3737599999999999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DOI058</v>
          </cell>
          <cell r="C231" t="str">
            <v>TIJERA PARA ENCIA RECTA .:. ACERO INOXIDABLE</v>
          </cell>
          <cell r="D231" t="str">
            <v>Pieza</v>
          </cell>
          <cell r="E231">
            <v>0</v>
          </cell>
          <cell r="F231">
            <v>0</v>
          </cell>
          <cell r="H231">
            <v>2</v>
          </cell>
          <cell r="J231">
            <v>30</v>
          </cell>
          <cell r="M231">
            <v>0</v>
          </cell>
          <cell r="N231">
            <v>0</v>
          </cell>
          <cell r="P231">
            <v>2</v>
          </cell>
          <cell r="R231">
            <v>30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2.3737599999999999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DOT005</v>
          </cell>
          <cell r="C232" t="str">
            <v>ALGODON .:. 100 GRS.</v>
          </cell>
          <cell r="D232" t="str">
            <v>Paquete</v>
          </cell>
          <cell r="E232">
            <v>5</v>
          </cell>
          <cell r="F232">
            <v>54.792348851</v>
          </cell>
          <cell r="H232">
            <v>35</v>
          </cell>
          <cell r="J232">
            <v>363</v>
          </cell>
          <cell r="M232">
            <v>0</v>
          </cell>
          <cell r="N232">
            <v>0</v>
          </cell>
          <cell r="P232">
            <v>33</v>
          </cell>
          <cell r="R232">
            <v>348.492345</v>
          </cell>
          <cell r="S232">
            <v>0</v>
          </cell>
          <cell r="T232">
            <v>0</v>
          </cell>
          <cell r="U232">
            <v>7</v>
          </cell>
          <cell r="V232">
            <v>9.9</v>
          </cell>
          <cell r="W232">
            <v>69.3</v>
          </cell>
          <cell r="X232">
            <v>2.3737599999999999</v>
          </cell>
          <cell r="Y232">
            <v>0</v>
          </cell>
          <cell r="Z232">
            <v>9.9</v>
          </cell>
          <cell r="AA232">
            <v>69.3</v>
          </cell>
        </row>
        <row r="233">
          <cell r="B233" t="str">
            <v>DOT006</v>
          </cell>
          <cell r="C233" t="str">
            <v>ALGODON .:. 400 GRS.</v>
          </cell>
          <cell r="D233" t="str">
            <v>Paquete</v>
          </cell>
          <cell r="E233">
            <v>22</v>
          </cell>
          <cell r="F233">
            <v>624.97430896119999</v>
          </cell>
          <cell r="H233">
            <v>0</v>
          </cell>
          <cell r="J233">
            <v>0</v>
          </cell>
          <cell r="M233">
            <v>0</v>
          </cell>
          <cell r="N233">
            <v>0</v>
          </cell>
          <cell r="P233">
            <v>22</v>
          </cell>
          <cell r="R233">
            <v>624.97430599999996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2.3737599999999999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DOT024</v>
          </cell>
          <cell r="C234" t="str">
            <v>BAJA LENGUA .:. DE MADERA ADULTOS</v>
          </cell>
          <cell r="D234" t="str">
            <v>Caja x 100</v>
          </cell>
          <cell r="E234">
            <v>55</v>
          </cell>
          <cell r="F234">
            <v>728.92065986299997</v>
          </cell>
          <cell r="H234">
            <v>0</v>
          </cell>
          <cell r="J234">
            <v>0</v>
          </cell>
          <cell r="M234">
            <v>0</v>
          </cell>
          <cell r="N234">
            <v>0</v>
          </cell>
          <cell r="P234">
            <v>47</v>
          </cell>
          <cell r="R234">
            <v>622.89583300000004</v>
          </cell>
          <cell r="S234">
            <v>0</v>
          </cell>
          <cell r="T234">
            <v>0</v>
          </cell>
          <cell r="U234">
            <v>8</v>
          </cell>
          <cell r="V234">
            <v>13.2525</v>
          </cell>
          <cell r="W234">
            <v>106.02</v>
          </cell>
          <cell r="X234">
            <v>2.3737599999999999</v>
          </cell>
          <cell r="Y234">
            <v>0</v>
          </cell>
          <cell r="Z234">
            <v>13.2525</v>
          </cell>
          <cell r="AA234">
            <v>106.02</v>
          </cell>
        </row>
        <row r="235">
          <cell r="B235" t="str">
            <v>DOT031</v>
          </cell>
          <cell r="C235" t="str">
            <v>CURITAS REDONDAS .:. PARA LABORATORIO</v>
          </cell>
          <cell r="D235" t="str">
            <v>Caja</v>
          </cell>
          <cell r="E235">
            <v>1690</v>
          </cell>
          <cell r="F235">
            <v>255.12556452499999</v>
          </cell>
          <cell r="H235">
            <v>2000</v>
          </cell>
          <cell r="J235">
            <v>280</v>
          </cell>
          <cell r="M235">
            <v>0</v>
          </cell>
          <cell r="N235">
            <v>0</v>
          </cell>
          <cell r="P235">
            <v>3690</v>
          </cell>
          <cell r="R235">
            <v>535.12556199999995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2.3737599999999999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DOT035</v>
          </cell>
          <cell r="C236" t="str">
            <v>FILTRO ANTIMICROBIANO .:. PARA RESPIRADORES PARA OXIGENO</v>
          </cell>
          <cell r="D236" t="str">
            <v>Sobre estéril</v>
          </cell>
          <cell r="E236">
            <v>16</v>
          </cell>
          <cell r="F236">
            <v>2408.0814264944001</v>
          </cell>
          <cell r="H236">
            <v>75</v>
          </cell>
          <cell r="J236">
            <v>4500</v>
          </cell>
          <cell r="M236">
            <v>0</v>
          </cell>
          <cell r="N236">
            <v>0</v>
          </cell>
          <cell r="P236">
            <v>91</v>
          </cell>
          <cell r="R236">
            <v>6908.081424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2.3737599999999999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DOT037</v>
          </cell>
          <cell r="C237" t="str">
            <v>GASA .:. 100 YARDAS MALLA 20  X  24 MM CON HILO RADIOPACO, CORTADA A REQUERIMIENTO</v>
          </cell>
          <cell r="D237" t="str">
            <v>Rollo</v>
          </cell>
          <cell r="E237">
            <v>1</v>
          </cell>
          <cell r="F237">
            <v>471.56386828090001</v>
          </cell>
          <cell r="H237">
            <v>3</v>
          </cell>
          <cell r="J237">
            <v>1440</v>
          </cell>
          <cell r="M237">
            <v>0</v>
          </cell>
          <cell r="N237">
            <v>0</v>
          </cell>
          <cell r="P237">
            <v>3</v>
          </cell>
          <cell r="R237">
            <v>1431.563868</v>
          </cell>
          <cell r="S237">
            <v>0</v>
          </cell>
          <cell r="T237">
            <v>0</v>
          </cell>
          <cell r="U237">
            <v>1</v>
          </cell>
          <cell r="V237">
            <v>480</v>
          </cell>
          <cell r="W237">
            <v>480</v>
          </cell>
          <cell r="X237">
            <v>2.3737599999999999</v>
          </cell>
          <cell r="Y237">
            <v>0</v>
          </cell>
          <cell r="Z237">
            <v>480</v>
          </cell>
          <cell r="AA237">
            <v>480</v>
          </cell>
        </row>
        <row r="238">
          <cell r="B238" t="str">
            <v>DOT052</v>
          </cell>
          <cell r="C238" t="str">
            <v>TELA ADHESIVA .:. CORRIENTE 4 X 10 CM</v>
          </cell>
          <cell r="D238" t="str">
            <v>Rollo</v>
          </cell>
          <cell r="E238">
            <v>13</v>
          </cell>
          <cell r="F238">
            <v>516.79020085549996</v>
          </cell>
          <cell r="H238">
            <v>60</v>
          </cell>
          <cell r="J238">
            <v>2378.6999999999998</v>
          </cell>
          <cell r="M238">
            <v>0</v>
          </cell>
          <cell r="N238">
            <v>0</v>
          </cell>
          <cell r="P238">
            <v>53</v>
          </cell>
          <cell r="R238">
            <v>2101.6901870000002</v>
          </cell>
          <cell r="S238">
            <v>0</v>
          </cell>
          <cell r="T238">
            <v>0</v>
          </cell>
          <cell r="U238">
            <v>20</v>
          </cell>
          <cell r="V238">
            <v>39.69</v>
          </cell>
          <cell r="W238">
            <v>793.8</v>
          </cell>
          <cell r="X238">
            <v>2.3737599999999999</v>
          </cell>
          <cell r="Y238">
            <v>0</v>
          </cell>
          <cell r="Z238">
            <v>39.69</v>
          </cell>
          <cell r="AA238">
            <v>793.8</v>
          </cell>
        </row>
        <row r="239">
          <cell r="B239" t="str">
            <v>DOT054</v>
          </cell>
          <cell r="C239" t="str">
            <v>TELA ADHESIVA .:. ANTIALERGICA COLOR PIEL 1/2"</v>
          </cell>
          <cell r="D239" t="str">
            <v>Rollo</v>
          </cell>
          <cell r="E239">
            <v>29</v>
          </cell>
          <cell r="F239">
            <v>143.2215067253</v>
          </cell>
          <cell r="H239">
            <v>50</v>
          </cell>
          <cell r="J239">
            <v>399.5</v>
          </cell>
          <cell r="M239">
            <v>0</v>
          </cell>
          <cell r="N239">
            <v>0</v>
          </cell>
          <cell r="P239">
            <v>69</v>
          </cell>
          <cell r="R239">
            <v>462.82150200000001</v>
          </cell>
          <cell r="S239">
            <v>0</v>
          </cell>
          <cell r="T239">
            <v>0</v>
          </cell>
          <cell r="U239">
            <v>10</v>
          </cell>
          <cell r="V239">
            <v>7.99</v>
          </cell>
          <cell r="W239">
            <v>79.900000000000006</v>
          </cell>
          <cell r="X239">
            <v>2.3737599999999999</v>
          </cell>
          <cell r="Y239">
            <v>0</v>
          </cell>
          <cell r="Z239">
            <v>7.99</v>
          </cell>
          <cell r="AA239">
            <v>79.900000000000006</v>
          </cell>
        </row>
        <row r="240">
          <cell r="B240" t="str">
            <v>DOT055</v>
          </cell>
          <cell r="C240" t="str">
            <v>TELA ADHESIVA .:. ANTIALERGICA COLOR PIEL 1 "</v>
          </cell>
          <cell r="D240" t="str">
            <v>Rollo</v>
          </cell>
          <cell r="E240">
            <v>53</v>
          </cell>
          <cell r="F240">
            <v>520.58926976659995</v>
          </cell>
          <cell r="H240">
            <v>20</v>
          </cell>
          <cell r="J240">
            <v>260</v>
          </cell>
          <cell r="M240">
            <v>0</v>
          </cell>
          <cell r="N240">
            <v>0</v>
          </cell>
          <cell r="P240">
            <v>56</v>
          </cell>
          <cell r="R240">
            <v>566.63516200000004</v>
          </cell>
          <cell r="S240">
            <v>0</v>
          </cell>
          <cell r="T240">
            <v>0</v>
          </cell>
          <cell r="U240">
            <v>17</v>
          </cell>
          <cell r="V240">
            <v>12.5852941176</v>
          </cell>
          <cell r="W240">
            <v>213.9499999992</v>
          </cell>
          <cell r="X240">
            <v>2.3737599999999999</v>
          </cell>
          <cell r="Y240">
            <v>0</v>
          </cell>
          <cell r="Z240">
            <v>12.5852941176</v>
          </cell>
          <cell r="AA240">
            <v>213.9499999992</v>
          </cell>
        </row>
        <row r="241">
          <cell r="B241" t="str">
            <v>DOT070</v>
          </cell>
          <cell r="C241" t="str">
            <v>VENDA DE GASA .:. 3" (7.5 CENTIMETROS)</v>
          </cell>
          <cell r="D241" t="str">
            <v>Rollo</v>
          </cell>
          <cell r="E241">
            <v>25</v>
          </cell>
          <cell r="F241">
            <v>137.94647168500001</v>
          </cell>
          <cell r="H241">
            <v>30</v>
          </cell>
          <cell r="J241">
            <v>118.5</v>
          </cell>
          <cell r="M241">
            <v>0</v>
          </cell>
          <cell r="N241">
            <v>0</v>
          </cell>
          <cell r="P241">
            <v>25</v>
          </cell>
          <cell r="R241">
            <v>137.94646299999999</v>
          </cell>
          <cell r="S241">
            <v>0</v>
          </cell>
          <cell r="T241">
            <v>0</v>
          </cell>
          <cell r="U241">
            <v>30</v>
          </cell>
          <cell r="V241">
            <v>3.95</v>
          </cell>
          <cell r="W241">
            <v>118.5</v>
          </cell>
          <cell r="X241">
            <v>2.3737599999999999</v>
          </cell>
          <cell r="Y241">
            <v>0</v>
          </cell>
          <cell r="Z241">
            <v>3.95</v>
          </cell>
          <cell r="AA241">
            <v>118.5</v>
          </cell>
        </row>
        <row r="242">
          <cell r="B242" t="str">
            <v>DOT071</v>
          </cell>
          <cell r="C242" t="str">
            <v>VENDA DE GASA .:. 4" (10 CENTIMETROS)</v>
          </cell>
          <cell r="D242" t="str">
            <v>Rollo</v>
          </cell>
          <cell r="E242">
            <v>35</v>
          </cell>
          <cell r="F242">
            <v>200.971009358</v>
          </cell>
          <cell r="H242">
            <v>245</v>
          </cell>
          <cell r="J242">
            <v>1282.5</v>
          </cell>
          <cell r="M242">
            <v>2</v>
          </cell>
          <cell r="N242">
            <v>11.6</v>
          </cell>
          <cell r="P242">
            <v>158</v>
          </cell>
          <cell r="R242">
            <v>849.35247300000003</v>
          </cell>
          <cell r="S242">
            <v>0</v>
          </cell>
          <cell r="T242">
            <v>0</v>
          </cell>
          <cell r="U242">
            <v>124</v>
          </cell>
          <cell r="V242">
            <v>5.2074193547999998</v>
          </cell>
          <cell r="W242">
            <v>645.71999999520006</v>
          </cell>
          <cell r="X242">
            <v>2.3737599999999999</v>
          </cell>
          <cell r="Y242">
            <v>0</v>
          </cell>
          <cell r="Z242">
            <v>5.2074193547999998</v>
          </cell>
          <cell r="AA242">
            <v>645.71999999520006</v>
          </cell>
        </row>
        <row r="243">
          <cell r="B243" t="str">
            <v>DOT072</v>
          </cell>
          <cell r="C243" t="str">
            <v>VENDA DE GASA .:. 1.5"</v>
          </cell>
          <cell r="D243" t="str">
            <v>Rollo</v>
          </cell>
          <cell r="E243">
            <v>46</v>
          </cell>
          <cell r="F243">
            <v>115.9076233182</v>
          </cell>
          <cell r="H243">
            <v>0</v>
          </cell>
          <cell r="J243">
            <v>0</v>
          </cell>
          <cell r="M243">
            <v>0</v>
          </cell>
          <cell r="N243">
            <v>0</v>
          </cell>
          <cell r="P243">
            <v>27</v>
          </cell>
          <cell r="R243">
            <v>68.032729000000003</v>
          </cell>
          <cell r="S243">
            <v>0</v>
          </cell>
          <cell r="T243">
            <v>0</v>
          </cell>
          <cell r="U243">
            <v>19</v>
          </cell>
          <cell r="V243">
            <v>2.5194736841999998</v>
          </cell>
          <cell r="W243">
            <v>47.869999999800001</v>
          </cell>
          <cell r="X243">
            <v>2.3737599999999999</v>
          </cell>
          <cell r="Y243">
            <v>0</v>
          </cell>
          <cell r="Z243">
            <v>2.5194736841999998</v>
          </cell>
          <cell r="AA243">
            <v>47.869999999800001</v>
          </cell>
        </row>
        <row r="244">
          <cell r="B244" t="str">
            <v>DOT073</v>
          </cell>
          <cell r="C244" t="str">
            <v>VENDA DE GASA .:. 6"</v>
          </cell>
          <cell r="D244" t="str">
            <v>Rollo</v>
          </cell>
          <cell r="E244">
            <v>21</v>
          </cell>
          <cell r="F244">
            <v>191.26802119320001</v>
          </cell>
          <cell r="H244">
            <v>100</v>
          </cell>
          <cell r="J244">
            <v>800</v>
          </cell>
          <cell r="M244">
            <v>0</v>
          </cell>
          <cell r="N244">
            <v>0</v>
          </cell>
          <cell r="P244">
            <v>70</v>
          </cell>
          <cell r="R244">
            <v>583.10702100000003</v>
          </cell>
          <cell r="S244">
            <v>0</v>
          </cell>
          <cell r="T244">
            <v>0</v>
          </cell>
          <cell r="U244">
            <v>51</v>
          </cell>
          <cell r="V244">
            <v>8.0031372549000004</v>
          </cell>
          <cell r="W244">
            <v>408.15999999989998</v>
          </cell>
          <cell r="X244">
            <v>2.3737599999999999</v>
          </cell>
          <cell r="Y244">
            <v>0</v>
          </cell>
          <cell r="Z244">
            <v>8.0031372549000004</v>
          </cell>
          <cell r="AA244">
            <v>408.15999999989998</v>
          </cell>
        </row>
        <row r="245">
          <cell r="B245" t="str">
            <v>DOT074</v>
          </cell>
          <cell r="C245" t="str">
            <v>VENDA DE YESO .:. 6" (15 CENTIMETROS)</v>
          </cell>
          <cell r="D245" t="str">
            <v>Rollo</v>
          </cell>
          <cell r="E245">
            <v>23</v>
          </cell>
          <cell r="F245">
            <v>302.98560355299998</v>
          </cell>
          <cell r="H245">
            <v>50</v>
          </cell>
          <cell r="J245">
            <v>649.5</v>
          </cell>
          <cell r="M245">
            <v>0</v>
          </cell>
          <cell r="N245">
            <v>0</v>
          </cell>
          <cell r="P245">
            <v>48</v>
          </cell>
          <cell r="R245">
            <v>627.73560099999997</v>
          </cell>
          <cell r="S245">
            <v>0</v>
          </cell>
          <cell r="T245">
            <v>0</v>
          </cell>
          <cell r="U245">
            <v>25</v>
          </cell>
          <cell r="V245">
            <v>12.99</v>
          </cell>
          <cell r="W245">
            <v>324.75</v>
          </cell>
          <cell r="X245">
            <v>2.3737599999999999</v>
          </cell>
          <cell r="Y245">
            <v>0</v>
          </cell>
          <cell r="Z245">
            <v>12.99</v>
          </cell>
          <cell r="AA245">
            <v>324.75</v>
          </cell>
        </row>
        <row r="246">
          <cell r="B246" t="str">
            <v>DOT075</v>
          </cell>
          <cell r="C246" t="str">
            <v>VENDA DE YESO .:. 4" (10 CM)</v>
          </cell>
          <cell r="D246" t="str">
            <v>Rollo</v>
          </cell>
          <cell r="E246">
            <v>4</v>
          </cell>
          <cell r="F246">
            <v>40.082543564799998</v>
          </cell>
          <cell r="H246">
            <v>60</v>
          </cell>
          <cell r="J246">
            <v>578</v>
          </cell>
          <cell r="M246">
            <v>0</v>
          </cell>
          <cell r="N246">
            <v>0</v>
          </cell>
          <cell r="P246">
            <v>42</v>
          </cell>
          <cell r="R246">
            <v>409.08254299999999</v>
          </cell>
          <cell r="S246">
            <v>0</v>
          </cell>
          <cell r="T246">
            <v>0</v>
          </cell>
          <cell r="U246">
            <v>22</v>
          </cell>
          <cell r="V246">
            <v>9.5</v>
          </cell>
          <cell r="W246">
            <v>209</v>
          </cell>
          <cell r="X246">
            <v>2.3737599999999999</v>
          </cell>
          <cell r="Y246">
            <v>0</v>
          </cell>
          <cell r="Z246">
            <v>9.5</v>
          </cell>
          <cell r="AA246">
            <v>209</v>
          </cell>
        </row>
        <row r="247">
          <cell r="B247" t="str">
            <v>DOT076</v>
          </cell>
          <cell r="C247" t="str">
            <v>VENDA DE YESO .:. 8" ( 20 CM)</v>
          </cell>
          <cell r="D247" t="str">
            <v>Rollo</v>
          </cell>
          <cell r="E247">
            <v>7</v>
          </cell>
          <cell r="F247">
            <v>161.47218178419999</v>
          </cell>
          <cell r="H247">
            <v>30</v>
          </cell>
          <cell r="J247">
            <v>644</v>
          </cell>
          <cell r="M247">
            <v>0</v>
          </cell>
          <cell r="N247">
            <v>0</v>
          </cell>
          <cell r="P247">
            <v>30</v>
          </cell>
          <cell r="R247">
            <v>657.05327999999997</v>
          </cell>
          <cell r="S247">
            <v>0</v>
          </cell>
          <cell r="T247">
            <v>0</v>
          </cell>
          <cell r="U247">
            <v>7</v>
          </cell>
          <cell r="V247">
            <v>21.202857142900001</v>
          </cell>
          <cell r="W247">
            <v>148.42000000030001</v>
          </cell>
          <cell r="X247">
            <v>2.3737599999999999</v>
          </cell>
          <cell r="Y247">
            <v>0</v>
          </cell>
          <cell r="Z247">
            <v>21.202857142900001</v>
          </cell>
          <cell r="AA247">
            <v>148.42000000030001</v>
          </cell>
        </row>
        <row r="248">
          <cell r="B248" t="str">
            <v>DOT081</v>
          </cell>
          <cell r="C248" t="str">
            <v>VENDA ELASTICA .:. 10 CM</v>
          </cell>
          <cell r="D248" t="str">
            <v>Rollo</v>
          </cell>
          <cell r="E248">
            <v>4</v>
          </cell>
          <cell r="F248">
            <v>28.0052213568</v>
          </cell>
          <cell r="H248">
            <v>88</v>
          </cell>
          <cell r="J248">
            <v>592</v>
          </cell>
          <cell r="M248">
            <v>0</v>
          </cell>
          <cell r="N248">
            <v>0</v>
          </cell>
          <cell r="P248">
            <v>55</v>
          </cell>
          <cell r="R248">
            <v>352.24206199999998</v>
          </cell>
          <cell r="S248">
            <v>0</v>
          </cell>
          <cell r="T248">
            <v>0</v>
          </cell>
          <cell r="U248">
            <v>37</v>
          </cell>
          <cell r="V248">
            <v>7.2367567568000002</v>
          </cell>
          <cell r="W248">
            <v>267.76000000160002</v>
          </cell>
          <cell r="X248">
            <v>2.3737599999999999</v>
          </cell>
          <cell r="Y248">
            <v>0</v>
          </cell>
          <cell r="Z248">
            <v>7.2367567568000002</v>
          </cell>
          <cell r="AA248">
            <v>267.76000000160002</v>
          </cell>
        </row>
        <row r="249">
          <cell r="B249" t="str">
            <v>DOT082</v>
          </cell>
          <cell r="C249" t="str">
            <v>VENDA ELASTICA .:. 15 CM</v>
          </cell>
          <cell r="D249" t="str">
            <v>Rollo</v>
          </cell>
          <cell r="E249">
            <v>2</v>
          </cell>
          <cell r="F249">
            <v>16.126278027000001</v>
          </cell>
          <cell r="H249">
            <v>30</v>
          </cell>
          <cell r="J249">
            <v>266</v>
          </cell>
          <cell r="M249">
            <v>0</v>
          </cell>
          <cell r="N249">
            <v>0</v>
          </cell>
          <cell r="P249">
            <v>15</v>
          </cell>
          <cell r="R249">
            <v>117.526278</v>
          </cell>
          <cell r="S249">
            <v>0</v>
          </cell>
          <cell r="T249">
            <v>0</v>
          </cell>
          <cell r="U249">
            <v>17</v>
          </cell>
          <cell r="V249">
            <v>9.6823529411999996</v>
          </cell>
          <cell r="W249">
            <v>164.6000000004</v>
          </cell>
          <cell r="X249">
            <v>2.3737599999999999</v>
          </cell>
          <cell r="Y249">
            <v>0</v>
          </cell>
          <cell r="Z249">
            <v>9.6823529411999996</v>
          </cell>
          <cell r="AA249">
            <v>164.6000000004</v>
          </cell>
        </row>
        <row r="250">
          <cell r="B250" t="str">
            <v>DPF003</v>
          </cell>
          <cell r="C250" t="str">
            <v>CONDON MASCULINO .:. PIEZA</v>
          </cell>
          <cell r="D250" t="str">
            <v>Sobre estéril</v>
          </cell>
          <cell r="E250">
            <v>316</v>
          </cell>
          <cell r="F250">
            <v>445.98301254680001</v>
          </cell>
          <cell r="H250">
            <v>0</v>
          </cell>
          <cell r="J250">
            <v>0</v>
          </cell>
          <cell r="M250">
            <v>318</v>
          </cell>
          <cell r="N250">
            <v>448.38</v>
          </cell>
          <cell r="P250">
            <v>95</v>
          </cell>
          <cell r="R250">
            <v>133.94999999999999</v>
          </cell>
          <cell r="S250">
            <v>316</v>
          </cell>
          <cell r="T250">
            <v>445.98301199999997</v>
          </cell>
          <cell r="U250">
            <v>223</v>
          </cell>
          <cell r="V250">
            <v>1.41</v>
          </cell>
          <cell r="W250">
            <v>314.43</v>
          </cell>
          <cell r="X250">
            <v>2.3737599999999999</v>
          </cell>
          <cell r="Y250">
            <v>0</v>
          </cell>
          <cell r="Z250">
            <v>1.41</v>
          </cell>
          <cell r="AA250">
            <v>314.43</v>
          </cell>
        </row>
        <row r="251">
          <cell r="B251" t="str">
            <v>DPP001</v>
          </cell>
          <cell r="C251" t="str">
            <v xml:space="preserve">BARBIJO HERMETICO (RESPIRADOR) .:. CON FILTRO  N95 </v>
          </cell>
          <cell r="D251" t="str">
            <v>Pieza</v>
          </cell>
          <cell r="E251">
            <v>235</v>
          </cell>
          <cell r="F251">
            <v>12327.937305105501</v>
          </cell>
          <cell r="H251">
            <v>260</v>
          </cell>
          <cell r="J251">
            <v>13430</v>
          </cell>
          <cell r="M251">
            <v>0</v>
          </cell>
          <cell r="N251">
            <v>0</v>
          </cell>
          <cell r="P251">
            <v>421</v>
          </cell>
          <cell r="R251">
            <v>21719.219528000001</v>
          </cell>
          <cell r="S251">
            <v>0</v>
          </cell>
          <cell r="T251">
            <v>0</v>
          </cell>
          <cell r="U251">
            <v>74</v>
          </cell>
          <cell r="V251">
            <v>54.577297297299999</v>
          </cell>
          <cell r="W251">
            <v>4038.7200000001999</v>
          </cell>
          <cell r="X251">
            <v>2.3737599999999999</v>
          </cell>
          <cell r="Y251">
            <v>0</v>
          </cell>
          <cell r="Z251">
            <v>54.577297297299999</v>
          </cell>
          <cell r="AA251">
            <v>4038.7200000001999</v>
          </cell>
        </row>
        <row r="252">
          <cell r="B252" t="str">
            <v>DPP0011</v>
          </cell>
          <cell r="C252" t="str">
            <v>BARBIJO .:. KN95  TALLA UNICA/CLIP NASAL</v>
          </cell>
          <cell r="D252" t="str">
            <v>Pieza</v>
          </cell>
          <cell r="E252">
            <v>775</v>
          </cell>
          <cell r="F252">
            <v>5613.522089475</v>
          </cell>
          <cell r="H252">
            <v>1450</v>
          </cell>
          <cell r="J252">
            <v>6310</v>
          </cell>
          <cell r="M252">
            <v>0</v>
          </cell>
          <cell r="N252">
            <v>0</v>
          </cell>
          <cell r="P252">
            <v>2103</v>
          </cell>
          <cell r="R252">
            <v>11603.745964</v>
          </cell>
          <cell r="S252">
            <v>0</v>
          </cell>
          <cell r="T252">
            <v>0</v>
          </cell>
          <cell r="U252">
            <v>122</v>
          </cell>
          <cell r="V252">
            <v>2.621147541</v>
          </cell>
          <cell r="W252">
            <v>319.78000000200001</v>
          </cell>
          <cell r="X252">
            <v>2.3737599999999999</v>
          </cell>
          <cell r="Y252">
            <v>0</v>
          </cell>
          <cell r="Z252">
            <v>2.621147541</v>
          </cell>
          <cell r="AA252">
            <v>319.78000000200001</v>
          </cell>
        </row>
        <row r="253">
          <cell r="B253" t="str">
            <v>DPP0012</v>
          </cell>
          <cell r="C253" t="str">
            <v>BARBIJO NO HERMETICO .:. N95  BARBIJO SEGUN NORMA NIOSH</v>
          </cell>
          <cell r="D253" t="str">
            <v>Pieza</v>
          </cell>
          <cell r="E253">
            <v>0</v>
          </cell>
          <cell r="F253">
            <v>0</v>
          </cell>
          <cell r="H253">
            <v>450</v>
          </cell>
          <cell r="J253">
            <v>3375</v>
          </cell>
          <cell r="M253">
            <v>0</v>
          </cell>
          <cell r="N253">
            <v>0</v>
          </cell>
          <cell r="P253">
            <v>263</v>
          </cell>
          <cell r="R253">
            <v>1972.5</v>
          </cell>
          <cell r="S253">
            <v>0</v>
          </cell>
          <cell r="T253">
            <v>0</v>
          </cell>
          <cell r="U253">
            <v>187</v>
          </cell>
          <cell r="V253">
            <v>7.5</v>
          </cell>
          <cell r="W253">
            <v>1402.5</v>
          </cell>
          <cell r="X253">
            <v>2.3737599999999999</v>
          </cell>
          <cell r="Y253">
            <v>0</v>
          </cell>
          <cell r="Z253">
            <v>7.5</v>
          </cell>
          <cell r="AA253">
            <v>1402.5</v>
          </cell>
        </row>
        <row r="254">
          <cell r="B254" t="str">
            <v>DPP003</v>
          </cell>
          <cell r="C254" t="str">
            <v>BARBIJO .:. DESCARTABLE TRIPLE CAPA CON LIGAS</v>
          </cell>
          <cell r="D254" t="str">
            <v>Caja x 50</v>
          </cell>
          <cell r="E254">
            <v>166</v>
          </cell>
          <cell r="F254">
            <v>27718.2415512716</v>
          </cell>
          <cell r="H254">
            <v>380</v>
          </cell>
          <cell r="J254">
            <v>7620</v>
          </cell>
          <cell r="M254">
            <v>0</v>
          </cell>
          <cell r="N254">
            <v>0</v>
          </cell>
          <cell r="P254">
            <v>342</v>
          </cell>
          <cell r="R254">
            <v>31400.906611999999</v>
          </cell>
          <cell r="S254">
            <v>0</v>
          </cell>
          <cell r="T254">
            <v>0</v>
          </cell>
          <cell r="U254">
            <v>204</v>
          </cell>
          <cell r="V254">
            <v>19.3006372549</v>
          </cell>
          <cell r="W254">
            <v>3937.3299999996002</v>
          </cell>
          <cell r="X254">
            <v>2.3737599999999999</v>
          </cell>
          <cell r="Y254">
            <v>0</v>
          </cell>
          <cell r="Z254">
            <v>19.3006372549</v>
          </cell>
          <cell r="AA254">
            <v>3937.3299999996002</v>
          </cell>
        </row>
        <row r="255">
          <cell r="B255" t="str">
            <v>DPP004</v>
          </cell>
          <cell r="C255" t="str">
            <v>BATAS .:. DESCARTABLES CON PUNO DE ALGODON  Y SCRACH PARA FIJAR</v>
          </cell>
          <cell r="D255" t="str">
            <v>Pieza</v>
          </cell>
          <cell r="E255">
            <v>0</v>
          </cell>
          <cell r="F255">
            <v>0</v>
          </cell>
          <cell r="H255">
            <v>100</v>
          </cell>
          <cell r="J255">
            <v>2300</v>
          </cell>
          <cell r="M255">
            <v>0</v>
          </cell>
          <cell r="N255">
            <v>0</v>
          </cell>
          <cell r="P255">
            <v>100</v>
          </cell>
          <cell r="R255">
            <v>2300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2.3737599999999999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DPP005</v>
          </cell>
          <cell r="C256" t="str">
            <v>BOTAS DESCARTABLES .:. PIEZA</v>
          </cell>
          <cell r="D256" t="str">
            <v>Caja x 50 pares</v>
          </cell>
          <cell r="E256">
            <v>2</v>
          </cell>
          <cell r="F256">
            <v>325.79187047300002</v>
          </cell>
          <cell r="H256">
            <v>0</v>
          </cell>
          <cell r="J256">
            <v>0</v>
          </cell>
          <cell r="M256">
            <v>0</v>
          </cell>
          <cell r="N256">
            <v>0</v>
          </cell>
          <cell r="P256">
            <v>2</v>
          </cell>
          <cell r="R256">
            <v>325.79187000000002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2.3737599999999999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DPP0051</v>
          </cell>
          <cell r="C257" t="str">
            <v xml:space="preserve">CUBRE ZAPATOS  .:. </v>
          </cell>
          <cell r="D257" t="str">
            <v>Pieza</v>
          </cell>
          <cell r="E257">
            <v>13804</v>
          </cell>
          <cell r="F257">
            <v>12246.651627338801</v>
          </cell>
          <cell r="H257">
            <v>0</v>
          </cell>
          <cell r="J257">
            <v>0</v>
          </cell>
          <cell r="M257">
            <v>0</v>
          </cell>
          <cell r="N257">
            <v>0</v>
          </cell>
          <cell r="P257">
            <v>2826</v>
          </cell>
          <cell r="R257">
            <v>2507.1745380000002</v>
          </cell>
          <cell r="S257">
            <v>9000</v>
          </cell>
          <cell r="T257">
            <v>7984.6323259999999</v>
          </cell>
          <cell r="U257">
            <v>1978</v>
          </cell>
          <cell r="V257">
            <v>0.88717896870000001</v>
          </cell>
          <cell r="W257">
            <v>1754.8400000885999</v>
          </cell>
          <cell r="X257">
            <v>2.3737599999999999</v>
          </cell>
          <cell r="Y257">
            <v>0</v>
          </cell>
          <cell r="Z257">
            <v>0.88717896870000001</v>
          </cell>
          <cell r="AA257">
            <v>1754.8400000885999</v>
          </cell>
        </row>
        <row r="258">
          <cell r="B258" t="str">
            <v>DPP007</v>
          </cell>
          <cell r="C258" t="str">
            <v>GORRO DESCARTABLE .:. PARA MUJER EN PLATO</v>
          </cell>
          <cell r="D258" t="str">
            <v>Pieza</v>
          </cell>
          <cell r="E258">
            <v>2481</v>
          </cell>
          <cell r="F258">
            <v>1939.0422781425</v>
          </cell>
          <cell r="H258">
            <v>6000</v>
          </cell>
          <cell r="J258">
            <v>3810</v>
          </cell>
          <cell r="M258">
            <v>0</v>
          </cell>
          <cell r="N258">
            <v>0</v>
          </cell>
          <cell r="P258">
            <v>7693</v>
          </cell>
          <cell r="R258">
            <v>5280.5890289999998</v>
          </cell>
          <cell r="S258">
            <v>0</v>
          </cell>
          <cell r="T258">
            <v>0</v>
          </cell>
          <cell r="U258">
            <v>788</v>
          </cell>
          <cell r="V258">
            <v>0.59447969540000001</v>
          </cell>
          <cell r="W258">
            <v>468.4499999752</v>
          </cell>
          <cell r="X258">
            <v>2.3737599999999999</v>
          </cell>
          <cell r="Y258">
            <v>0</v>
          </cell>
          <cell r="Z258">
            <v>0.59447969540000001</v>
          </cell>
          <cell r="AA258">
            <v>468.4499999752</v>
          </cell>
        </row>
        <row r="259">
          <cell r="B259" t="str">
            <v>DPP0082</v>
          </cell>
          <cell r="C259" t="str">
            <v>GUANTES DE NITRILO.:. M .:. MEDIANO</v>
          </cell>
          <cell r="D259" t="str">
            <v>caja por 100</v>
          </cell>
          <cell r="E259">
            <v>263</v>
          </cell>
          <cell r="F259">
            <v>30258.515140731401</v>
          </cell>
          <cell r="H259">
            <v>0</v>
          </cell>
          <cell r="J259">
            <v>0</v>
          </cell>
          <cell r="M259">
            <v>0</v>
          </cell>
          <cell r="N259">
            <v>0</v>
          </cell>
          <cell r="P259">
            <v>165</v>
          </cell>
          <cell r="R259">
            <v>18983.479067</v>
          </cell>
          <cell r="S259">
            <v>0</v>
          </cell>
          <cell r="T259">
            <v>0</v>
          </cell>
          <cell r="U259">
            <v>98</v>
          </cell>
          <cell r="V259">
            <v>115.0514285714</v>
          </cell>
          <cell r="W259">
            <v>11275.0399999972</v>
          </cell>
          <cell r="X259">
            <v>2.3737599999999999</v>
          </cell>
          <cell r="Y259">
            <v>0</v>
          </cell>
          <cell r="Z259">
            <v>115.0514285714</v>
          </cell>
          <cell r="AA259">
            <v>11275.0399999972</v>
          </cell>
        </row>
        <row r="260">
          <cell r="B260" t="str">
            <v>DPP011</v>
          </cell>
          <cell r="C260" t="str">
            <v>GUANTES DESCARTABLES .:. DE LATEX TALLA S</v>
          </cell>
          <cell r="D260" t="str">
            <v>Caja x 100</v>
          </cell>
          <cell r="E260">
            <v>110</v>
          </cell>
          <cell r="F260">
            <v>6140.7492429690001</v>
          </cell>
          <cell r="H260">
            <v>120</v>
          </cell>
          <cell r="J260">
            <v>8280</v>
          </cell>
          <cell r="M260">
            <v>0</v>
          </cell>
          <cell r="N260">
            <v>0</v>
          </cell>
          <cell r="P260">
            <v>141</v>
          </cell>
          <cell r="R260">
            <v>8279.7492320000001</v>
          </cell>
          <cell r="S260">
            <v>0</v>
          </cell>
          <cell r="T260">
            <v>0</v>
          </cell>
          <cell r="U260">
            <v>89</v>
          </cell>
          <cell r="V260">
            <v>69</v>
          </cell>
          <cell r="W260">
            <v>6141</v>
          </cell>
          <cell r="X260">
            <v>2.3737599999999999</v>
          </cell>
          <cell r="Y260">
            <v>0</v>
          </cell>
          <cell r="Z260">
            <v>69</v>
          </cell>
          <cell r="AA260">
            <v>6141</v>
          </cell>
        </row>
        <row r="261">
          <cell r="B261" t="str">
            <v>DPP012</v>
          </cell>
          <cell r="C261" t="str">
            <v>GUANTES DESCARTABLES .:. DE LATEX TALLA M</v>
          </cell>
          <cell r="D261" t="str">
            <v>Caja x 100</v>
          </cell>
          <cell r="E261">
            <v>85</v>
          </cell>
          <cell r="F261">
            <v>5039.0760335815003</v>
          </cell>
          <cell r="H261">
            <v>200</v>
          </cell>
          <cell r="J261">
            <v>13200</v>
          </cell>
          <cell r="M261">
            <v>0</v>
          </cell>
          <cell r="N261">
            <v>0</v>
          </cell>
          <cell r="P261">
            <v>210</v>
          </cell>
          <cell r="R261">
            <v>13208.853569000001</v>
          </cell>
          <cell r="S261">
            <v>0</v>
          </cell>
          <cell r="T261">
            <v>0</v>
          </cell>
          <cell r="U261">
            <v>75</v>
          </cell>
          <cell r="V261">
            <v>67.069599999999994</v>
          </cell>
          <cell r="W261">
            <v>5030.22</v>
          </cell>
          <cell r="X261">
            <v>2.3737599999999999</v>
          </cell>
          <cell r="Y261">
            <v>0</v>
          </cell>
          <cell r="Z261">
            <v>67.069599999999994</v>
          </cell>
          <cell r="AA261">
            <v>5030.22</v>
          </cell>
        </row>
        <row r="262">
          <cell r="B262" t="str">
            <v>DPP014</v>
          </cell>
          <cell r="C262" t="str">
            <v>GUANTES DESCARTABLES .:. DE LATEX TALLA "XS"</v>
          </cell>
          <cell r="D262" t="str">
            <v>Caja x 100</v>
          </cell>
          <cell r="E262">
            <v>13</v>
          </cell>
          <cell r="F262">
            <v>419.04520601190001</v>
          </cell>
          <cell r="H262">
            <v>20</v>
          </cell>
          <cell r="J262">
            <v>1380</v>
          </cell>
          <cell r="M262">
            <v>0</v>
          </cell>
          <cell r="N262">
            <v>0</v>
          </cell>
          <cell r="P262">
            <v>18</v>
          </cell>
          <cell r="R262">
            <v>764.04520300000001</v>
          </cell>
          <cell r="S262">
            <v>0</v>
          </cell>
          <cell r="T262">
            <v>0</v>
          </cell>
          <cell r="U262">
            <v>15</v>
          </cell>
          <cell r="V262">
            <v>69</v>
          </cell>
          <cell r="W262">
            <v>1035</v>
          </cell>
          <cell r="X262">
            <v>2.3737599999999999</v>
          </cell>
          <cell r="Y262">
            <v>0</v>
          </cell>
          <cell r="Z262">
            <v>69</v>
          </cell>
          <cell r="AA262">
            <v>1035</v>
          </cell>
        </row>
        <row r="263">
          <cell r="B263" t="str">
            <v>DPP015</v>
          </cell>
          <cell r="C263" t="str">
            <v>LENTES DE PROTECCION .:. TRANSPARENTE</v>
          </cell>
          <cell r="D263" t="str">
            <v>Pieza</v>
          </cell>
          <cell r="E263">
            <v>68</v>
          </cell>
          <cell r="F263">
            <v>3136.4925241888</v>
          </cell>
          <cell r="H263">
            <v>0</v>
          </cell>
          <cell r="J263">
            <v>0</v>
          </cell>
          <cell r="M263">
            <v>0</v>
          </cell>
          <cell r="N263">
            <v>0</v>
          </cell>
          <cell r="P263">
            <v>37</v>
          </cell>
          <cell r="R263">
            <v>1706.62093</v>
          </cell>
          <cell r="S263">
            <v>0</v>
          </cell>
          <cell r="T263">
            <v>0</v>
          </cell>
          <cell r="U263">
            <v>31</v>
          </cell>
          <cell r="V263">
            <v>46.124838709700001</v>
          </cell>
          <cell r="W263">
            <v>1429.8700000007</v>
          </cell>
          <cell r="X263">
            <v>2.3737599999999999</v>
          </cell>
          <cell r="Y263">
            <v>0</v>
          </cell>
          <cell r="Z263">
            <v>46.124838709700001</v>
          </cell>
          <cell r="AA263">
            <v>1429.8700000007</v>
          </cell>
        </row>
        <row r="264">
          <cell r="B264" t="str">
            <v>DSC012</v>
          </cell>
          <cell r="C264" t="str">
            <v>SUTURA  CAT GUT CROMADO .:. N° 0 C/AGUJA  4 CM. 1/2 CIRC.</v>
          </cell>
          <cell r="D264" t="str">
            <v>Sobre estéril</v>
          </cell>
          <cell r="E264">
            <v>62</v>
          </cell>
          <cell r="F264">
            <v>865.32005048359997</v>
          </cell>
          <cell r="H264">
            <v>0</v>
          </cell>
          <cell r="J264">
            <v>0</v>
          </cell>
          <cell r="M264">
            <v>0</v>
          </cell>
          <cell r="N264">
            <v>0</v>
          </cell>
          <cell r="P264">
            <v>4</v>
          </cell>
          <cell r="R264">
            <v>55.827100000000002</v>
          </cell>
          <cell r="S264">
            <v>0</v>
          </cell>
          <cell r="T264">
            <v>0</v>
          </cell>
          <cell r="U264">
            <v>58</v>
          </cell>
          <cell r="V264">
            <v>13.9567241379</v>
          </cell>
          <cell r="W264">
            <v>809.48999999820001</v>
          </cell>
          <cell r="X264">
            <v>2.3737599999999999</v>
          </cell>
          <cell r="Y264">
            <v>0</v>
          </cell>
          <cell r="Z264">
            <v>13.9567241379</v>
          </cell>
          <cell r="AA264">
            <v>809.48999999820001</v>
          </cell>
        </row>
        <row r="265">
          <cell r="B265" t="str">
            <v>DSC013</v>
          </cell>
          <cell r="C265" t="str">
            <v>SUTURA  CAT GUT CROMADO .:. N° 1 C/AGUJA  4.8 CM 1/2 CIRC.</v>
          </cell>
          <cell r="D265" t="str">
            <v>Sobre estéril</v>
          </cell>
          <cell r="E265">
            <v>30</v>
          </cell>
          <cell r="F265">
            <v>413.64281077200002</v>
          </cell>
          <cell r="H265">
            <v>0</v>
          </cell>
          <cell r="J265">
            <v>0</v>
          </cell>
          <cell r="M265">
            <v>0</v>
          </cell>
          <cell r="N265">
            <v>0</v>
          </cell>
          <cell r="P265">
            <v>17</v>
          </cell>
          <cell r="R265">
            <v>234.39758599999999</v>
          </cell>
          <cell r="S265">
            <v>0</v>
          </cell>
          <cell r="T265">
            <v>0</v>
          </cell>
          <cell r="U265">
            <v>13</v>
          </cell>
          <cell r="V265">
            <v>13.7884615385</v>
          </cell>
          <cell r="W265">
            <v>179.25000000049999</v>
          </cell>
          <cell r="X265">
            <v>2.3737599999999999</v>
          </cell>
          <cell r="Y265">
            <v>0</v>
          </cell>
          <cell r="Z265">
            <v>13.7884615385</v>
          </cell>
          <cell r="AA265">
            <v>179.25000000049999</v>
          </cell>
        </row>
        <row r="266">
          <cell r="B266" t="str">
            <v>DSC014</v>
          </cell>
          <cell r="C266" t="str">
            <v>SUTURA CAT GUT CROMADO .:. N° 2/0 C/AGUJA 2.6 CM 1/2 CIRC.</v>
          </cell>
          <cell r="D266" t="str">
            <v>Sobre estéril</v>
          </cell>
          <cell r="E266">
            <v>11</v>
          </cell>
          <cell r="F266">
            <v>137.0614917661</v>
          </cell>
          <cell r="H266">
            <v>0</v>
          </cell>
          <cell r="J266">
            <v>0</v>
          </cell>
          <cell r="M266">
            <v>0</v>
          </cell>
          <cell r="N266">
            <v>0</v>
          </cell>
          <cell r="P266">
            <v>11</v>
          </cell>
          <cell r="R266">
            <v>137.06148899999999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2.3737599999999999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DSC020</v>
          </cell>
          <cell r="C267" t="str">
            <v>SUTURA CAT GUT SIMPLE .:. N° 1C/AGUJA  4.8 CM. 1/2 CIRC.</v>
          </cell>
          <cell r="D267" t="str">
            <v>Sobre estéril</v>
          </cell>
          <cell r="E267">
            <v>82</v>
          </cell>
          <cell r="F267">
            <v>1292.2460500794</v>
          </cell>
          <cell r="H267">
            <v>0</v>
          </cell>
          <cell r="J267">
            <v>0</v>
          </cell>
          <cell r="M267">
            <v>0</v>
          </cell>
          <cell r="N267">
            <v>0</v>
          </cell>
          <cell r="P267">
            <v>56</v>
          </cell>
          <cell r="R267">
            <v>882.50948800000003</v>
          </cell>
          <cell r="S267">
            <v>0</v>
          </cell>
          <cell r="T267">
            <v>0</v>
          </cell>
          <cell r="U267">
            <v>26</v>
          </cell>
          <cell r="V267">
            <v>15.7592307692</v>
          </cell>
          <cell r="W267">
            <v>409.73999999919999</v>
          </cell>
          <cell r="X267">
            <v>2.3737599999999999</v>
          </cell>
          <cell r="Y267">
            <v>0</v>
          </cell>
          <cell r="Z267">
            <v>15.7592307692</v>
          </cell>
          <cell r="AA267">
            <v>409.73999999919999</v>
          </cell>
        </row>
        <row r="268">
          <cell r="B268" t="str">
            <v>DSC021</v>
          </cell>
          <cell r="C268" t="str">
            <v>SUTURA CAT GUT SIMPLE .:. N° 2/0 C/AGUJA 1.7 CM. 3/8 DE CIRC.</v>
          </cell>
          <cell r="D268" t="str">
            <v>Sobre estéril</v>
          </cell>
          <cell r="E268">
            <v>90</v>
          </cell>
          <cell r="F268">
            <v>1605.525214365</v>
          </cell>
          <cell r="H268">
            <v>0</v>
          </cell>
          <cell r="J268">
            <v>0</v>
          </cell>
          <cell r="M268">
            <v>0</v>
          </cell>
          <cell r="N268">
            <v>0</v>
          </cell>
          <cell r="P268">
            <v>5</v>
          </cell>
          <cell r="R268">
            <v>89.195845000000006</v>
          </cell>
          <cell r="S268">
            <v>0</v>
          </cell>
          <cell r="T268">
            <v>0</v>
          </cell>
          <cell r="U268">
            <v>85</v>
          </cell>
          <cell r="V268">
            <v>17.839176470599998</v>
          </cell>
          <cell r="W268">
            <v>1516.3300000009999</v>
          </cell>
          <cell r="X268">
            <v>2.3737599999999999</v>
          </cell>
          <cell r="Y268">
            <v>0</v>
          </cell>
          <cell r="Z268">
            <v>17.839176470599998</v>
          </cell>
          <cell r="AA268">
            <v>1516.3300000009999</v>
          </cell>
        </row>
        <row r="269">
          <cell r="B269" t="str">
            <v>DSC023</v>
          </cell>
          <cell r="C269" t="str">
            <v>SUTURA CAT GUT SIMPLE .:. N° 3/0 C/AGUJA 2.5 CM. 1/2 CIRC.</v>
          </cell>
          <cell r="D269" t="str">
            <v>Sobre estéril</v>
          </cell>
          <cell r="E269">
            <v>43</v>
          </cell>
          <cell r="F269">
            <v>662.73805009039995</v>
          </cell>
          <cell r="H269">
            <v>0</v>
          </cell>
          <cell r="J269">
            <v>0</v>
          </cell>
          <cell r="M269">
            <v>0</v>
          </cell>
          <cell r="N269">
            <v>0</v>
          </cell>
          <cell r="P269">
            <v>11</v>
          </cell>
          <cell r="R269">
            <v>169.537634</v>
          </cell>
          <cell r="S269">
            <v>0</v>
          </cell>
          <cell r="T269">
            <v>0</v>
          </cell>
          <cell r="U269">
            <v>32</v>
          </cell>
          <cell r="V269">
            <v>15.4125</v>
          </cell>
          <cell r="W269">
            <v>493.2</v>
          </cell>
          <cell r="X269">
            <v>2.3737599999999999</v>
          </cell>
          <cell r="Y269">
            <v>0</v>
          </cell>
          <cell r="Z269">
            <v>15.4125</v>
          </cell>
          <cell r="AA269">
            <v>493.2</v>
          </cell>
        </row>
        <row r="270">
          <cell r="B270" t="str">
            <v>DSC024</v>
          </cell>
          <cell r="C270" t="str">
            <v>SUTURA CAT GUT SIMPLE .:. N° 4/0 C/AGUJA 2.0 CM. 1/2 CIRC.</v>
          </cell>
          <cell r="D270" t="str">
            <v>Sobre estéril</v>
          </cell>
          <cell r="E270">
            <v>29</v>
          </cell>
          <cell r="F270">
            <v>620.66402532999996</v>
          </cell>
          <cell r="H270">
            <v>0</v>
          </cell>
          <cell r="J270">
            <v>0</v>
          </cell>
          <cell r="M270">
            <v>0</v>
          </cell>
          <cell r="N270">
            <v>0</v>
          </cell>
          <cell r="P270">
            <v>2</v>
          </cell>
          <cell r="R270">
            <v>42.804414000000001</v>
          </cell>
          <cell r="S270">
            <v>0</v>
          </cell>
          <cell r="T270">
            <v>0</v>
          </cell>
          <cell r="U270">
            <v>27</v>
          </cell>
          <cell r="V270">
            <v>21.402222222199999</v>
          </cell>
          <cell r="W270">
            <v>577.85999999939997</v>
          </cell>
          <cell r="X270">
            <v>2.3737599999999999</v>
          </cell>
          <cell r="Y270">
            <v>0</v>
          </cell>
          <cell r="Z270">
            <v>21.402222222199999</v>
          </cell>
          <cell r="AA270">
            <v>577.85999999939997</v>
          </cell>
        </row>
        <row r="271">
          <cell r="B271" t="str">
            <v>DSC025</v>
          </cell>
          <cell r="C271" t="str">
            <v>SUTURA CAT GUT SIMPLE .:. N° 5/0 C/AGUJA 1.5 CM. 1/2 CIRC.</v>
          </cell>
          <cell r="D271" t="str">
            <v>Sobre estéril</v>
          </cell>
          <cell r="E271">
            <v>94</v>
          </cell>
          <cell r="F271">
            <v>2362.9041577841999</v>
          </cell>
          <cell r="H271">
            <v>0</v>
          </cell>
          <cell r="J271">
            <v>0</v>
          </cell>
          <cell r="M271">
            <v>0</v>
          </cell>
          <cell r="N271">
            <v>0</v>
          </cell>
          <cell r="P271">
            <v>0</v>
          </cell>
          <cell r="R271">
            <v>0</v>
          </cell>
          <cell r="S271">
            <v>28</v>
          </cell>
          <cell r="T271">
            <v>703.84379100000001</v>
          </cell>
          <cell r="U271">
            <v>66</v>
          </cell>
          <cell r="V271">
            <v>25.137272727300001</v>
          </cell>
          <cell r="W271">
            <v>1659.0600000018001</v>
          </cell>
          <cell r="X271">
            <v>2.3737599999999999</v>
          </cell>
          <cell r="Y271">
            <v>0</v>
          </cell>
          <cell r="Z271">
            <v>25.137272727300001</v>
          </cell>
          <cell r="AA271">
            <v>1659.0600000018001</v>
          </cell>
        </row>
        <row r="272">
          <cell r="B272" t="str">
            <v>DSC029</v>
          </cell>
          <cell r="C272" t="str">
            <v>SUTURA DE SEDA  .:. N° 3/0 C/AGUJA 2.5 1/2 CIRC.</v>
          </cell>
          <cell r="D272" t="str">
            <v>Sobre estéril</v>
          </cell>
          <cell r="E272">
            <v>0</v>
          </cell>
          <cell r="F272">
            <v>0</v>
          </cell>
          <cell r="H272">
            <v>30</v>
          </cell>
          <cell r="J272">
            <v>150</v>
          </cell>
          <cell r="M272">
            <v>0</v>
          </cell>
          <cell r="N272">
            <v>0</v>
          </cell>
          <cell r="P272">
            <v>30</v>
          </cell>
          <cell r="R272">
            <v>150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2.3737599999999999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DSC041</v>
          </cell>
          <cell r="C273" t="str">
            <v>SUTURA NYLON .:. N° 1 C/AGUJA 4.0 CM. CUTICULAR</v>
          </cell>
          <cell r="D273" t="str">
            <v>Sobre estéril</v>
          </cell>
          <cell r="E273">
            <v>94</v>
          </cell>
          <cell r="F273">
            <v>876.67644414699998</v>
          </cell>
          <cell r="H273">
            <v>0</v>
          </cell>
          <cell r="J273">
            <v>0</v>
          </cell>
          <cell r="M273">
            <v>0</v>
          </cell>
          <cell r="N273">
            <v>0</v>
          </cell>
          <cell r="P273">
            <v>5</v>
          </cell>
          <cell r="R273">
            <v>46.631725000000003</v>
          </cell>
          <cell r="S273">
            <v>0</v>
          </cell>
          <cell r="T273">
            <v>0</v>
          </cell>
          <cell r="U273">
            <v>89</v>
          </cell>
          <cell r="V273">
            <v>9.3262921347999992</v>
          </cell>
          <cell r="W273">
            <v>830.03999999719997</v>
          </cell>
          <cell r="X273">
            <v>2.3737599999999999</v>
          </cell>
          <cell r="Y273">
            <v>0</v>
          </cell>
          <cell r="Z273">
            <v>9.3262921347999992</v>
          </cell>
          <cell r="AA273">
            <v>830.03999999719997</v>
          </cell>
        </row>
        <row r="274">
          <cell r="B274" t="str">
            <v>DSC042</v>
          </cell>
          <cell r="C274" t="str">
            <v>SUTURA NYLON .:. N° 2/0 C/AGUJA 3 CM. CUTICULAR</v>
          </cell>
          <cell r="D274" t="str">
            <v>Sobre estéril</v>
          </cell>
          <cell r="E274">
            <v>35</v>
          </cell>
          <cell r="F274">
            <v>343.82252368799999</v>
          </cell>
          <cell r="H274">
            <v>50</v>
          </cell>
          <cell r="J274">
            <v>423</v>
          </cell>
          <cell r="M274">
            <v>5</v>
          </cell>
          <cell r="N274">
            <v>42.917304999999999</v>
          </cell>
          <cell r="P274">
            <v>54</v>
          </cell>
          <cell r="R274">
            <v>504.413005</v>
          </cell>
          <cell r="S274">
            <v>0</v>
          </cell>
          <cell r="T274">
            <v>0</v>
          </cell>
          <cell r="U274">
            <v>36</v>
          </cell>
          <cell r="V274">
            <v>8.4813888888999998</v>
          </cell>
          <cell r="W274">
            <v>305.33000000039999</v>
          </cell>
          <cell r="X274">
            <v>2.3737599999999999</v>
          </cell>
          <cell r="Y274">
            <v>0</v>
          </cell>
          <cell r="Z274">
            <v>8.4813888888999998</v>
          </cell>
          <cell r="AA274">
            <v>305.33000000039999</v>
          </cell>
        </row>
        <row r="275">
          <cell r="B275" t="str">
            <v>DSC043</v>
          </cell>
          <cell r="C275" t="str">
            <v>SUTURA NYLON .:. N° 3/0 C/AGUJA 2.5 CM CUTICULAR</v>
          </cell>
          <cell r="D275" t="str">
            <v>Sobre estéril</v>
          </cell>
          <cell r="E275">
            <v>46</v>
          </cell>
          <cell r="F275">
            <v>626.29476468459995</v>
          </cell>
          <cell r="H275">
            <v>230</v>
          </cell>
          <cell r="J275">
            <v>1587</v>
          </cell>
          <cell r="M275">
            <v>0</v>
          </cell>
          <cell r="N275">
            <v>0</v>
          </cell>
          <cell r="P275">
            <v>215</v>
          </cell>
          <cell r="R275">
            <v>1700.8947470000001</v>
          </cell>
          <cell r="S275">
            <v>0</v>
          </cell>
          <cell r="T275">
            <v>0</v>
          </cell>
          <cell r="U275">
            <v>61</v>
          </cell>
          <cell r="V275">
            <v>8.4</v>
          </cell>
          <cell r="W275">
            <v>512.4</v>
          </cell>
          <cell r="X275">
            <v>2.3737599999999999</v>
          </cell>
          <cell r="Y275">
            <v>0</v>
          </cell>
          <cell r="Z275">
            <v>8.4</v>
          </cell>
          <cell r="AA275">
            <v>512.4</v>
          </cell>
        </row>
        <row r="276">
          <cell r="B276" t="str">
            <v>DSC044</v>
          </cell>
          <cell r="C276" t="str">
            <v>SUTURA NYLON .:. N° 4/0 C/AGUJA 2 CM. CUTICULAR</v>
          </cell>
          <cell r="D276" t="str">
            <v>Sobre estéril</v>
          </cell>
          <cell r="E276">
            <v>14</v>
          </cell>
          <cell r="F276">
            <v>87.485058295599998</v>
          </cell>
          <cell r="H276">
            <v>0</v>
          </cell>
          <cell r="J276">
            <v>0</v>
          </cell>
          <cell r="M276">
            <v>0</v>
          </cell>
          <cell r="N276">
            <v>0</v>
          </cell>
          <cell r="P276">
            <v>14</v>
          </cell>
          <cell r="R276">
            <v>87.485052999999994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2.3737599999999999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DSC045</v>
          </cell>
          <cell r="C277" t="str">
            <v>SUTURA NYLON .:. N° 5/0 C/AGUJA 1.5 CM CUTICULAR</v>
          </cell>
          <cell r="D277" t="str">
            <v>Sobre estéril</v>
          </cell>
          <cell r="E277">
            <v>48</v>
          </cell>
          <cell r="F277">
            <v>623.18243429760003</v>
          </cell>
          <cell r="H277">
            <v>0</v>
          </cell>
          <cell r="J277">
            <v>0</v>
          </cell>
          <cell r="M277">
            <v>0</v>
          </cell>
          <cell r="N277">
            <v>0</v>
          </cell>
          <cell r="P277">
            <v>13</v>
          </cell>
          <cell r="R277">
            <v>168.778572</v>
          </cell>
          <cell r="S277">
            <v>0</v>
          </cell>
          <cell r="T277">
            <v>0</v>
          </cell>
          <cell r="U277">
            <v>35</v>
          </cell>
          <cell r="V277">
            <v>12.9828571429</v>
          </cell>
          <cell r="W277">
            <v>454.40000000150002</v>
          </cell>
          <cell r="X277">
            <v>2.3737599999999999</v>
          </cell>
          <cell r="Y277">
            <v>0</v>
          </cell>
          <cell r="Z277">
            <v>12.9828571429</v>
          </cell>
          <cell r="AA277">
            <v>454.40000000150002</v>
          </cell>
        </row>
        <row r="278">
          <cell r="B278" t="str">
            <v>DSC054</v>
          </cell>
          <cell r="C278" t="str">
            <v>SUTURA POLIGLACTINA 910 .:. RECUBIERTA CON ESTEARATO DE CALCIO  N°1 C/AGUJA 4 CM. 1/2 CIRC.</v>
          </cell>
          <cell r="D278" t="str">
            <v>Sobre estéril</v>
          </cell>
          <cell r="E278">
            <v>195</v>
          </cell>
          <cell r="F278">
            <v>4485.8806841940004</v>
          </cell>
          <cell r="H278">
            <v>26</v>
          </cell>
          <cell r="J278">
            <v>546</v>
          </cell>
          <cell r="M278">
            <v>0</v>
          </cell>
          <cell r="N278">
            <v>0</v>
          </cell>
          <cell r="P278">
            <v>176</v>
          </cell>
          <cell r="R278">
            <v>4038.557476</v>
          </cell>
          <cell r="S278">
            <v>0</v>
          </cell>
          <cell r="T278">
            <v>0</v>
          </cell>
          <cell r="U278">
            <v>45</v>
          </cell>
          <cell r="V278">
            <v>22.0737777778</v>
          </cell>
          <cell r="W278">
            <v>993.32000000100004</v>
          </cell>
          <cell r="X278">
            <v>2.3737599999999999</v>
          </cell>
          <cell r="Y278">
            <v>0</v>
          </cell>
          <cell r="Z278">
            <v>22.0737777778</v>
          </cell>
          <cell r="AA278">
            <v>993.32000000100004</v>
          </cell>
        </row>
        <row r="279">
          <cell r="B279" t="str">
            <v>DSC056</v>
          </cell>
          <cell r="C279" t="str">
            <v>SUTURA POLIGLACTINA 910 .:. RECUBIERTA CON ESTEARATO DE CALCIO  N°3/ 0 C/AGUJA 2.5 CM. 1/2 CIRC.</v>
          </cell>
          <cell r="D279" t="str">
            <v>Sobre estéril</v>
          </cell>
          <cell r="E279">
            <v>113</v>
          </cell>
          <cell r="F279">
            <v>2109.3865263582002</v>
          </cell>
          <cell r="H279">
            <v>0</v>
          </cell>
          <cell r="J279">
            <v>0</v>
          </cell>
          <cell r="M279">
            <v>0</v>
          </cell>
          <cell r="N279">
            <v>0</v>
          </cell>
          <cell r="P279">
            <v>74</v>
          </cell>
          <cell r="R279">
            <v>1381.368144</v>
          </cell>
          <cell r="S279">
            <v>0</v>
          </cell>
          <cell r="T279">
            <v>0</v>
          </cell>
          <cell r="U279">
            <v>39</v>
          </cell>
          <cell r="V279">
            <v>18.667179487199999</v>
          </cell>
          <cell r="W279">
            <v>728.0200000008</v>
          </cell>
          <cell r="X279">
            <v>2.3737599999999999</v>
          </cell>
          <cell r="Y279">
            <v>0</v>
          </cell>
          <cell r="Z279">
            <v>18.667179487199999</v>
          </cell>
          <cell r="AA279">
            <v>728.0200000008</v>
          </cell>
        </row>
        <row r="280">
          <cell r="B280" t="str">
            <v>DSC057</v>
          </cell>
          <cell r="C280" t="str">
            <v>SUTURA POLIGLACTINA 910 .:. RECUBIERTA CON ESTEARATO DE CALCIO  N° 4/0 C/AGUJA 1.5 CM. 1/2 CIRC.</v>
          </cell>
          <cell r="D280" t="str">
            <v>Sobre estéril</v>
          </cell>
          <cell r="E280">
            <v>27</v>
          </cell>
          <cell r="F280">
            <v>563.2214677119</v>
          </cell>
          <cell r="H280">
            <v>0</v>
          </cell>
          <cell r="J280">
            <v>0</v>
          </cell>
          <cell r="M280">
            <v>0</v>
          </cell>
          <cell r="N280">
            <v>0</v>
          </cell>
          <cell r="P280">
            <v>7</v>
          </cell>
          <cell r="R280">
            <v>146.02037899999999</v>
          </cell>
          <cell r="S280">
            <v>0</v>
          </cell>
          <cell r="T280">
            <v>0</v>
          </cell>
          <cell r="U280">
            <v>20</v>
          </cell>
          <cell r="V280">
            <v>20.86</v>
          </cell>
          <cell r="W280">
            <v>417.2</v>
          </cell>
          <cell r="X280">
            <v>2.3737599999999999</v>
          </cell>
          <cell r="Y280">
            <v>0</v>
          </cell>
          <cell r="Z280">
            <v>20.86</v>
          </cell>
          <cell r="AA280">
            <v>417.2</v>
          </cell>
        </row>
        <row r="281">
          <cell r="B281" t="str">
            <v>DSD015</v>
          </cell>
          <cell r="C281" t="str">
            <v>SONDA DE ASPIRACION .:. CON SISTEMA DE CONTROL DE FLUJO N°14</v>
          </cell>
          <cell r="D281" t="str">
            <v>Sobre estéril</v>
          </cell>
          <cell r="E281">
            <v>0</v>
          </cell>
          <cell r="F281">
            <v>0</v>
          </cell>
          <cell r="H281">
            <v>45</v>
          </cell>
          <cell r="J281">
            <v>101.25</v>
          </cell>
          <cell r="M281">
            <v>0</v>
          </cell>
          <cell r="N281">
            <v>0</v>
          </cell>
          <cell r="P281">
            <v>45</v>
          </cell>
          <cell r="R281">
            <v>101.25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2.3737599999999999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DSD016</v>
          </cell>
          <cell r="C282" t="str">
            <v>SONDA DE ASPIRACION .:. CON SISTEMA DE CONTROL DE FLUJO N°16</v>
          </cell>
          <cell r="D282" t="str">
            <v>Sobre estéril</v>
          </cell>
          <cell r="E282">
            <v>30</v>
          </cell>
          <cell r="F282">
            <v>105</v>
          </cell>
          <cell r="H282">
            <v>60</v>
          </cell>
          <cell r="J282">
            <v>166</v>
          </cell>
          <cell r="M282">
            <v>0</v>
          </cell>
          <cell r="N282">
            <v>0</v>
          </cell>
          <cell r="P282">
            <v>90</v>
          </cell>
          <cell r="R282">
            <v>270.99999100000002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2.3737599999999999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DSD025</v>
          </cell>
          <cell r="C283" t="str">
            <v>SONDA FOLEY .:. SILICONIZADA 2 VIAS N° 14 CON PICO LUER</v>
          </cell>
          <cell r="D283" t="str">
            <v>Sobre estéril</v>
          </cell>
          <cell r="E283">
            <v>15</v>
          </cell>
          <cell r="F283">
            <v>128.71822916400001</v>
          </cell>
          <cell r="H283">
            <v>0</v>
          </cell>
          <cell r="J283">
            <v>0</v>
          </cell>
          <cell r="M283">
            <v>0</v>
          </cell>
          <cell r="N283">
            <v>0</v>
          </cell>
          <cell r="P283">
            <v>6</v>
          </cell>
          <cell r="R283">
            <v>51.487290000000002</v>
          </cell>
          <cell r="S283">
            <v>0</v>
          </cell>
          <cell r="T283">
            <v>0</v>
          </cell>
          <cell r="U283">
            <v>9</v>
          </cell>
          <cell r="V283">
            <v>8.5811111111000002</v>
          </cell>
          <cell r="W283">
            <v>77.229999999900002</v>
          </cell>
          <cell r="X283">
            <v>2.3737599999999999</v>
          </cell>
          <cell r="Y283">
            <v>0</v>
          </cell>
          <cell r="Z283">
            <v>8.5811111111000002</v>
          </cell>
          <cell r="AA283">
            <v>77.229999999900002</v>
          </cell>
        </row>
        <row r="284">
          <cell r="B284" t="str">
            <v>DSD026</v>
          </cell>
          <cell r="C284" t="str">
            <v>SONDA FOLEY .:. SILICONIZADA 2 VÍAS N° 16 CON PICO LUER</v>
          </cell>
          <cell r="D284" t="str">
            <v>Sobre estéril</v>
          </cell>
          <cell r="E284">
            <v>49</v>
          </cell>
          <cell r="F284">
            <v>414.60793941629998</v>
          </cell>
          <cell r="H284">
            <v>40</v>
          </cell>
          <cell r="J284">
            <v>279.60000000000002</v>
          </cell>
          <cell r="M284">
            <v>0</v>
          </cell>
          <cell r="N284">
            <v>0</v>
          </cell>
          <cell r="P284">
            <v>56</v>
          </cell>
          <cell r="R284">
            <v>463.537915</v>
          </cell>
          <cell r="S284">
            <v>0</v>
          </cell>
          <cell r="T284">
            <v>0</v>
          </cell>
          <cell r="U284">
            <v>33</v>
          </cell>
          <cell r="V284">
            <v>6.99</v>
          </cell>
          <cell r="W284">
            <v>230.67</v>
          </cell>
          <cell r="X284">
            <v>2.3737599999999999</v>
          </cell>
          <cell r="Y284">
            <v>0</v>
          </cell>
          <cell r="Z284">
            <v>6.99</v>
          </cell>
          <cell r="AA284">
            <v>230.67</v>
          </cell>
        </row>
        <row r="285">
          <cell r="B285" t="str">
            <v>DSD027</v>
          </cell>
          <cell r="C285" t="str">
            <v>SONDA FOLEY .:. SILICONIZADA 2 VIAS N° 18 CON PICO LUER</v>
          </cell>
          <cell r="D285" t="str">
            <v>Sobre estéril</v>
          </cell>
          <cell r="E285">
            <v>25</v>
          </cell>
          <cell r="F285">
            <v>216.86892855249999</v>
          </cell>
          <cell r="H285">
            <v>0</v>
          </cell>
          <cell r="J285">
            <v>0</v>
          </cell>
          <cell r="M285">
            <v>0</v>
          </cell>
          <cell r="N285">
            <v>0</v>
          </cell>
          <cell r="P285">
            <v>11</v>
          </cell>
          <cell r="R285">
            <v>95.422326999999996</v>
          </cell>
          <cell r="S285">
            <v>0</v>
          </cell>
          <cell r="T285">
            <v>0</v>
          </cell>
          <cell r="U285">
            <v>14</v>
          </cell>
          <cell r="V285">
            <v>8.6750000000000007</v>
          </cell>
          <cell r="W285">
            <v>121.45</v>
          </cell>
          <cell r="X285">
            <v>2.3737599999999999</v>
          </cell>
          <cell r="Y285">
            <v>0</v>
          </cell>
          <cell r="Z285">
            <v>8.6750000000000007</v>
          </cell>
          <cell r="AA285">
            <v>121.45</v>
          </cell>
        </row>
        <row r="286">
          <cell r="B286" t="str">
            <v>DSD041</v>
          </cell>
          <cell r="C286" t="str">
            <v>SONDA NASOGASTRICA .:. N°16</v>
          </cell>
          <cell r="D286" t="str">
            <v>Sobre estéril</v>
          </cell>
          <cell r="E286">
            <v>29</v>
          </cell>
          <cell r="F286">
            <v>65.540000000000006</v>
          </cell>
          <cell r="H286">
            <v>60</v>
          </cell>
          <cell r="J286">
            <v>210</v>
          </cell>
          <cell r="M286">
            <v>0</v>
          </cell>
          <cell r="N286">
            <v>0</v>
          </cell>
          <cell r="P286">
            <v>55</v>
          </cell>
          <cell r="R286">
            <v>156.54</v>
          </cell>
          <cell r="S286">
            <v>0</v>
          </cell>
          <cell r="T286">
            <v>0</v>
          </cell>
          <cell r="U286">
            <v>34</v>
          </cell>
          <cell r="V286">
            <v>3.5</v>
          </cell>
          <cell r="W286">
            <v>119</v>
          </cell>
          <cell r="X286">
            <v>2.3737599999999999</v>
          </cell>
          <cell r="Y286">
            <v>0</v>
          </cell>
          <cell r="Z286">
            <v>3.5</v>
          </cell>
          <cell r="AA286">
            <v>119</v>
          </cell>
        </row>
        <row r="287">
          <cell r="B287" t="str">
            <v>DSG0031</v>
          </cell>
          <cell r="C287" t="str">
            <v>ALCOHOL EN GEL .:. SOLUCION ALCOHOL 70% C/GLICERINA</v>
          </cell>
          <cell r="D287" t="str">
            <v>Frasco de 5000 ml</v>
          </cell>
          <cell r="E287">
            <v>8</v>
          </cell>
          <cell r="F287">
            <v>1082.4323702255999</v>
          </cell>
          <cell r="H287">
            <v>72</v>
          </cell>
          <cell r="J287">
            <v>11520</v>
          </cell>
          <cell r="M287">
            <v>0</v>
          </cell>
          <cell r="N287">
            <v>0</v>
          </cell>
          <cell r="P287">
            <v>60</v>
          </cell>
          <cell r="R287">
            <v>9407.1363440000005</v>
          </cell>
          <cell r="S287">
            <v>0</v>
          </cell>
          <cell r="T287">
            <v>0</v>
          </cell>
          <cell r="U287">
            <v>20</v>
          </cell>
          <cell r="V287">
            <v>159.76499999999999</v>
          </cell>
          <cell r="W287">
            <v>3195.3</v>
          </cell>
          <cell r="X287">
            <v>2.3737599999999999</v>
          </cell>
          <cell r="Y287">
            <v>0</v>
          </cell>
          <cell r="Z287">
            <v>159.76499999999999</v>
          </cell>
          <cell r="AA287">
            <v>3195.3</v>
          </cell>
        </row>
        <row r="288">
          <cell r="B288" t="str">
            <v>DSG005</v>
          </cell>
          <cell r="C288" t="str">
            <v>ALQUI DIMETIL BENZIL AMONIOCLORURO .:. SOLUCION</v>
          </cell>
          <cell r="D288" t="str">
            <v>Bidon de 5 litros</v>
          </cell>
          <cell r="E288">
            <v>2</v>
          </cell>
          <cell r="F288">
            <v>1304.4772692484</v>
          </cell>
          <cell r="H288">
            <v>10</v>
          </cell>
          <cell r="J288">
            <v>3770</v>
          </cell>
          <cell r="M288">
            <v>0</v>
          </cell>
          <cell r="N288">
            <v>0</v>
          </cell>
          <cell r="P288">
            <v>11</v>
          </cell>
          <cell r="R288">
            <v>4502.4133019999999</v>
          </cell>
          <cell r="S288">
            <v>0</v>
          </cell>
          <cell r="T288">
            <v>0</v>
          </cell>
          <cell r="U288">
            <v>1</v>
          </cell>
          <cell r="V288">
            <v>572.05999999999995</v>
          </cell>
          <cell r="W288">
            <v>572.05999999999995</v>
          </cell>
          <cell r="X288">
            <v>2.3737599999999999</v>
          </cell>
          <cell r="Y288">
            <v>0</v>
          </cell>
          <cell r="Z288">
            <v>572.05999999999995</v>
          </cell>
          <cell r="AA288">
            <v>572.05999999999995</v>
          </cell>
        </row>
        <row r="289">
          <cell r="B289" t="str">
            <v>DSG007</v>
          </cell>
          <cell r="C289" t="str">
            <v>DETERGENTE MULTIENZIMATICO .:. SOLUCION SIN ESPUMA DE 4 ENZIMAS</v>
          </cell>
          <cell r="D289" t="str">
            <v>Bidón</v>
          </cell>
          <cell r="E289">
            <v>0</v>
          </cell>
          <cell r="F289">
            <v>0</v>
          </cell>
          <cell r="H289">
            <v>3</v>
          </cell>
          <cell r="J289">
            <v>1890</v>
          </cell>
          <cell r="M289">
            <v>0</v>
          </cell>
          <cell r="N289">
            <v>0</v>
          </cell>
          <cell r="P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3</v>
          </cell>
          <cell r="V289">
            <v>630</v>
          </cell>
          <cell r="W289">
            <v>1890</v>
          </cell>
          <cell r="X289">
            <v>2.3737599999999999</v>
          </cell>
          <cell r="Y289">
            <v>0</v>
          </cell>
          <cell r="Z289">
            <v>630</v>
          </cell>
          <cell r="AA289">
            <v>1890</v>
          </cell>
        </row>
        <row r="290">
          <cell r="B290" t="str">
            <v>DTO006</v>
          </cell>
          <cell r="C290" t="str">
            <v>CANULA DE GUEDELL .:. ADULTO</v>
          </cell>
          <cell r="D290" t="str">
            <v>Juego x 5 piezas</v>
          </cell>
          <cell r="E290">
            <v>0</v>
          </cell>
          <cell r="F290">
            <v>0</v>
          </cell>
          <cell r="H290">
            <v>30</v>
          </cell>
          <cell r="J290">
            <v>150</v>
          </cell>
          <cell r="M290">
            <v>0</v>
          </cell>
          <cell r="N290">
            <v>0</v>
          </cell>
          <cell r="P290">
            <v>5</v>
          </cell>
          <cell r="R290">
            <v>25</v>
          </cell>
          <cell r="S290">
            <v>0</v>
          </cell>
          <cell r="T290">
            <v>0</v>
          </cell>
          <cell r="U290">
            <v>25</v>
          </cell>
          <cell r="V290">
            <v>5</v>
          </cell>
          <cell r="W290">
            <v>125</v>
          </cell>
          <cell r="X290">
            <v>2.3737599999999999</v>
          </cell>
          <cell r="Y290">
            <v>0</v>
          </cell>
          <cell r="Z290">
            <v>5</v>
          </cell>
          <cell r="AA290">
            <v>125</v>
          </cell>
        </row>
        <row r="291">
          <cell r="B291" t="str">
            <v>DTO013</v>
          </cell>
          <cell r="C291" t="str">
            <v>CANULA DE TRAQUEOSTOMIA .:. NO. 7</v>
          </cell>
          <cell r="D291" t="str">
            <v>Sobre estéril</v>
          </cell>
          <cell r="E291">
            <v>0</v>
          </cell>
          <cell r="F291">
            <v>0</v>
          </cell>
          <cell r="H291">
            <v>2</v>
          </cell>
          <cell r="J291">
            <v>454</v>
          </cell>
          <cell r="M291">
            <v>0</v>
          </cell>
          <cell r="N291">
            <v>0</v>
          </cell>
          <cell r="P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2</v>
          </cell>
          <cell r="V291">
            <v>227</v>
          </cell>
          <cell r="W291">
            <v>454</v>
          </cell>
          <cell r="X291">
            <v>2.3737599999999999</v>
          </cell>
          <cell r="Y291">
            <v>0</v>
          </cell>
          <cell r="Z291">
            <v>227</v>
          </cell>
          <cell r="AA291">
            <v>454</v>
          </cell>
        </row>
        <row r="292">
          <cell r="B292" t="str">
            <v>DTO015</v>
          </cell>
          <cell r="C292" t="str">
            <v>CANULA DE TRAQUEOSTOMIA .:. NO. 8</v>
          </cell>
          <cell r="D292" t="str">
            <v>Sobre estéril</v>
          </cell>
          <cell r="E292">
            <v>0</v>
          </cell>
          <cell r="F292">
            <v>0</v>
          </cell>
          <cell r="H292">
            <v>2</v>
          </cell>
          <cell r="J292">
            <v>454</v>
          </cell>
          <cell r="M292">
            <v>0</v>
          </cell>
          <cell r="N292">
            <v>0</v>
          </cell>
          <cell r="P292">
            <v>2</v>
          </cell>
          <cell r="R292">
            <v>454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2.3737599999999999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DTO030</v>
          </cell>
          <cell r="C293" t="str">
            <v>MASCARILLA .:. PARA ADULTO CON RESERVORIO</v>
          </cell>
          <cell r="D293" t="str">
            <v>Pieza</v>
          </cell>
          <cell r="E293">
            <v>28</v>
          </cell>
          <cell r="F293">
            <v>702.59904306199996</v>
          </cell>
          <cell r="H293">
            <v>50</v>
          </cell>
          <cell r="J293">
            <v>2275</v>
          </cell>
          <cell r="M293">
            <v>14</v>
          </cell>
          <cell r="N293">
            <v>351.29952200000002</v>
          </cell>
          <cell r="P293">
            <v>45</v>
          </cell>
          <cell r="R293">
            <v>1476.0990320000001</v>
          </cell>
          <cell r="S293">
            <v>14</v>
          </cell>
          <cell r="T293">
            <v>351.29952100000003</v>
          </cell>
          <cell r="U293">
            <v>33</v>
          </cell>
          <cell r="V293">
            <v>45.5</v>
          </cell>
          <cell r="W293">
            <v>1501.5</v>
          </cell>
          <cell r="X293">
            <v>2.3737599999999999</v>
          </cell>
          <cell r="Y293">
            <v>0</v>
          </cell>
          <cell r="Z293">
            <v>45.5</v>
          </cell>
          <cell r="AA293">
            <v>1501.5</v>
          </cell>
        </row>
        <row r="294">
          <cell r="B294" t="str">
            <v>DTO039</v>
          </cell>
          <cell r="C294" t="str">
            <v>SISTEMA CERRADO DE ASPIRACION TRAQUEAL .:. NO. 16</v>
          </cell>
          <cell r="D294" t="str">
            <v>Sobre estéril</v>
          </cell>
          <cell r="E294">
            <v>0</v>
          </cell>
          <cell r="F294">
            <v>0</v>
          </cell>
          <cell r="H294">
            <v>20</v>
          </cell>
          <cell r="J294">
            <v>2850</v>
          </cell>
          <cell r="M294">
            <v>0</v>
          </cell>
          <cell r="N294">
            <v>0</v>
          </cell>
          <cell r="P294">
            <v>14</v>
          </cell>
          <cell r="R294">
            <v>1980</v>
          </cell>
          <cell r="S294">
            <v>0</v>
          </cell>
          <cell r="T294">
            <v>0</v>
          </cell>
          <cell r="U294">
            <v>6</v>
          </cell>
          <cell r="V294">
            <v>145</v>
          </cell>
          <cell r="W294">
            <v>870</v>
          </cell>
          <cell r="X294">
            <v>2.3737599999999999</v>
          </cell>
          <cell r="Y294">
            <v>0</v>
          </cell>
          <cell r="Z294">
            <v>145</v>
          </cell>
          <cell r="AA294">
            <v>870</v>
          </cell>
        </row>
        <row r="295">
          <cell r="B295" t="str">
            <v>DTO040</v>
          </cell>
          <cell r="C295" t="str">
            <v>SISTEMA DRENAJE PLEURAL .:. ADULTO 2000 ML. CON CATETER Nº 28</v>
          </cell>
          <cell r="D295" t="str">
            <v>Sobre estéril</v>
          </cell>
          <cell r="E295">
            <v>0</v>
          </cell>
          <cell r="F295">
            <v>0</v>
          </cell>
          <cell r="H295">
            <v>3</v>
          </cell>
          <cell r="J295">
            <v>855</v>
          </cell>
          <cell r="M295">
            <v>0</v>
          </cell>
          <cell r="N295">
            <v>0</v>
          </cell>
          <cell r="P295">
            <v>3</v>
          </cell>
          <cell r="R295">
            <v>855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2.3737599999999999</v>
          </cell>
          <cell r="Y295">
            <v>0</v>
          </cell>
          <cell r="Z295">
            <v>0</v>
          </cell>
          <cell r="AA295">
            <v>0</v>
          </cell>
        </row>
        <row r="296">
          <cell r="B296" t="str">
            <v>DTO044</v>
          </cell>
          <cell r="C296" t="str">
            <v>TUBO CORRUGADO .:. ADULTO PARA MAQUINA DE ANESTESIA</v>
          </cell>
          <cell r="D296" t="str">
            <v>Sobre estéril</v>
          </cell>
          <cell r="E296">
            <v>0</v>
          </cell>
          <cell r="F296">
            <v>0</v>
          </cell>
          <cell r="H296">
            <v>8</v>
          </cell>
          <cell r="J296">
            <v>1940</v>
          </cell>
          <cell r="M296">
            <v>0</v>
          </cell>
          <cell r="N296">
            <v>0</v>
          </cell>
          <cell r="P296">
            <v>7</v>
          </cell>
          <cell r="R296">
            <v>1690</v>
          </cell>
          <cell r="S296">
            <v>0</v>
          </cell>
          <cell r="T296">
            <v>0</v>
          </cell>
          <cell r="U296">
            <v>1</v>
          </cell>
          <cell r="V296">
            <v>250</v>
          </cell>
          <cell r="W296">
            <v>250</v>
          </cell>
          <cell r="X296">
            <v>2.3737599999999999</v>
          </cell>
          <cell r="Y296">
            <v>0</v>
          </cell>
          <cell r="Z296">
            <v>250</v>
          </cell>
          <cell r="AA296">
            <v>250</v>
          </cell>
        </row>
        <row r="297">
          <cell r="B297" t="str">
            <v>DTO045</v>
          </cell>
          <cell r="C297" t="str">
            <v>TUBO ENDOTRAQUEAL .:. PREFORMADO ORAL N° 3.5 C/BALON</v>
          </cell>
          <cell r="D297" t="str">
            <v>Sobre estéril</v>
          </cell>
          <cell r="E297">
            <v>1</v>
          </cell>
          <cell r="F297">
            <v>7.5238149890999999</v>
          </cell>
          <cell r="H297">
            <v>0</v>
          </cell>
          <cell r="J297">
            <v>0</v>
          </cell>
          <cell r="M297">
            <v>0</v>
          </cell>
          <cell r="N297">
            <v>0</v>
          </cell>
          <cell r="P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1</v>
          </cell>
          <cell r="V297">
            <v>7.52</v>
          </cell>
          <cell r="W297">
            <v>7.52</v>
          </cell>
          <cell r="X297">
            <v>2.3737599999999999</v>
          </cell>
          <cell r="Y297">
            <v>0</v>
          </cell>
          <cell r="Z297">
            <v>7.52</v>
          </cell>
          <cell r="AA297">
            <v>7.52</v>
          </cell>
        </row>
        <row r="298">
          <cell r="B298" t="str">
            <v>DTO046</v>
          </cell>
          <cell r="C298" t="str">
            <v>TUBO ENDOTRAQUEAL .:. PREFORMADO ORAL N° 4 C/BALON</v>
          </cell>
          <cell r="D298" t="str">
            <v>Sobre estéril</v>
          </cell>
          <cell r="E298">
            <v>1</v>
          </cell>
          <cell r="F298">
            <v>7.5238149890999999</v>
          </cell>
          <cell r="H298">
            <v>0</v>
          </cell>
          <cell r="J298">
            <v>0</v>
          </cell>
          <cell r="M298">
            <v>0</v>
          </cell>
          <cell r="N298">
            <v>0</v>
          </cell>
          <cell r="P298">
            <v>1</v>
          </cell>
          <cell r="R298">
            <v>7.5238139999999998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2.3737599999999999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DTO047</v>
          </cell>
          <cell r="C299" t="str">
            <v>TUBO ENDOTRAQUEAL .:. PREFORMADO ORAL N° 4,5 C/BALON</v>
          </cell>
          <cell r="D299" t="str">
            <v>Sobre estéril</v>
          </cell>
          <cell r="E299">
            <v>1</v>
          </cell>
          <cell r="F299">
            <v>7.5238149890999999</v>
          </cell>
          <cell r="H299">
            <v>0</v>
          </cell>
          <cell r="J299">
            <v>0</v>
          </cell>
          <cell r="M299">
            <v>0</v>
          </cell>
          <cell r="N299">
            <v>0</v>
          </cell>
          <cell r="P299">
            <v>1</v>
          </cell>
          <cell r="R299">
            <v>7.5238139999999998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2.3737599999999999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DTO050</v>
          </cell>
          <cell r="C300" t="str">
            <v>TUBO ENDOTRAQUEAL .:. PREFORMADO ORAL N°6 C/BALON</v>
          </cell>
          <cell r="D300" t="str">
            <v>Sobre estéril</v>
          </cell>
          <cell r="E300">
            <v>1</v>
          </cell>
          <cell r="F300">
            <v>7.5238149890999999</v>
          </cell>
          <cell r="H300">
            <v>0</v>
          </cell>
          <cell r="J300">
            <v>0</v>
          </cell>
          <cell r="M300">
            <v>0</v>
          </cell>
          <cell r="N300">
            <v>0</v>
          </cell>
          <cell r="P300">
            <v>1</v>
          </cell>
          <cell r="R300">
            <v>7.5238139999999998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2.3737599999999999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DTO051</v>
          </cell>
          <cell r="C301" t="str">
            <v>TUBO ENDOTRAQUEAL .:. PREFORMADO ORAL N°6.5 C/BALON</v>
          </cell>
          <cell r="D301" t="str">
            <v>Sobre estéril</v>
          </cell>
          <cell r="E301">
            <v>8</v>
          </cell>
          <cell r="F301">
            <v>120.3810398256</v>
          </cell>
          <cell r="H301">
            <v>0</v>
          </cell>
          <cell r="J301">
            <v>0</v>
          </cell>
          <cell r="M301">
            <v>0</v>
          </cell>
          <cell r="N301">
            <v>0</v>
          </cell>
          <cell r="P301">
            <v>8</v>
          </cell>
          <cell r="R301">
            <v>120.381032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2.3737599999999999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DTO052</v>
          </cell>
          <cell r="C302" t="str">
            <v>TUBO ENDOTRAQUEAL .:. PREFORMADO ORAL N° 7 C/BALON</v>
          </cell>
          <cell r="D302" t="str">
            <v>Sobre estéril</v>
          </cell>
          <cell r="E302">
            <v>21</v>
          </cell>
          <cell r="F302">
            <v>198.54794158710001</v>
          </cell>
          <cell r="H302">
            <v>0</v>
          </cell>
          <cell r="J302">
            <v>0</v>
          </cell>
          <cell r="M302">
            <v>0</v>
          </cell>
          <cell r="N302">
            <v>0</v>
          </cell>
          <cell r="P302">
            <v>21</v>
          </cell>
          <cell r="R302">
            <v>198.547923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2.3737599999999999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DTO053</v>
          </cell>
          <cell r="C303" t="str">
            <v>TUBO ENDOTRAQUEAL .:. PREFORMADO ORAL N° 7.5 C/BALON</v>
          </cell>
          <cell r="D303" t="str">
            <v>Sobre estéril</v>
          </cell>
          <cell r="E303">
            <v>21</v>
          </cell>
          <cell r="F303">
            <v>201.9184212465</v>
          </cell>
          <cell r="H303">
            <v>24</v>
          </cell>
          <cell r="J303">
            <v>192</v>
          </cell>
          <cell r="M303">
            <v>0</v>
          </cell>
          <cell r="N303">
            <v>0</v>
          </cell>
          <cell r="P303">
            <v>33</v>
          </cell>
          <cell r="R303">
            <v>297.91840300000001</v>
          </cell>
          <cell r="S303">
            <v>0</v>
          </cell>
          <cell r="T303">
            <v>0</v>
          </cell>
          <cell r="U303">
            <v>12</v>
          </cell>
          <cell r="V303">
            <v>8</v>
          </cell>
          <cell r="W303">
            <v>96</v>
          </cell>
          <cell r="X303">
            <v>2.3737599999999999</v>
          </cell>
          <cell r="Y303">
            <v>0</v>
          </cell>
          <cell r="Z303">
            <v>8</v>
          </cell>
          <cell r="AA303">
            <v>96</v>
          </cell>
        </row>
        <row r="304">
          <cell r="B304" t="str">
            <v>DTO054</v>
          </cell>
          <cell r="C304" t="str">
            <v>TUBO ENDOTRAQUEAL .:. PREFORMADO ORAL N° 8 C/BALON</v>
          </cell>
          <cell r="D304" t="str">
            <v>Sobre estéril</v>
          </cell>
          <cell r="E304">
            <v>10</v>
          </cell>
          <cell r="F304">
            <v>150.47629978200001</v>
          </cell>
          <cell r="H304">
            <v>20</v>
          </cell>
          <cell r="J304">
            <v>159.80000000000001</v>
          </cell>
          <cell r="M304">
            <v>0</v>
          </cell>
          <cell r="N304">
            <v>0</v>
          </cell>
          <cell r="P304">
            <v>18</v>
          </cell>
          <cell r="R304">
            <v>214.39629400000001</v>
          </cell>
          <cell r="S304">
            <v>0</v>
          </cell>
          <cell r="T304">
            <v>0</v>
          </cell>
          <cell r="U304">
            <v>12</v>
          </cell>
          <cell r="V304">
            <v>7.99</v>
          </cell>
          <cell r="W304">
            <v>95.88</v>
          </cell>
          <cell r="X304">
            <v>2.3737599999999999</v>
          </cell>
          <cell r="Y304">
            <v>0</v>
          </cell>
          <cell r="Z304">
            <v>7.99</v>
          </cell>
          <cell r="AA304">
            <v>95.88</v>
          </cell>
        </row>
        <row r="305">
          <cell r="B305" t="str">
            <v>DUG002</v>
          </cell>
          <cell r="C305" t="str">
            <v>ESPATULAS DE AYRE .:. BOLSA X 100</v>
          </cell>
          <cell r="D305" t="str">
            <v>Bolsa x 100 U</v>
          </cell>
          <cell r="E305">
            <v>6</v>
          </cell>
          <cell r="F305">
            <v>99.753315065999999</v>
          </cell>
          <cell r="H305">
            <v>0</v>
          </cell>
          <cell r="J305">
            <v>0</v>
          </cell>
          <cell r="M305">
            <v>0</v>
          </cell>
          <cell r="N305">
            <v>0</v>
          </cell>
          <cell r="P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6</v>
          </cell>
          <cell r="V305">
            <v>16.625</v>
          </cell>
          <cell r="W305">
            <v>99.75</v>
          </cell>
          <cell r="X305">
            <v>2.3737599999999999</v>
          </cell>
          <cell r="Y305">
            <v>0</v>
          </cell>
          <cell r="Z305">
            <v>16.625</v>
          </cell>
          <cell r="AA305">
            <v>99.75</v>
          </cell>
        </row>
        <row r="306">
          <cell r="B306" t="str">
            <v>DUTI 1208</v>
          </cell>
          <cell r="C306" t="str">
            <v>REGULADOR DE PRECISION PARA INFUSION VENOSA POR GRAVEDAD UTI .:. REGULADOR DE PRECISION PARA INFUSION VENOSA POR GRAVEDAD UTI</v>
          </cell>
          <cell r="D306" t="str">
            <v>Pieza</v>
          </cell>
          <cell r="E306">
            <v>25</v>
          </cell>
          <cell r="F306">
            <v>1127.0200573075001</v>
          </cell>
          <cell r="H306">
            <v>50</v>
          </cell>
          <cell r="J306">
            <v>2665</v>
          </cell>
          <cell r="M306">
            <v>0</v>
          </cell>
          <cell r="N306">
            <v>0</v>
          </cell>
          <cell r="P306">
            <v>70</v>
          </cell>
          <cell r="R306">
            <v>3525.5200530000002</v>
          </cell>
          <cell r="S306">
            <v>0</v>
          </cell>
          <cell r="T306">
            <v>0</v>
          </cell>
          <cell r="U306">
            <v>5</v>
          </cell>
          <cell r="V306">
            <v>53.3</v>
          </cell>
          <cell r="W306">
            <v>266.5</v>
          </cell>
          <cell r="X306">
            <v>2.3737599999999999</v>
          </cell>
          <cell r="Y306">
            <v>0</v>
          </cell>
          <cell r="Z306">
            <v>53.3</v>
          </cell>
          <cell r="AA306">
            <v>266.5</v>
          </cell>
        </row>
        <row r="307">
          <cell r="B307" t="str">
            <v>DUTI-1290</v>
          </cell>
          <cell r="C307" t="str">
            <v xml:space="preserve">BOLSAS DE OBITO .:. </v>
          </cell>
          <cell r="D307" t="str">
            <v>Pieza</v>
          </cell>
          <cell r="E307">
            <v>2</v>
          </cell>
          <cell r="F307">
            <v>520.49624002760004</v>
          </cell>
          <cell r="H307">
            <v>0</v>
          </cell>
          <cell r="J307">
            <v>0</v>
          </cell>
          <cell r="M307">
            <v>0</v>
          </cell>
          <cell r="N307">
            <v>0</v>
          </cell>
          <cell r="P307">
            <v>2</v>
          </cell>
          <cell r="R307">
            <v>520.49623999999994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2.3737599999999999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EN-01-37</v>
          </cell>
          <cell r="C308" t="str">
            <v xml:space="preserve">VENDA DE GASA 20 CM VENDA DE GASA 20 CM  .:. 20 CM </v>
          </cell>
          <cell r="D308" t="str">
            <v>Pieza</v>
          </cell>
          <cell r="E308">
            <v>8</v>
          </cell>
          <cell r="F308">
            <v>110.7216461472</v>
          </cell>
          <cell r="H308">
            <v>0</v>
          </cell>
          <cell r="J308">
            <v>0</v>
          </cell>
          <cell r="M308">
            <v>0</v>
          </cell>
          <cell r="N308">
            <v>0</v>
          </cell>
          <cell r="P308">
            <v>8</v>
          </cell>
          <cell r="R308">
            <v>110.72164600000001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2.3737599999999999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EX-01-021</v>
          </cell>
          <cell r="C309" t="str">
            <v>DILTIAZEN   DILTIAZEN*   60 MG .:. 60 MG</v>
          </cell>
          <cell r="D309" t="str">
            <v>Comprimido</v>
          </cell>
          <cell r="E309">
            <v>120</v>
          </cell>
          <cell r="F309">
            <v>264.91854310799999</v>
          </cell>
          <cell r="H309">
            <v>600</v>
          </cell>
          <cell r="J309">
            <v>1369.8</v>
          </cell>
          <cell r="M309">
            <v>0</v>
          </cell>
          <cell r="N309">
            <v>0</v>
          </cell>
          <cell r="P309">
            <v>660</v>
          </cell>
          <cell r="R309">
            <v>1502.718541</v>
          </cell>
          <cell r="S309">
            <v>0</v>
          </cell>
          <cell r="T309">
            <v>0</v>
          </cell>
          <cell r="U309">
            <v>60</v>
          </cell>
          <cell r="V309">
            <v>2.2000000000000002</v>
          </cell>
          <cell r="W309">
            <v>132</v>
          </cell>
          <cell r="X309">
            <v>2.3737599999999999</v>
          </cell>
          <cell r="Y309">
            <v>0</v>
          </cell>
          <cell r="Z309">
            <v>2.2000000000000002</v>
          </cell>
          <cell r="AA309">
            <v>132</v>
          </cell>
        </row>
        <row r="310">
          <cell r="B310" t="str">
            <v>EX-01-042</v>
          </cell>
          <cell r="C310" t="str">
            <v>TELMISARTAN TELMISARTAN 80MG .:. 80MG</v>
          </cell>
          <cell r="D310" t="str">
            <v>Comprimido ranurado</v>
          </cell>
          <cell r="E310">
            <v>90</v>
          </cell>
          <cell r="F310">
            <v>678.42988056900003</v>
          </cell>
          <cell r="H310">
            <v>180</v>
          </cell>
          <cell r="J310">
            <v>1350</v>
          </cell>
          <cell r="M310">
            <v>0</v>
          </cell>
          <cell r="N310">
            <v>0</v>
          </cell>
          <cell r="P310">
            <v>210</v>
          </cell>
          <cell r="R310">
            <v>1578.155487</v>
          </cell>
          <cell r="S310">
            <v>0</v>
          </cell>
          <cell r="T310">
            <v>0</v>
          </cell>
          <cell r="U310">
            <v>60</v>
          </cell>
          <cell r="V310">
            <v>7.5045000000000002</v>
          </cell>
          <cell r="W310">
            <v>450.27</v>
          </cell>
          <cell r="X310">
            <v>2.3737599999999999</v>
          </cell>
          <cell r="Y310">
            <v>0</v>
          </cell>
          <cell r="Z310">
            <v>7.5045000000000002</v>
          </cell>
          <cell r="AA310">
            <v>450.27</v>
          </cell>
        </row>
        <row r="311">
          <cell r="B311" t="str">
            <v>EX-01-11</v>
          </cell>
          <cell r="C311" t="str">
            <v>RIBAROXABAN/XARELTO RIBAROXABAN/XARELTO 10 MG .:. 10 MG</v>
          </cell>
          <cell r="D311" t="str">
            <v>Comprimido</v>
          </cell>
          <cell r="E311">
            <v>0</v>
          </cell>
          <cell r="F311">
            <v>0</v>
          </cell>
          <cell r="H311">
            <v>360</v>
          </cell>
          <cell r="J311">
            <v>10008</v>
          </cell>
          <cell r="M311">
            <v>0</v>
          </cell>
          <cell r="N311">
            <v>0</v>
          </cell>
          <cell r="P311">
            <v>360</v>
          </cell>
          <cell r="R311">
            <v>10008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2.3737599999999999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EX-01-15</v>
          </cell>
          <cell r="C312" t="str">
            <v>RIBAROXABAN RIBAROXABAN 15 MG .:. 15 MG</v>
          </cell>
          <cell r="D312" t="str">
            <v>Comprimido</v>
          </cell>
          <cell r="E312">
            <v>125</v>
          </cell>
          <cell r="F312">
            <v>2547.3825552500002</v>
          </cell>
          <cell r="H312">
            <v>532</v>
          </cell>
          <cell r="J312">
            <v>10806.32</v>
          </cell>
          <cell r="M312">
            <v>0</v>
          </cell>
          <cell r="N312">
            <v>0</v>
          </cell>
          <cell r="P312">
            <v>632</v>
          </cell>
          <cell r="R312">
            <v>12845.767143999999</v>
          </cell>
          <cell r="S312">
            <v>0</v>
          </cell>
          <cell r="T312">
            <v>0</v>
          </cell>
          <cell r="U312">
            <v>25</v>
          </cell>
          <cell r="V312">
            <v>20.317599999999999</v>
          </cell>
          <cell r="W312">
            <v>507.94</v>
          </cell>
          <cell r="X312">
            <v>2.3737599999999999</v>
          </cell>
          <cell r="Y312">
            <v>0</v>
          </cell>
          <cell r="Z312">
            <v>20.317599999999999</v>
          </cell>
          <cell r="AA312">
            <v>507.94</v>
          </cell>
        </row>
        <row r="313">
          <cell r="B313" t="str">
            <v>EX-01-16</v>
          </cell>
          <cell r="C313" t="str">
            <v>OCTREOTIDE .:. 100 MCG/ML</v>
          </cell>
          <cell r="D313" t="str">
            <v>Inyectable</v>
          </cell>
          <cell r="E313">
            <v>0</v>
          </cell>
          <cell r="F313">
            <v>0</v>
          </cell>
          <cell r="H313">
            <v>36</v>
          </cell>
          <cell r="J313">
            <v>3960</v>
          </cell>
          <cell r="M313">
            <v>0</v>
          </cell>
          <cell r="N313">
            <v>0</v>
          </cell>
          <cell r="P313">
            <v>36</v>
          </cell>
          <cell r="R313">
            <v>3960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2.3737599999999999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EX-01-17</v>
          </cell>
          <cell r="C314" t="str">
            <v>ITRACONAZOL 100 MG .:. 100 MG</v>
          </cell>
          <cell r="D314" t="str">
            <v>Cápsula o Comprimido</v>
          </cell>
          <cell r="E314">
            <v>96</v>
          </cell>
          <cell r="F314">
            <v>805.60415969279995</v>
          </cell>
          <cell r="H314">
            <v>0</v>
          </cell>
          <cell r="J314">
            <v>0</v>
          </cell>
          <cell r="M314">
            <v>0</v>
          </cell>
          <cell r="N314">
            <v>0</v>
          </cell>
          <cell r="P314">
            <v>96</v>
          </cell>
          <cell r="R314">
            <v>805.60415899999998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2.3737599999999999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EX-01-18</v>
          </cell>
          <cell r="C315" t="str">
            <v>REMDESIVIR  .:. 100 MG POLVO LIOFILIZADO</v>
          </cell>
          <cell r="D315" t="str">
            <v>Inyectable</v>
          </cell>
          <cell r="E315">
            <v>0</v>
          </cell>
          <cell r="F315">
            <v>0</v>
          </cell>
          <cell r="H315">
            <v>112</v>
          </cell>
          <cell r="J315">
            <v>93660</v>
          </cell>
          <cell r="M315">
            <v>0</v>
          </cell>
          <cell r="N315">
            <v>0</v>
          </cell>
          <cell r="P315">
            <v>112</v>
          </cell>
          <cell r="R315">
            <v>93660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2.3737599999999999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G-01-01</v>
          </cell>
          <cell r="C316" t="str">
            <v>ACIDO ACETICO (ACIDO TRICLOROACETICO) .:. 0.5</v>
          </cell>
          <cell r="D316" t="str">
            <v>Solución tópica</v>
          </cell>
          <cell r="E316">
            <v>5</v>
          </cell>
          <cell r="F316">
            <v>321.60977387000003</v>
          </cell>
          <cell r="H316">
            <v>0</v>
          </cell>
          <cell r="J316">
            <v>0</v>
          </cell>
          <cell r="M316">
            <v>0</v>
          </cell>
          <cell r="N316">
            <v>0</v>
          </cell>
          <cell r="P316">
            <v>2</v>
          </cell>
          <cell r="R316">
            <v>128.64390800000001</v>
          </cell>
          <cell r="S316">
            <v>0</v>
          </cell>
          <cell r="T316">
            <v>0</v>
          </cell>
          <cell r="U316">
            <v>3</v>
          </cell>
          <cell r="V316">
            <v>64.323333333299999</v>
          </cell>
          <cell r="W316">
            <v>192.96999999990001</v>
          </cell>
          <cell r="X316">
            <v>2.3737599999999999</v>
          </cell>
          <cell r="Y316">
            <v>0</v>
          </cell>
          <cell r="Z316">
            <v>64.323333333299999</v>
          </cell>
          <cell r="AA316">
            <v>192.96999999990001</v>
          </cell>
        </row>
        <row r="317">
          <cell r="B317" t="str">
            <v>G-01-02</v>
          </cell>
          <cell r="C317" t="str">
            <v>CLOTRIMAZOL .:. 100 mg</v>
          </cell>
          <cell r="D317" t="str">
            <v>Ovulo</v>
          </cell>
          <cell r="E317">
            <v>460</v>
          </cell>
          <cell r="F317">
            <v>566.41335134999997</v>
          </cell>
          <cell r="H317">
            <v>200</v>
          </cell>
          <cell r="J317">
            <v>312</v>
          </cell>
          <cell r="M317">
            <v>0</v>
          </cell>
          <cell r="N317">
            <v>0</v>
          </cell>
          <cell r="P317">
            <v>555</v>
          </cell>
          <cell r="R317">
            <v>714.61331299999995</v>
          </cell>
          <cell r="S317">
            <v>0</v>
          </cell>
          <cell r="T317">
            <v>0</v>
          </cell>
          <cell r="U317">
            <v>105</v>
          </cell>
          <cell r="V317">
            <v>1.56</v>
          </cell>
          <cell r="W317">
            <v>163.80000000000001</v>
          </cell>
          <cell r="X317">
            <v>2.3737599999999999</v>
          </cell>
          <cell r="Y317">
            <v>0</v>
          </cell>
          <cell r="Z317">
            <v>1.56</v>
          </cell>
          <cell r="AA317">
            <v>163.80000000000001</v>
          </cell>
        </row>
        <row r="318">
          <cell r="B318" t="str">
            <v>G-01-03</v>
          </cell>
          <cell r="C318" t="str">
            <v>CLOTRIMAZOL .:. 0.01</v>
          </cell>
          <cell r="D318" t="str">
            <v>Crema vaginal</v>
          </cell>
          <cell r="E318">
            <v>55</v>
          </cell>
          <cell r="F318">
            <v>510.77559476350001</v>
          </cell>
          <cell r="H318">
            <v>50</v>
          </cell>
          <cell r="J318">
            <v>525.5</v>
          </cell>
          <cell r="M318">
            <v>0</v>
          </cell>
          <cell r="N318">
            <v>0</v>
          </cell>
          <cell r="P318">
            <v>57</v>
          </cell>
          <cell r="R318">
            <v>534.05370000000005</v>
          </cell>
          <cell r="S318">
            <v>0</v>
          </cell>
          <cell r="T318">
            <v>0</v>
          </cell>
          <cell r="U318">
            <v>48</v>
          </cell>
          <cell r="V318">
            <v>10.4629166667</v>
          </cell>
          <cell r="W318">
            <v>502.2200000016</v>
          </cell>
          <cell r="X318">
            <v>2.3737599999999999</v>
          </cell>
          <cell r="Y318">
            <v>0</v>
          </cell>
          <cell r="Z318">
            <v>10.4629166667</v>
          </cell>
          <cell r="AA318">
            <v>502.2200000016</v>
          </cell>
        </row>
        <row r="319">
          <cell r="B319" t="str">
            <v>G-01-04</v>
          </cell>
          <cell r="C319" t="str">
            <v>METRONIDAZOL .:. 500 mg</v>
          </cell>
          <cell r="D319" t="str">
            <v>Óvulo</v>
          </cell>
          <cell r="E319">
            <v>719</v>
          </cell>
          <cell r="F319">
            <v>848.32039038710002</v>
          </cell>
          <cell r="H319">
            <v>600</v>
          </cell>
          <cell r="J319">
            <v>720</v>
          </cell>
          <cell r="M319">
            <v>0</v>
          </cell>
          <cell r="N319">
            <v>0</v>
          </cell>
          <cell r="P319">
            <v>939</v>
          </cell>
          <cell r="R319">
            <v>1112.3203470000001</v>
          </cell>
          <cell r="S319">
            <v>0</v>
          </cell>
          <cell r="T319">
            <v>0</v>
          </cell>
          <cell r="U319">
            <v>380</v>
          </cell>
          <cell r="V319">
            <v>1.2</v>
          </cell>
          <cell r="W319">
            <v>456</v>
          </cell>
          <cell r="X319">
            <v>2.3737599999999999</v>
          </cell>
          <cell r="Y319">
            <v>0</v>
          </cell>
          <cell r="Z319">
            <v>1.2</v>
          </cell>
          <cell r="AA319">
            <v>456</v>
          </cell>
        </row>
        <row r="320">
          <cell r="B320" t="str">
            <v>G-01-05</v>
          </cell>
          <cell r="C320" t="str">
            <v>NISTATINA .:. 100.000 UI</v>
          </cell>
          <cell r="D320" t="str">
            <v>Ovulo</v>
          </cell>
          <cell r="E320">
            <v>3</v>
          </cell>
          <cell r="F320">
            <v>5.7435500183999997</v>
          </cell>
          <cell r="H320">
            <v>0</v>
          </cell>
          <cell r="J320">
            <v>0</v>
          </cell>
          <cell r="M320">
            <v>0</v>
          </cell>
          <cell r="N320">
            <v>0</v>
          </cell>
          <cell r="P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3</v>
          </cell>
          <cell r="V320">
            <v>1.9133333333</v>
          </cell>
          <cell r="W320">
            <v>5.7399999999000002</v>
          </cell>
          <cell r="X320">
            <v>2.3737599999999999</v>
          </cell>
          <cell r="Y320">
            <v>0</v>
          </cell>
          <cell r="Z320">
            <v>1.9133333333</v>
          </cell>
          <cell r="AA320">
            <v>5.7399999999000002</v>
          </cell>
        </row>
        <row r="321">
          <cell r="B321" t="str">
            <v>G-02-03</v>
          </cell>
          <cell r="C321" t="str">
            <v>ERGOMETRINA MALEATO .:. 0,2 mg</v>
          </cell>
          <cell r="D321" t="str">
            <v>Comprimido</v>
          </cell>
          <cell r="E321">
            <v>178</v>
          </cell>
          <cell r="F321">
            <v>280.03157973380002</v>
          </cell>
          <cell r="H321">
            <v>0</v>
          </cell>
          <cell r="J321">
            <v>0</v>
          </cell>
          <cell r="M321">
            <v>100</v>
          </cell>
          <cell r="N321">
            <v>176</v>
          </cell>
          <cell r="P321">
            <v>115</v>
          </cell>
          <cell r="R321">
            <v>190.33224899999999</v>
          </cell>
          <cell r="S321">
            <v>100</v>
          </cell>
          <cell r="T321">
            <v>157.321112</v>
          </cell>
          <cell r="U321">
            <v>63</v>
          </cell>
          <cell r="V321">
            <v>1.7203174603</v>
          </cell>
          <cell r="W321">
            <v>108.3799999989</v>
          </cell>
          <cell r="X321">
            <v>2.3737599999999999</v>
          </cell>
          <cell r="Y321">
            <v>0</v>
          </cell>
          <cell r="Z321">
            <v>1.7203174603</v>
          </cell>
          <cell r="AA321">
            <v>108.3799999989</v>
          </cell>
        </row>
        <row r="322">
          <cell r="B322" t="str">
            <v>G-02-04</v>
          </cell>
          <cell r="C322" t="str">
            <v>ERGOMETRINA MALEATO .:. 0,2 mg/ml</v>
          </cell>
          <cell r="D322" t="str">
            <v>Inyectable</v>
          </cell>
          <cell r="E322">
            <v>7</v>
          </cell>
          <cell r="F322">
            <v>44.786390999699996</v>
          </cell>
          <cell r="H322">
            <v>0</v>
          </cell>
          <cell r="J322">
            <v>0</v>
          </cell>
          <cell r="M322">
            <v>7</v>
          </cell>
          <cell r="N322">
            <v>47.31</v>
          </cell>
          <cell r="P322">
            <v>0</v>
          </cell>
          <cell r="R322">
            <v>0</v>
          </cell>
          <cell r="S322">
            <v>7</v>
          </cell>
          <cell r="T322">
            <v>44.786389999999997</v>
          </cell>
          <cell r="U322">
            <v>7</v>
          </cell>
          <cell r="V322">
            <v>6.7585714285999998</v>
          </cell>
          <cell r="W322">
            <v>47.310000000199999</v>
          </cell>
          <cell r="X322">
            <v>2.3737599999999999</v>
          </cell>
          <cell r="Y322">
            <v>0</v>
          </cell>
          <cell r="Z322">
            <v>6.7585714285999998</v>
          </cell>
          <cell r="AA322">
            <v>47.310000000199999</v>
          </cell>
        </row>
        <row r="323">
          <cell r="B323" t="str">
            <v>G-03-02</v>
          </cell>
          <cell r="C323" t="str">
            <v>CIPROTERONA ACETATO + ESTRADIOL VALERATO .:. 2 mg + 0,035 mg</v>
          </cell>
          <cell r="D323" t="str">
            <v>Ciclo</v>
          </cell>
          <cell r="E323">
            <v>43</v>
          </cell>
          <cell r="F323">
            <v>3902.6720755687002</v>
          </cell>
          <cell r="H323">
            <v>0</v>
          </cell>
          <cell r="J323">
            <v>0</v>
          </cell>
          <cell r="M323">
            <v>8</v>
          </cell>
          <cell r="N323">
            <v>726.08</v>
          </cell>
          <cell r="P323">
            <v>35</v>
          </cell>
          <cell r="R323">
            <v>3176.5947200000001</v>
          </cell>
          <cell r="S323">
            <v>8</v>
          </cell>
          <cell r="T323">
            <v>726.07852500000001</v>
          </cell>
          <cell r="U323">
            <v>8</v>
          </cell>
          <cell r="V323">
            <v>90.76</v>
          </cell>
          <cell r="W323">
            <v>726.08</v>
          </cell>
          <cell r="X323">
            <v>2.3737599999999999</v>
          </cell>
          <cell r="Y323">
            <v>0</v>
          </cell>
          <cell r="Z323">
            <v>90.76</v>
          </cell>
          <cell r="AA323">
            <v>726.08</v>
          </cell>
        </row>
        <row r="324">
          <cell r="B324" t="str">
            <v>G-03-03</v>
          </cell>
          <cell r="C324" t="str">
            <v>CLOMIFENO CITRATO .:. 50 mg</v>
          </cell>
          <cell r="D324" t="str">
            <v>Comprimido</v>
          </cell>
          <cell r="E324">
            <v>339</v>
          </cell>
          <cell r="F324">
            <v>812.35303450230003</v>
          </cell>
          <cell r="H324">
            <v>0</v>
          </cell>
          <cell r="J324">
            <v>0</v>
          </cell>
          <cell r="M324">
            <v>0</v>
          </cell>
          <cell r="N324">
            <v>0</v>
          </cell>
          <cell r="P324">
            <v>0</v>
          </cell>
          <cell r="R324">
            <v>0</v>
          </cell>
          <cell r="S324">
            <v>139</v>
          </cell>
          <cell r="T324">
            <v>333.088707</v>
          </cell>
          <cell r="U324">
            <v>200</v>
          </cell>
          <cell r="V324">
            <v>2.3963000000000001</v>
          </cell>
          <cell r="W324">
            <v>479.26</v>
          </cell>
          <cell r="X324">
            <v>2.3737599999999999</v>
          </cell>
          <cell r="Y324">
            <v>0</v>
          </cell>
          <cell r="Z324">
            <v>2.3963000000000001</v>
          </cell>
          <cell r="AA324">
            <v>479.26</v>
          </cell>
        </row>
        <row r="325">
          <cell r="B325" t="str">
            <v>G-03-09</v>
          </cell>
          <cell r="C325" t="str">
            <v>ESTROGENOS CONJUGADOS .:. 0,625 mg</v>
          </cell>
          <cell r="D325" t="str">
            <v>Crema vaginal</v>
          </cell>
          <cell r="E325">
            <v>7</v>
          </cell>
          <cell r="F325">
            <v>604.81707022449996</v>
          </cell>
          <cell r="H325">
            <v>0</v>
          </cell>
          <cell r="J325">
            <v>0</v>
          </cell>
          <cell r="M325">
            <v>0</v>
          </cell>
          <cell r="N325">
            <v>0</v>
          </cell>
          <cell r="P325">
            <v>5</v>
          </cell>
          <cell r="R325">
            <v>432.01218999999998</v>
          </cell>
          <cell r="S325">
            <v>0</v>
          </cell>
          <cell r="T325">
            <v>0</v>
          </cell>
          <cell r="U325">
            <v>2</v>
          </cell>
          <cell r="V325">
            <v>86.4</v>
          </cell>
          <cell r="W325">
            <v>172.8</v>
          </cell>
          <cell r="X325">
            <v>2.3737599999999999</v>
          </cell>
          <cell r="Y325">
            <v>0</v>
          </cell>
          <cell r="Z325">
            <v>86.4</v>
          </cell>
          <cell r="AA325">
            <v>172.8</v>
          </cell>
        </row>
        <row r="326">
          <cell r="B326" t="str">
            <v>G-03-12</v>
          </cell>
          <cell r="C326" t="str">
            <v>LEVONORGESTREL + ETINILESTRADIOL .:. 0,150 mg + 0,03 mg</v>
          </cell>
          <cell r="D326" t="str">
            <v>Caja</v>
          </cell>
          <cell r="E326">
            <v>100</v>
          </cell>
          <cell r="F326">
            <v>593.88448198000003</v>
          </cell>
          <cell r="H326">
            <v>0</v>
          </cell>
          <cell r="J326">
            <v>0</v>
          </cell>
          <cell r="M326">
            <v>0</v>
          </cell>
          <cell r="N326">
            <v>0</v>
          </cell>
          <cell r="P326">
            <v>70</v>
          </cell>
          <cell r="R326">
            <v>415.719087</v>
          </cell>
          <cell r="S326">
            <v>0</v>
          </cell>
          <cell r="T326">
            <v>0</v>
          </cell>
          <cell r="U326">
            <v>30</v>
          </cell>
          <cell r="V326">
            <v>5.9390000000000001</v>
          </cell>
          <cell r="W326">
            <v>178.17</v>
          </cell>
          <cell r="X326">
            <v>2.3737599999999999</v>
          </cell>
          <cell r="Y326">
            <v>0</v>
          </cell>
          <cell r="Z326">
            <v>5.9390000000000001</v>
          </cell>
          <cell r="AA326">
            <v>178.17</v>
          </cell>
        </row>
        <row r="327">
          <cell r="B327" t="str">
            <v>G-03-13</v>
          </cell>
          <cell r="C327" t="str">
            <v>MEDROXIPROGESTERONA ACETATO .:. 150 mg/ml</v>
          </cell>
          <cell r="D327" t="str">
            <v>Inyectable</v>
          </cell>
          <cell r="E327">
            <v>12</v>
          </cell>
          <cell r="F327">
            <v>143.3944013208</v>
          </cell>
          <cell r="H327">
            <v>0</v>
          </cell>
          <cell r="J327">
            <v>0</v>
          </cell>
          <cell r="M327">
            <v>0</v>
          </cell>
          <cell r="N327">
            <v>0</v>
          </cell>
          <cell r="P327">
            <v>1</v>
          </cell>
          <cell r="R327">
            <v>11.949533000000001</v>
          </cell>
          <cell r="S327">
            <v>0</v>
          </cell>
          <cell r="T327">
            <v>0</v>
          </cell>
          <cell r="U327">
            <v>11</v>
          </cell>
          <cell r="V327">
            <v>11.949090909100001</v>
          </cell>
          <cell r="W327">
            <v>131.44000000010001</v>
          </cell>
          <cell r="X327">
            <v>2.3737599999999999</v>
          </cell>
          <cell r="Y327">
            <v>0</v>
          </cell>
          <cell r="Z327">
            <v>11.949090909100001</v>
          </cell>
          <cell r="AA327">
            <v>131.44000000010001</v>
          </cell>
        </row>
        <row r="328">
          <cell r="B328" t="str">
            <v>G-03-18</v>
          </cell>
          <cell r="C328" t="str">
            <v>TESTOSTERONA UNDECANOATO .:. 1000 mg</v>
          </cell>
          <cell r="D328" t="str">
            <v>Inyectable</v>
          </cell>
          <cell r="E328">
            <v>0</v>
          </cell>
          <cell r="F328">
            <v>0</v>
          </cell>
          <cell r="H328">
            <v>9</v>
          </cell>
          <cell r="J328">
            <v>11205</v>
          </cell>
          <cell r="M328">
            <v>0</v>
          </cell>
          <cell r="N328">
            <v>0</v>
          </cell>
          <cell r="P328">
            <v>9</v>
          </cell>
          <cell r="R328">
            <v>11205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2.3737599999999999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G-04-01</v>
          </cell>
          <cell r="C329" t="str">
            <v>FINASTERIDA .:. 5 mg</v>
          </cell>
          <cell r="D329" t="str">
            <v>Comprimido</v>
          </cell>
          <cell r="E329">
            <v>490</v>
          </cell>
          <cell r="F329">
            <v>931.532672875</v>
          </cell>
          <cell r="H329">
            <v>5200</v>
          </cell>
          <cell r="J329">
            <v>9400</v>
          </cell>
          <cell r="M329">
            <v>0</v>
          </cell>
          <cell r="N329">
            <v>0</v>
          </cell>
          <cell r="P329">
            <v>4805</v>
          </cell>
          <cell r="R329">
            <v>8909.8491639999993</v>
          </cell>
          <cell r="S329">
            <v>0</v>
          </cell>
          <cell r="T329">
            <v>0</v>
          </cell>
          <cell r="U329">
            <v>885</v>
          </cell>
          <cell r="V329">
            <v>1.6064180791</v>
          </cell>
          <cell r="W329">
            <v>1421.6800000035</v>
          </cell>
          <cell r="X329">
            <v>2.3737599999999999</v>
          </cell>
          <cell r="Y329">
            <v>0</v>
          </cell>
          <cell r="Z329">
            <v>1.6064180791</v>
          </cell>
          <cell r="AA329">
            <v>1421.6800000035</v>
          </cell>
        </row>
        <row r="330">
          <cell r="B330" t="str">
            <v>H-02-01</v>
          </cell>
          <cell r="C330" t="str">
            <v>BETAMETASONA (FOSFATO) .:. 4 mg</v>
          </cell>
          <cell r="D330" t="str">
            <v>Inyectable</v>
          </cell>
          <cell r="E330">
            <v>377</v>
          </cell>
          <cell r="F330">
            <v>1408.2382032237999</v>
          </cell>
          <cell r="H330">
            <v>60</v>
          </cell>
          <cell r="J330">
            <v>360</v>
          </cell>
          <cell r="M330">
            <v>2</v>
          </cell>
          <cell r="N330">
            <v>7.5369960000000003</v>
          </cell>
          <cell r="P330">
            <v>315</v>
          </cell>
          <cell r="R330">
            <v>1191.3182629999999</v>
          </cell>
          <cell r="S330">
            <v>0</v>
          </cell>
          <cell r="T330">
            <v>0</v>
          </cell>
          <cell r="U330">
            <v>124</v>
          </cell>
          <cell r="V330">
            <v>4.7133870968</v>
          </cell>
          <cell r="W330">
            <v>584.46000000319998</v>
          </cell>
          <cell r="X330">
            <v>2.3737599999999999</v>
          </cell>
          <cell r="Y330">
            <v>0</v>
          </cell>
          <cell r="Z330">
            <v>4.7133870968</v>
          </cell>
          <cell r="AA330">
            <v>584.46000000319998</v>
          </cell>
        </row>
        <row r="331">
          <cell r="B331" t="str">
            <v>H-02-03</v>
          </cell>
          <cell r="C331" t="str">
            <v>DEXAMETASONA .:. 0,5 mg</v>
          </cell>
          <cell r="D331" t="str">
            <v>Comprimido</v>
          </cell>
          <cell r="E331">
            <v>457</v>
          </cell>
          <cell r="F331">
            <v>170.90725254820001</v>
          </cell>
          <cell r="H331">
            <v>600</v>
          </cell>
          <cell r="J331">
            <v>270</v>
          </cell>
          <cell r="M331">
            <v>0</v>
          </cell>
          <cell r="N331">
            <v>0</v>
          </cell>
          <cell r="P331">
            <v>752</v>
          </cell>
          <cell r="R331">
            <v>310.14296000000002</v>
          </cell>
          <cell r="S331">
            <v>0</v>
          </cell>
          <cell r="T331">
            <v>0</v>
          </cell>
          <cell r="U331">
            <v>305</v>
          </cell>
          <cell r="V331">
            <v>0.42872131149999998</v>
          </cell>
          <cell r="W331">
            <v>130.7600000075</v>
          </cell>
          <cell r="X331">
            <v>2.3737599999999999</v>
          </cell>
          <cell r="Y331">
            <v>0</v>
          </cell>
          <cell r="Z331">
            <v>0.42872131149999998</v>
          </cell>
          <cell r="AA331">
            <v>130.7600000075</v>
          </cell>
        </row>
        <row r="332">
          <cell r="B332" t="str">
            <v>H-02-04</v>
          </cell>
          <cell r="C332" t="str">
            <v>DEXAMETASONA .:. 4 mg/ml</v>
          </cell>
          <cell r="D332" t="str">
            <v>Inyectable</v>
          </cell>
          <cell r="E332">
            <v>1635</v>
          </cell>
          <cell r="F332">
            <v>2322.0502824</v>
          </cell>
          <cell r="H332">
            <v>5300</v>
          </cell>
          <cell r="J332">
            <v>4115</v>
          </cell>
          <cell r="M332">
            <v>81</v>
          </cell>
          <cell r="N332">
            <v>73.257392999999993</v>
          </cell>
          <cell r="P332">
            <v>5442</v>
          </cell>
          <cell r="R332">
            <v>5377.0469229999999</v>
          </cell>
          <cell r="S332">
            <v>2</v>
          </cell>
          <cell r="T332">
            <v>1.8053779999999999</v>
          </cell>
          <cell r="U332">
            <v>1572</v>
          </cell>
          <cell r="V332">
            <v>0.71975826970000001</v>
          </cell>
          <cell r="W332">
            <v>1131.4599999684001</v>
          </cell>
          <cell r="X332">
            <v>2.3737599999999999</v>
          </cell>
          <cell r="Y332">
            <v>0</v>
          </cell>
          <cell r="Z332">
            <v>0.71975826970000001</v>
          </cell>
          <cell r="AA332">
            <v>1131.4599999684001</v>
          </cell>
        </row>
        <row r="333">
          <cell r="B333" t="str">
            <v>H-02-05</v>
          </cell>
          <cell r="C333" t="str">
            <v>HIDROCORTISONA SUCCINATO SODICO .:. 100 mg</v>
          </cell>
          <cell r="D333" t="str">
            <v>Inyectable</v>
          </cell>
          <cell r="E333">
            <v>52</v>
          </cell>
          <cell r="F333">
            <v>481.4425806996</v>
          </cell>
          <cell r="H333">
            <v>360</v>
          </cell>
          <cell r="J333">
            <v>2310</v>
          </cell>
          <cell r="M333">
            <v>18</v>
          </cell>
          <cell r="N333">
            <v>118.448565</v>
          </cell>
          <cell r="P333">
            <v>228</v>
          </cell>
          <cell r="R333">
            <v>1566.4962310000001</v>
          </cell>
          <cell r="S333">
            <v>0</v>
          </cell>
          <cell r="T333">
            <v>0</v>
          </cell>
          <cell r="U333">
            <v>202</v>
          </cell>
          <cell r="V333">
            <v>6.6504455446000001</v>
          </cell>
          <cell r="W333">
            <v>1343.3900000092001</v>
          </cell>
          <cell r="X333">
            <v>2.3737599999999999</v>
          </cell>
          <cell r="Y333">
            <v>0</v>
          </cell>
          <cell r="Z333">
            <v>6.6504455446000001</v>
          </cell>
          <cell r="AA333">
            <v>1343.3900000092001</v>
          </cell>
        </row>
        <row r="334">
          <cell r="B334" t="str">
            <v>H-02-06</v>
          </cell>
          <cell r="C334" t="str">
            <v>HIDROCORTISONA SUCCINATO SODICO .:. 250 mg</v>
          </cell>
          <cell r="D334" t="str">
            <v>Inyectable</v>
          </cell>
          <cell r="E334">
            <v>35</v>
          </cell>
          <cell r="F334">
            <v>1714.6373592215</v>
          </cell>
          <cell r="H334">
            <v>180</v>
          </cell>
          <cell r="J334">
            <v>4190</v>
          </cell>
          <cell r="M334">
            <v>1</v>
          </cell>
          <cell r="N334">
            <v>21.758543</v>
          </cell>
          <cell r="P334">
            <v>107</v>
          </cell>
          <cell r="R334">
            <v>3555.7160370000001</v>
          </cell>
          <cell r="S334">
            <v>0</v>
          </cell>
          <cell r="T334">
            <v>0</v>
          </cell>
          <cell r="U334">
            <v>109</v>
          </cell>
          <cell r="V334">
            <v>21.749357798199998</v>
          </cell>
          <cell r="W334">
            <v>2370.6800000038002</v>
          </cell>
          <cell r="X334">
            <v>2.3737599999999999</v>
          </cell>
          <cell r="Y334">
            <v>0</v>
          </cell>
          <cell r="Z334">
            <v>21.749357798199998</v>
          </cell>
          <cell r="AA334">
            <v>2370.6800000038002</v>
          </cell>
        </row>
        <row r="335">
          <cell r="B335" t="str">
            <v>H-02-07</v>
          </cell>
          <cell r="C335" t="str">
            <v>METILPREDNISOLONA SUCCINATO SODICO .:. 500 mg</v>
          </cell>
          <cell r="D335" t="str">
            <v>Inyectable</v>
          </cell>
          <cell r="E335">
            <v>78</v>
          </cell>
          <cell r="F335">
            <v>7209.0026830692004</v>
          </cell>
          <cell r="H335">
            <v>230</v>
          </cell>
          <cell r="J335">
            <v>16840</v>
          </cell>
          <cell r="M335">
            <v>13</v>
          </cell>
          <cell r="N335">
            <v>950.13316599999996</v>
          </cell>
          <cell r="P335">
            <v>271</v>
          </cell>
          <cell r="R335">
            <v>21311.628938000002</v>
          </cell>
          <cell r="S335">
            <v>8</v>
          </cell>
          <cell r="T335">
            <v>584.00646099999994</v>
          </cell>
          <cell r="U335">
            <v>42</v>
          </cell>
          <cell r="V335">
            <v>73.892857142899999</v>
          </cell>
          <cell r="W335">
            <v>3103.5000000017999</v>
          </cell>
          <cell r="X335">
            <v>2.3737599999999999</v>
          </cell>
          <cell r="Y335">
            <v>0</v>
          </cell>
          <cell r="Z335">
            <v>73.892857142899999</v>
          </cell>
          <cell r="AA335">
            <v>3103.5000000017999</v>
          </cell>
        </row>
        <row r="336">
          <cell r="B336" t="str">
            <v>H-02-08</v>
          </cell>
          <cell r="C336" t="str">
            <v>PREDNISONA .:. 5 mg</v>
          </cell>
          <cell r="D336" t="str">
            <v>Comprimido</v>
          </cell>
          <cell r="E336">
            <v>1476</v>
          </cell>
          <cell r="F336">
            <v>497.10729913559999</v>
          </cell>
          <cell r="H336">
            <v>7000</v>
          </cell>
          <cell r="J336">
            <v>2250</v>
          </cell>
          <cell r="M336">
            <v>90</v>
          </cell>
          <cell r="N336">
            <v>29.104019999999998</v>
          </cell>
          <cell r="P336">
            <v>7036</v>
          </cell>
          <cell r="R336">
            <v>2316.5329419999998</v>
          </cell>
          <cell r="S336">
            <v>0</v>
          </cell>
          <cell r="T336">
            <v>0</v>
          </cell>
          <cell r="U336">
            <v>1530</v>
          </cell>
          <cell r="V336">
            <v>0.30044444440000001</v>
          </cell>
          <cell r="W336">
            <v>459.67999993199999</v>
          </cell>
          <cell r="X336">
            <v>2.3737599999999999</v>
          </cell>
          <cell r="Y336">
            <v>0</v>
          </cell>
          <cell r="Z336">
            <v>0.30044444440000001</v>
          </cell>
          <cell r="AA336">
            <v>459.67999993199999</v>
          </cell>
        </row>
        <row r="337">
          <cell r="B337" t="str">
            <v>H-02-09</v>
          </cell>
          <cell r="C337" t="str">
            <v>PREDNISONA .:. 20 mg</v>
          </cell>
          <cell r="D337" t="str">
            <v>Comprimido ranurado</v>
          </cell>
          <cell r="E337">
            <v>881</v>
          </cell>
          <cell r="F337">
            <v>811.94407315609999</v>
          </cell>
          <cell r="H337">
            <v>2400</v>
          </cell>
          <cell r="J337">
            <v>1799</v>
          </cell>
          <cell r="M337">
            <v>8</v>
          </cell>
          <cell r="N337">
            <v>6.32</v>
          </cell>
          <cell r="P337">
            <v>2444</v>
          </cell>
          <cell r="R337">
            <v>2051.4710989999999</v>
          </cell>
          <cell r="S337">
            <v>0</v>
          </cell>
          <cell r="T337">
            <v>0</v>
          </cell>
          <cell r="U337">
            <v>845</v>
          </cell>
          <cell r="V337">
            <v>0.66957396449999995</v>
          </cell>
          <cell r="W337">
            <v>565.79000000250005</v>
          </cell>
          <cell r="X337">
            <v>2.3737599999999999</v>
          </cell>
          <cell r="Y337">
            <v>0</v>
          </cell>
          <cell r="Z337">
            <v>0.66957396449999995</v>
          </cell>
          <cell r="AA337">
            <v>565.79000000250005</v>
          </cell>
        </row>
        <row r="338">
          <cell r="B338" t="str">
            <v>H-03-01</v>
          </cell>
          <cell r="C338" t="str">
            <v>LEVOTIROXINA SODICA .:. 0,1 mg</v>
          </cell>
          <cell r="D338" t="str">
            <v>Comprimido ranurado</v>
          </cell>
          <cell r="E338">
            <v>6801</v>
          </cell>
          <cell r="F338">
            <v>3541.6709230173001</v>
          </cell>
          <cell r="H338">
            <v>31000</v>
          </cell>
          <cell r="J338">
            <v>16370</v>
          </cell>
          <cell r="M338">
            <v>11</v>
          </cell>
          <cell r="N338">
            <v>5.7821059999999997</v>
          </cell>
          <cell r="P338">
            <v>29382</v>
          </cell>
          <cell r="R338">
            <v>15486.208780999999</v>
          </cell>
          <cell r="S338">
            <v>0</v>
          </cell>
          <cell r="T338">
            <v>0</v>
          </cell>
          <cell r="U338">
            <v>8430</v>
          </cell>
          <cell r="V338">
            <v>0.52565124559999998</v>
          </cell>
          <cell r="W338">
            <v>4431.240000408</v>
          </cell>
          <cell r="X338">
            <v>2.3737599999999999</v>
          </cell>
          <cell r="Y338">
            <v>0</v>
          </cell>
          <cell r="Z338">
            <v>0.52565124559999998</v>
          </cell>
          <cell r="AA338">
            <v>4431.240000408</v>
          </cell>
        </row>
        <row r="339">
          <cell r="B339" t="str">
            <v>H-03-02</v>
          </cell>
          <cell r="C339" t="str">
            <v>PROPILTIOURACILO .:. 50 mg</v>
          </cell>
          <cell r="D339" t="str">
            <v>Comprimido</v>
          </cell>
          <cell r="E339">
            <v>65</v>
          </cell>
          <cell r="F339">
            <v>82.053846575999998</v>
          </cell>
          <cell r="H339">
            <v>0</v>
          </cell>
          <cell r="J339">
            <v>0</v>
          </cell>
          <cell r="M339">
            <v>0</v>
          </cell>
          <cell r="N339">
            <v>0</v>
          </cell>
          <cell r="P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65</v>
          </cell>
          <cell r="V339">
            <v>1.2623076923000001</v>
          </cell>
          <cell r="W339">
            <v>82.049999999500002</v>
          </cell>
          <cell r="X339">
            <v>2.3737599999999999</v>
          </cell>
          <cell r="Y339">
            <v>0</v>
          </cell>
          <cell r="Z339">
            <v>1.2623076923000001</v>
          </cell>
          <cell r="AA339">
            <v>82.049999999500002</v>
          </cell>
        </row>
        <row r="340">
          <cell r="B340" t="str">
            <v>J-01-01</v>
          </cell>
          <cell r="C340" t="str">
            <v>ACIDO NALIDIXICO .:. 500 mg</v>
          </cell>
          <cell r="D340" t="str">
            <v>Comprimido</v>
          </cell>
          <cell r="E340">
            <v>82</v>
          </cell>
          <cell r="F340">
            <v>101.8519736882</v>
          </cell>
          <cell r="H340">
            <v>0</v>
          </cell>
          <cell r="J340">
            <v>0</v>
          </cell>
          <cell r="M340">
            <v>0</v>
          </cell>
          <cell r="N340">
            <v>0</v>
          </cell>
          <cell r="P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82</v>
          </cell>
          <cell r="V340">
            <v>1.2420731706999999</v>
          </cell>
          <cell r="W340">
            <v>101.8499999974</v>
          </cell>
          <cell r="X340">
            <v>2.3737599999999999</v>
          </cell>
          <cell r="Y340">
            <v>0</v>
          </cell>
          <cell r="Z340">
            <v>1.2420731706999999</v>
          </cell>
          <cell r="AA340">
            <v>101.8499999974</v>
          </cell>
        </row>
        <row r="341">
          <cell r="B341" t="str">
            <v>J-01-02</v>
          </cell>
          <cell r="C341" t="str">
            <v>ACIDO NALIDIXICO .:. 250 mg/5 ml</v>
          </cell>
          <cell r="D341" t="str">
            <v>Suspensión</v>
          </cell>
          <cell r="E341">
            <v>15</v>
          </cell>
          <cell r="F341">
            <v>293.05572912449998</v>
          </cell>
          <cell r="H341">
            <v>0</v>
          </cell>
          <cell r="J341">
            <v>0</v>
          </cell>
          <cell r="M341">
            <v>0</v>
          </cell>
          <cell r="N341">
            <v>0</v>
          </cell>
          <cell r="P341">
            <v>5</v>
          </cell>
          <cell r="R341">
            <v>97.685241000000005</v>
          </cell>
          <cell r="S341">
            <v>0</v>
          </cell>
          <cell r="T341">
            <v>0</v>
          </cell>
          <cell r="U341">
            <v>10</v>
          </cell>
          <cell r="V341">
            <v>19.536999999999999</v>
          </cell>
          <cell r="W341">
            <v>195.37</v>
          </cell>
          <cell r="X341">
            <v>2.3737599999999999</v>
          </cell>
          <cell r="Y341">
            <v>0</v>
          </cell>
          <cell r="Z341">
            <v>19.536999999999999</v>
          </cell>
          <cell r="AA341">
            <v>195.37</v>
          </cell>
        </row>
        <row r="342">
          <cell r="B342" t="str">
            <v>J-01-04</v>
          </cell>
          <cell r="C342" t="str">
            <v>AMIKACINA .:. 500 mg/ 2ml</v>
          </cell>
          <cell r="D342" t="str">
            <v>Inyectable</v>
          </cell>
          <cell r="E342">
            <v>149</v>
          </cell>
          <cell r="F342">
            <v>753.35009609660005</v>
          </cell>
          <cell r="H342">
            <v>300</v>
          </cell>
          <cell r="J342">
            <v>1784</v>
          </cell>
          <cell r="M342">
            <v>3</v>
          </cell>
          <cell r="N342">
            <v>16.323542</v>
          </cell>
          <cell r="P342">
            <v>391</v>
          </cell>
          <cell r="R342">
            <v>2217.7689730000002</v>
          </cell>
          <cell r="S342">
            <v>0</v>
          </cell>
          <cell r="T342">
            <v>0</v>
          </cell>
          <cell r="U342">
            <v>61</v>
          </cell>
          <cell r="V342">
            <v>5.506557377</v>
          </cell>
          <cell r="W342">
            <v>335.89999999700001</v>
          </cell>
          <cell r="X342">
            <v>2.3737599999999999</v>
          </cell>
          <cell r="Y342">
            <v>0</v>
          </cell>
          <cell r="Z342">
            <v>5.506557377</v>
          </cell>
          <cell r="AA342">
            <v>335.89999999700001</v>
          </cell>
        </row>
        <row r="343">
          <cell r="B343" t="str">
            <v>J-01-05</v>
          </cell>
          <cell r="C343" t="str">
            <v>AMOXICILINA .:. 1 g</v>
          </cell>
          <cell r="D343" t="str">
            <v>Comprimido</v>
          </cell>
          <cell r="E343">
            <v>4901</v>
          </cell>
          <cell r="F343">
            <v>4128.4659561600001</v>
          </cell>
          <cell r="H343">
            <v>0</v>
          </cell>
          <cell r="J343">
            <v>0</v>
          </cell>
          <cell r="M343">
            <v>0</v>
          </cell>
          <cell r="N343">
            <v>0</v>
          </cell>
          <cell r="P343">
            <v>2762</v>
          </cell>
          <cell r="R343">
            <v>2326.6318310000001</v>
          </cell>
          <cell r="S343">
            <v>0</v>
          </cell>
          <cell r="T343">
            <v>0</v>
          </cell>
          <cell r="U343">
            <v>2139</v>
          </cell>
          <cell r="V343">
            <v>0.84237026650000002</v>
          </cell>
          <cell r="W343">
            <v>1801.8300000434999</v>
          </cell>
          <cell r="X343">
            <v>2.3737599999999999</v>
          </cell>
          <cell r="Y343">
            <v>0</v>
          </cell>
          <cell r="Z343">
            <v>0.84237026650000002</v>
          </cell>
          <cell r="AA343">
            <v>1801.8300000434999</v>
          </cell>
        </row>
        <row r="344">
          <cell r="B344" t="str">
            <v>J-01-06</v>
          </cell>
          <cell r="C344" t="str">
            <v>AMOXICILINA .:. 500 mg</v>
          </cell>
          <cell r="D344" t="str">
            <v>Comprimido</v>
          </cell>
          <cell r="E344">
            <v>1252</v>
          </cell>
          <cell r="F344">
            <v>621.78611480400002</v>
          </cell>
          <cell r="H344">
            <v>0</v>
          </cell>
          <cell r="J344">
            <v>0</v>
          </cell>
          <cell r="M344">
            <v>824</v>
          </cell>
          <cell r="N344">
            <v>410.00059599999997</v>
          </cell>
          <cell r="P344">
            <v>688</v>
          </cell>
          <cell r="R344">
            <v>341.92854299999999</v>
          </cell>
          <cell r="S344">
            <v>824</v>
          </cell>
          <cell r="T344">
            <v>409.22661099999999</v>
          </cell>
          <cell r="U344">
            <v>564</v>
          </cell>
          <cell r="V344">
            <v>0.49757092200000003</v>
          </cell>
          <cell r="W344">
            <v>280.63000000800002</v>
          </cell>
          <cell r="X344">
            <v>2.3737599999999999</v>
          </cell>
          <cell r="Y344">
            <v>0</v>
          </cell>
          <cell r="Z344">
            <v>0.49757092200000003</v>
          </cell>
          <cell r="AA344">
            <v>280.63000000800002</v>
          </cell>
        </row>
        <row r="345">
          <cell r="B345" t="str">
            <v>J-01-09</v>
          </cell>
          <cell r="C345" t="str">
            <v>AMOXICILINA + INHIBIDOR BETALACTAMASA .:. 500 mg + Según disponibilidad</v>
          </cell>
          <cell r="D345" t="str">
            <v>Comprimido</v>
          </cell>
          <cell r="E345">
            <v>1273</v>
          </cell>
          <cell r="F345">
            <v>7097.4354101109002</v>
          </cell>
          <cell r="H345">
            <v>1000</v>
          </cell>
          <cell r="J345">
            <v>2330</v>
          </cell>
          <cell r="M345">
            <v>500</v>
          </cell>
          <cell r="N345">
            <v>2790</v>
          </cell>
          <cell r="P345">
            <v>1411</v>
          </cell>
          <cell r="R345">
            <v>7412.9193910000004</v>
          </cell>
          <cell r="S345">
            <v>500</v>
          </cell>
          <cell r="T345">
            <v>2787.680836</v>
          </cell>
          <cell r="U345">
            <v>862</v>
          </cell>
          <cell r="V345">
            <v>2.3397215777000002</v>
          </cell>
          <cell r="W345">
            <v>2016.8399999774001</v>
          </cell>
          <cell r="X345">
            <v>2.3737599999999999</v>
          </cell>
          <cell r="Y345">
            <v>0</v>
          </cell>
          <cell r="Z345">
            <v>2.3397215777000002</v>
          </cell>
          <cell r="AA345">
            <v>2016.8399999774001</v>
          </cell>
        </row>
        <row r="346">
          <cell r="B346" t="str">
            <v>J-01-10</v>
          </cell>
          <cell r="C346" t="str">
            <v>AMOXICILINA + INHIBIDOR BETALACTAMASA .:. 250 mg + Según disponibilidad</v>
          </cell>
          <cell r="D346" t="str">
            <v>Suspensión</v>
          </cell>
          <cell r="E346">
            <v>52</v>
          </cell>
          <cell r="F346">
            <v>2347.2062229876001</v>
          </cell>
          <cell r="H346">
            <v>0</v>
          </cell>
          <cell r="J346">
            <v>0</v>
          </cell>
          <cell r="M346">
            <v>7</v>
          </cell>
          <cell r="N346">
            <v>323.57738000000001</v>
          </cell>
          <cell r="P346">
            <v>28</v>
          </cell>
          <cell r="R346">
            <v>1267.6029880000001</v>
          </cell>
          <cell r="S346">
            <v>7</v>
          </cell>
          <cell r="T346">
            <v>315.97006800000003</v>
          </cell>
          <cell r="U346">
            <v>24</v>
          </cell>
          <cell r="V346">
            <v>45.300416666700002</v>
          </cell>
          <cell r="W346">
            <v>1087.2100000007999</v>
          </cell>
          <cell r="X346">
            <v>2.3737599999999999</v>
          </cell>
          <cell r="Y346">
            <v>0</v>
          </cell>
          <cell r="Z346">
            <v>45.300416666700002</v>
          </cell>
          <cell r="AA346">
            <v>1087.2100000007999</v>
          </cell>
        </row>
        <row r="347">
          <cell r="B347" t="str">
            <v>J-01-12</v>
          </cell>
          <cell r="C347" t="str">
            <v>AMPICILINA .:. 1 g</v>
          </cell>
          <cell r="D347" t="str">
            <v>Inyectable</v>
          </cell>
          <cell r="E347">
            <v>163</v>
          </cell>
          <cell r="F347">
            <v>767.57251417589998</v>
          </cell>
          <cell r="H347">
            <v>0</v>
          </cell>
          <cell r="J347">
            <v>0</v>
          </cell>
          <cell r="M347">
            <v>0</v>
          </cell>
          <cell r="N347">
            <v>0</v>
          </cell>
          <cell r="P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163</v>
          </cell>
          <cell r="V347">
            <v>4.7090184049000001</v>
          </cell>
          <cell r="W347">
            <v>767.56999999870004</v>
          </cell>
          <cell r="X347">
            <v>2.3737599999999999</v>
          </cell>
          <cell r="Y347">
            <v>0</v>
          </cell>
          <cell r="Z347">
            <v>4.7090184049000001</v>
          </cell>
          <cell r="AA347">
            <v>767.56999999870004</v>
          </cell>
        </row>
        <row r="348">
          <cell r="B348" t="str">
            <v>J-01-13</v>
          </cell>
          <cell r="C348" t="str">
            <v>AZITROMICINA .:. 500 mg</v>
          </cell>
          <cell r="D348" t="str">
            <v>Comprimido</v>
          </cell>
          <cell r="E348">
            <v>645</v>
          </cell>
          <cell r="F348">
            <v>1577.5802984955001</v>
          </cell>
          <cell r="H348">
            <v>3000</v>
          </cell>
          <cell r="J348">
            <v>7600</v>
          </cell>
          <cell r="M348">
            <v>15</v>
          </cell>
          <cell r="N348">
            <v>36.825245000000002</v>
          </cell>
          <cell r="P348">
            <v>2736</v>
          </cell>
          <cell r="R348">
            <v>7213.8588220000001</v>
          </cell>
          <cell r="S348">
            <v>0</v>
          </cell>
          <cell r="T348">
            <v>0</v>
          </cell>
          <cell r="U348">
            <v>924</v>
          </cell>
          <cell r="V348">
            <v>2.1650974025999998</v>
          </cell>
          <cell r="W348">
            <v>2000.5500000024001</v>
          </cell>
          <cell r="X348">
            <v>2.3737599999999999</v>
          </cell>
          <cell r="Y348">
            <v>0</v>
          </cell>
          <cell r="Z348">
            <v>2.1650974025999998</v>
          </cell>
          <cell r="AA348">
            <v>2000.5500000024001</v>
          </cell>
        </row>
        <row r="349">
          <cell r="B349" t="str">
            <v>J-01-15</v>
          </cell>
          <cell r="C349" t="str">
            <v>BENCILPENICILINA BENZATINICA .:. 1.200.000 UI</v>
          </cell>
          <cell r="D349" t="str">
            <v>Inyectable</v>
          </cell>
          <cell r="E349">
            <v>188</v>
          </cell>
          <cell r="F349">
            <v>1268.3197318888001</v>
          </cell>
          <cell r="H349">
            <v>0</v>
          </cell>
          <cell r="J349">
            <v>0</v>
          </cell>
          <cell r="M349">
            <v>20</v>
          </cell>
          <cell r="N349">
            <v>135.6</v>
          </cell>
          <cell r="P349">
            <v>73</v>
          </cell>
          <cell r="R349">
            <v>492.67491000000001</v>
          </cell>
          <cell r="S349">
            <v>20</v>
          </cell>
          <cell r="T349">
            <v>134.92763099999999</v>
          </cell>
          <cell r="U349">
            <v>115</v>
          </cell>
          <cell r="V349">
            <v>6.7506086957000004</v>
          </cell>
          <cell r="W349">
            <v>776.32000000549999</v>
          </cell>
          <cell r="X349">
            <v>2.3737599999999999</v>
          </cell>
          <cell r="Y349">
            <v>0</v>
          </cell>
          <cell r="Z349">
            <v>6.7506086957000004</v>
          </cell>
          <cell r="AA349">
            <v>776.32000000549999</v>
          </cell>
        </row>
        <row r="350">
          <cell r="B350" t="str">
            <v>J-01-16</v>
          </cell>
          <cell r="C350" t="str">
            <v>BENCILPENICILINA BENZATINICA .:. 2.400.000 UI</v>
          </cell>
          <cell r="D350" t="str">
            <v>Inyectable</v>
          </cell>
          <cell r="E350">
            <v>199</v>
          </cell>
          <cell r="F350">
            <v>2133.0058962856001</v>
          </cell>
          <cell r="H350">
            <v>0</v>
          </cell>
          <cell r="J350">
            <v>0</v>
          </cell>
          <cell r="M350">
            <v>0</v>
          </cell>
          <cell r="N350">
            <v>0</v>
          </cell>
          <cell r="P350">
            <v>89</v>
          </cell>
          <cell r="R350">
            <v>953.95736199999999</v>
          </cell>
          <cell r="S350">
            <v>0</v>
          </cell>
          <cell r="T350">
            <v>0</v>
          </cell>
          <cell r="U350">
            <v>110</v>
          </cell>
          <cell r="V350">
            <v>10.7186363636</v>
          </cell>
          <cell r="W350">
            <v>1179.049999996</v>
          </cell>
          <cell r="X350">
            <v>2.3737599999999999</v>
          </cell>
          <cell r="Y350">
            <v>0</v>
          </cell>
          <cell r="Z350">
            <v>10.7186363636</v>
          </cell>
          <cell r="AA350">
            <v>1179.049999996</v>
          </cell>
        </row>
        <row r="351">
          <cell r="B351" t="str">
            <v>J-01-18</v>
          </cell>
          <cell r="C351" t="str">
            <v>BENCILPENICILINA PROCAINICA .:. 800.000 UI</v>
          </cell>
          <cell r="D351" t="str">
            <v>Inyectable</v>
          </cell>
          <cell r="E351">
            <v>121</v>
          </cell>
          <cell r="F351">
            <v>522.73158589520006</v>
          </cell>
          <cell r="H351">
            <v>0</v>
          </cell>
          <cell r="J351">
            <v>0</v>
          </cell>
          <cell r="M351">
            <v>0</v>
          </cell>
          <cell r="N351">
            <v>0</v>
          </cell>
          <cell r="P351">
            <v>23</v>
          </cell>
          <cell r="R351">
            <v>99.362184999999997</v>
          </cell>
          <cell r="S351">
            <v>0</v>
          </cell>
          <cell r="T351">
            <v>0</v>
          </cell>
          <cell r="U351">
            <v>98</v>
          </cell>
          <cell r="V351">
            <v>4.3201020408000002</v>
          </cell>
          <cell r="W351">
            <v>423.36999999839998</v>
          </cell>
          <cell r="X351">
            <v>2.3737599999999999</v>
          </cell>
          <cell r="Y351">
            <v>0</v>
          </cell>
          <cell r="Z351">
            <v>4.3201020408000002</v>
          </cell>
          <cell r="AA351">
            <v>423.36999999839998</v>
          </cell>
        </row>
        <row r="352">
          <cell r="B352" t="str">
            <v>J-01-21</v>
          </cell>
          <cell r="C352" t="str">
            <v>CEFAZOLINA .:. 1 g</v>
          </cell>
          <cell r="D352" t="str">
            <v>Inyectable</v>
          </cell>
          <cell r="E352">
            <v>120</v>
          </cell>
          <cell r="F352">
            <v>1324.627250664</v>
          </cell>
          <cell r="H352">
            <v>330</v>
          </cell>
          <cell r="J352">
            <v>2072</v>
          </cell>
          <cell r="M352">
            <v>7</v>
          </cell>
          <cell r="N352">
            <v>43.531610000000001</v>
          </cell>
          <cell r="P352">
            <v>308</v>
          </cell>
          <cell r="R352">
            <v>2536.3404949999999</v>
          </cell>
          <cell r="S352">
            <v>0</v>
          </cell>
          <cell r="T352">
            <v>0</v>
          </cell>
          <cell r="U352">
            <v>149</v>
          </cell>
          <cell r="V352">
            <v>6.0659060402999998</v>
          </cell>
          <cell r="W352">
            <v>903.82000000469998</v>
          </cell>
          <cell r="X352">
            <v>2.3737599999999999</v>
          </cell>
          <cell r="Y352">
            <v>0</v>
          </cell>
          <cell r="Z352">
            <v>6.0659060402999998</v>
          </cell>
          <cell r="AA352">
            <v>903.82000000469998</v>
          </cell>
        </row>
        <row r="353">
          <cell r="B353" t="str">
            <v>J-01-22</v>
          </cell>
          <cell r="C353" t="str">
            <v>CEFOTAXIMA .:. 1 g</v>
          </cell>
          <cell r="D353" t="str">
            <v>Inyectable</v>
          </cell>
          <cell r="E353">
            <v>400</v>
          </cell>
          <cell r="F353">
            <v>2140.4760471200002</v>
          </cell>
          <cell r="H353">
            <v>450</v>
          </cell>
          <cell r="J353">
            <v>1700</v>
          </cell>
          <cell r="M353">
            <v>10</v>
          </cell>
          <cell r="N353">
            <v>51.867463999999998</v>
          </cell>
          <cell r="P353">
            <v>671</v>
          </cell>
          <cell r="R353">
            <v>3154.9584690000002</v>
          </cell>
          <cell r="S353">
            <v>0</v>
          </cell>
          <cell r="T353">
            <v>0</v>
          </cell>
          <cell r="U353">
            <v>189</v>
          </cell>
          <cell r="V353">
            <v>3.9015343914999998</v>
          </cell>
          <cell r="W353">
            <v>737.38999999350006</v>
          </cell>
          <cell r="X353">
            <v>2.3737599999999999</v>
          </cell>
          <cell r="Y353">
            <v>0</v>
          </cell>
          <cell r="Z353">
            <v>3.9015343914999998</v>
          </cell>
          <cell r="AA353">
            <v>737.38999999350006</v>
          </cell>
        </row>
        <row r="354">
          <cell r="B354" t="str">
            <v>J-01-23</v>
          </cell>
          <cell r="C354" t="str">
            <v>CEFRADINA .:. 500 mg</v>
          </cell>
          <cell r="D354" t="str">
            <v>Cápsula o Comprimido</v>
          </cell>
          <cell r="E354">
            <v>361</v>
          </cell>
          <cell r="F354">
            <v>463.3781371197</v>
          </cell>
          <cell r="H354">
            <v>500</v>
          </cell>
          <cell r="J354">
            <v>700</v>
          </cell>
          <cell r="M354">
            <v>0</v>
          </cell>
          <cell r="N354">
            <v>0</v>
          </cell>
          <cell r="P354">
            <v>604</v>
          </cell>
          <cell r="R354">
            <v>804.63939500000004</v>
          </cell>
          <cell r="S354">
            <v>0</v>
          </cell>
          <cell r="T354">
            <v>0</v>
          </cell>
          <cell r="U354">
            <v>257</v>
          </cell>
          <cell r="V354">
            <v>1.3958754864</v>
          </cell>
          <cell r="W354">
            <v>358.74000000479998</v>
          </cell>
          <cell r="X354">
            <v>2.3737599999999999</v>
          </cell>
          <cell r="Y354">
            <v>0</v>
          </cell>
          <cell r="Z354">
            <v>1.3958754864</v>
          </cell>
          <cell r="AA354">
            <v>358.74000000479998</v>
          </cell>
        </row>
        <row r="355">
          <cell r="B355" t="str">
            <v>J-01-24</v>
          </cell>
          <cell r="C355" t="str">
            <v>CEFRADINA .:. 250 mg/5 ml</v>
          </cell>
          <cell r="D355" t="str">
            <v>Suspensión</v>
          </cell>
          <cell r="E355">
            <v>8</v>
          </cell>
          <cell r="F355">
            <v>168.66910072479999</v>
          </cell>
          <cell r="H355">
            <v>0</v>
          </cell>
          <cell r="J355">
            <v>0</v>
          </cell>
          <cell r="M355">
            <v>0</v>
          </cell>
          <cell r="N355">
            <v>0</v>
          </cell>
          <cell r="P355">
            <v>3</v>
          </cell>
          <cell r="R355">
            <v>63.250912</v>
          </cell>
          <cell r="S355">
            <v>0</v>
          </cell>
          <cell r="T355">
            <v>0</v>
          </cell>
          <cell r="U355">
            <v>5</v>
          </cell>
          <cell r="V355">
            <v>21.084</v>
          </cell>
          <cell r="W355">
            <v>105.42</v>
          </cell>
          <cell r="X355">
            <v>2.3737599999999999</v>
          </cell>
          <cell r="Y355">
            <v>0</v>
          </cell>
          <cell r="Z355">
            <v>21.084</v>
          </cell>
          <cell r="AA355">
            <v>105.42</v>
          </cell>
        </row>
        <row r="356">
          <cell r="B356" t="str">
            <v>J-01-25</v>
          </cell>
          <cell r="C356" t="str">
            <v>CEFTAZIDIMA .:. 1 g</v>
          </cell>
          <cell r="D356" t="str">
            <v>Inyectable</v>
          </cell>
          <cell r="E356">
            <v>7</v>
          </cell>
          <cell r="F356">
            <v>165.01094451169999</v>
          </cell>
          <cell r="H356">
            <v>0</v>
          </cell>
          <cell r="J356">
            <v>0</v>
          </cell>
          <cell r="M356">
            <v>7</v>
          </cell>
          <cell r="N356">
            <v>165.01</v>
          </cell>
          <cell r="P356">
            <v>0</v>
          </cell>
          <cell r="R356">
            <v>0</v>
          </cell>
          <cell r="S356">
            <v>7</v>
          </cell>
          <cell r="T356">
            <v>165.01094399999999</v>
          </cell>
          <cell r="U356">
            <v>7</v>
          </cell>
          <cell r="V356">
            <v>23.572857142899998</v>
          </cell>
          <cell r="W356">
            <v>165.01000000030001</v>
          </cell>
          <cell r="X356">
            <v>2.3737599999999999</v>
          </cell>
          <cell r="Y356">
            <v>0</v>
          </cell>
          <cell r="Z356">
            <v>23.572857142899998</v>
          </cell>
          <cell r="AA356">
            <v>165.01000000030001</v>
          </cell>
        </row>
        <row r="357">
          <cell r="B357" t="str">
            <v>J-01-26</v>
          </cell>
          <cell r="C357" t="str">
            <v>CEFTRIAXONA .:. 1 g</v>
          </cell>
          <cell r="D357" t="str">
            <v>Inyectable</v>
          </cell>
          <cell r="E357">
            <v>206</v>
          </cell>
          <cell r="F357">
            <v>1008.9393431914</v>
          </cell>
          <cell r="H357">
            <v>2699</v>
          </cell>
          <cell r="J357">
            <v>11956</v>
          </cell>
          <cell r="M357">
            <v>131</v>
          </cell>
          <cell r="N357">
            <v>578.90537700000004</v>
          </cell>
          <cell r="P357">
            <v>2271</v>
          </cell>
          <cell r="R357">
            <v>10298.229313</v>
          </cell>
          <cell r="S357">
            <v>0</v>
          </cell>
          <cell r="T357">
            <v>0</v>
          </cell>
          <cell r="U357">
            <v>765</v>
          </cell>
          <cell r="V357">
            <v>4.2426405229000004</v>
          </cell>
          <cell r="W357">
            <v>3245.6200000184999</v>
          </cell>
          <cell r="X357">
            <v>2.3737599999999999</v>
          </cell>
          <cell r="Y357">
            <v>0</v>
          </cell>
          <cell r="Z357">
            <v>4.2426405229000004</v>
          </cell>
          <cell r="AA357">
            <v>3245.6200000184999</v>
          </cell>
        </row>
        <row r="358">
          <cell r="B358" t="str">
            <v>J-01-27</v>
          </cell>
          <cell r="C358" t="str">
            <v>CIPROFLOXACINA .:. 500 mg</v>
          </cell>
          <cell r="D358" t="str">
            <v>Comprimido</v>
          </cell>
          <cell r="E358">
            <v>3334</v>
          </cell>
          <cell r="F358">
            <v>1867.1830362682001</v>
          </cell>
          <cell r="H358">
            <v>1800</v>
          </cell>
          <cell r="J358">
            <v>864</v>
          </cell>
          <cell r="M358">
            <v>0</v>
          </cell>
          <cell r="N358">
            <v>0</v>
          </cell>
          <cell r="P358">
            <v>3961</v>
          </cell>
          <cell r="R358">
            <v>2168.1429349999999</v>
          </cell>
          <cell r="S358">
            <v>0</v>
          </cell>
          <cell r="T358">
            <v>0</v>
          </cell>
          <cell r="U358">
            <v>1173</v>
          </cell>
          <cell r="V358">
            <v>0.48</v>
          </cell>
          <cell r="W358">
            <v>563.04</v>
          </cell>
          <cell r="X358">
            <v>2.3737599999999999</v>
          </cell>
          <cell r="Y358">
            <v>0</v>
          </cell>
          <cell r="Z358">
            <v>0.48</v>
          </cell>
          <cell r="AA358">
            <v>563.04</v>
          </cell>
        </row>
        <row r="359">
          <cell r="B359" t="str">
            <v>J-01-28</v>
          </cell>
          <cell r="C359" t="str">
            <v>CIPROFLOXACINA .:. 200 mg</v>
          </cell>
          <cell r="D359" t="str">
            <v>Inyectable</v>
          </cell>
          <cell r="E359">
            <v>235</v>
          </cell>
          <cell r="F359">
            <v>1929.8812697640001</v>
          </cell>
          <cell r="H359">
            <v>200</v>
          </cell>
          <cell r="J359">
            <v>1600</v>
          </cell>
          <cell r="M359">
            <v>8</v>
          </cell>
          <cell r="N359">
            <v>65.803120000000007</v>
          </cell>
          <cell r="P359">
            <v>265</v>
          </cell>
          <cell r="R359">
            <v>2169.699869</v>
          </cell>
          <cell r="S359">
            <v>0</v>
          </cell>
          <cell r="T359">
            <v>0</v>
          </cell>
          <cell r="U359">
            <v>178</v>
          </cell>
          <cell r="V359">
            <v>8.0111235955000009</v>
          </cell>
          <cell r="W359">
            <v>1425.979999999</v>
          </cell>
          <cell r="X359">
            <v>2.3737599999999999</v>
          </cell>
          <cell r="Y359">
            <v>0</v>
          </cell>
          <cell r="Z359">
            <v>8.0111235955000009</v>
          </cell>
          <cell r="AA359">
            <v>1425.979999999</v>
          </cell>
        </row>
        <row r="360">
          <cell r="B360" t="str">
            <v>J-01-29</v>
          </cell>
          <cell r="C360" t="str">
            <v>CLARITROMICINA .:. 500 mg</v>
          </cell>
          <cell r="D360" t="str">
            <v>Comprimido</v>
          </cell>
          <cell r="E360">
            <v>920</v>
          </cell>
          <cell r="F360">
            <v>2345.8630213840001</v>
          </cell>
          <cell r="H360">
            <v>1500</v>
          </cell>
          <cell r="J360">
            <v>4795</v>
          </cell>
          <cell r="M360">
            <v>14</v>
          </cell>
          <cell r="N360">
            <v>35.933646000000003</v>
          </cell>
          <cell r="P360">
            <v>1630</v>
          </cell>
          <cell r="R360">
            <v>4607.7962580000003</v>
          </cell>
          <cell r="S360">
            <v>0</v>
          </cell>
          <cell r="T360">
            <v>0</v>
          </cell>
          <cell r="U360">
            <v>804</v>
          </cell>
          <cell r="V360">
            <v>3.1952736318000001</v>
          </cell>
          <cell r="W360">
            <v>2568.9999999672</v>
          </cell>
          <cell r="X360">
            <v>2.3737599999999999</v>
          </cell>
          <cell r="Y360">
            <v>0</v>
          </cell>
          <cell r="Z360">
            <v>3.1952736318000001</v>
          </cell>
          <cell r="AA360">
            <v>2568.9999999672</v>
          </cell>
        </row>
        <row r="361">
          <cell r="B361" t="str">
            <v>J-01-30</v>
          </cell>
          <cell r="C361" t="str">
            <v>CLARITROMICINA .:. 250 mg/5 ml</v>
          </cell>
          <cell r="D361" t="str">
            <v>Suspensión</v>
          </cell>
          <cell r="E361">
            <v>13</v>
          </cell>
          <cell r="F361">
            <v>933.69362118499998</v>
          </cell>
          <cell r="H361">
            <v>10</v>
          </cell>
          <cell r="J361">
            <v>454</v>
          </cell>
          <cell r="M361">
            <v>0</v>
          </cell>
          <cell r="N361">
            <v>0</v>
          </cell>
          <cell r="P361">
            <v>10</v>
          </cell>
          <cell r="R361">
            <v>718.22586000000001</v>
          </cell>
          <cell r="S361">
            <v>0</v>
          </cell>
          <cell r="T361">
            <v>0</v>
          </cell>
          <cell r="U361">
            <v>13</v>
          </cell>
          <cell r="V361">
            <v>51.4976923077</v>
          </cell>
          <cell r="W361">
            <v>669.47000000009996</v>
          </cell>
          <cell r="X361">
            <v>2.3737599999999999</v>
          </cell>
          <cell r="Y361">
            <v>0</v>
          </cell>
          <cell r="Z361">
            <v>51.4976923077</v>
          </cell>
          <cell r="AA361">
            <v>669.47000000009996</v>
          </cell>
        </row>
        <row r="362">
          <cell r="B362" t="str">
            <v>J-01-36</v>
          </cell>
          <cell r="C362" t="str">
            <v>CLOXACILINA .:. 1 g</v>
          </cell>
          <cell r="D362" t="str">
            <v>Inyectable</v>
          </cell>
          <cell r="E362">
            <v>87</v>
          </cell>
          <cell r="F362">
            <v>671.05369852620004</v>
          </cell>
          <cell r="H362">
            <v>0</v>
          </cell>
          <cell r="J362">
            <v>0</v>
          </cell>
          <cell r="M362">
            <v>72</v>
          </cell>
          <cell r="N362">
            <v>546.48</v>
          </cell>
          <cell r="P362">
            <v>21</v>
          </cell>
          <cell r="R362">
            <v>161.25889900000001</v>
          </cell>
          <cell r="S362">
            <v>70</v>
          </cell>
          <cell r="T362">
            <v>539.92826100000002</v>
          </cell>
          <cell r="U362">
            <v>68</v>
          </cell>
          <cell r="V362">
            <v>7.5933823529</v>
          </cell>
          <cell r="W362">
            <v>516.34999999720003</v>
          </cell>
          <cell r="X362">
            <v>2.3737599999999999</v>
          </cell>
          <cell r="Y362">
            <v>0</v>
          </cell>
          <cell r="Z362">
            <v>7.5933823529</v>
          </cell>
          <cell r="AA362">
            <v>516.34999999720003</v>
          </cell>
        </row>
        <row r="363">
          <cell r="B363" t="str">
            <v>J-01-37</v>
          </cell>
          <cell r="C363" t="str">
            <v>COTRIMOXAZOL (SULFAMETOXAZOL + TRIMETOPRIMA) .:. 800 mg + 160 mg</v>
          </cell>
          <cell r="D363" t="str">
            <v>Comprimido</v>
          </cell>
          <cell r="E363">
            <v>713</v>
          </cell>
          <cell r="F363">
            <v>433.25063773160002</v>
          </cell>
          <cell r="H363">
            <v>1500</v>
          </cell>
          <cell r="J363">
            <v>765</v>
          </cell>
          <cell r="M363">
            <v>4</v>
          </cell>
          <cell r="N363">
            <v>2.0064039999999999</v>
          </cell>
          <cell r="P363">
            <v>1759</v>
          </cell>
          <cell r="R363">
            <v>970.67303000000004</v>
          </cell>
          <cell r="S363">
            <v>0</v>
          </cell>
          <cell r="T363">
            <v>0</v>
          </cell>
          <cell r="U363">
            <v>458</v>
          </cell>
          <cell r="V363">
            <v>0.50126637549999997</v>
          </cell>
          <cell r="W363">
            <v>229.57999997900001</v>
          </cell>
          <cell r="X363">
            <v>2.3737599999999999</v>
          </cell>
          <cell r="Y363">
            <v>0</v>
          </cell>
          <cell r="Z363">
            <v>0.50126637549999997</v>
          </cell>
          <cell r="AA363">
            <v>229.57999997900001</v>
          </cell>
        </row>
        <row r="364">
          <cell r="B364" t="str">
            <v>J-01-38</v>
          </cell>
          <cell r="C364" t="str">
            <v>COTRIMOXAZOL (SULFAMETOXAZOL + TRIMETOPRIMA) .:. 200 mg + 40 mg/5 ml</v>
          </cell>
          <cell r="D364" t="str">
            <v>Suspensión</v>
          </cell>
          <cell r="E364">
            <v>32</v>
          </cell>
          <cell r="F364">
            <v>330.86328613440003</v>
          </cell>
          <cell r="H364">
            <v>20</v>
          </cell>
          <cell r="J364">
            <v>183.4</v>
          </cell>
          <cell r="M364">
            <v>0</v>
          </cell>
          <cell r="N364">
            <v>0</v>
          </cell>
          <cell r="P364">
            <v>37</v>
          </cell>
          <cell r="R364">
            <v>374.42515700000001</v>
          </cell>
          <cell r="S364">
            <v>0</v>
          </cell>
          <cell r="T364">
            <v>0</v>
          </cell>
          <cell r="U364">
            <v>15</v>
          </cell>
          <cell r="V364">
            <v>9.3226666667</v>
          </cell>
          <cell r="W364">
            <v>139.8400000005</v>
          </cell>
          <cell r="X364">
            <v>2.3737599999999999</v>
          </cell>
          <cell r="Y364">
            <v>0</v>
          </cell>
          <cell r="Z364">
            <v>9.3226666667</v>
          </cell>
          <cell r="AA364">
            <v>139.8400000005</v>
          </cell>
        </row>
        <row r="365">
          <cell r="B365" t="str">
            <v>J-01-41</v>
          </cell>
          <cell r="C365" t="str">
            <v>DICLOXACILINA SODICA .:. 500 mg</v>
          </cell>
          <cell r="D365" t="str">
            <v>Cápsula</v>
          </cell>
          <cell r="E365">
            <v>463</v>
          </cell>
          <cell r="F365">
            <v>385.45714433630002</v>
          </cell>
          <cell r="H365">
            <v>400</v>
          </cell>
          <cell r="J365">
            <v>324</v>
          </cell>
          <cell r="M365">
            <v>0</v>
          </cell>
          <cell r="N365">
            <v>0</v>
          </cell>
          <cell r="P365">
            <v>559</v>
          </cell>
          <cell r="R365">
            <v>463.217129</v>
          </cell>
          <cell r="S365">
            <v>0</v>
          </cell>
          <cell r="T365">
            <v>0</v>
          </cell>
          <cell r="U365">
            <v>304</v>
          </cell>
          <cell r="V365">
            <v>0.81</v>
          </cell>
          <cell r="W365">
            <v>246.24</v>
          </cell>
          <cell r="X365">
            <v>2.3737599999999999</v>
          </cell>
          <cell r="Y365">
            <v>0</v>
          </cell>
          <cell r="Z365">
            <v>0.81</v>
          </cell>
          <cell r="AA365">
            <v>246.24</v>
          </cell>
        </row>
        <row r="366">
          <cell r="B366" t="str">
            <v>J-01-42</v>
          </cell>
          <cell r="C366" t="str">
            <v>DICLOXACILINA SODICA .:. 250 mg/5 ml</v>
          </cell>
          <cell r="D366" t="str">
            <v>Suspensión</v>
          </cell>
          <cell r="E366">
            <v>6</v>
          </cell>
          <cell r="F366">
            <v>121.6723973964</v>
          </cell>
          <cell r="H366">
            <v>0</v>
          </cell>
          <cell r="J366">
            <v>0</v>
          </cell>
          <cell r="M366">
            <v>0</v>
          </cell>
          <cell r="N366">
            <v>0</v>
          </cell>
          <cell r="P366">
            <v>5</v>
          </cell>
          <cell r="R366">
            <v>101.39366099999999</v>
          </cell>
          <cell r="S366">
            <v>0</v>
          </cell>
          <cell r="T366">
            <v>0</v>
          </cell>
          <cell r="U366">
            <v>1</v>
          </cell>
          <cell r="V366">
            <v>20.28</v>
          </cell>
          <cell r="W366">
            <v>20.28</v>
          </cell>
          <cell r="X366">
            <v>2.3737599999999999</v>
          </cell>
          <cell r="Y366">
            <v>0</v>
          </cell>
          <cell r="Z366">
            <v>20.28</v>
          </cell>
          <cell r="AA366">
            <v>20.28</v>
          </cell>
        </row>
        <row r="367">
          <cell r="B367" t="str">
            <v>J-01-44</v>
          </cell>
          <cell r="C367" t="str">
            <v>DOXICICLINA .:. 100 mg</v>
          </cell>
          <cell r="D367" t="str">
            <v>Cápsula o Comprimido</v>
          </cell>
          <cell r="E367">
            <v>716</v>
          </cell>
          <cell r="F367">
            <v>430.41749650840001</v>
          </cell>
          <cell r="H367">
            <v>800</v>
          </cell>
          <cell r="J367">
            <v>392</v>
          </cell>
          <cell r="M367">
            <v>0</v>
          </cell>
          <cell r="N367">
            <v>0</v>
          </cell>
          <cell r="P367">
            <v>993</v>
          </cell>
          <cell r="R367">
            <v>562.60539500000004</v>
          </cell>
          <cell r="S367">
            <v>0</v>
          </cell>
          <cell r="T367">
            <v>0</v>
          </cell>
          <cell r="U367">
            <v>523</v>
          </cell>
          <cell r="V367">
            <v>0.49676864240000002</v>
          </cell>
          <cell r="W367">
            <v>259.80999997520001</v>
          </cell>
          <cell r="X367">
            <v>2.3737599999999999</v>
          </cell>
          <cell r="Y367">
            <v>0</v>
          </cell>
          <cell r="Z367">
            <v>0.49676864240000002</v>
          </cell>
          <cell r="AA367">
            <v>259.80999997520001</v>
          </cell>
        </row>
        <row r="368">
          <cell r="B368" t="str">
            <v>J-01-45</v>
          </cell>
          <cell r="C368" t="str">
            <v>ERITROMICINA ESTEARATO .:. 500 mg</v>
          </cell>
          <cell r="D368" t="str">
            <v>Cápsula o Comprimido</v>
          </cell>
          <cell r="E368">
            <v>1031</v>
          </cell>
          <cell r="F368">
            <v>1006.2136436332</v>
          </cell>
          <cell r="H368">
            <v>0</v>
          </cell>
          <cell r="J368">
            <v>0</v>
          </cell>
          <cell r="M368">
            <v>817</v>
          </cell>
          <cell r="N368">
            <v>800.66</v>
          </cell>
          <cell r="P368">
            <v>40</v>
          </cell>
          <cell r="R368">
            <v>39.166448000000003</v>
          </cell>
          <cell r="S368">
            <v>1031</v>
          </cell>
          <cell r="T368">
            <v>1006.8989340000001</v>
          </cell>
          <cell r="U368">
            <v>777</v>
          </cell>
          <cell r="V368">
            <v>0.97916344919999998</v>
          </cell>
          <cell r="W368">
            <v>760.81000002840005</v>
          </cell>
          <cell r="X368">
            <v>2.3737599999999999</v>
          </cell>
          <cell r="Y368">
            <v>0</v>
          </cell>
          <cell r="Z368">
            <v>0.97916344919999998</v>
          </cell>
          <cell r="AA368">
            <v>760.81000002840005</v>
          </cell>
        </row>
        <row r="369">
          <cell r="B369" t="str">
            <v>J-01-46</v>
          </cell>
          <cell r="C369" t="str">
            <v>ERITROMICINA ETILSUCCINATO .:. 250 mg/5 ml</v>
          </cell>
          <cell r="D369" t="str">
            <v>Suspensión</v>
          </cell>
          <cell r="E369">
            <v>11</v>
          </cell>
          <cell r="F369">
            <v>157.98910741239999</v>
          </cell>
          <cell r="H369">
            <v>0</v>
          </cell>
          <cell r="J369">
            <v>0</v>
          </cell>
          <cell r="M369">
            <v>0</v>
          </cell>
          <cell r="N369">
            <v>0</v>
          </cell>
          <cell r="P369">
            <v>4</v>
          </cell>
          <cell r="R369">
            <v>57.450583999999999</v>
          </cell>
          <cell r="S369">
            <v>0</v>
          </cell>
          <cell r="T369">
            <v>0</v>
          </cell>
          <cell r="U369">
            <v>7</v>
          </cell>
          <cell r="V369">
            <v>14.362857142899999</v>
          </cell>
          <cell r="W369">
            <v>100.5400000003</v>
          </cell>
          <cell r="X369">
            <v>2.3737599999999999</v>
          </cell>
          <cell r="Y369">
            <v>0</v>
          </cell>
          <cell r="Z369">
            <v>14.362857142899999</v>
          </cell>
          <cell r="AA369">
            <v>100.5400000003</v>
          </cell>
        </row>
        <row r="370">
          <cell r="B370" t="str">
            <v>J-01-49</v>
          </cell>
          <cell r="C370" t="str">
            <v>GENTAMICINA SULFATO .:. 80 mg</v>
          </cell>
          <cell r="D370" t="str">
            <v>Inyectable</v>
          </cell>
          <cell r="E370">
            <v>13</v>
          </cell>
          <cell r="F370">
            <v>25.061580363299999</v>
          </cell>
          <cell r="H370">
            <v>0</v>
          </cell>
          <cell r="J370">
            <v>0</v>
          </cell>
          <cell r="M370">
            <v>0</v>
          </cell>
          <cell r="N370">
            <v>0</v>
          </cell>
          <cell r="P370">
            <v>13</v>
          </cell>
          <cell r="R370">
            <v>25.061575999999999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2.3737599999999999</v>
          </cell>
          <cell r="Y370">
            <v>0</v>
          </cell>
          <cell r="Z370">
            <v>0</v>
          </cell>
          <cell r="AA370">
            <v>0</v>
          </cell>
        </row>
        <row r="371">
          <cell r="B371" t="str">
            <v>J-01-50</v>
          </cell>
          <cell r="C371" t="str">
            <v>IMIPENEM + CILASTATINA .:. 500 mg + 500 mg</v>
          </cell>
          <cell r="D371" t="str">
            <v>Inyectable</v>
          </cell>
          <cell r="E371">
            <v>191</v>
          </cell>
          <cell r="F371">
            <v>7639.8802429999996</v>
          </cell>
          <cell r="H371">
            <v>600</v>
          </cell>
          <cell r="J371">
            <v>24700</v>
          </cell>
          <cell r="M371">
            <v>39</v>
          </cell>
          <cell r="N371">
            <v>1732.560275</v>
          </cell>
          <cell r="P371">
            <v>742</v>
          </cell>
          <cell r="R371">
            <v>30215.933756999999</v>
          </cell>
          <cell r="S371">
            <v>0</v>
          </cell>
          <cell r="T371">
            <v>0</v>
          </cell>
          <cell r="U371">
            <v>88</v>
          </cell>
          <cell r="V371">
            <v>43.823977272699999</v>
          </cell>
          <cell r="W371">
            <v>3856.5099999976001</v>
          </cell>
          <cell r="X371">
            <v>2.3737599999999999</v>
          </cell>
          <cell r="Y371">
            <v>0</v>
          </cell>
          <cell r="Z371">
            <v>43.823977272699999</v>
          </cell>
          <cell r="AA371">
            <v>3856.5099999976001</v>
          </cell>
        </row>
        <row r="372">
          <cell r="B372" t="str">
            <v>J-01-51</v>
          </cell>
          <cell r="C372" t="str">
            <v>NITROFURANTOINA .:. 100 mg</v>
          </cell>
          <cell r="D372" t="str">
            <v>Comprimido</v>
          </cell>
          <cell r="E372">
            <v>278</v>
          </cell>
          <cell r="F372">
            <v>153.6475852568</v>
          </cell>
          <cell r="H372">
            <v>300</v>
          </cell>
          <cell r="J372">
            <v>147</v>
          </cell>
          <cell r="M372">
            <v>0</v>
          </cell>
          <cell r="N372">
            <v>0</v>
          </cell>
          <cell r="P372">
            <v>440</v>
          </cell>
          <cell r="R372">
            <v>232.775598</v>
          </cell>
          <cell r="S372">
            <v>0</v>
          </cell>
          <cell r="T372">
            <v>0</v>
          </cell>
          <cell r="U372">
            <v>138</v>
          </cell>
          <cell r="V372">
            <v>0.49181159419999998</v>
          </cell>
          <cell r="W372">
            <v>67.869999999599997</v>
          </cell>
          <cell r="X372">
            <v>2.3737599999999999</v>
          </cell>
          <cell r="Y372">
            <v>0</v>
          </cell>
          <cell r="Z372">
            <v>0.49181159419999998</v>
          </cell>
          <cell r="AA372">
            <v>67.869999999599997</v>
          </cell>
        </row>
        <row r="373">
          <cell r="B373" t="str">
            <v>J-01-54</v>
          </cell>
          <cell r="C373" t="str">
            <v>TETRACICLINA .:. 500 mg</v>
          </cell>
          <cell r="D373" t="str">
            <v>Cápsula o Comprimido</v>
          </cell>
          <cell r="E373">
            <v>1500</v>
          </cell>
          <cell r="F373">
            <v>676.99907384999995</v>
          </cell>
          <cell r="H373">
            <v>0</v>
          </cell>
          <cell r="J373">
            <v>0</v>
          </cell>
          <cell r="M373">
            <v>0</v>
          </cell>
          <cell r="N373">
            <v>0</v>
          </cell>
          <cell r="P373">
            <v>196</v>
          </cell>
          <cell r="R373">
            <v>88.461208999999997</v>
          </cell>
          <cell r="S373">
            <v>318</v>
          </cell>
          <cell r="T373">
            <v>143.52380299999999</v>
          </cell>
          <cell r="U373">
            <v>986</v>
          </cell>
          <cell r="V373">
            <v>0.4513286004</v>
          </cell>
          <cell r="W373">
            <v>445.0099999944</v>
          </cell>
          <cell r="X373">
            <v>2.3737599999999999</v>
          </cell>
          <cell r="Y373">
            <v>0</v>
          </cell>
          <cell r="Z373">
            <v>0.4513286004</v>
          </cell>
          <cell r="AA373">
            <v>445.0099999944</v>
          </cell>
        </row>
        <row r="374">
          <cell r="B374" t="str">
            <v>J-01-55</v>
          </cell>
          <cell r="C374" t="str">
            <v>VANCOMICINA .:. 500 mg</v>
          </cell>
          <cell r="D374" t="str">
            <v>Inyectable</v>
          </cell>
          <cell r="E374">
            <v>116</v>
          </cell>
          <cell r="F374">
            <v>1126.8407966955999</v>
          </cell>
          <cell r="H374">
            <v>600</v>
          </cell>
          <cell r="J374">
            <v>9715</v>
          </cell>
          <cell r="M374">
            <v>14</v>
          </cell>
          <cell r="N374">
            <v>250.95068599999999</v>
          </cell>
          <cell r="P374">
            <v>633</v>
          </cell>
          <cell r="R374">
            <v>9843.745336</v>
          </cell>
          <cell r="S374">
            <v>0</v>
          </cell>
          <cell r="T374">
            <v>0</v>
          </cell>
          <cell r="U374">
            <v>97</v>
          </cell>
          <cell r="V374">
            <v>12.876804123699999</v>
          </cell>
          <cell r="W374">
            <v>1249.0499999988999</v>
          </cell>
          <cell r="X374">
            <v>2.3737599999999999</v>
          </cell>
          <cell r="Y374">
            <v>0</v>
          </cell>
          <cell r="Z374">
            <v>12.876804123699999</v>
          </cell>
          <cell r="AA374">
            <v>1249.0499999988999</v>
          </cell>
        </row>
        <row r="375">
          <cell r="B375" t="str">
            <v>J-01-57</v>
          </cell>
          <cell r="C375" t="str">
            <v>AMOXICILINA .:. 500 mg/5 ml</v>
          </cell>
          <cell r="D375" t="str">
            <v>Suspensión</v>
          </cell>
          <cell r="E375">
            <v>105</v>
          </cell>
          <cell r="F375">
            <v>1058.4142528995001</v>
          </cell>
          <cell r="H375">
            <v>0</v>
          </cell>
          <cell r="J375">
            <v>0</v>
          </cell>
          <cell r="M375">
            <v>23</v>
          </cell>
          <cell r="N375">
            <v>233.91</v>
          </cell>
          <cell r="P375">
            <v>78</v>
          </cell>
          <cell r="R375">
            <v>787.47189500000002</v>
          </cell>
          <cell r="S375">
            <v>23</v>
          </cell>
          <cell r="T375">
            <v>231.84312199999999</v>
          </cell>
          <cell r="U375">
            <v>27</v>
          </cell>
          <cell r="V375">
            <v>10.1114814815</v>
          </cell>
          <cell r="W375">
            <v>273.01000000049999</v>
          </cell>
          <cell r="X375">
            <v>2.3737599999999999</v>
          </cell>
          <cell r="Y375">
            <v>0</v>
          </cell>
          <cell r="Z375">
            <v>10.1114814815</v>
          </cell>
          <cell r="AA375">
            <v>273.01000000049999</v>
          </cell>
        </row>
        <row r="376">
          <cell r="B376" t="str">
            <v>J-01-58</v>
          </cell>
          <cell r="C376" t="str">
            <v>CEFIXIMA .:. 400 mg</v>
          </cell>
          <cell r="D376" t="str">
            <v>Comprimido o Cápsula</v>
          </cell>
          <cell r="E376">
            <v>419</v>
          </cell>
          <cell r="F376">
            <v>1350.9381421426999</v>
          </cell>
          <cell r="H376">
            <v>1800</v>
          </cell>
          <cell r="J376">
            <v>4750</v>
          </cell>
          <cell r="M376">
            <v>50</v>
          </cell>
          <cell r="N376">
            <v>116.31815</v>
          </cell>
          <cell r="P376">
            <v>1467</v>
          </cell>
          <cell r="R376">
            <v>3819.2762109999999</v>
          </cell>
          <cell r="S376">
            <v>0</v>
          </cell>
          <cell r="T376">
            <v>0</v>
          </cell>
          <cell r="U376">
            <v>802</v>
          </cell>
          <cell r="V376">
            <v>2.99</v>
          </cell>
          <cell r="W376">
            <v>2397.98</v>
          </cell>
          <cell r="X376">
            <v>2.3737599999999999</v>
          </cell>
          <cell r="Y376">
            <v>0</v>
          </cell>
          <cell r="Z376">
            <v>2.99</v>
          </cell>
          <cell r="AA376">
            <v>2397.98</v>
          </cell>
        </row>
        <row r="377">
          <cell r="B377" t="str">
            <v>J-01-62</v>
          </cell>
          <cell r="C377" t="str">
            <v>AZITROMICINA .:. 200 mg/5 ml</v>
          </cell>
          <cell r="D377" t="str">
            <v>Suspensión</v>
          </cell>
          <cell r="E377">
            <v>23</v>
          </cell>
          <cell r="F377">
            <v>742.9463436039</v>
          </cell>
          <cell r="H377">
            <v>0</v>
          </cell>
          <cell r="J377">
            <v>0</v>
          </cell>
          <cell r="M377">
            <v>0</v>
          </cell>
          <cell r="N377">
            <v>0</v>
          </cell>
          <cell r="P377">
            <v>7</v>
          </cell>
          <cell r="R377">
            <v>226.11409800000001</v>
          </cell>
          <cell r="S377">
            <v>0</v>
          </cell>
          <cell r="T377">
            <v>0</v>
          </cell>
          <cell r="U377">
            <v>16</v>
          </cell>
          <cell r="V377">
            <v>32.301875000000003</v>
          </cell>
          <cell r="W377">
            <v>516.83000000000004</v>
          </cell>
          <cell r="X377">
            <v>2.3737599999999999</v>
          </cell>
          <cell r="Y377">
            <v>0</v>
          </cell>
          <cell r="Z377">
            <v>32.301875000000003</v>
          </cell>
          <cell r="AA377">
            <v>516.83000000000004</v>
          </cell>
        </row>
        <row r="378">
          <cell r="B378" t="str">
            <v>J-01-63</v>
          </cell>
          <cell r="C378" t="str">
            <v>CEFIXIMA .:. 100 mg/5 ml</v>
          </cell>
          <cell r="D378" t="str">
            <v>Suspensión</v>
          </cell>
          <cell r="E378">
            <v>17</v>
          </cell>
          <cell r="F378">
            <v>513.79251758830003</v>
          </cell>
          <cell r="H378">
            <v>15</v>
          </cell>
          <cell r="J378">
            <v>225</v>
          </cell>
          <cell r="M378">
            <v>0</v>
          </cell>
          <cell r="N378">
            <v>0</v>
          </cell>
          <cell r="P378">
            <v>19</v>
          </cell>
          <cell r="R378">
            <v>543.79251299999999</v>
          </cell>
          <cell r="S378">
            <v>0</v>
          </cell>
          <cell r="T378">
            <v>0</v>
          </cell>
          <cell r="U378">
            <v>13</v>
          </cell>
          <cell r="V378">
            <v>15</v>
          </cell>
          <cell r="W378">
            <v>195</v>
          </cell>
          <cell r="X378">
            <v>2.3737599999999999</v>
          </cell>
          <cell r="Y378">
            <v>0</v>
          </cell>
          <cell r="Z378">
            <v>15</v>
          </cell>
          <cell r="AA378">
            <v>195</v>
          </cell>
        </row>
        <row r="379">
          <cell r="B379" t="str">
            <v>J-01-64</v>
          </cell>
          <cell r="C379" t="str">
            <v>CLINDAMICINA .:. 600 mg</v>
          </cell>
          <cell r="D379" t="str">
            <v>Inyectable</v>
          </cell>
          <cell r="E379">
            <v>51</v>
          </cell>
          <cell r="F379">
            <v>877.21486817280004</v>
          </cell>
          <cell r="H379">
            <v>100</v>
          </cell>
          <cell r="J379">
            <v>1720</v>
          </cell>
          <cell r="M379">
            <v>5</v>
          </cell>
          <cell r="N379">
            <v>86.130009999999999</v>
          </cell>
          <cell r="P379">
            <v>63</v>
          </cell>
          <cell r="R379">
            <v>1083.6391960000001</v>
          </cell>
          <cell r="S379">
            <v>0</v>
          </cell>
          <cell r="T379">
            <v>0</v>
          </cell>
          <cell r="U379">
            <v>93</v>
          </cell>
          <cell r="V379">
            <v>17.201182795699999</v>
          </cell>
          <cell r="W379">
            <v>1599.7100000001001</v>
          </cell>
          <cell r="X379">
            <v>2.3737599999999999</v>
          </cell>
          <cell r="Y379">
            <v>0</v>
          </cell>
          <cell r="Z379">
            <v>17.201182795699999</v>
          </cell>
          <cell r="AA379">
            <v>1599.7100000001001</v>
          </cell>
        </row>
        <row r="380">
          <cell r="B380" t="str">
            <v>J-01-66</v>
          </cell>
          <cell r="C380" t="str">
            <v>LEVOFLOXACINA .:. 500 mg</v>
          </cell>
          <cell r="D380" t="str">
            <v>Comprimido</v>
          </cell>
          <cell r="E380">
            <v>497</v>
          </cell>
          <cell r="F380">
            <v>806.0356748122</v>
          </cell>
          <cell r="H380">
            <v>800</v>
          </cell>
          <cell r="J380">
            <v>1260</v>
          </cell>
          <cell r="M380">
            <v>14</v>
          </cell>
          <cell r="N380">
            <v>23.322586000000001</v>
          </cell>
          <cell r="P380">
            <v>1044</v>
          </cell>
          <cell r="R380">
            <v>1688.858203</v>
          </cell>
          <cell r="S380">
            <v>0</v>
          </cell>
          <cell r="T380">
            <v>0</v>
          </cell>
          <cell r="U380">
            <v>267</v>
          </cell>
          <cell r="V380">
            <v>1.5</v>
          </cell>
          <cell r="W380">
            <v>400.5</v>
          </cell>
          <cell r="X380">
            <v>2.3737599999999999</v>
          </cell>
          <cell r="Y380">
            <v>0</v>
          </cell>
          <cell r="Z380">
            <v>1.5</v>
          </cell>
          <cell r="AA380">
            <v>400.5</v>
          </cell>
        </row>
        <row r="381">
          <cell r="B381" t="str">
            <v>J-01-68</v>
          </cell>
          <cell r="C381" t="str">
            <v>LEVOFLOXACINA .:. 500mg</v>
          </cell>
          <cell r="D381" t="str">
            <v>Inyectable</v>
          </cell>
          <cell r="E381">
            <v>43</v>
          </cell>
          <cell r="F381">
            <v>2041.7731245987</v>
          </cell>
          <cell r="H381">
            <v>1080</v>
          </cell>
          <cell r="J381">
            <v>41878</v>
          </cell>
          <cell r="M381">
            <v>21</v>
          </cell>
          <cell r="N381">
            <v>782.87437299999999</v>
          </cell>
          <cell r="P381">
            <v>644</v>
          </cell>
          <cell r="R381">
            <v>24503.250220000002</v>
          </cell>
          <cell r="S381">
            <v>0</v>
          </cell>
          <cell r="T381">
            <v>0</v>
          </cell>
          <cell r="U381">
            <v>500</v>
          </cell>
          <cell r="V381">
            <v>40.398800000000001</v>
          </cell>
          <cell r="W381">
            <v>20199.400000000001</v>
          </cell>
          <cell r="X381">
            <v>2.3737599999999999</v>
          </cell>
          <cell r="Y381">
            <v>0</v>
          </cell>
          <cell r="Z381">
            <v>40.398800000000001</v>
          </cell>
          <cell r="AA381">
            <v>20199.400000000001</v>
          </cell>
        </row>
        <row r="382">
          <cell r="B382" t="str">
            <v>J-01-691</v>
          </cell>
          <cell r="C382" t="str">
            <v>MEROPENEM  .:. 1 GR</v>
          </cell>
          <cell r="D382" t="str">
            <v>Inyectable</v>
          </cell>
          <cell r="E382">
            <v>0</v>
          </cell>
          <cell r="F382">
            <v>0</v>
          </cell>
          <cell r="H382">
            <v>54</v>
          </cell>
          <cell r="J382">
            <v>6480</v>
          </cell>
          <cell r="M382">
            <v>0</v>
          </cell>
          <cell r="N382">
            <v>0</v>
          </cell>
          <cell r="P382">
            <v>54</v>
          </cell>
          <cell r="R382">
            <v>6480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2.3737599999999999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J-01-70</v>
          </cell>
          <cell r="C383" t="str">
            <v>LINEZOLID .:. 600mg</v>
          </cell>
          <cell r="D383" t="str">
            <v>Comprimido</v>
          </cell>
          <cell r="E383">
            <v>0</v>
          </cell>
          <cell r="F383">
            <v>0</v>
          </cell>
          <cell r="H383">
            <v>20</v>
          </cell>
          <cell r="J383">
            <v>305.8</v>
          </cell>
          <cell r="M383">
            <v>0</v>
          </cell>
          <cell r="N383">
            <v>0</v>
          </cell>
          <cell r="P383">
            <v>20</v>
          </cell>
          <cell r="R383">
            <v>305.8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2.3737599999999999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J-01-71</v>
          </cell>
          <cell r="C384" t="str">
            <v>AMOXICILINA + INHIBIDOR BETALACTAMASA .:. 875 mg + Según disponibilidad</v>
          </cell>
          <cell r="D384" t="str">
            <v>Comprimido</v>
          </cell>
          <cell r="E384">
            <v>1430</v>
          </cell>
          <cell r="F384">
            <v>11368.179879199</v>
          </cell>
          <cell r="H384">
            <v>1500</v>
          </cell>
          <cell r="J384">
            <v>7500</v>
          </cell>
          <cell r="M384">
            <v>0</v>
          </cell>
          <cell r="N384">
            <v>0</v>
          </cell>
          <cell r="P384">
            <v>1821</v>
          </cell>
          <cell r="R384">
            <v>13323.179803000001</v>
          </cell>
          <cell r="S384">
            <v>0</v>
          </cell>
          <cell r="T384">
            <v>0</v>
          </cell>
          <cell r="U384">
            <v>1109</v>
          </cell>
          <cell r="V384">
            <v>5</v>
          </cell>
          <cell r="W384">
            <v>5545</v>
          </cell>
          <cell r="X384">
            <v>2.3737599999999999</v>
          </cell>
          <cell r="Y384">
            <v>0</v>
          </cell>
          <cell r="Z384">
            <v>5</v>
          </cell>
          <cell r="AA384">
            <v>5545</v>
          </cell>
        </row>
        <row r="385">
          <cell r="B385" t="str">
            <v>J-02-02</v>
          </cell>
          <cell r="C385" t="str">
            <v>FLUCONAZOL .:. 200 mg</v>
          </cell>
          <cell r="D385" t="str">
            <v>Inyectable</v>
          </cell>
          <cell r="E385">
            <v>41</v>
          </cell>
          <cell r="F385">
            <v>1107.8094810810001</v>
          </cell>
          <cell r="H385">
            <v>30</v>
          </cell>
          <cell r="J385">
            <v>856.8</v>
          </cell>
          <cell r="M385">
            <v>0</v>
          </cell>
          <cell r="N385">
            <v>0</v>
          </cell>
          <cell r="P385">
            <v>59</v>
          </cell>
          <cell r="R385">
            <v>1632.09654</v>
          </cell>
          <cell r="S385">
            <v>0</v>
          </cell>
          <cell r="T385">
            <v>0</v>
          </cell>
          <cell r="U385">
            <v>12</v>
          </cell>
          <cell r="V385">
            <v>27.7091666667</v>
          </cell>
          <cell r="W385">
            <v>332.5100000004</v>
          </cell>
          <cell r="X385">
            <v>2.3737599999999999</v>
          </cell>
          <cell r="Y385">
            <v>0</v>
          </cell>
          <cell r="Z385">
            <v>27.7091666667</v>
          </cell>
          <cell r="AA385">
            <v>332.5100000004</v>
          </cell>
        </row>
        <row r="386">
          <cell r="B386" t="str">
            <v>J-02-08</v>
          </cell>
          <cell r="C386" t="str">
            <v>FLUCONAZOL .:. 150 mg</v>
          </cell>
          <cell r="D386" t="str">
            <v>Comprimido o Cápsula</v>
          </cell>
          <cell r="E386">
            <v>442</v>
          </cell>
          <cell r="F386">
            <v>939.24458050539999</v>
          </cell>
          <cell r="H386">
            <v>700</v>
          </cell>
          <cell r="J386">
            <v>1126</v>
          </cell>
          <cell r="M386">
            <v>0</v>
          </cell>
          <cell r="N386">
            <v>0</v>
          </cell>
          <cell r="P386">
            <v>907</v>
          </cell>
          <cell r="R386">
            <v>1775.3410940000001</v>
          </cell>
          <cell r="S386">
            <v>0</v>
          </cell>
          <cell r="T386">
            <v>0</v>
          </cell>
          <cell r="U386">
            <v>235</v>
          </cell>
          <cell r="V386">
            <v>1.2336170212999999</v>
          </cell>
          <cell r="W386">
            <v>289.90000000549998</v>
          </cell>
          <cell r="X386">
            <v>2.3737599999999999</v>
          </cell>
          <cell r="Y386">
            <v>0</v>
          </cell>
          <cell r="Z386">
            <v>1.2336170212999999</v>
          </cell>
          <cell r="AA386">
            <v>289.90000000549998</v>
          </cell>
        </row>
        <row r="387">
          <cell r="B387" t="str">
            <v>J-05-04</v>
          </cell>
          <cell r="C387" t="str">
            <v>ACICLOVIR .:. 400 mg</v>
          </cell>
          <cell r="D387" t="str">
            <v>Comprimido</v>
          </cell>
          <cell r="E387">
            <v>868</v>
          </cell>
          <cell r="F387">
            <v>736.76795789519997</v>
          </cell>
          <cell r="H387">
            <v>1000</v>
          </cell>
          <cell r="J387">
            <v>875</v>
          </cell>
          <cell r="M387">
            <v>0</v>
          </cell>
          <cell r="N387">
            <v>0</v>
          </cell>
          <cell r="P387">
            <v>1572</v>
          </cell>
          <cell r="R387">
            <v>1358.5274730000001</v>
          </cell>
          <cell r="S387">
            <v>0</v>
          </cell>
          <cell r="T387">
            <v>0</v>
          </cell>
          <cell r="U387">
            <v>296</v>
          </cell>
          <cell r="V387">
            <v>0.85554054049999995</v>
          </cell>
          <cell r="W387">
            <v>253.23999998799999</v>
          </cell>
          <cell r="X387">
            <v>2.3737599999999999</v>
          </cell>
          <cell r="Y387">
            <v>0</v>
          </cell>
          <cell r="Z387">
            <v>0.85554054049999995</v>
          </cell>
          <cell r="AA387">
            <v>253.23999998799999</v>
          </cell>
        </row>
        <row r="388">
          <cell r="B388" t="str">
            <v>J-05-34</v>
          </cell>
          <cell r="C388" t="str">
            <v>LOPINAVIR + RITONAVIR .:. 200 mg + 50 mg</v>
          </cell>
          <cell r="D388" t="str">
            <v>Comprimido</v>
          </cell>
          <cell r="E388">
            <v>208</v>
          </cell>
          <cell r="F388">
            <v>3962.8317979536</v>
          </cell>
          <cell r="H388">
            <v>0</v>
          </cell>
          <cell r="J388">
            <v>0</v>
          </cell>
          <cell r="M388">
            <v>0</v>
          </cell>
          <cell r="N388">
            <v>0</v>
          </cell>
          <cell r="P388">
            <v>78</v>
          </cell>
          <cell r="R388">
            <v>1486.061921</v>
          </cell>
          <cell r="S388">
            <v>0</v>
          </cell>
          <cell r="T388">
            <v>0</v>
          </cell>
          <cell r="U388">
            <v>130</v>
          </cell>
          <cell r="V388">
            <v>19.0520769231</v>
          </cell>
          <cell r="W388">
            <v>2476.770000003</v>
          </cell>
          <cell r="X388">
            <v>2.3737599999999999</v>
          </cell>
          <cell r="Y388">
            <v>0</v>
          </cell>
          <cell r="Z388">
            <v>19.0520769231</v>
          </cell>
          <cell r="AA388">
            <v>2476.770000003</v>
          </cell>
        </row>
        <row r="389">
          <cell r="B389" t="str">
            <v>J-05-36</v>
          </cell>
          <cell r="C389" t="str">
            <v>OSELTAMIVIR .:. 75 mg</v>
          </cell>
          <cell r="D389" t="str">
            <v>Cápsula</v>
          </cell>
          <cell r="E389">
            <v>190</v>
          </cell>
          <cell r="F389">
            <v>4529.4279937219999</v>
          </cell>
          <cell r="H389">
            <v>0</v>
          </cell>
          <cell r="J389">
            <v>0</v>
          </cell>
          <cell r="M389">
            <v>0</v>
          </cell>
          <cell r="N389">
            <v>0</v>
          </cell>
          <cell r="P389">
            <v>28</v>
          </cell>
          <cell r="R389">
            <v>667.49465099999998</v>
          </cell>
          <cell r="S389">
            <v>0</v>
          </cell>
          <cell r="T389">
            <v>0</v>
          </cell>
          <cell r="U389">
            <v>162</v>
          </cell>
          <cell r="V389">
            <v>23.839074074100001</v>
          </cell>
          <cell r="W389">
            <v>3861.9300000041999</v>
          </cell>
          <cell r="X389">
            <v>2.3737599999999999</v>
          </cell>
          <cell r="Y389">
            <v>0</v>
          </cell>
          <cell r="Z389">
            <v>23.839074074100001</v>
          </cell>
          <cell r="AA389">
            <v>3861.9300000041999</v>
          </cell>
        </row>
        <row r="390">
          <cell r="B390" t="str">
            <v>J-06-02</v>
          </cell>
          <cell r="C390" t="str">
            <v>INMUNOGLOBULINA ANTI D (RH +) .:. 0,1 mg/ml o 0,2 mg/ml</v>
          </cell>
          <cell r="D390" t="str">
            <v>Inyectable</v>
          </cell>
          <cell r="E390">
            <v>0</v>
          </cell>
          <cell r="F390">
            <v>0</v>
          </cell>
          <cell r="H390">
            <v>1</v>
          </cell>
          <cell r="J390">
            <v>830.85</v>
          </cell>
          <cell r="M390">
            <v>0</v>
          </cell>
          <cell r="N390">
            <v>0</v>
          </cell>
          <cell r="P390">
            <v>1</v>
          </cell>
          <cell r="R390">
            <v>830.85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2.3737599999999999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L-01-03</v>
          </cell>
          <cell r="C391" t="str">
            <v>CAPECITABINE .:. 500 mg</v>
          </cell>
          <cell r="D391" t="str">
            <v>Comprimido</v>
          </cell>
          <cell r="E391">
            <v>0</v>
          </cell>
          <cell r="F391">
            <v>0</v>
          </cell>
          <cell r="H391">
            <v>474</v>
          </cell>
          <cell r="J391">
            <v>8767.2000000000007</v>
          </cell>
          <cell r="M391">
            <v>30</v>
          </cell>
          <cell r="N391">
            <v>555</v>
          </cell>
          <cell r="P391">
            <v>504</v>
          </cell>
          <cell r="R391">
            <v>9322.1999990000004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2.3737599999999999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L-01-04</v>
          </cell>
          <cell r="C392" t="str">
            <v>CARBOPLATINO .:. 450 mg</v>
          </cell>
          <cell r="D392" t="str">
            <v>Inyectable</v>
          </cell>
          <cell r="E392">
            <v>0</v>
          </cell>
          <cell r="F392">
            <v>0</v>
          </cell>
          <cell r="H392">
            <v>4</v>
          </cell>
          <cell r="J392">
            <v>1600</v>
          </cell>
          <cell r="M392">
            <v>0</v>
          </cell>
          <cell r="N392">
            <v>0</v>
          </cell>
          <cell r="P392">
            <v>4</v>
          </cell>
          <cell r="R392">
            <v>1600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2.3737599999999999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L-01-06</v>
          </cell>
          <cell r="C393" t="str">
            <v>CICLOFOSFAMIDA .:. 1 g</v>
          </cell>
          <cell r="D393" t="str">
            <v>Inyectable</v>
          </cell>
          <cell r="E393">
            <v>0</v>
          </cell>
          <cell r="F393">
            <v>0</v>
          </cell>
          <cell r="H393">
            <v>5</v>
          </cell>
          <cell r="J393">
            <v>650</v>
          </cell>
          <cell r="M393">
            <v>0</v>
          </cell>
          <cell r="N393">
            <v>0</v>
          </cell>
          <cell r="P393">
            <v>5</v>
          </cell>
          <cell r="R393">
            <v>650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2.3737599999999999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L-01-15</v>
          </cell>
          <cell r="C394" t="str">
            <v>DOXORUBICINA CLORHIDRATO (ADRIAMICINA CLORH.) .:. 50 mg</v>
          </cell>
          <cell r="D394" t="str">
            <v>Inyectable</v>
          </cell>
          <cell r="E394">
            <v>0</v>
          </cell>
          <cell r="F394">
            <v>0</v>
          </cell>
          <cell r="H394">
            <v>8</v>
          </cell>
          <cell r="J394">
            <v>1374</v>
          </cell>
          <cell r="M394">
            <v>0</v>
          </cell>
          <cell r="N394">
            <v>0</v>
          </cell>
          <cell r="P394">
            <v>8</v>
          </cell>
          <cell r="R394">
            <v>1374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2.3737599999999999</v>
          </cell>
          <cell r="Y394">
            <v>0</v>
          </cell>
          <cell r="Z394">
            <v>0</v>
          </cell>
          <cell r="AA394">
            <v>0</v>
          </cell>
        </row>
        <row r="395">
          <cell r="B395" t="str">
            <v>L-01-18</v>
          </cell>
          <cell r="C395" t="str">
            <v>GEMCITABINA .:. 1 g</v>
          </cell>
          <cell r="D395" t="str">
            <v>Inyectable</v>
          </cell>
          <cell r="E395">
            <v>0</v>
          </cell>
          <cell r="F395">
            <v>0</v>
          </cell>
          <cell r="H395">
            <v>8</v>
          </cell>
          <cell r="J395">
            <v>6052</v>
          </cell>
          <cell r="M395">
            <v>2</v>
          </cell>
          <cell r="N395">
            <v>1518</v>
          </cell>
          <cell r="P395">
            <v>10</v>
          </cell>
          <cell r="R395">
            <v>7570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2.3737599999999999</v>
          </cell>
          <cell r="Y395">
            <v>0</v>
          </cell>
          <cell r="Z395">
            <v>0</v>
          </cell>
          <cell r="AA395">
            <v>0</v>
          </cell>
        </row>
        <row r="396">
          <cell r="B396" t="str">
            <v>L-01-24</v>
          </cell>
          <cell r="C396" t="str">
            <v>METOTREXATO .:. 50 mg</v>
          </cell>
          <cell r="D396" t="str">
            <v>Inyectable</v>
          </cell>
          <cell r="E396">
            <v>19</v>
          </cell>
          <cell r="F396">
            <v>1714.8393758612999</v>
          </cell>
          <cell r="H396">
            <v>70</v>
          </cell>
          <cell r="J396">
            <v>3850</v>
          </cell>
          <cell r="M396">
            <v>0</v>
          </cell>
          <cell r="N396">
            <v>0</v>
          </cell>
          <cell r="P396">
            <v>60</v>
          </cell>
          <cell r="R396">
            <v>3901.6802659999998</v>
          </cell>
          <cell r="S396">
            <v>0</v>
          </cell>
          <cell r="T396">
            <v>0</v>
          </cell>
          <cell r="U396">
            <v>29</v>
          </cell>
          <cell r="V396">
            <v>57.350344827599997</v>
          </cell>
          <cell r="W396">
            <v>1663.1600000004</v>
          </cell>
          <cell r="X396">
            <v>2.3737599999999999</v>
          </cell>
          <cell r="Y396">
            <v>0</v>
          </cell>
          <cell r="Z396">
            <v>57.350344827599997</v>
          </cell>
          <cell r="AA396">
            <v>1663.1600000004</v>
          </cell>
        </row>
        <row r="397">
          <cell r="B397" t="str">
            <v>L-01-26</v>
          </cell>
          <cell r="C397" t="str">
            <v>METOTREXATO .:. 2,5 mg</v>
          </cell>
          <cell r="D397" t="str">
            <v>Comprimido</v>
          </cell>
          <cell r="E397">
            <v>125</v>
          </cell>
          <cell r="F397">
            <v>184.0453198125</v>
          </cell>
          <cell r="H397">
            <v>2400</v>
          </cell>
          <cell r="J397">
            <v>4218</v>
          </cell>
          <cell r="M397">
            <v>150</v>
          </cell>
          <cell r="N397">
            <v>340</v>
          </cell>
          <cell r="P397">
            <v>1736</v>
          </cell>
          <cell r="R397">
            <v>2583.0190520000001</v>
          </cell>
          <cell r="S397">
            <v>0</v>
          </cell>
          <cell r="T397">
            <v>0</v>
          </cell>
          <cell r="U397">
            <v>939</v>
          </cell>
          <cell r="V397">
            <v>2.2992864750000002</v>
          </cell>
          <cell r="W397">
            <v>2159.0300000249999</v>
          </cell>
          <cell r="X397">
            <v>2.3737599999999999</v>
          </cell>
          <cell r="Y397">
            <v>0</v>
          </cell>
          <cell r="Z397">
            <v>2.2992864750000002</v>
          </cell>
          <cell r="AA397">
            <v>2159.0300000249999</v>
          </cell>
        </row>
        <row r="398">
          <cell r="B398" t="str">
            <v>L-01-28</v>
          </cell>
          <cell r="C398" t="str">
            <v>PACLITAXEL .:. 30 mg/5 ml</v>
          </cell>
          <cell r="D398" t="str">
            <v>Inyectable</v>
          </cell>
          <cell r="E398">
            <v>0</v>
          </cell>
          <cell r="F398">
            <v>0</v>
          </cell>
          <cell r="H398">
            <v>23</v>
          </cell>
          <cell r="J398">
            <v>3250</v>
          </cell>
          <cell r="M398">
            <v>0</v>
          </cell>
          <cell r="N398">
            <v>0</v>
          </cell>
          <cell r="P398">
            <v>23</v>
          </cell>
          <cell r="R398">
            <v>3250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2.3737599999999999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L-01-38</v>
          </cell>
          <cell r="C399" t="str">
            <v>DOCETAXEL .:. 40 mg/ml  (2ml)</v>
          </cell>
          <cell r="D399" t="str">
            <v>Inyectable</v>
          </cell>
          <cell r="E399">
            <v>0</v>
          </cell>
          <cell r="F399">
            <v>0</v>
          </cell>
          <cell r="H399">
            <v>6</v>
          </cell>
          <cell r="J399">
            <v>4500</v>
          </cell>
          <cell r="M399">
            <v>0</v>
          </cell>
          <cell r="N399">
            <v>0</v>
          </cell>
          <cell r="P399">
            <v>6</v>
          </cell>
          <cell r="R399">
            <v>4500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2.3737599999999999</v>
          </cell>
          <cell r="Y399">
            <v>0</v>
          </cell>
          <cell r="Z399">
            <v>0</v>
          </cell>
          <cell r="AA399">
            <v>0</v>
          </cell>
        </row>
        <row r="400">
          <cell r="B400" t="str">
            <v>L-02-01</v>
          </cell>
          <cell r="C400" t="str">
            <v>ANASTROZOL .:. 1 mg</v>
          </cell>
          <cell r="D400" t="str">
            <v>Comprimido</v>
          </cell>
          <cell r="E400">
            <v>0</v>
          </cell>
          <cell r="F400">
            <v>0</v>
          </cell>
          <cell r="H400">
            <v>300</v>
          </cell>
          <cell r="J400">
            <v>2010</v>
          </cell>
          <cell r="M400">
            <v>0</v>
          </cell>
          <cell r="N400">
            <v>0</v>
          </cell>
          <cell r="P400">
            <v>140</v>
          </cell>
          <cell r="R400">
            <v>938</v>
          </cell>
          <cell r="S400">
            <v>0</v>
          </cell>
          <cell r="T400">
            <v>0</v>
          </cell>
          <cell r="U400">
            <v>160</v>
          </cell>
          <cell r="V400">
            <v>6.7</v>
          </cell>
          <cell r="W400">
            <v>1072</v>
          </cell>
          <cell r="X400">
            <v>2.3737599999999999</v>
          </cell>
          <cell r="Y400">
            <v>0</v>
          </cell>
          <cell r="Z400">
            <v>6.7</v>
          </cell>
          <cell r="AA400">
            <v>1072</v>
          </cell>
        </row>
        <row r="401">
          <cell r="B401" t="str">
            <v>L-02-03</v>
          </cell>
          <cell r="C401" t="str">
            <v>FLUTAMIDA .:. 250 mg</v>
          </cell>
          <cell r="D401" t="str">
            <v>Comprimido</v>
          </cell>
          <cell r="E401">
            <v>220</v>
          </cell>
          <cell r="F401">
            <v>664.55052008400003</v>
          </cell>
          <cell r="H401">
            <v>1670</v>
          </cell>
          <cell r="J401">
            <v>5010</v>
          </cell>
          <cell r="M401">
            <v>60</v>
          </cell>
          <cell r="N401">
            <v>180</v>
          </cell>
          <cell r="P401">
            <v>1225</v>
          </cell>
          <cell r="R401">
            <v>3679.5505170000001</v>
          </cell>
          <cell r="S401">
            <v>0</v>
          </cell>
          <cell r="T401">
            <v>0</v>
          </cell>
          <cell r="U401">
            <v>725</v>
          </cell>
          <cell r="V401">
            <v>3</v>
          </cell>
          <cell r="W401">
            <v>2175</v>
          </cell>
          <cell r="X401">
            <v>2.3737599999999999</v>
          </cell>
          <cell r="Y401">
            <v>0</v>
          </cell>
          <cell r="Z401">
            <v>3</v>
          </cell>
          <cell r="AA401">
            <v>2175</v>
          </cell>
        </row>
        <row r="402">
          <cell r="B402" t="str">
            <v>L-02-05</v>
          </cell>
          <cell r="C402" t="str">
            <v>TAMOXIFENO .:. 20 mg</v>
          </cell>
          <cell r="D402" t="str">
            <v>Comprimido</v>
          </cell>
          <cell r="E402">
            <v>660</v>
          </cell>
          <cell r="F402">
            <v>1322.085395268</v>
          </cell>
          <cell r="H402">
            <v>400</v>
          </cell>
          <cell r="J402">
            <v>800</v>
          </cell>
          <cell r="M402">
            <v>0</v>
          </cell>
          <cell r="N402">
            <v>0</v>
          </cell>
          <cell r="P402">
            <v>750</v>
          </cell>
          <cell r="R402">
            <v>1502.0853790000001</v>
          </cell>
          <cell r="S402">
            <v>0</v>
          </cell>
          <cell r="T402">
            <v>0</v>
          </cell>
          <cell r="U402">
            <v>310</v>
          </cell>
          <cell r="V402">
            <v>2</v>
          </cell>
          <cell r="W402">
            <v>620</v>
          </cell>
          <cell r="X402">
            <v>2.3737599999999999</v>
          </cell>
          <cell r="Y402">
            <v>0</v>
          </cell>
          <cell r="Z402">
            <v>2</v>
          </cell>
          <cell r="AA402">
            <v>620</v>
          </cell>
        </row>
        <row r="403">
          <cell r="B403" t="str">
            <v>L-02-07</v>
          </cell>
          <cell r="C403" t="str">
            <v>TRIPTORELINA .:. 11,25 mg</v>
          </cell>
          <cell r="D403" t="str">
            <v>Inyectable</v>
          </cell>
          <cell r="E403">
            <v>0</v>
          </cell>
          <cell r="F403">
            <v>0</v>
          </cell>
          <cell r="H403">
            <v>3</v>
          </cell>
          <cell r="J403">
            <v>15648</v>
          </cell>
          <cell r="M403">
            <v>0</v>
          </cell>
          <cell r="N403">
            <v>0</v>
          </cell>
          <cell r="P403">
            <v>3</v>
          </cell>
          <cell r="R403">
            <v>15648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2.3737599999999999</v>
          </cell>
          <cell r="Y403">
            <v>0</v>
          </cell>
          <cell r="Z403">
            <v>0</v>
          </cell>
          <cell r="AA403">
            <v>0</v>
          </cell>
        </row>
        <row r="404">
          <cell r="B404" t="str">
            <v>L-02-08</v>
          </cell>
          <cell r="C404" t="str">
            <v>TRIPTORELINA .:. 22.5 mg</v>
          </cell>
          <cell r="D404" t="str">
            <v>Inyectable</v>
          </cell>
          <cell r="E404">
            <v>0</v>
          </cell>
          <cell r="F404">
            <v>0</v>
          </cell>
          <cell r="H404">
            <v>1</v>
          </cell>
          <cell r="J404">
            <v>8915</v>
          </cell>
          <cell r="M404">
            <v>0</v>
          </cell>
          <cell r="N404">
            <v>0</v>
          </cell>
          <cell r="P404">
            <v>1</v>
          </cell>
          <cell r="R404">
            <v>8915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2.3737599999999999</v>
          </cell>
          <cell r="Y404">
            <v>0</v>
          </cell>
          <cell r="Z404">
            <v>0</v>
          </cell>
          <cell r="AA404">
            <v>0</v>
          </cell>
        </row>
        <row r="405">
          <cell r="B405" t="str">
            <v>L-02-11</v>
          </cell>
          <cell r="C405" t="str">
            <v>ENZALUTAMIDA .:. 40 mg</v>
          </cell>
          <cell r="D405" t="str">
            <v>Cápsula</v>
          </cell>
          <cell r="E405">
            <v>0</v>
          </cell>
          <cell r="F405">
            <v>0</v>
          </cell>
          <cell r="H405">
            <v>600</v>
          </cell>
          <cell r="J405">
            <v>96600</v>
          </cell>
          <cell r="M405">
            <v>0</v>
          </cell>
          <cell r="N405">
            <v>0</v>
          </cell>
          <cell r="P405">
            <v>480</v>
          </cell>
          <cell r="R405">
            <v>77400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2.3737599999999999</v>
          </cell>
          <cell r="Y405">
            <v>0</v>
          </cell>
          <cell r="Z405">
            <v>0</v>
          </cell>
          <cell r="AA405">
            <v>0</v>
          </cell>
        </row>
        <row r="406">
          <cell r="B406" t="str">
            <v>L-03-01</v>
          </cell>
          <cell r="C406" t="str">
            <v>FILGASTRIM .:. 300 mcg/ml</v>
          </cell>
          <cell r="D406" t="str">
            <v>Inyectable</v>
          </cell>
          <cell r="E406">
            <v>0</v>
          </cell>
          <cell r="F406">
            <v>0</v>
          </cell>
          <cell r="H406">
            <v>5</v>
          </cell>
          <cell r="J406">
            <v>900</v>
          </cell>
          <cell r="M406">
            <v>0</v>
          </cell>
          <cell r="N406">
            <v>0</v>
          </cell>
          <cell r="P406">
            <v>5</v>
          </cell>
          <cell r="R406">
            <v>900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2.3737599999999999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L-04-01</v>
          </cell>
          <cell r="C407" t="str">
            <v>AZATIOPRINA .:. 50 mg</v>
          </cell>
          <cell r="D407" t="str">
            <v>Comprimido</v>
          </cell>
          <cell r="E407">
            <v>110</v>
          </cell>
          <cell r="F407">
            <v>333.02494813499999</v>
          </cell>
          <cell r="H407">
            <v>1300</v>
          </cell>
          <cell r="J407">
            <v>3172</v>
          </cell>
          <cell r="M407">
            <v>0</v>
          </cell>
          <cell r="N407">
            <v>0</v>
          </cell>
          <cell r="P407">
            <v>1210</v>
          </cell>
          <cell r="R407">
            <v>3056.191636</v>
          </cell>
          <cell r="S407">
            <v>0</v>
          </cell>
          <cell r="T407">
            <v>0</v>
          </cell>
          <cell r="U407">
            <v>200</v>
          </cell>
          <cell r="V407">
            <v>2.2441499999999999</v>
          </cell>
          <cell r="W407">
            <v>448.83</v>
          </cell>
          <cell r="X407">
            <v>2.3737599999999999</v>
          </cell>
          <cell r="Y407">
            <v>0</v>
          </cell>
          <cell r="Z407">
            <v>2.2441499999999999</v>
          </cell>
          <cell r="AA407">
            <v>448.83</v>
          </cell>
        </row>
        <row r="408">
          <cell r="B408" t="str">
            <v>L-04-07</v>
          </cell>
          <cell r="C408" t="str">
            <v>MICOFENOLATO DE MOFETILO .:. 500 mg</v>
          </cell>
          <cell r="D408" t="str">
            <v>Comprimido</v>
          </cell>
          <cell r="E408">
            <v>780</v>
          </cell>
          <cell r="F408">
            <v>4873.7532000299998</v>
          </cell>
          <cell r="H408">
            <v>1780</v>
          </cell>
          <cell r="J408">
            <v>9128</v>
          </cell>
          <cell r="M408">
            <v>90</v>
          </cell>
          <cell r="N408">
            <v>573.33699000000001</v>
          </cell>
          <cell r="P408">
            <v>2110</v>
          </cell>
          <cell r="R408">
            <v>12415.090185999999</v>
          </cell>
          <cell r="S408">
            <v>0</v>
          </cell>
          <cell r="T408">
            <v>0</v>
          </cell>
          <cell r="U408">
            <v>540</v>
          </cell>
          <cell r="V408">
            <v>4</v>
          </cell>
          <cell r="W408">
            <v>2160</v>
          </cell>
          <cell r="X408">
            <v>2.3737599999999999</v>
          </cell>
          <cell r="Y408">
            <v>0</v>
          </cell>
          <cell r="Z408">
            <v>4</v>
          </cell>
          <cell r="AA408">
            <v>2160</v>
          </cell>
        </row>
        <row r="409">
          <cell r="B409" t="str">
            <v>L-04-10</v>
          </cell>
          <cell r="C409" t="str">
            <v>TACROLIMUS .:. 1 mg</v>
          </cell>
          <cell r="D409" t="str">
            <v>Cápsula</v>
          </cell>
          <cell r="E409">
            <v>260</v>
          </cell>
          <cell r="F409">
            <v>2508.8019434920002</v>
          </cell>
          <cell r="H409">
            <v>960</v>
          </cell>
          <cell r="J409">
            <v>11721.6</v>
          </cell>
          <cell r="M409">
            <v>90</v>
          </cell>
          <cell r="N409">
            <v>828.37575000000004</v>
          </cell>
          <cell r="P409">
            <v>1160</v>
          </cell>
          <cell r="R409">
            <v>13798.777690999999</v>
          </cell>
          <cell r="S409">
            <v>0</v>
          </cell>
          <cell r="T409">
            <v>0</v>
          </cell>
          <cell r="U409">
            <v>150</v>
          </cell>
          <cell r="V409">
            <v>8.4</v>
          </cell>
          <cell r="W409">
            <v>1260</v>
          </cell>
          <cell r="X409">
            <v>2.3737599999999999</v>
          </cell>
          <cell r="Y409">
            <v>0</v>
          </cell>
          <cell r="Z409">
            <v>8.4</v>
          </cell>
          <cell r="AA409">
            <v>1260</v>
          </cell>
        </row>
        <row r="410">
          <cell r="B410" t="str">
            <v>L-04-12</v>
          </cell>
          <cell r="C410" t="str">
            <v>LEFLUNOMIDA .:. 20 mg</v>
          </cell>
          <cell r="D410" t="str">
            <v>Comprimido</v>
          </cell>
          <cell r="E410">
            <v>50</v>
          </cell>
          <cell r="F410">
            <v>298.29312264499998</v>
          </cell>
          <cell r="H410">
            <v>1300</v>
          </cell>
          <cell r="J410">
            <v>4500</v>
          </cell>
          <cell r="M410">
            <v>0</v>
          </cell>
          <cell r="N410">
            <v>0</v>
          </cell>
          <cell r="P410">
            <v>1180</v>
          </cell>
          <cell r="R410">
            <v>3948.293122</v>
          </cell>
          <cell r="S410">
            <v>0</v>
          </cell>
          <cell r="T410">
            <v>0</v>
          </cell>
          <cell r="U410">
            <v>170</v>
          </cell>
          <cell r="V410">
            <v>5</v>
          </cell>
          <cell r="W410">
            <v>850</v>
          </cell>
          <cell r="X410">
            <v>2.3737599999999999</v>
          </cell>
          <cell r="Y410">
            <v>0</v>
          </cell>
          <cell r="Z410">
            <v>5</v>
          </cell>
          <cell r="AA410">
            <v>850</v>
          </cell>
        </row>
        <row r="411">
          <cell r="B411" t="str">
            <v>M-01-01</v>
          </cell>
          <cell r="C411" t="str">
            <v>DICLOFENACO SODICO .:. 0.01</v>
          </cell>
          <cell r="D411" t="str">
            <v>Pomada o Gel</v>
          </cell>
          <cell r="E411">
            <v>564</v>
          </cell>
          <cell r="F411">
            <v>4441.8227555424</v>
          </cell>
          <cell r="H411">
            <v>2800</v>
          </cell>
          <cell r="J411">
            <v>13380</v>
          </cell>
          <cell r="M411">
            <v>12</v>
          </cell>
          <cell r="N411">
            <v>89.245998999999998</v>
          </cell>
          <cell r="P411">
            <v>2333</v>
          </cell>
          <cell r="R411">
            <v>13812.14464</v>
          </cell>
          <cell r="S411">
            <v>0</v>
          </cell>
          <cell r="T411">
            <v>0</v>
          </cell>
          <cell r="U411">
            <v>1043</v>
          </cell>
          <cell r="V411">
            <v>3.9299328859</v>
          </cell>
          <cell r="W411">
            <v>4098.9199999937</v>
          </cell>
          <cell r="X411">
            <v>2.3737599999999999</v>
          </cell>
          <cell r="Y411">
            <v>0</v>
          </cell>
          <cell r="Z411">
            <v>3.9299328859</v>
          </cell>
          <cell r="AA411">
            <v>4098.9199999937</v>
          </cell>
        </row>
        <row r="412">
          <cell r="B412" t="str">
            <v>M-01-02</v>
          </cell>
          <cell r="C412" t="str">
            <v>DICLOFENACO SODICO .:. 50 mg</v>
          </cell>
          <cell r="D412" t="str">
            <v>Comprimido</v>
          </cell>
          <cell r="E412">
            <v>2740</v>
          </cell>
          <cell r="F412">
            <v>328.48731311799997</v>
          </cell>
          <cell r="H412">
            <v>11000</v>
          </cell>
          <cell r="J412">
            <v>1620</v>
          </cell>
          <cell r="M412">
            <v>10</v>
          </cell>
          <cell r="N412">
            <v>1.7796400000000001</v>
          </cell>
          <cell r="P412">
            <v>10475</v>
          </cell>
          <cell r="R412">
            <v>1603.651314</v>
          </cell>
          <cell r="S412">
            <v>0</v>
          </cell>
          <cell r="T412">
            <v>0</v>
          </cell>
          <cell r="U412">
            <v>3275</v>
          </cell>
          <cell r="V412">
            <v>0.1058381679</v>
          </cell>
          <cell r="W412">
            <v>346.61999987249999</v>
          </cell>
          <cell r="X412">
            <v>2.3737599999999999</v>
          </cell>
          <cell r="Y412">
            <v>0</v>
          </cell>
          <cell r="Z412">
            <v>0.1058381679</v>
          </cell>
          <cell r="AA412">
            <v>346.61999987249999</v>
          </cell>
        </row>
        <row r="413">
          <cell r="B413" t="str">
            <v>M-01-03</v>
          </cell>
          <cell r="C413" t="str">
            <v>DICLOFENACO SODICO .:. 75 mg</v>
          </cell>
          <cell r="D413" t="str">
            <v>Inyectable</v>
          </cell>
          <cell r="E413">
            <v>1390</v>
          </cell>
          <cell r="F413">
            <v>2076.0630768709998</v>
          </cell>
          <cell r="H413">
            <v>4500</v>
          </cell>
          <cell r="J413">
            <v>4300</v>
          </cell>
          <cell r="M413">
            <v>0</v>
          </cell>
          <cell r="N413">
            <v>0</v>
          </cell>
          <cell r="P413">
            <v>3922</v>
          </cell>
          <cell r="R413">
            <v>4553.5719980000003</v>
          </cell>
          <cell r="S413">
            <v>0</v>
          </cell>
          <cell r="T413">
            <v>0</v>
          </cell>
          <cell r="U413">
            <v>1968</v>
          </cell>
          <cell r="V413">
            <v>0.92606199190000005</v>
          </cell>
          <cell r="W413">
            <v>1822.4900000591999</v>
          </cell>
          <cell r="X413">
            <v>2.3737599999999999</v>
          </cell>
          <cell r="Y413">
            <v>0</v>
          </cell>
          <cell r="Z413">
            <v>0.92606199190000005</v>
          </cell>
          <cell r="AA413">
            <v>1822.4900000591999</v>
          </cell>
        </row>
        <row r="414">
          <cell r="B414" t="str">
            <v>M-01-04</v>
          </cell>
          <cell r="C414" t="str">
            <v>IBUPROFENO .:. 100 mg/5 ml</v>
          </cell>
          <cell r="D414" t="str">
            <v>Suspensión</v>
          </cell>
          <cell r="E414">
            <v>346</v>
          </cell>
          <cell r="F414">
            <v>2370.0461609467998</v>
          </cell>
          <cell r="H414">
            <v>100</v>
          </cell>
          <cell r="J414">
            <v>690</v>
          </cell>
          <cell r="M414">
            <v>9</v>
          </cell>
          <cell r="N414">
            <v>61.505172000000002</v>
          </cell>
          <cell r="P414">
            <v>363</v>
          </cell>
          <cell r="R414">
            <v>2488.7653829999999</v>
          </cell>
          <cell r="S414">
            <v>0</v>
          </cell>
          <cell r="T414">
            <v>0</v>
          </cell>
          <cell r="U414">
            <v>92</v>
          </cell>
          <cell r="V414">
            <v>6.8781521739000002</v>
          </cell>
          <cell r="W414">
            <v>632.7899999988</v>
          </cell>
          <cell r="X414">
            <v>2.3737599999999999</v>
          </cell>
          <cell r="Y414">
            <v>0</v>
          </cell>
          <cell r="Z414">
            <v>6.8781521739000002</v>
          </cell>
          <cell r="AA414">
            <v>632.7899999988</v>
          </cell>
        </row>
        <row r="415">
          <cell r="B415" t="str">
            <v>M-01-05</v>
          </cell>
          <cell r="C415" t="str">
            <v>IBUPROFENO .:. 400 mg</v>
          </cell>
          <cell r="D415" t="str">
            <v>Comprimido</v>
          </cell>
          <cell r="E415">
            <v>4519</v>
          </cell>
          <cell r="F415">
            <v>1203.6803984937001</v>
          </cell>
          <cell r="H415">
            <v>41000</v>
          </cell>
          <cell r="J415">
            <v>9450</v>
          </cell>
          <cell r="M415">
            <v>45</v>
          </cell>
          <cell r="N415">
            <v>12.473371999999999</v>
          </cell>
          <cell r="P415">
            <v>28964</v>
          </cell>
          <cell r="R415">
            <v>7647.9812830000001</v>
          </cell>
          <cell r="S415">
            <v>0</v>
          </cell>
          <cell r="T415">
            <v>0</v>
          </cell>
          <cell r="U415">
            <v>16600</v>
          </cell>
          <cell r="V415">
            <v>0.1818174699</v>
          </cell>
          <cell r="W415">
            <v>3018.1700003400001</v>
          </cell>
          <cell r="X415">
            <v>2.3737599999999999</v>
          </cell>
          <cell r="Y415">
            <v>0</v>
          </cell>
          <cell r="Z415">
            <v>0.1818174699</v>
          </cell>
          <cell r="AA415">
            <v>3018.1700003400001</v>
          </cell>
        </row>
        <row r="416">
          <cell r="B416" t="str">
            <v>M-01-06</v>
          </cell>
          <cell r="C416" t="str">
            <v>INDOMETACINA .:. 25 mg</v>
          </cell>
          <cell r="D416" t="str">
            <v>Cápsula o Comprimido</v>
          </cell>
          <cell r="E416">
            <v>105</v>
          </cell>
          <cell r="F416">
            <v>20.469083250000001</v>
          </cell>
          <cell r="H416">
            <v>1200</v>
          </cell>
          <cell r="J416">
            <v>300</v>
          </cell>
          <cell r="M416">
            <v>45</v>
          </cell>
          <cell r="N416">
            <v>10.35</v>
          </cell>
          <cell r="P416">
            <v>659</v>
          </cell>
          <cell r="R416">
            <v>160.54660999999999</v>
          </cell>
          <cell r="S416">
            <v>45</v>
          </cell>
          <cell r="T416">
            <v>8.7724639999999994</v>
          </cell>
          <cell r="U416">
            <v>646</v>
          </cell>
          <cell r="V416">
            <v>0.25</v>
          </cell>
          <cell r="W416">
            <v>161.5</v>
          </cell>
          <cell r="X416">
            <v>2.3737599999999999</v>
          </cell>
          <cell r="Y416">
            <v>0</v>
          </cell>
          <cell r="Z416">
            <v>0.25</v>
          </cell>
          <cell r="AA416">
            <v>161.5</v>
          </cell>
        </row>
        <row r="417">
          <cell r="B417" t="str">
            <v>M-01-07</v>
          </cell>
          <cell r="C417" t="str">
            <v>INDOMETACINA .:. 100 mg</v>
          </cell>
          <cell r="D417" t="str">
            <v>Supositorio</v>
          </cell>
          <cell r="E417">
            <v>147</v>
          </cell>
          <cell r="F417">
            <v>159.7038594375</v>
          </cell>
          <cell r="H417">
            <v>1900</v>
          </cell>
          <cell r="J417">
            <v>3110</v>
          </cell>
          <cell r="M417">
            <v>0</v>
          </cell>
          <cell r="N417">
            <v>0</v>
          </cell>
          <cell r="P417">
            <v>1248</v>
          </cell>
          <cell r="R417">
            <v>1948.7538320000001</v>
          </cell>
          <cell r="S417">
            <v>0</v>
          </cell>
          <cell r="T417">
            <v>0</v>
          </cell>
          <cell r="U417">
            <v>799</v>
          </cell>
          <cell r="V417">
            <v>1.6532540676</v>
          </cell>
          <cell r="W417">
            <v>1320.9500000124001</v>
          </cell>
          <cell r="X417">
            <v>2.3737599999999999</v>
          </cell>
          <cell r="Y417">
            <v>0</v>
          </cell>
          <cell r="Z417">
            <v>1.6532540676</v>
          </cell>
          <cell r="AA417">
            <v>1320.9500000124001</v>
          </cell>
        </row>
        <row r="418">
          <cell r="B418" t="str">
            <v>M-01-09</v>
          </cell>
          <cell r="C418" t="str">
            <v>KETOROLACO .:. 30 mg/ml</v>
          </cell>
          <cell r="D418" t="str">
            <v>Inyectable</v>
          </cell>
          <cell r="E418">
            <v>1755</v>
          </cell>
          <cell r="F418">
            <v>4156.047759006</v>
          </cell>
          <cell r="H418">
            <v>3300</v>
          </cell>
          <cell r="J418">
            <v>7450</v>
          </cell>
          <cell r="M418">
            <v>46</v>
          </cell>
          <cell r="N418">
            <v>104.69135199999999</v>
          </cell>
          <cell r="P418">
            <v>3939</v>
          </cell>
          <cell r="R418">
            <v>9093.1797889999998</v>
          </cell>
          <cell r="S418">
            <v>0</v>
          </cell>
          <cell r="T418">
            <v>0</v>
          </cell>
          <cell r="U418">
            <v>1162</v>
          </cell>
          <cell r="V418">
            <v>2.2526333906999998</v>
          </cell>
          <cell r="W418">
            <v>2617.5599999934002</v>
          </cell>
          <cell r="X418">
            <v>2.3737599999999999</v>
          </cell>
          <cell r="Y418">
            <v>0</v>
          </cell>
          <cell r="Z418">
            <v>2.2526333906999998</v>
          </cell>
          <cell r="AA418">
            <v>2617.5599999934002</v>
          </cell>
        </row>
        <row r="419">
          <cell r="B419" t="str">
            <v>M-01-10</v>
          </cell>
          <cell r="C419" t="str">
            <v>KETOPROFENO .:. 100 mg</v>
          </cell>
          <cell r="D419" t="str">
            <v>Inyectable</v>
          </cell>
          <cell r="E419">
            <v>91</v>
          </cell>
          <cell r="F419">
            <v>1319.0082412871</v>
          </cell>
          <cell r="H419">
            <v>150</v>
          </cell>
          <cell r="J419">
            <v>1600</v>
          </cell>
          <cell r="M419">
            <v>6</v>
          </cell>
          <cell r="N419">
            <v>66</v>
          </cell>
          <cell r="P419">
            <v>222</v>
          </cell>
          <cell r="R419">
            <v>2735.0082360000001</v>
          </cell>
          <cell r="S419">
            <v>0</v>
          </cell>
          <cell r="T419">
            <v>0</v>
          </cell>
          <cell r="U419">
            <v>25</v>
          </cell>
          <cell r="V419">
            <v>10</v>
          </cell>
          <cell r="W419">
            <v>250</v>
          </cell>
          <cell r="X419">
            <v>2.3737599999999999</v>
          </cell>
          <cell r="Y419">
            <v>0</v>
          </cell>
          <cell r="Z419">
            <v>10</v>
          </cell>
          <cell r="AA419">
            <v>250</v>
          </cell>
        </row>
        <row r="420">
          <cell r="B420" t="str">
            <v>M-01-11</v>
          </cell>
          <cell r="C420" t="str">
            <v>MELOXICAM .:. 15 mg</v>
          </cell>
          <cell r="D420" t="str">
            <v>Comprimido</v>
          </cell>
          <cell r="E420">
            <v>1162</v>
          </cell>
          <cell r="F420">
            <v>2282.6976413430002</v>
          </cell>
          <cell r="H420">
            <v>8140</v>
          </cell>
          <cell r="J420">
            <v>11030</v>
          </cell>
          <cell r="M420">
            <v>10</v>
          </cell>
          <cell r="N420">
            <v>15.99119</v>
          </cell>
          <cell r="P420">
            <v>7361</v>
          </cell>
          <cell r="R420">
            <v>10887.436265</v>
          </cell>
          <cell r="S420">
            <v>0</v>
          </cell>
          <cell r="T420">
            <v>0</v>
          </cell>
          <cell r="U420">
            <v>1951</v>
          </cell>
          <cell r="V420">
            <v>1.2512813942000001</v>
          </cell>
          <cell r="W420">
            <v>2441.2500000842001</v>
          </cell>
          <cell r="X420">
            <v>2.3737599999999999</v>
          </cell>
          <cell r="Y420">
            <v>0</v>
          </cell>
          <cell r="Z420">
            <v>1.2512813942000001</v>
          </cell>
          <cell r="AA420">
            <v>2441.2500000842001</v>
          </cell>
        </row>
        <row r="421">
          <cell r="B421" t="str">
            <v>M-03-01</v>
          </cell>
          <cell r="C421" t="str">
            <v>ATRACURIO BESILATO .:. 10 mg/ml</v>
          </cell>
          <cell r="D421" t="str">
            <v>Inyectable</v>
          </cell>
          <cell r="E421">
            <v>287</v>
          </cell>
          <cell r="F421">
            <v>12836.506584773901</v>
          </cell>
          <cell r="H421">
            <v>2401</v>
          </cell>
          <cell r="J421">
            <v>87086.5</v>
          </cell>
          <cell r="M421">
            <v>0</v>
          </cell>
          <cell r="N421">
            <v>0</v>
          </cell>
          <cell r="P421">
            <v>2275</v>
          </cell>
          <cell r="R421">
            <v>88359.006529999999</v>
          </cell>
          <cell r="S421">
            <v>0</v>
          </cell>
          <cell r="T421">
            <v>0</v>
          </cell>
          <cell r="U421">
            <v>413</v>
          </cell>
          <cell r="V421">
            <v>28</v>
          </cell>
          <cell r="W421">
            <v>11564</v>
          </cell>
          <cell r="X421">
            <v>2.3737599999999999</v>
          </cell>
          <cell r="Y421">
            <v>0</v>
          </cell>
          <cell r="Z421">
            <v>28</v>
          </cell>
          <cell r="AA421">
            <v>11564</v>
          </cell>
        </row>
        <row r="422">
          <cell r="B422" t="str">
            <v>M-04-01</v>
          </cell>
          <cell r="C422" t="str">
            <v>ALOPURINOL .:. 300 mg</v>
          </cell>
          <cell r="D422" t="str">
            <v>Comprimido</v>
          </cell>
          <cell r="E422">
            <v>692</v>
          </cell>
          <cell r="F422">
            <v>455.40359255319999</v>
          </cell>
          <cell r="H422">
            <v>7500</v>
          </cell>
          <cell r="J422">
            <v>3910</v>
          </cell>
          <cell r="M422">
            <v>30</v>
          </cell>
          <cell r="N422">
            <v>14.8788</v>
          </cell>
          <cell r="P422">
            <v>5884</v>
          </cell>
          <cell r="R422">
            <v>3212.434041</v>
          </cell>
          <cell r="S422">
            <v>0</v>
          </cell>
          <cell r="T422">
            <v>0</v>
          </cell>
          <cell r="U422">
            <v>2338</v>
          </cell>
          <cell r="V422">
            <v>0.49950812659999999</v>
          </cell>
          <cell r="W422">
            <v>1167.8499999907999</v>
          </cell>
          <cell r="X422">
            <v>2.3737599999999999</v>
          </cell>
          <cell r="Y422">
            <v>0</v>
          </cell>
          <cell r="Z422">
            <v>0.49950812659999999</v>
          </cell>
          <cell r="AA422">
            <v>1167.8499999907999</v>
          </cell>
        </row>
        <row r="423">
          <cell r="B423" t="str">
            <v>M-04-02</v>
          </cell>
          <cell r="C423" t="str">
            <v>COLCHICINA .:. 0,5 mg</v>
          </cell>
          <cell r="D423" t="str">
            <v>Comprimido</v>
          </cell>
          <cell r="E423">
            <v>990</v>
          </cell>
          <cell r="F423">
            <v>788.28892956000004</v>
          </cell>
          <cell r="H423">
            <v>1000</v>
          </cell>
          <cell r="J423">
            <v>900</v>
          </cell>
          <cell r="M423">
            <v>4</v>
          </cell>
          <cell r="N423">
            <v>3.3183159999999998</v>
          </cell>
          <cell r="P423">
            <v>1226</v>
          </cell>
          <cell r="R423">
            <v>1000.407162</v>
          </cell>
          <cell r="S423">
            <v>0</v>
          </cell>
          <cell r="T423">
            <v>0</v>
          </cell>
          <cell r="U423">
            <v>768</v>
          </cell>
          <cell r="V423">
            <v>0.9</v>
          </cell>
          <cell r="W423">
            <v>691.2</v>
          </cell>
          <cell r="X423">
            <v>2.3737599999999999</v>
          </cell>
          <cell r="Y423">
            <v>0</v>
          </cell>
          <cell r="Z423">
            <v>0.9</v>
          </cell>
          <cell r="AA423">
            <v>691.2</v>
          </cell>
        </row>
        <row r="424">
          <cell r="B424" t="str">
            <v>M-05-03</v>
          </cell>
          <cell r="C424" t="str">
            <v>ACIDO ALENDRONICO (ALENDRONATO) .:. 70 mg</v>
          </cell>
          <cell r="D424" t="str">
            <v>Comprimido</v>
          </cell>
          <cell r="E424">
            <v>480</v>
          </cell>
          <cell r="F424">
            <v>2940.316624224</v>
          </cell>
          <cell r="H424">
            <v>1100</v>
          </cell>
          <cell r="J424">
            <v>2710</v>
          </cell>
          <cell r="M424">
            <v>4</v>
          </cell>
          <cell r="N424">
            <v>9.4648120000000002</v>
          </cell>
          <cell r="P424">
            <v>1237</v>
          </cell>
          <cell r="R424">
            <v>4319.4596840000004</v>
          </cell>
          <cell r="S424">
            <v>0</v>
          </cell>
          <cell r="T424">
            <v>0</v>
          </cell>
          <cell r="U424">
            <v>347</v>
          </cell>
          <cell r="V424">
            <v>3.8625936598999999</v>
          </cell>
          <cell r="W424">
            <v>1340.3199999853</v>
          </cell>
          <cell r="X424">
            <v>2.3737599999999999</v>
          </cell>
          <cell r="Y424">
            <v>0</v>
          </cell>
          <cell r="Z424">
            <v>3.8625936598999999</v>
          </cell>
          <cell r="AA424">
            <v>1340.3199999853</v>
          </cell>
        </row>
        <row r="425">
          <cell r="B425" t="str">
            <v>M-05-04</v>
          </cell>
          <cell r="C425" t="str">
            <v>ACIDO ZOLEDRONICO .:. 4mg</v>
          </cell>
          <cell r="D425" t="str">
            <v>Inyectable</v>
          </cell>
          <cell r="E425">
            <v>0</v>
          </cell>
          <cell r="F425">
            <v>0</v>
          </cell>
          <cell r="H425">
            <v>13</v>
          </cell>
          <cell r="J425">
            <v>5400</v>
          </cell>
          <cell r="M425">
            <v>0</v>
          </cell>
          <cell r="N425">
            <v>0</v>
          </cell>
          <cell r="P425">
            <v>10</v>
          </cell>
          <cell r="R425">
            <v>4200</v>
          </cell>
          <cell r="S425">
            <v>0</v>
          </cell>
          <cell r="T425">
            <v>0</v>
          </cell>
          <cell r="U425">
            <v>3</v>
          </cell>
          <cell r="V425">
            <v>400</v>
          </cell>
          <cell r="W425">
            <v>1200</v>
          </cell>
          <cell r="X425">
            <v>2.3737599999999999</v>
          </cell>
          <cell r="Y425">
            <v>0</v>
          </cell>
          <cell r="Z425">
            <v>400</v>
          </cell>
          <cell r="AA425">
            <v>1200</v>
          </cell>
        </row>
        <row r="426">
          <cell r="B426" t="str">
            <v>N-01-02</v>
          </cell>
          <cell r="C426" t="str">
            <v>BUPIVACAINA CLORHIDRATO (PESADA) .:. 0,5%</v>
          </cell>
          <cell r="D426" t="str">
            <v>Inyectable</v>
          </cell>
          <cell r="E426">
            <v>29</v>
          </cell>
          <cell r="F426">
            <v>283.78808377960002</v>
          </cell>
          <cell r="H426">
            <v>130</v>
          </cell>
          <cell r="J426">
            <v>1547</v>
          </cell>
          <cell r="M426">
            <v>0</v>
          </cell>
          <cell r="N426">
            <v>0</v>
          </cell>
          <cell r="P426">
            <v>100</v>
          </cell>
          <cell r="R426">
            <v>1128.688032</v>
          </cell>
          <cell r="S426">
            <v>0</v>
          </cell>
          <cell r="T426">
            <v>0</v>
          </cell>
          <cell r="U426">
            <v>29</v>
          </cell>
          <cell r="V426">
            <v>11.9</v>
          </cell>
          <cell r="W426">
            <v>345.1</v>
          </cell>
          <cell r="X426">
            <v>2.3737599999999999</v>
          </cell>
          <cell r="Y426">
            <v>0</v>
          </cell>
          <cell r="Z426">
            <v>11.9</v>
          </cell>
          <cell r="AA426">
            <v>345.1</v>
          </cell>
        </row>
        <row r="427">
          <cell r="B427" t="str">
            <v>N-01-05</v>
          </cell>
          <cell r="C427" t="str">
            <v>FENTANILO CON CONSERVANTE (10 ML) .:. 0,05 mg/ml</v>
          </cell>
          <cell r="D427" t="str">
            <v>Inyectable</v>
          </cell>
          <cell r="E427">
            <v>292</v>
          </cell>
          <cell r="F427">
            <v>10282.713549735199</v>
          </cell>
          <cell r="H427">
            <v>400</v>
          </cell>
          <cell r="J427">
            <v>13000</v>
          </cell>
          <cell r="M427">
            <v>4</v>
          </cell>
          <cell r="N427">
            <v>130.033556</v>
          </cell>
          <cell r="P427">
            <v>676</v>
          </cell>
          <cell r="R427">
            <v>22762.478122</v>
          </cell>
          <cell r="S427">
            <v>0</v>
          </cell>
          <cell r="T427">
            <v>0</v>
          </cell>
          <cell r="U427">
            <v>20</v>
          </cell>
          <cell r="V427">
            <v>32.513500000000001</v>
          </cell>
          <cell r="W427">
            <v>650.27</v>
          </cell>
          <cell r="X427">
            <v>2.3737599999999999</v>
          </cell>
          <cell r="Y427">
            <v>0</v>
          </cell>
          <cell r="Z427">
            <v>32.513500000000001</v>
          </cell>
          <cell r="AA427">
            <v>650.27</v>
          </cell>
        </row>
        <row r="428">
          <cell r="B428" t="str">
            <v>N-01-06</v>
          </cell>
          <cell r="C428" t="str">
            <v>FENTANILO SIN CONSERVANTE .:. 0,05 mg/ml (2 ML)</v>
          </cell>
          <cell r="D428" t="str">
            <v>Inyectable</v>
          </cell>
          <cell r="E428">
            <v>24</v>
          </cell>
          <cell r="F428">
            <v>293.45110129440002</v>
          </cell>
          <cell r="H428">
            <v>0</v>
          </cell>
          <cell r="J428">
            <v>0</v>
          </cell>
          <cell r="M428">
            <v>0</v>
          </cell>
          <cell r="N428">
            <v>0</v>
          </cell>
          <cell r="P428">
            <v>24</v>
          </cell>
          <cell r="R428">
            <v>293.451097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2.3737599999999999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N-01-11</v>
          </cell>
          <cell r="C429" t="str">
            <v>LIDOCAINA CLORHIDRATO + EPINEFRINA .:. 2% 1 : 200.000</v>
          </cell>
          <cell r="D429" t="str">
            <v>Cartucho dental</v>
          </cell>
          <cell r="E429">
            <v>0</v>
          </cell>
          <cell r="F429">
            <v>0</v>
          </cell>
          <cell r="H429">
            <v>5</v>
          </cell>
          <cell r="J429">
            <v>725</v>
          </cell>
          <cell r="M429">
            <v>0</v>
          </cell>
          <cell r="N429">
            <v>0</v>
          </cell>
          <cell r="P429">
            <v>5</v>
          </cell>
          <cell r="R429">
            <v>725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2.3737599999999999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N-01-12</v>
          </cell>
          <cell r="C430" t="str">
            <v>LIDOCAINA CLORHIDRATO SIN CONSERVANTE .:. 0.02</v>
          </cell>
          <cell r="D430" t="str">
            <v>Inyectable</v>
          </cell>
          <cell r="E430">
            <v>27</v>
          </cell>
          <cell r="F430">
            <v>273.2924554407</v>
          </cell>
          <cell r="H430">
            <v>190</v>
          </cell>
          <cell r="J430">
            <v>1697</v>
          </cell>
          <cell r="M430">
            <v>3</v>
          </cell>
          <cell r="N430">
            <v>31.087178999999999</v>
          </cell>
          <cell r="P430">
            <v>179</v>
          </cell>
          <cell r="R430">
            <v>1574.5139999999999</v>
          </cell>
          <cell r="S430">
            <v>0</v>
          </cell>
          <cell r="T430">
            <v>0</v>
          </cell>
          <cell r="U430">
            <v>41</v>
          </cell>
          <cell r="V430">
            <v>10.4114634146</v>
          </cell>
          <cell r="W430">
            <v>426.86999999860001</v>
          </cell>
          <cell r="X430">
            <v>2.3737599999999999</v>
          </cell>
          <cell r="Y430">
            <v>0</v>
          </cell>
          <cell r="Z430">
            <v>10.4114634146</v>
          </cell>
          <cell r="AA430">
            <v>426.86999999860001</v>
          </cell>
        </row>
        <row r="431">
          <cell r="B431" t="str">
            <v>N-01-13</v>
          </cell>
          <cell r="C431" t="str">
            <v>PROPOFOL .:. 10 mg/ml</v>
          </cell>
          <cell r="D431" t="str">
            <v>Inyectable</v>
          </cell>
          <cell r="E431">
            <v>79</v>
          </cell>
          <cell r="F431">
            <v>2297.6797215151</v>
          </cell>
          <cell r="H431">
            <v>603</v>
          </cell>
          <cell r="J431">
            <v>25391</v>
          </cell>
          <cell r="M431">
            <v>1</v>
          </cell>
          <cell r="N431">
            <v>47.892375000000001</v>
          </cell>
          <cell r="P431">
            <v>518</v>
          </cell>
          <cell r="R431">
            <v>22390.350911000001</v>
          </cell>
          <cell r="S431">
            <v>0</v>
          </cell>
          <cell r="T431">
            <v>0</v>
          </cell>
          <cell r="U431">
            <v>165</v>
          </cell>
          <cell r="V431">
            <v>32.401333333300002</v>
          </cell>
          <cell r="W431">
            <v>5346.2199999944996</v>
          </cell>
          <cell r="X431">
            <v>2.3737599999999999</v>
          </cell>
          <cell r="Y431">
            <v>0</v>
          </cell>
          <cell r="Z431">
            <v>32.401333333300002</v>
          </cell>
          <cell r="AA431">
            <v>5346.2199999944996</v>
          </cell>
        </row>
        <row r="432">
          <cell r="B432" t="str">
            <v>N-01-15</v>
          </cell>
          <cell r="C432" t="str">
            <v>TIOPENTAL SODICO .:. 1 g</v>
          </cell>
          <cell r="D432" t="str">
            <v>Inyectable</v>
          </cell>
          <cell r="E432">
            <v>22</v>
          </cell>
          <cell r="F432">
            <v>550.20681066780003</v>
          </cell>
          <cell r="H432">
            <v>60</v>
          </cell>
          <cell r="J432">
            <v>1500</v>
          </cell>
          <cell r="M432">
            <v>0</v>
          </cell>
          <cell r="N432">
            <v>0</v>
          </cell>
          <cell r="P432">
            <v>28</v>
          </cell>
          <cell r="R432">
            <v>700.20680900000002</v>
          </cell>
          <cell r="S432">
            <v>0</v>
          </cell>
          <cell r="T432">
            <v>0</v>
          </cell>
          <cell r="U432">
            <v>54</v>
          </cell>
          <cell r="V432">
            <v>25</v>
          </cell>
          <cell r="W432">
            <v>1350</v>
          </cell>
          <cell r="X432">
            <v>2.3737599999999999</v>
          </cell>
          <cell r="Y432">
            <v>0</v>
          </cell>
          <cell r="Z432">
            <v>25</v>
          </cell>
          <cell r="AA432">
            <v>1350</v>
          </cell>
        </row>
        <row r="433">
          <cell r="B433" t="str">
            <v>N-01-16</v>
          </cell>
          <cell r="C433" t="str">
            <v>REMIFENTANILO .:. 5 mg</v>
          </cell>
          <cell r="D433" t="str">
            <v>Inyectable</v>
          </cell>
          <cell r="E433">
            <v>20</v>
          </cell>
          <cell r="F433">
            <v>2720.7052032000001</v>
          </cell>
          <cell r="H433">
            <v>0</v>
          </cell>
          <cell r="J433">
            <v>0</v>
          </cell>
          <cell r="M433">
            <v>5</v>
          </cell>
          <cell r="N433">
            <v>684.6</v>
          </cell>
          <cell r="P433">
            <v>20</v>
          </cell>
          <cell r="R433">
            <v>2725.1289000000002</v>
          </cell>
          <cell r="S433">
            <v>5</v>
          </cell>
          <cell r="T433">
            <v>680.17629999999997</v>
          </cell>
          <cell r="U433">
            <v>0</v>
          </cell>
          <cell r="V433">
            <v>0</v>
          </cell>
          <cell r="W433">
            <v>0</v>
          </cell>
          <cell r="X433">
            <v>2.3737599999999999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N-02-03</v>
          </cell>
          <cell r="C434" t="str">
            <v>ERGOTAMINA TARTRATO + CAFEINA .:. 1 mg + 100 mg</v>
          </cell>
          <cell r="D434" t="str">
            <v>Comprimido</v>
          </cell>
          <cell r="E434">
            <v>474</v>
          </cell>
          <cell r="F434">
            <v>1100.3764912392</v>
          </cell>
          <cell r="H434">
            <v>1800</v>
          </cell>
          <cell r="J434">
            <v>3840</v>
          </cell>
          <cell r="M434">
            <v>0</v>
          </cell>
          <cell r="N434">
            <v>0</v>
          </cell>
          <cell r="P434">
            <v>1703</v>
          </cell>
          <cell r="R434">
            <v>3994.417704</v>
          </cell>
          <cell r="S434">
            <v>0</v>
          </cell>
          <cell r="T434">
            <v>0</v>
          </cell>
          <cell r="U434">
            <v>571</v>
          </cell>
          <cell r="V434">
            <v>1.6566725043999999</v>
          </cell>
          <cell r="W434">
            <v>945.96000001239997</v>
          </cell>
          <cell r="X434">
            <v>2.3737599999999999</v>
          </cell>
          <cell r="Y434">
            <v>0</v>
          </cell>
          <cell r="Z434">
            <v>1.6566725043999999</v>
          </cell>
          <cell r="AA434">
            <v>945.96000001239997</v>
          </cell>
        </row>
        <row r="435">
          <cell r="B435" t="str">
            <v>N-02-05</v>
          </cell>
          <cell r="C435" t="str">
            <v>METAMIZOL (DIPIRONA) .:. 1 g</v>
          </cell>
          <cell r="D435" t="str">
            <v>Inyectable</v>
          </cell>
          <cell r="E435">
            <v>1174</v>
          </cell>
          <cell r="F435">
            <v>1261.9956627014001</v>
          </cell>
          <cell r="H435">
            <v>3800</v>
          </cell>
          <cell r="J435">
            <v>3787</v>
          </cell>
          <cell r="M435">
            <v>203</v>
          </cell>
          <cell r="N435">
            <v>203.36601200000001</v>
          </cell>
          <cell r="P435">
            <v>4318</v>
          </cell>
          <cell r="R435">
            <v>4399.8655950000002</v>
          </cell>
          <cell r="S435">
            <v>0</v>
          </cell>
          <cell r="T435">
            <v>0</v>
          </cell>
          <cell r="U435">
            <v>859</v>
          </cell>
          <cell r="V435">
            <v>0.99243306170000001</v>
          </cell>
          <cell r="W435">
            <v>852.50000000030002</v>
          </cell>
          <cell r="X435">
            <v>2.3737599999999999</v>
          </cell>
          <cell r="Y435">
            <v>0</v>
          </cell>
          <cell r="Z435">
            <v>0.99243306170000001</v>
          </cell>
          <cell r="AA435">
            <v>852.50000000030002</v>
          </cell>
        </row>
        <row r="436">
          <cell r="B436" t="str">
            <v>N-02-07</v>
          </cell>
          <cell r="C436" t="str">
            <v>MORFINA (CON Y SIN CONSERVANTE) .:. 10 mg/ml</v>
          </cell>
          <cell r="D436" t="str">
            <v>Inyectable</v>
          </cell>
          <cell r="E436">
            <v>18</v>
          </cell>
          <cell r="F436">
            <v>216.58644028980001</v>
          </cell>
          <cell r="H436">
            <v>300</v>
          </cell>
          <cell r="J436">
            <v>3600</v>
          </cell>
          <cell r="M436">
            <v>0</v>
          </cell>
          <cell r="N436">
            <v>0</v>
          </cell>
          <cell r="P436">
            <v>178</v>
          </cell>
          <cell r="R436">
            <v>2136.5843479999999</v>
          </cell>
          <cell r="S436">
            <v>0</v>
          </cell>
          <cell r="T436">
            <v>0</v>
          </cell>
          <cell r="U436">
            <v>140</v>
          </cell>
          <cell r="V436">
            <v>12</v>
          </cell>
          <cell r="W436">
            <v>1680</v>
          </cell>
          <cell r="X436">
            <v>2.3737599999999999</v>
          </cell>
          <cell r="Y436">
            <v>0</v>
          </cell>
          <cell r="Z436">
            <v>12</v>
          </cell>
          <cell r="AA436">
            <v>1680</v>
          </cell>
        </row>
        <row r="437">
          <cell r="B437" t="str">
            <v>N-02-08</v>
          </cell>
          <cell r="C437" t="str">
            <v>PARACETAMOL (ACETAMINOFENO) .:. 500 mg</v>
          </cell>
          <cell r="D437" t="str">
            <v>Comprimido</v>
          </cell>
          <cell r="E437">
            <v>5233</v>
          </cell>
          <cell r="F437">
            <v>718.3873645717</v>
          </cell>
          <cell r="H437">
            <v>15500</v>
          </cell>
          <cell r="J437">
            <v>1770</v>
          </cell>
          <cell r="M437">
            <v>0</v>
          </cell>
          <cell r="N437">
            <v>0</v>
          </cell>
          <cell r="P437">
            <v>14471</v>
          </cell>
          <cell r="R437">
            <v>1899.160179</v>
          </cell>
          <cell r="S437">
            <v>0</v>
          </cell>
          <cell r="T437">
            <v>0</v>
          </cell>
          <cell r="U437">
            <v>6262</v>
          </cell>
          <cell r="V437">
            <v>9.4096135400000003E-2</v>
          </cell>
          <cell r="W437">
            <v>589.2299998748</v>
          </cell>
          <cell r="X437">
            <v>2.3737599999999999</v>
          </cell>
          <cell r="Y437">
            <v>0</v>
          </cell>
          <cell r="Z437">
            <v>9.4096135400000003E-2</v>
          </cell>
          <cell r="AA437">
            <v>589.2299998748</v>
          </cell>
        </row>
        <row r="438">
          <cell r="B438" t="str">
            <v>N-02-09</v>
          </cell>
          <cell r="C438" t="str">
            <v>PARACETAMOL (ACETAMINOFENO) .:. 125 mg/5 ml o 120 mg/5 ml</v>
          </cell>
          <cell r="D438" t="str">
            <v>Jarabe</v>
          </cell>
          <cell r="E438">
            <v>188</v>
          </cell>
          <cell r="F438">
            <v>944.16065841839998</v>
          </cell>
          <cell r="H438">
            <v>0</v>
          </cell>
          <cell r="J438">
            <v>0</v>
          </cell>
          <cell r="M438">
            <v>0</v>
          </cell>
          <cell r="N438">
            <v>0</v>
          </cell>
          <cell r="P438">
            <v>61</v>
          </cell>
          <cell r="R438">
            <v>306.34999099999999</v>
          </cell>
          <cell r="S438">
            <v>0</v>
          </cell>
          <cell r="T438">
            <v>0</v>
          </cell>
          <cell r="U438">
            <v>127</v>
          </cell>
          <cell r="V438">
            <v>5.0221259842999997</v>
          </cell>
          <cell r="W438">
            <v>637.81000000610004</v>
          </cell>
          <cell r="X438">
            <v>2.3737599999999999</v>
          </cell>
          <cell r="Y438">
            <v>0</v>
          </cell>
          <cell r="Z438">
            <v>5.0221259842999997</v>
          </cell>
          <cell r="AA438">
            <v>637.81000000610004</v>
          </cell>
        </row>
        <row r="439">
          <cell r="B439" t="str">
            <v>N-02-10</v>
          </cell>
          <cell r="C439" t="str">
            <v>PARACETAMOL (ACETAMINOFENO) .:. 100 mg/ml</v>
          </cell>
          <cell r="D439" t="str">
            <v>Gotas</v>
          </cell>
          <cell r="E439">
            <v>26</v>
          </cell>
          <cell r="F439">
            <v>127.19678448099999</v>
          </cell>
          <cell r="H439">
            <v>25</v>
          </cell>
          <cell r="J439">
            <v>122.5</v>
          </cell>
          <cell r="M439">
            <v>0</v>
          </cell>
          <cell r="N439">
            <v>0</v>
          </cell>
          <cell r="P439">
            <v>51</v>
          </cell>
          <cell r="R439">
            <v>249.69674599999999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2.3737599999999999</v>
          </cell>
          <cell r="Y439">
            <v>0</v>
          </cell>
          <cell r="Z439">
            <v>0</v>
          </cell>
          <cell r="AA439">
            <v>0</v>
          </cell>
        </row>
        <row r="440">
          <cell r="B440" t="str">
            <v>N-02-11</v>
          </cell>
          <cell r="C440" t="str">
            <v>PARACETAMOL (ACETAMINOFENO) .:. 100 mg</v>
          </cell>
          <cell r="D440" t="str">
            <v>Supositorio</v>
          </cell>
          <cell r="E440">
            <v>108</v>
          </cell>
          <cell r="F440">
            <v>175.6670249268</v>
          </cell>
          <cell r="H440">
            <v>0</v>
          </cell>
          <cell r="J440">
            <v>0</v>
          </cell>
          <cell r="M440">
            <v>52</v>
          </cell>
          <cell r="N440">
            <v>85.68</v>
          </cell>
          <cell r="P440">
            <v>38</v>
          </cell>
          <cell r="R440">
            <v>62.089505000000003</v>
          </cell>
          <cell r="S440">
            <v>52</v>
          </cell>
          <cell r="T440">
            <v>84.580419000000006</v>
          </cell>
          <cell r="U440">
            <v>70</v>
          </cell>
          <cell r="V440">
            <v>1.6382857143</v>
          </cell>
          <cell r="W440">
            <v>114.680000001</v>
          </cell>
          <cell r="X440">
            <v>2.3737599999999999</v>
          </cell>
          <cell r="Y440">
            <v>0</v>
          </cell>
          <cell r="Z440">
            <v>1.6382857143</v>
          </cell>
          <cell r="AA440">
            <v>114.680000001</v>
          </cell>
        </row>
        <row r="441">
          <cell r="B441" t="str">
            <v>N-02-14</v>
          </cell>
          <cell r="C441" t="str">
            <v>TRAMADOL .:. 100 mg/2 ml</v>
          </cell>
          <cell r="D441" t="str">
            <v>Inyectable</v>
          </cell>
          <cell r="E441">
            <v>476</v>
          </cell>
          <cell r="F441">
            <v>2992.1536313256001</v>
          </cell>
          <cell r="H441">
            <v>300</v>
          </cell>
          <cell r="J441">
            <v>1500</v>
          </cell>
          <cell r="M441">
            <v>55</v>
          </cell>
          <cell r="N441">
            <v>327.30780900000002</v>
          </cell>
          <cell r="P441">
            <v>708</v>
          </cell>
          <cell r="R441">
            <v>4204.4503109999996</v>
          </cell>
          <cell r="S441">
            <v>0</v>
          </cell>
          <cell r="T441">
            <v>0</v>
          </cell>
          <cell r="U441">
            <v>123</v>
          </cell>
          <cell r="V441">
            <v>5.0000813007999998</v>
          </cell>
          <cell r="W441">
            <v>615.00999999839996</v>
          </cell>
          <cell r="X441">
            <v>2.3737599999999999</v>
          </cell>
          <cell r="Y441">
            <v>0</v>
          </cell>
          <cell r="Z441">
            <v>5.0000813007999998</v>
          </cell>
          <cell r="AA441">
            <v>615.00999999839996</v>
          </cell>
        </row>
        <row r="442">
          <cell r="B442" t="str">
            <v>N-02-15</v>
          </cell>
          <cell r="C442" t="str">
            <v>TRAMADOL .:. 50 mg</v>
          </cell>
          <cell r="D442" t="str">
            <v>Comprimido</v>
          </cell>
          <cell r="E442">
            <v>1836</v>
          </cell>
          <cell r="F442">
            <v>2576.0480552208001</v>
          </cell>
          <cell r="H442">
            <v>2500</v>
          </cell>
          <cell r="J442">
            <v>4875</v>
          </cell>
          <cell r="M442">
            <v>0</v>
          </cell>
          <cell r="N442">
            <v>0</v>
          </cell>
          <cell r="P442">
            <v>3036</v>
          </cell>
          <cell r="R442">
            <v>4990.6356020000003</v>
          </cell>
          <cell r="S442">
            <v>0</v>
          </cell>
          <cell r="T442">
            <v>0</v>
          </cell>
          <cell r="U442">
            <v>1300</v>
          </cell>
          <cell r="V442">
            <v>1.8926230769000001</v>
          </cell>
          <cell r="W442">
            <v>2460.4099999700002</v>
          </cell>
          <cell r="X442">
            <v>2.3737599999999999</v>
          </cell>
          <cell r="Y442">
            <v>0</v>
          </cell>
          <cell r="Z442">
            <v>1.8926230769000001</v>
          </cell>
          <cell r="AA442">
            <v>2460.4099999700002</v>
          </cell>
        </row>
        <row r="443">
          <cell r="B443" t="str">
            <v>N-02-17</v>
          </cell>
          <cell r="C443" t="str">
            <v>TRAMADOL .:. 100 mg/ml</v>
          </cell>
          <cell r="D443" t="str">
            <v>Solución p/ gotas orales</v>
          </cell>
          <cell r="E443">
            <v>30</v>
          </cell>
          <cell r="F443">
            <v>999</v>
          </cell>
          <cell r="H443">
            <v>150</v>
          </cell>
          <cell r="J443">
            <v>8626.7999999999993</v>
          </cell>
          <cell r="M443">
            <v>0</v>
          </cell>
          <cell r="N443">
            <v>0</v>
          </cell>
          <cell r="P443">
            <v>149</v>
          </cell>
          <cell r="R443">
            <v>8185.6142</v>
          </cell>
          <cell r="S443">
            <v>0</v>
          </cell>
          <cell r="T443">
            <v>0</v>
          </cell>
          <cell r="U443">
            <v>31</v>
          </cell>
          <cell r="V443">
            <v>46.457741935500003</v>
          </cell>
          <cell r="W443">
            <v>1440.1900000005</v>
          </cell>
          <cell r="X443">
            <v>2.3737599999999999</v>
          </cell>
          <cell r="Y443">
            <v>0</v>
          </cell>
          <cell r="Z443">
            <v>46.457741935500003</v>
          </cell>
          <cell r="AA443">
            <v>1440.1900000005</v>
          </cell>
        </row>
        <row r="444">
          <cell r="B444" t="str">
            <v>N-03-03</v>
          </cell>
          <cell r="C444" t="str">
            <v>ACIDO VALPROICO O VALPROATO SODICO .:. 500 mg</v>
          </cell>
          <cell r="D444" t="str">
            <v>Cápsula o Comprimido</v>
          </cell>
          <cell r="E444">
            <v>0</v>
          </cell>
          <cell r="F444">
            <v>0</v>
          </cell>
          <cell r="H444">
            <v>10000</v>
          </cell>
          <cell r="J444">
            <v>33810</v>
          </cell>
          <cell r="M444">
            <v>0</v>
          </cell>
          <cell r="N444">
            <v>0</v>
          </cell>
          <cell r="P444">
            <v>7860</v>
          </cell>
          <cell r="R444">
            <v>24073</v>
          </cell>
          <cell r="S444">
            <v>0</v>
          </cell>
          <cell r="T444">
            <v>0</v>
          </cell>
          <cell r="U444">
            <v>2140</v>
          </cell>
          <cell r="V444">
            <v>4.55</v>
          </cell>
          <cell r="W444">
            <v>9737</v>
          </cell>
          <cell r="X444">
            <v>2.3737599999999999</v>
          </cell>
          <cell r="Y444">
            <v>0</v>
          </cell>
          <cell r="Z444">
            <v>4.55</v>
          </cell>
          <cell r="AA444">
            <v>9737</v>
          </cell>
        </row>
        <row r="445">
          <cell r="B445" t="str">
            <v>N-03-04</v>
          </cell>
          <cell r="C445" t="str">
            <v>CARBAMAZEPINA .:. 200 mg</v>
          </cell>
          <cell r="D445" t="str">
            <v>Comprimido</v>
          </cell>
          <cell r="E445">
            <v>2233</v>
          </cell>
          <cell r="F445">
            <v>824.81906340679996</v>
          </cell>
          <cell r="H445">
            <v>3000</v>
          </cell>
          <cell r="J445">
            <v>1080</v>
          </cell>
          <cell r="M445">
            <v>0</v>
          </cell>
          <cell r="N445">
            <v>0</v>
          </cell>
          <cell r="P445">
            <v>3932</v>
          </cell>
          <cell r="R445">
            <v>1435.380298</v>
          </cell>
          <cell r="S445">
            <v>0</v>
          </cell>
          <cell r="T445">
            <v>0</v>
          </cell>
          <cell r="U445">
            <v>1301</v>
          </cell>
          <cell r="V445">
            <v>0.36083013069999997</v>
          </cell>
          <cell r="W445">
            <v>469.4400000407</v>
          </cell>
          <cell r="X445">
            <v>2.3737599999999999</v>
          </cell>
          <cell r="Y445">
            <v>0</v>
          </cell>
          <cell r="Z445">
            <v>0.36083013069999997</v>
          </cell>
          <cell r="AA445">
            <v>469.4400000407</v>
          </cell>
        </row>
        <row r="446">
          <cell r="B446" t="str">
            <v>N-03-06</v>
          </cell>
          <cell r="C446" t="str">
            <v>CLONAZEPAM .:. 2 mg</v>
          </cell>
          <cell r="D446" t="str">
            <v>Comprimido ranurado</v>
          </cell>
          <cell r="E446">
            <v>2052</v>
          </cell>
          <cell r="F446">
            <v>1037.1827292011999</v>
          </cell>
          <cell r="H446">
            <v>7700</v>
          </cell>
          <cell r="J446">
            <v>5400</v>
          </cell>
          <cell r="M446">
            <v>0</v>
          </cell>
          <cell r="N446">
            <v>0</v>
          </cell>
          <cell r="P446">
            <v>6762</v>
          </cell>
          <cell r="R446">
            <v>4410.3022129999999</v>
          </cell>
          <cell r="S446">
            <v>0</v>
          </cell>
          <cell r="T446">
            <v>0</v>
          </cell>
          <cell r="U446">
            <v>2990</v>
          </cell>
          <cell r="V446">
            <v>0.67788628760000003</v>
          </cell>
          <cell r="W446">
            <v>2026.879999924</v>
          </cell>
          <cell r="X446">
            <v>2.3737599999999999</v>
          </cell>
          <cell r="Y446">
            <v>0</v>
          </cell>
          <cell r="Z446">
            <v>0.67788628760000003</v>
          </cell>
          <cell r="AA446">
            <v>2026.879999924</v>
          </cell>
        </row>
        <row r="447">
          <cell r="B447" t="str">
            <v>N-03-07</v>
          </cell>
          <cell r="C447" t="str">
            <v>FENITOINA .:. 50 mg/ml</v>
          </cell>
          <cell r="D447" t="str">
            <v>Inyectable</v>
          </cell>
          <cell r="E447">
            <v>44</v>
          </cell>
          <cell r="F447">
            <v>528.00447465039997</v>
          </cell>
          <cell r="H447">
            <v>100</v>
          </cell>
          <cell r="J447">
            <v>1200</v>
          </cell>
          <cell r="M447">
            <v>0</v>
          </cell>
          <cell r="N447">
            <v>0</v>
          </cell>
          <cell r="P447">
            <v>84</v>
          </cell>
          <cell r="R447">
            <v>1008.003193</v>
          </cell>
          <cell r="S447">
            <v>0</v>
          </cell>
          <cell r="T447">
            <v>0</v>
          </cell>
          <cell r="U447">
            <v>60</v>
          </cell>
          <cell r="V447">
            <v>12</v>
          </cell>
          <cell r="W447">
            <v>720</v>
          </cell>
          <cell r="X447">
            <v>2.3737599999999999</v>
          </cell>
          <cell r="Y447">
            <v>0</v>
          </cell>
          <cell r="Z447">
            <v>12</v>
          </cell>
          <cell r="AA447">
            <v>720</v>
          </cell>
        </row>
        <row r="448">
          <cell r="B448" t="str">
            <v>N-03-08</v>
          </cell>
          <cell r="C448" t="str">
            <v>FENITOINA .:. 100 mg</v>
          </cell>
          <cell r="D448" t="str">
            <v>Cápsula o Comprimido</v>
          </cell>
          <cell r="E448">
            <v>1180</v>
          </cell>
          <cell r="F448">
            <v>536.43498654400003</v>
          </cell>
          <cell r="H448">
            <v>3000</v>
          </cell>
          <cell r="J448">
            <v>1410</v>
          </cell>
          <cell r="M448">
            <v>0</v>
          </cell>
          <cell r="N448">
            <v>0</v>
          </cell>
          <cell r="P448">
            <v>3040</v>
          </cell>
          <cell r="R448">
            <v>1412.2303529999999</v>
          </cell>
          <cell r="S448">
            <v>0</v>
          </cell>
          <cell r="T448">
            <v>0</v>
          </cell>
          <cell r="U448">
            <v>1140</v>
          </cell>
          <cell r="V448">
            <v>0.46859649120000002</v>
          </cell>
          <cell r="W448">
            <v>534.19999996800004</v>
          </cell>
          <cell r="X448">
            <v>2.3737599999999999</v>
          </cell>
          <cell r="Y448">
            <v>0</v>
          </cell>
          <cell r="Z448">
            <v>0.46859649120000002</v>
          </cell>
          <cell r="AA448">
            <v>534.19999996800004</v>
          </cell>
        </row>
        <row r="449">
          <cell r="B449" t="str">
            <v>N-03-12</v>
          </cell>
          <cell r="C449" t="str">
            <v>CLONAZEPAM .:. 2,5 mg/ml</v>
          </cell>
          <cell r="D449" t="str">
            <v>Solución oral</v>
          </cell>
          <cell r="E449">
            <v>62</v>
          </cell>
          <cell r="F449">
            <v>4280.9094374943998</v>
          </cell>
          <cell r="H449">
            <v>200</v>
          </cell>
          <cell r="J449">
            <v>14037</v>
          </cell>
          <cell r="M449">
            <v>30</v>
          </cell>
          <cell r="N449">
            <v>2069.5362300000002</v>
          </cell>
          <cell r="P449">
            <v>213</v>
          </cell>
          <cell r="R449">
            <v>14853.77413</v>
          </cell>
          <cell r="S449">
            <v>0</v>
          </cell>
          <cell r="T449">
            <v>0</v>
          </cell>
          <cell r="U449">
            <v>79</v>
          </cell>
          <cell r="V449">
            <v>70.046455696199999</v>
          </cell>
          <cell r="W449">
            <v>5533.6699999998</v>
          </cell>
          <cell r="X449">
            <v>2.3737599999999999</v>
          </cell>
          <cell r="Y449">
            <v>0</v>
          </cell>
          <cell r="Z449">
            <v>70.046455696199999</v>
          </cell>
          <cell r="AA449">
            <v>5533.6699999998</v>
          </cell>
        </row>
        <row r="450">
          <cell r="B450" t="str">
            <v>N-03-20</v>
          </cell>
          <cell r="C450" t="str">
            <v>PREGABALINA 75 MG .:. 75 MG</v>
          </cell>
          <cell r="D450" t="str">
            <v>Cápsula</v>
          </cell>
          <cell r="E450">
            <v>0</v>
          </cell>
          <cell r="F450">
            <v>0</v>
          </cell>
          <cell r="H450">
            <v>300</v>
          </cell>
          <cell r="J450">
            <v>2370</v>
          </cell>
          <cell r="M450">
            <v>0</v>
          </cell>
          <cell r="N450">
            <v>0</v>
          </cell>
          <cell r="P450">
            <v>90</v>
          </cell>
          <cell r="R450">
            <v>711</v>
          </cell>
          <cell r="S450">
            <v>0</v>
          </cell>
          <cell r="T450">
            <v>0</v>
          </cell>
          <cell r="U450">
            <v>210</v>
          </cell>
          <cell r="V450">
            <v>7.9</v>
          </cell>
          <cell r="W450">
            <v>1659</v>
          </cell>
          <cell r="X450">
            <v>2.3737599999999999</v>
          </cell>
          <cell r="Y450">
            <v>0</v>
          </cell>
          <cell r="Z450">
            <v>7.9</v>
          </cell>
          <cell r="AA450">
            <v>1659</v>
          </cell>
        </row>
        <row r="451">
          <cell r="B451" t="str">
            <v>N-03-21</v>
          </cell>
          <cell r="C451" t="str">
            <v>PREGABALINA .:. 150 MG.</v>
          </cell>
          <cell r="D451" t="str">
            <v>Cápsula</v>
          </cell>
          <cell r="E451">
            <v>2720</v>
          </cell>
          <cell r="F451">
            <v>24380.016974655999</v>
          </cell>
          <cell r="H451">
            <v>10440</v>
          </cell>
          <cell r="J451">
            <v>75900</v>
          </cell>
          <cell r="M451">
            <v>30</v>
          </cell>
          <cell r="N451">
            <v>235.63371000000001</v>
          </cell>
          <cell r="P451">
            <v>10198</v>
          </cell>
          <cell r="R451">
            <v>79624.347766000006</v>
          </cell>
          <cell r="S451">
            <v>0</v>
          </cell>
          <cell r="T451">
            <v>0</v>
          </cell>
          <cell r="U451">
            <v>2992</v>
          </cell>
          <cell r="V451">
            <v>6.9823863635999999</v>
          </cell>
          <cell r="W451">
            <v>20891.299999891198</v>
          </cell>
          <cell r="X451">
            <v>2.3737599999999999</v>
          </cell>
          <cell r="Y451">
            <v>0</v>
          </cell>
          <cell r="Z451">
            <v>6.9823863635999999</v>
          </cell>
          <cell r="AA451">
            <v>20891.299999891198</v>
          </cell>
        </row>
        <row r="452">
          <cell r="B452" t="str">
            <v>N-03-22</v>
          </cell>
          <cell r="C452" t="str">
            <v>ACIDO VALPROICO Ò VALPROATO SODICO .:. 200/MG/ML</v>
          </cell>
          <cell r="D452" t="str">
            <v>Jarabe o Solución oral</v>
          </cell>
          <cell r="E452">
            <v>27</v>
          </cell>
          <cell r="F452">
            <v>2304.7366181409002</v>
          </cell>
          <cell r="H452">
            <v>60</v>
          </cell>
          <cell r="J452">
            <v>4800</v>
          </cell>
          <cell r="M452">
            <v>0</v>
          </cell>
          <cell r="N452">
            <v>0</v>
          </cell>
          <cell r="P452">
            <v>50</v>
          </cell>
          <cell r="R452">
            <v>4124.0142239999996</v>
          </cell>
          <cell r="S452">
            <v>0</v>
          </cell>
          <cell r="T452">
            <v>0</v>
          </cell>
          <cell r="U452">
            <v>37</v>
          </cell>
          <cell r="V452">
            <v>80.56</v>
          </cell>
          <cell r="W452">
            <v>2980.72</v>
          </cell>
          <cell r="X452">
            <v>2.3737599999999999</v>
          </cell>
          <cell r="Y452">
            <v>0</v>
          </cell>
          <cell r="Z452">
            <v>80.56</v>
          </cell>
          <cell r="AA452">
            <v>2980.72</v>
          </cell>
        </row>
        <row r="453">
          <cell r="B453" t="str">
            <v>N-04-01</v>
          </cell>
          <cell r="C453" t="str">
            <v>BIPERIDENO CLORHIDRATO .:. 4 mg</v>
          </cell>
          <cell r="D453" t="str">
            <v>Comprimido</v>
          </cell>
          <cell r="E453">
            <v>310</v>
          </cell>
          <cell r="F453">
            <v>1240.231231511</v>
          </cell>
          <cell r="H453">
            <v>1100</v>
          </cell>
          <cell r="J453">
            <v>2948</v>
          </cell>
          <cell r="M453">
            <v>0</v>
          </cell>
          <cell r="N453">
            <v>0</v>
          </cell>
          <cell r="P453">
            <v>1230</v>
          </cell>
          <cell r="R453">
            <v>3705.8312289999999</v>
          </cell>
          <cell r="S453">
            <v>0</v>
          </cell>
          <cell r="T453">
            <v>0</v>
          </cell>
          <cell r="U453">
            <v>180</v>
          </cell>
          <cell r="V453">
            <v>2.68</v>
          </cell>
          <cell r="W453">
            <v>482.4</v>
          </cell>
          <cell r="X453">
            <v>2.3737599999999999</v>
          </cell>
          <cell r="Y453">
            <v>0</v>
          </cell>
          <cell r="Z453">
            <v>2.68</v>
          </cell>
          <cell r="AA453">
            <v>482.4</v>
          </cell>
        </row>
        <row r="454">
          <cell r="B454" t="str">
            <v>N-04-02</v>
          </cell>
          <cell r="C454" t="str">
            <v>LEVODOPA + CARBIDOPA .:. 250 mg + 25 mg</v>
          </cell>
          <cell r="D454" t="str">
            <v>Comprimido</v>
          </cell>
          <cell r="E454">
            <v>595</v>
          </cell>
          <cell r="F454">
            <v>1785.4779633810001</v>
          </cell>
          <cell r="H454">
            <v>4800</v>
          </cell>
          <cell r="J454">
            <v>14400</v>
          </cell>
          <cell r="M454">
            <v>0</v>
          </cell>
          <cell r="N454">
            <v>0</v>
          </cell>
          <cell r="P454">
            <v>3595</v>
          </cell>
          <cell r="R454">
            <v>10785.477951000001</v>
          </cell>
          <cell r="S454">
            <v>0</v>
          </cell>
          <cell r="T454">
            <v>0</v>
          </cell>
          <cell r="U454">
            <v>1800</v>
          </cell>
          <cell r="V454">
            <v>3</v>
          </cell>
          <cell r="W454">
            <v>5400</v>
          </cell>
          <cell r="X454">
            <v>2.3737599999999999</v>
          </cell>
          <cell r="Y454">
            <v>0</v>
          </cell>
          <cell r="Z454">
            <v>3</v>
          </cell>
          <cell r="AA454">
            <v>5400</v>
          </cell>
        </row>
        <row r="455">
          <cell r="B455" t="str">
            <v>N-05-01</v>
          </cell>
          <cell r="C455" t="str">
            <v>ALPRAZOLAM .:. 0,5 mg</v>
          </cell>
          <cell r="D455" t="str">
            <v>Comprimido ranurado</v>
          </cell>
          <cell r="E455">
            <v>4802</v>
          </cell>
          <cell r="F455">
            <v>2406.9195147171999</v>
          </cell>
          <cell r="H455">
            <v>22000</v>
          </cell>
          <cell r="J455">
            <v>7000</v>
          </cell>
          <cell r="M455">
            <v>0</v>
          </cell>
          <cell r="N455">
            <v>0</v>
          </cell>
          <cell r="P455">
            <v>19484</v>
          </cell>
          <cell r="R455">
            <v>6918.5897189999996</v>
          </cell>
          <cell r="S455">
            <v>0</v>
          </cell>
          <cell r="T455">
            <v>0</v>
          </cell>
          <cell r="U455">
            <v>7318</v>
          </cell>
          <cell r="V455">
            <v>0.3400286964</v>
          </cell>
          <cell r="W455">
            <v>2488.3300002552</v>
          </cell>
          <cell r="X455">
            <v>2.3737599999999999</v>
          </cell>
          <cell r="Y455">
            <v>0</v>
          </cell>
          <cell r="Z455">
            <v>0.3400286964</v>
          </cell>
          <cell r="AA455">
            <v>2488.3300002552</v>
          </cell>
        </row>
        <row r="456">
          <cell r="B456" t="str">
            <v>N-05-04</v>
          </cell>
          <cell r="C456" t="str">
            <v>DIAZEPAM .:. 10 mg</v>
          </cell>
          <cell r="D456" t="str">
            <v>Comprimido ranurado</v>
          </cell>
          <cell r="E456">
            <v>236</v>
          </cell>
          <cell r="F456">
            <v>122.3494678224</v>
          </cell>
          <cell r="H456">
            <v>0</v>
          </cell>
          <cell r="J456">
            <v>0</v>
          </cell>
          <cell r="M456">
            <v>0</v>
          </cell>
          <cell r="N456">
            <v>0</v>
          </cell>
          <cell r="P456">
            <v>236</v>
          </cell>
          <cell r="R456">
            <v>122.349458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2.3737599999999999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N-05-05</v>
          </cell>
          <cell r="C457" t="str">
            <v>DIAZEPAM .:. 10 mg</v>
          </cell>
          <cell r="D457" t="str">
            <v>Inyectable</v>
          </cell>
          <cell r="E457">
            <v>33</v>
          </cell>
          <cell r="F457">
            <v>120.952678374</v>
          </cell>
          <cell r="H457">
            <v>80</v>
          </cell>
          <cell r="J457">
            <v>557.6</v>
          </cell>
          <cell r="M457">
            <v>0</v>
          </cell>
          <cell r="N457">
            <v>0</v>
          </cell>
          <cell r="P457">
            <v>67</v>
          </cell>
          <cell r="R457">
            <v>357.93266599999998</v>
          </cell>
          <cell r="S457">
            <v>0</v>
          </cell>
          <cell r="T457">
            <v>0</v>
          </cell>
          <cell r="U457">
            <v>46</v>
          </cell>
          <cell r="V457">
            <v>6.97</v>
          </cell>
          <cell r="W457">
            <v>320.62</v>
          </cell>
          <cell r="X457">
            <v>2.3737599999999999</v>
          </cell>
          <cell r="Y457">
            <v>0</v>
          </cell>
          <cell r="Z457">
            <v>6.97</v>
          </cell>
          <cell r="AA457">
            <v>320.62</v>
          </cell>
        </row>
        <row r="458">
          <cell r="B458" t="str">
            <v>N-05-07</v>
          </cell>
          <cell r="C458" t="str">
            <v>HALOPERIDOL .:. 2 mg/ml</v>
          </cell>
          <cell r="D458" t="str">
            <v>Solución oral</v>
          </cell>
          <cell r="E458">
            <v>34</v>
          </cell>
          <cell r="F458">
            <v>1825.1655808998</v>
          </cell>
          <cell r="H458">
            <v>0</v>
          </cell>
          <cell r="J458">
            <v>0</v>
          </cell>
          <cell r="M458">
            <v>27</v>
          </cell>
          <cell r="N458">
            <v>1443.42</v>
          </cell>
          <cell r="P458">
            <v>34</v>
          </cell>
          <cell r="R458">
            <v>1819.1893829999999</v>
          </cell>
          <cell r="S458">
            <v>27</v>
          </cell>
          <cell r="T458">
            <v>1449.3961959999999</v>
          </cell>
          <cell r="U458">
            <v>0</v>
          </cell>
          <cell r="V458">
            <v>0</v>
          </cell>
          <cell r="W458">
            <v>0</v>
          </cell>
          <cell r="X458">
            <v>2.3737599999999999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N-05-11</v>
          </cell>
          <cell r="C459" t="str">
            <v>MIDAZOLAM .:. 15 mg/3 ml</v>
          </cell>
          <cell r="D459" t="str">
            <v>Inyectable</v>
          </cell>
          <cell r="E459">
            <v>0</v>
          </cell>
          <cell r="F459">
            <v>0</v>
          </cell>
          <cell r="H459">
            <v>1700</v>
          </cell>
          <cell r="J459">
            <v>32100</v>
          </cell>
          <cell r="M459">
            <v>0</v>
          </cell>
          <cell r="N459">
            <v>0</v>
          </cell>
          <cell r="P459">
            <v>851</v>
          </cell>
          <cell r="R459">
            <v>16632.724082000001</v>
          </cell>
          <cell r="S459">
            <v>0</v>
          </cell>
          <cell r="T459">
            <v>0</v>
          </cell>
          <cell r="U459">
            <v>849</v>
          </cell>
          <cell r="V459">
            <v>18.2182332155</v>
          </cell>
          <cell r="W459">
            <v>15467.279999959501</v>
          </cell>
          <cell r="X459">
            <v>2.3737599999999999</v>
          </cell>
          <cell r="Y459">
            <v>0</v>
          </cell>
          <cell r="Z459">
            <v>18.2182332155</v>
          </cell>
          <cell r="AA459">
            <v>15467.279999959501</v>
          </cell>
        </row>
        <row r="460">
          <cell r="B460" t="str">
            <v>N-05-18</v>
          </cell>
          <cell r="C460" t="str">
            <v>QUETIAPINA .:. 100 mg</v>
          </cell>
          <cell r="D460" t="str">
            <v>Comprimido</v>
          </cell>
          <cell r="E460">
            <v>0</v>
          </cell>
          <cell r="F460">
            <v>0</v>
          </cell>
          <cell r="H460">
            <v>100</v>
          </cell>
          <cell r="J460">
            <v>1065</v>
          </cell>
          <cell r="M460">
            <v>0</v>
          </cell>
          <cell r="N460">
            <v>0</v>
          </cell>
          <cell r="P460">
            <v>81</v>
          </cell>
          <cell r="R460">
            <v>862.65</v>
          </cell>
          <cell r="S460">
            <v>0</v>
          </cell>
          <cell r="T460">
            <v>0</v>
          </cell>
          <cell r="U460">
            <v>19</v>
          </cell>
          <cell r="V460">
            <v>10.65</v>
          </cell>
          <cell r="W460">
            <v>202.35</v>
          </cell>
          <cell r="X460">
            <v>2.3737599999999999</v>
          </cell>
          <cell r="Y460">
            <v>0</v>
          </cell>
          <cell r="Z460">
            <v>10.65</v>
          </cell>
          <cell r="AA460">
            <v>202.35</v>
          </cell>
        </row>
        <row r="461">
          <cell r="B461" t="str">
            <v>N-06-01</v>
          </cell>
          <cell r="C461" t="str">
            <v>AMITRIPTILINA .:. 25 mg</v>
          </cell>
          <cell r="D461" t="str">
            <v>Comprimido ranurado</v>
          </cell>
          <cell r="E461">
            <v>498</v>
          </cell>
          <cell r="F461">
            <v>222.1773083034</v>
          </cell>
          <cell r="H461">
            <v>6600</v>
          </cell>
          <cell r="J461">
            <v>2742</v>
          </cell>
          <cell r="M461">
            <v>0</v>
          </cell>
          <cell r="N461">
            <v>0</v>
          </cell>
          <cell r="P461">
            <v>5509</v>
          </cell>
          <cell r="R461">
            <v>2323.8978710000001</v>
          </cell>
          <cell r="S461">
            <v>0</v>
          </cell>
          <cell r="T461">
            <v>0</v>
          </cell>
          <cell r="U461">
            <v>1589</v>
          </cell>
          <cell r="V461">
            <v>0.40294524860000003</v>
          </cell>
          <cell r="W461">
            <v>640.2800000254</v>
          </cell>
          <cell r="X461">
            <v>2.3737599999999999</v>
          </cell>
          <cell r="Y461">
            <v>0</v>
          </cell>
          <cell r="Z461">
            <v>0.40294524860000003</v>
          </cell>
          <cell r="AA461">
            <v>640.2800000254</v>
          </cell>
        </row>
        <row r="462">
          <cell r="B462" t="str">
            <v>N-06-04</v>
          </cell>
          <cell r="C462" t="str">
            <v>FLUOXETINA .:. 20 mg</v>
          </cell>
          <cell r="D462" t="str">
            <v>Cápsula o Comprimido</v>
          </cell>
          <cell r="E462">
            <v>1806</v>
          </cell>
          <cell r="F462">
            <v>908.53998771479996</v>
          </cell>
          <cell r="H462">
            <v>10300</v>
          </cell>
          <cell r="J462">
            <v>4224</v>
          </cell>
          <cell r="M462">
            <v>0</v>
          </cell>
          <cell r="N462">
            <v>0</v>
          </cell>
          <cell r="P462">
            <v>8944</v>
          </cell>
          <cell r="R462">
            <v>3878.5852679999998</v>
          </cell>
          <cell r="S462">
            <v>0</v>
          </cell>
          <cell r="T462">
            <v>0</v>
          </cell>
          <cell r="U462">
            <v>3162</v>
          </cell>
          <cell r="V462">
            <v>0.39656862749999999</v>
          </cell>
          <cell r="W462">
            <v>1253.950000155</v>
          </cell>
          <cell r="X462">
            <v>2.3737599999999999</v>
          </cell>
          <cell r="Y462">
            <v>0</v>
          </cell>
          <cell r="Z462">
            <v>0.39656862749999999</v>
          </cell>
          <cell r="AA462">
            <v>1253.950000155</v>
          </cell>
        </row>
        <row r="463">
          <cell r="B463" t="str">
            <v>N-06-08</v>
          </cell>
          <cell r="C463" t="str">
            <v>DULOXETINA .:. 30mg</v>
          </cell>
          <cell r="D463" t="str">
            <v>Cápsula</v>
          </cell>
          <cell r="E463">
            <v>910</v>
          </cell>
          <cell r="F463">
            <v>4585.8971589339999</v>
          </cell>
          <cell r="H463">
            <v>2000</v>
          </cell>
          <cell r="J463">
            <v>8800</v>
          </cell>
          <cell r="M463">
            <v>0</v>
          </cell>
          <cell r="N463">
            <v>0</v>
          </cell>
          <cell r="P463">
            <v>2170</v>
          </cell>
          <cell r="R463">
            <v>10066.395275000001</v>
          </cell>
          <cell r="S463">
            <v>0</v>
          </cell>
          <cell r="T463">
            <v>0</v>
          </cell>
          <cell r="U463">
            <v>740</v>
          </cell>
          <cell r="V463">
            <v>4.4858108108000003</v>
          </cell>
          <cell r="W463">
            <v>3319.4999999920001</v>
          </cell>
          <cell r="X463">
            <v>2.3737599999999999</v>
          </cell>
          <cell r="Y463">
            <v>0</v>
          </cell>
          <cell r="Z463">
            <v>4.4858108108000003</v>
          </cell>
          <cell r="AA463">
            <v>3319.4999999920001</v>
          </cell>
        </row>
        <row r="464">
          <cell r="B464" t="str">
            <v>N-07-01</v>
          </cell>
          <cell r="C464" t="str">
            <v>DIMENHIDRINATO .:. 50 mg</v>
          </cell>
          <cell r="D464" t="str">
            <v>Comprimido</v>
          </cell>
          <cell r="E464">
            <v>915</v>
          </cell>
          <cell r="F464">
            <v>771.123433116</v>
          </cell>
          <cell r="H464">
            <v>2500</v>
          </cell>
          <cell r="J464">
            <v>950</v>
          </cell>
          <cell r="M464">
            <v>0</v>
          </cell>
          <cell r="N464">
            <v>0</v>
          </cell>
          <cell r="P464">
            <v>2308</v>
          </cell>
          <cell r="R464">
            <v>1224.5402509999999</v>
          </cell>
          <cell r="S464">
            <v>0</v>
          </cell>
          <cell r="T464">
            <v>0</v>
          </cell>
          <cell r="U464">
            <v>1107</v>
          </cell>
          <cell r="V464">
            <v>0.44858175249999999</v>
          </cell>
          <cell r="W464">
            <v>496.58000001750003</v>
          </cell>
          <cell r="X464">
            <v>2.3737599999999999</v>
          </cell>
          <cell r="Y464">
            <v>0</v>
          </cell>
          <cell r="Z464">
            <v>0.44858175249999999</v>
          </cell>
          <cell r="AA464">
            <v>496.58000001750003</v>
          </cell>
        </row>
        <row r="465">
          <cell r="B465" t="str">
            <v>N-07-05</v>
          </cell>
          <cell r="C465" t="str">
            <v>NEOSTIGMINA .:. 0,5 mg/ml</v>
          </cell>
          <cell r="D465" t="str">
            <v>Inyectable</v>
          </cell>
          <cell r="E465">
            <v>97</v>
          </cell>
          <cell r="F465">
            <v>410.79625431670001</v>
          </cell>
          <cell r="H465">
            <v>100</v>
          </cell>
          <cell r="J465">
            <v>486</v>
          </cell>
          <cell r="M465">
            <v>0</v>
          </cell>
          <cell r="N465">
            <v>0</v>
          </cell>
          <cell r="P465">
            <v>104</v>
          </cell>
          <cell r="R465">
            <v>444.81622499999997</v>
          </cell>
          <cell r="S465">
            <v>0</v>
          </cell>
          <cell r="T465">
            <v>0</v>
          </cell>
          <cell r="U465">
            <v>93</v>
          </cell>
          <cell r="V465">
            <v>4.8600000000000003</v>
          </cell>
          <cell r="W465">
            <v>451.98</v>
          </cell>
          <cell r="X465">
            <v>2.3737599999999999</v>
          </cell>
          <cell r="Y465">
            <v>0</v>
          </cell>
          <cell r="Z465">
            <v>4.8600000000000003</v>
          </cell>
          <cell r="AA465">
            <v>451.98</v>
          </cell>
        </row>
        <row r="466">
          <cell r="B466" t="str">
            <v>N-07-06</v>
          </cell>
          <cell r="C466" t="str">
            <v>PIRIDOSTIGMINA .:. 60 mg</v>
          </cell>
          <cell r="D466" t="str">
            <v>Comprimido</v>
          </cell>
          <cell r="E466">
            <v>0</v>
          </cell>
          <cell r="F466">
            <v>0</v>
          </cell>
          <cell r="H466">
            <v>200</v>
          </cell>
          <cell r="J466">
            <v>540</v>
          </cell>
          <cell r="M466">
            <v>0</v>
          </cell>
          <cell r="N466">
            <v>0</v>
          </cell>
          <cell r="P466">
            <v>200</v>
          </cell>
          <cell r="R466">
            <v>540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2.3737599999999999</v>
          </cell>
          <cell r="Y466">
            <v>0</v>
          </cell>
          <cell r="Z466">
            <v>0</v>
          </cell>
          <cell r="AA466">
            <v>0</v>
          </cell>
        </row>
        <row r="467">
          <cell r="B467" t="str">
            <v>N-07-08</v>
          </cell>
          <cell r="C467" t="str">
            <v>FLUNARIZINA .:. 10 mg</v>
          </cell>
          <cell r="D467" t="str">
            <v>Comprimido</v>
          </cell>
          <cell r="E467">
            <v>1035</v>
          </cell>
          <cell r="F467">
            <v>2284.0554684194999</v>
          </cell>
          <cell r="H467">
            <v>2600</v>
          </cell>
          <cell r="J467">
            <v>925</v>
          </cell>
          <cell r="M467">
            <v>0</v>
          </cell>
          <cell r="N467">
            <v>0</v>
          </cell>
          <cell r="P467">
            <v>2801</v>
          </cell>
          <cell r="R467">
            <v>2917.0506380000002</v>
          </cell>
          <cell r="S467">
            <v>0</v>
          </cell>
          <cell r="T467">
            <v>0</v>
          </cell>
          <cell r="U467">
            <v>834</v>
          </cell>
          <cell r="V467">
            <v>0.35011990409999999</v>
          </cell>
          <cell r="W467">
            <v>292.00000001939998</v>
          </cell>
          <cell r="X467">
            <v>2.3737599999999999</v>
          </cell>
          <cell r="Y467">
            <v>0</v>
          </cell>
          <cell r="Z467">
            <v>0.35011990409999999</v>
          </cell>
          <cell r="AA467">
            <v>292.00000001939998</v>
          </cell>
        </row>
        <row r="468">
          <cell r="B468" t="str">
            <v>P-01-03</v>
          </cell>
          <cell r="C468" t="str">
            <v>CLOROQUINA FOSFATO .:. 250 mg (150 mg base)</v>
          </cell>
          <cell r="D468" t="str">
            <v>Comprimido</v>
          </cell>
          <cell r="E468">
            <v>300</v>
          </cell>
          <cell r="F468">
            <v>136.02338673</v>
          </cell>
          <cell r="H468">
            <v>0</v>
          </cell>
          <cell r="J468">
            <v>0</v>
          </cell>
          <cell r="M468">
            <v>0</v>
          </cell>
          <cell r="N468">
            <v>0</v>
          </cell>
          <cell r="P468">
            <v>20</v>
          </cell>
          <cell r="R468">
            <v>9.068225</v>
          </cell>
          <cell r="S468">
            <v>280</v>
          </cell>
          <cell r="T468">
            <v>126.95516000000001</v>
          </cell>
          <cell r="U468">
            <v>0</v>
          </cell>
          <cell r="V468">
            <v>0</v>
          </cell>
          <cell r="W468">
            <v>0</v>
          </cell>
          <cell r="X468">
            <v>2.3737599999999999</v>
          </cell>
          <cell r="Y468">
            <v>0</v>
          </cell>
          <cell r="Z468">
            <v>0</v>
          </cell>
          <cell r="AA468">
            <v>0</v>
          </cell>
        </row>
        <row r="469">
          <cell r="B469" t="str">
            <v>P-01-06</v>
          </cell>
          <cell r="C469" t="str">
            <v>METRONIDAZOL .:. 250 mg/5 ml</v>
          </cell>
          <cell r="D469" t="str">
            <v>Suspensión</v>
          </cell>
          <cell r="E469">
            <v>7</v>
          </cell>
          <cell r="F469">
            <v>88.043908896299996</v>
          </cell>
          <cell r="H469">
            <v>0</v>
          </cell>
          <cell r="J469">
            <v>0</v>
          </cell>
          <cell r="M469">
            <v>1</v>
          </cell>
          <cell r="N469">
            <v>12.577700999999999</v>
          </cell>
          <cell r="P469">
            <v>6</v>
          </cell>
          <cell r="R469">
            <v>75.466206</v>
          </cell>
          <cell r="S469">
            <v>0</v>
          </cell>
          <cell r="T469">
            <v>0</v>
          </cell>
          <cell r="U469">
            <v>2</v>
          </cell>
          <cell r="V469">
            <v>12.58</v>
          </cell>
          <cell r="W469">
            <v>25.16</v>
          </cell>
          <cell r="X469">
            <v>2.3737599999999999</v>
          </cell>
          <cell r="Y469">
            <v>0</v>
          </cell>
          <cell r="Z469">
            <v>12.58</v>
          </cell>
          <cell r="AA469">
            <v>25.16</v>
          </cell>
        </row>
        <row r="470">
          <cell r="B470" t="str">
            <v>P-01-07</v>
          </cell>
          <cell r="C470" t="str">
            <v>METRONIDAZOL .:. 500 mg</v>
          </cell>
          <cell r="D470" t="str">
            <v>Inyectable</v>
          </cell>
          <cell r="E470">
            <v>164</v>
          </cell>
          <cell r="F470">
            <v>1324.5899617744001</v>
          </cell>
          <cell r="H470">
            <v>250</v>
          </cell>
          <cell r="J470">
            <v>2300</v>
          </cell>
          <cell r="M470">
            <v>19</v>
          </cell>
          <cell r="N470">
            <v>168.84175400000001</v>
          </cell>
          <cell r="P470">
            <v>288</v>
          </cell>
          <cell r="R470">
            <v>2506.5593909999998</v>
          </cell>
          <cell r="S470">
            <v>0</v>
          </cell>
          <cell r="T470">
            <v>0</v>
          </cell>
          <cell r="U470">
            <v>145</v>
          </cell>
          <cell r="V470">
            <v>8.8749655171999997</v>
          </cell>
          <cell r="W470">
            <v>1286.869999994</v>
          </cell>
          <cell r="X470">
            <v>2.3737599999999999</v>
          </cell>
          <cell r="Y470">
            <v>0</v>
          </cell>
          <cell r="Z470">
            <v>8.8749655171999997</v>
          </cell>
          <cell r="AA470">
            <v>1286.869999994</v>
          </cell>
        </row>
        <row r="471">
          <cell r="B471" t="str">
            <v>P-01-09</v>
          </cell>
          <cell r="C471" t="str">
            <v>METRONIDAZOL .:. 500 mg</v>
          </cell>
          <cell r="D471" t="str">
            <v>Comprimido</v>
          </cell>
          <cell r="E471">
            <v>760</v>
          </cell>
          <cell r="F471">
            <v>288.29271512399998</v>
          </cell>
          <cell r="H471">
            <v>900</v>
          </cell>
          <cell r="J471">
            <v>304</v>
          </cell>
          <cell r="M471">
            <v>0</v>
          </cell>
          <cell r="N471">
            <v>0</v>
          </cell>
          <cell r="P471">
            <v>1316</v>
          </cell>
          <cell r="R471">
            <v>476.815451</v>
          </cell>
          <cell r="S471">
            <v>0</v>
          </cell>
          <cell r="T471">
            <v>0</v>
          </cell>
          <cell r="U471">
            <v>344</v>
          </cell>
          <cell r="V471">
            <v>0.33569767439999998</v>
          </cell>
          <cell r="W471">
            <v>115.4799999936</v>
          </cell>
          <cell r="X471">
            <v>2.3737599999999999</v>
          </cell>
          <cell r="Y471">
            <v>0</v>
          </cell>
          <cell r="Z471">
            <v>0.33569767439999998</v>
          </cell>
          <cell r="AA471">
            <v>115.4799999936</v>
          </cell>
        </row>
        <row r="472">
          <cell r="B472" t="str">
            <v>P-01-11</v>
          </cell>
          <cell r="C472" t="str">
            <v>NITAZOXANIDA .:. 500 mg</v>
          </cell>
          <cell r="D472" t="str">
            <v>Comprimido</v>
          </cell>
          <cell r="E472">
            <v>329</v>
          </cell>
          <cell r="F472">
            <v>1100.1519279912</v>
          </cell>
          <cell r="H472">
            <v>0</v>
          </cell>
          <cell r="J472">
            <v>0</v>
          </cell>
          <cell r="M472">
            <v>0</v>
          </cell>
          <cell r="N472">
            <v>0</v>
          </cell>
          <cell r="P472">
            <v>329</v>
          </cell>
          <cell r="R472">
            <v>1100.1519069999999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2.3737599999999999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P-01-27</v>
          </cell>
          <cell r="C473" t="str">
            <v>HIDROXICLOROQUINA SULFATO .:. 200 mg</v>
          </cell>
          <cell r="D473" t="str">
            <v>Comprimido</v>
          </cell>
          <cell r="E473">
            <v>2271</v>
          </cell>
          <cell r="F473">
            <v>7784.1286576878001</v>
          </cell>
          <cell r="H473">
            <v>0</v>
          </cell>
          <cell r="J473">
            <v>0</v>
          </cell>
          <cell r="M473">
            <v>0</v>
          </cell>
          <cell r="N473">
            <v>0</v>
          </cell>
          <cell r="P473">
            <v>1936</v>
          </cell>
          <cell r="R473">
            <v>6635.8754159999999</v>
          </cell>
          <cell r="S473">
            <v>0</v>
          </cell>
          <cell r="T473">
            <v>0</v>
          </cell>
          <cell r="U473">
            <v>335</v>
          </cell>
          <cell r="V473">
            <v>3.4276119402999998</v>
          </cell>
          <cell r="W473">
            <v>1148.2500000005</v>
          </cell>
          <cell r="X473">
            <v>2.3737599999999999</v>
          </cell>
          <cell r="Y473">
            <v>0</v>
          </cell>
          <cell r="Z473">
            <v>3.4276119402999998</v>
          </cell>
          <cell r="AA473">
            <v>1148.2500000005</v>
          </cell>
        </row>
        <row r="474">
          <cell r="B474" t="str">
            <v>P-02-01</v>
          </cell>
          <cell r="C474" t="str">
            <v>ALBENDAZOL .:. 200 mg</v>
          </cell>
          <cell r="D474" t="str">
            <v>Comprimido</v>
          </cell>
          <cell r="E474">
            <v>90</v>
          </cell>
          <cell r="F474">
            <v>108.66859379100001</v>
          </cell>
          <cell r="H474">
            <v>500</v>
          </cell>
          <cell r="J474">
            <v>600</v>
          </cell>
          <cell r="M474">
            <v>0</v>
          </cell>
          <cell r="N474">
            <v>0</v>
          </cell>
          <cell r="P474">
            <v>49</v>
          </cell>
          <cell r="R474">
            <v>58.878773000000002</v>
          </cell>
          <cell r="S474">
            <v>0</v>
          </cell>
          <cell r="T474">
            <v>0</v>
          </cell>
          <cell r="U474">
            <v>541</v>
          </cell>
          <cell r="V474">
            <v>1.2010905730000001</v>
          </cell>
          <cell r="W474">
            <v>649.78999999300004</v>
          </cell>
          <cell r="X474">
            <v>2.3737599999999999</v>
          </cell>
          <cell r="Y474">
            <v>0</v>
          </cell>
          <cell r="Z474">
            <v>1.2010905730000001</v>
          </cell>
          <cell r="AA474">
            <v>649.78999999300004</v>
          </cell>
        </row>
        <row r="475">
          <cell r="B475" t="str">
            <v>P-02-02</v>
          </cell>
          <cell r="C475" t="str">
            <v>ALBENDAZOL .:. 200 mg/5 ml</v>
          </cell>
          <cell r="D475" t="str">
            <v>Suspensión</v>
          </cell>
          <cell r="E475">
            <v>25</v>
          </cell>
          <cell r="F475">
            <v>246.1064455575</v>
          </cell>
          <cell r="H475">
            <v>0</v>
          </cell>
          <cell r="J475">
            <v>0</v>
          </cell>
          <cell r="M475">
            <v>0</v>
          </cell>
          <cell r="N475">
            <v>0</v>
          </cell>
          <cell r="P475">
            <v>24</v>
          </cell>
          <cell r="R475">
            <v>236.262169</v>
          </cell>
          <cell r="S475">
            <v>0</v>
          </cell>
          <cell r="T475">
            <v>0</v>
          </cell>
          <cell r="U475">
            <v>1</v>
          </cell>
          <cell r="V475">
            <v>9.84</v>
          </cell>
          <cell r="W475">
            <v>9.84</v>
          </cell>
          <cell r="X475">
            <v>2.3737599999999999</v>
          </cell>
          <cell r="Y475">
            <v>0</v>
          </cell>
          <cell r="Z475">
            <v>9.84</v>
          </cell>
          <cell r="AA475">
            <v>9.84</v>
          </cell>
        </row>
        <row r="476">
          <cell r="B476" t="str">
            <v>P-02-03</v>
          </cell>
          <cell r="C476" t="str">
            <v>MEBENDAZOL .:. 100 mg</v>
          </cell>
          <cell r="D476" t="str">
            <v>Comprimido</v>
          </cell>
          <cell r="E476">
            <v>98</v>
          </cell>
          <cell r="F476">
            <v>20.187043941399999</v>
          </cell>
          <cell r="H476">
            <v>0</v>
          </cell>
          <cell r="J476">
            <v>0</v>
          </cell>
          <cell r="M476">
            <v>98</v>
          </cell>
          <cell r="N476">
            <v>20.190000000000001</v>
          </cell>
          <cell r="P476">
            <v>0</v>
          </cell>
          <cell r="R476">
            <v>0</v>
          </cell>
          <cell r="S476">
            <v>98</v>
          </cell>
          <cell r="T476">
            <v>20.187042999999999</v>
          </cell>
          <cell r="U476">
            <v>98</v>
          </cell>
          <cell r="V476">
            <v>0.2060204082</v>
          </cell>
          <cell r="W476">
            <v>20.190000003600002</v>
          </cell>
          <cell r="X476">
            <v>2.3737599999999999</v>
          </cell>
          <cell r="Y476">
            <v>0</v>
          </cell>
          <cell r="Z476">
            <v>0.2060204082</v>
          </cell>
          <cell r="AA476">
            <v>20.190000003600002</v>
          </cell>
        </row>
        <row r="477">
          <cell r="B477" t="str">
            <v>P-02-05</v>
          </cell>
          <cell r="C477" t="str">
            <v>MEBENDAZOL .:. 500 mg</v>
          </cell>
          <cell r="D477" t="str">
            <v>Comprimido</v>
          </cell>
          <cell r="E477">
            <v>260</v>
          </cell>
          <cell r="F477">
            <v>510.01292113199997</v>
          </cell>
          <cell r="H477">
            <v>0</v>
          </cell>
          <cell r="J477">
            <v>0</v>
          </cell>
          <cell r="M477">
            <v>0</v>
          </cell>
          <cell r="N477">
            <v>0</v>
          </cell>
          <cell r="P477">
            <v>8</v>
          </cell>
          <cell r="R477">
            <v>15.692704000000001</v>
          </cell>
          <cell r="S477">
            <v>0</v>
          </cell>
          <cell r="T477">
            <v>0</v>
          </cell>
          <cell r="U477">
            <v>252</v>
          </cell>
          <cell r="V477">
            <v>1.9615873016000001</v>
          </cell>
          <cell r="W477">
            <v>494.32000000319999</v>
          </cell>
          <cell r="X477">
            <v>2.3737599999999999</v>
          </cell>
          <cell r="Y477">
            <v>0</v>
          </cell>
          <cell r="Z477">
            <v>1.9615873016000001</v>
          </cell>
          <cell r="AA477">
            <v>494.32000000319999</v>
          </cell>
        </row>
        <row r="478">
          <cell r="B478" t="str">
            <v>P-02-08</v>
          </cell>
          <cell r="C478" t="str">
            <v>PIRANTEL PAMOATO .:. 250 mg/5 ml</v>
          </cell>
          <cell r="D478" t="str">
            <v>Suspensión</v>
          </cell>
          <cell r="E478">
            <v>4</v>
          </cell>
          <cell r="F478">
            <v>49.813720482800001</v>
          </cell>
          <cell r="H478">
            <v>0</v>
          </cell>
          <cell r="J478">
            <v>0</v>
          </cell>
          <cell r="M478">
            <v>0</v>
          </cell>
          <cell r="N478">
            <v>0</v>
          </cell>
          <cell r="P478">
            <v>1</v>
          </cell>
          <cell r="R478">
            <v>12.453430000000001</v>
          </cell>
          <cell r="S478">
            <v>0</v>
          </cell>
          <cell r="T478">
            <v>0</v>
          </cell>
          <cell r="U478">
            <v>3</v>
          </cell>
          <cell r="V478">
            <v>12.4533333333</v>
          </cell>
          <cell r="W478">
            <v>37.359999999899998</v>
          </cell>
          <cell r="X478">
            <v>2.3737599999999999</v>
          </cell>
          <cell r="Y478">
            <v>0</v>
          </cell>
          <cell r="Z478">
            <v>12.4533333333</v>
          </cell>
          <cell r="AA478">
            <v>37.359999999899998</v>
          </cell>
        </row>
        <row r="479">
          <cell r="B479" t="str">
            <v>P-02-14</v>
          </cell>
          <cell r="C479" t="str">
            <v>IVERMECTINA .:. 6 MG</v>
          </cell>
          <cell r="D479" t="str">
            <v>Comprimido</v>
          </cell>
          <cell r="E479">
            <v>404</v>
          </cell>
          <cell r="F479">
            <v>3238.1085735664001</v>
          </cell>
          <cell r="H479">
            <v>3400</v>
          </cell>
          <cell r="J479">
            <v>16600</v>
          </cell>
          <cell r="M479">
            <v>2</v>
          </cell>
          <cell r="N479">
            <v>11.6</v>
          </cell>
          <cell r="P479">
            <v>2193</v>
          </cell>
          <cell r="R479">
            <v>12591.208500000001</v>
          </cell>
          <cell r="S479">
            <v>0</v>
          </cell>
          <cell r="T479">
            <v>0</v>
          </cell>
          <cell r="U479">
            <v>1613</v>
          </cell>
          <cell r="V479">
            <v>4.5</v>
          </cell>
          <cell r="W479">
            <v>7258.5</v>
          </cell>
          <cell r="X479">
            <v>2.3737599999999999</v>
          </cell>
          <cell r="Y479">
            <v>0</v>
          </cell>
          <cell r="Z479">
            <v>4.5</v>
          </cell>
          <cell r="AA479">
            <v>7258.5</v>
          </cell>
        </row>
        <row r="480">
          <cell r="B480" t="str">
            <v>P-03-01</v>
          </cell>
          <cell r="C480" t="str">
            <v>BENZOATO DE BENCILO .:. 20% o 25%</v>
          </cell>
          <cell r="D480" t="str">
            <v>Solución o Loción</v>
          </cell>
          <cell r="E480">
            <v>14</v>
          </cell>
          <cell r="F480">
            <v>109.21573460419999</v>
          </cell>
          <cell r="H480">
            <v>0</v>
          </cell>
          <cell r="J480">
            <v>0</v>
          </cell>
          <cell r="M480">
            <v>0</v>
          </cell>
          <cell r="N480">
            <v>0</v>
          </cell>
          <cell r="P480">
            <v>10</v>
          </cell>
          <cell r="R480">
            <v>78.011234000000002</v>
          </cell>
          <cell r="S480">
            <v>0</v>
          </cell>
          <cell r="T480">
            <v>0</v>
          </cell>
          <cell r="U480">
            <v>4</v>
          </cell>
          <cell r="V480">
            <v>7.8</v>
          </cell>
          <cell r="W480">
            <v>31.2</v>
          </cell>
          <cell r="X480">
            <v>2.3737599999999999</v>
          </cell>
          <cell r="Y480">
            <v>0</v>
          </cell>
          <cell r="Z480">
            <v>7.8</v>
          </cell>
          <cell r="AA480">
            <v>31.2</v>
          </cell>
        </row>
        <row r="481">
          <cell r="B481" t="str">
            <v>QU-01-15</v>
          </cell>
          <cell r="C481" t="str">
            <v>SONDA DE INTUBACION  K-14 SONDA DE INTUBACION  K-14  .:. s/d</v>
          </cell>
          <cell r="D481" t="str">
            <v>Pieza</v>
          </cell>
          <cell r="E481">
            <v>6</v>
          </cell>
          <cell r="F481">
            <v>21.838625154599999</v>
          </cell>
          <cell r="H481">
            <v>0</v>
          </cell>
          <cell r="J481">
            <v>0</v>
          </cell>
          <cell r="M481">
            <v>0</v>
          </cell>
          <cell r="N481">
            <v>0</v>
          </cell>
          <cell r="P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6</v>
          </cell>
          <cell r="V481">
            <v>3.64</v>
          </cell>
          <cell r="W481">
            <v>21.84</v>
          </cell>
          <cell r="X481">
            <v>2.3737599999999999</v>
          </cell>
          <cell r="Y481">
            <v>0</v>
          </cell>
          <cell r="Z481">
            <v>3.64</v>
          </cell>
          <cell r="AA481">
            <v>21.84</v>
          </cell>
        </row>
        <row r="482">
          <cell r="B482" t="str">
            <v>QU-01-17</v>
          </cell>
          <cell r="C482" t="str">
            <v>SONDA DE INTUBACION  K-33 SONDA DE INTUBACION  K-33  .:. s/d</v>
          </cell>
          <cell r="D482" t="str">
            <v>Unidad</v>
          </cell>
          <cell r="E482">
            <v>2</v>
          </cell>
          <cell r="F482">
            <v>57.198492244800001</v>
          </cell>
          <cell r="H482">
            <v>0</v>
          </cell>
          <cell r="J482">
            <v>0</v>
          </cell>
          <cell r="M482">
            <v>0</v>
          </cell>
          <cell r="N482">
            <v>0</v>
          </cell>
          <cell r="P482">
            <v>2</v>
          </cell>
          <cell r="R482">
            <v>57.198492000000002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2.3737599999999999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QU-01-18</v>
          </cell>
          <cell r="C483" t="str">
            <v>SONDA DE ALIMENTACION  K-35 SONDA DE ALIMENTACION  K-35  .:. s/d</v>
          </cell>
          <cell r="D483" t="str">
            <v>Unidad</v>
          </cell>
          <cell r="E483">
            <v>7</v>
          </cell>
          <cell r="F483">
            <v>189.241843448</v>
          </cell>
          <cell r="H483">
            <v>0</v>
          </cell>
          <cell r="J483">
            <v>0</v>
          </cell>
          <cell r="M483">
            <v>0</v>
          </cell>
          <cell r="N483">
            <v>0</v>
          </cell>
          <cell r="P483">
            <v>2</v>
          </cell>
          <cell r="R483">
            <v>54.069097999999997</v>
          </cell>
          <cell r="S483">
            <v>0</v>
          </cell>
          <cell r="T483">
            <v>0</v>
          </cell>
          <cell r="U483">
            <v>5</v>
          </cell>
          <cell r="V483">
            <v>27.033999999999999</v>
          </cell>
          <cell r="W483">
            <v>135.16999999999999</v>
          </cell>
          <cell r="X483">
            <v>2.3737599999999999</v>
          </cell>
          <cell r="Y483">
            <v>0</v>
          </cell>
          <cell r="Z483">
            <v>27.033999999999999</v>
          </cell>
          <cell r="AA483">
            <v>135.16999999999999</v>
          </cell>
        </row>
        <row r="484">
          <cell r="B484" t="str">
            <v>QU-01-27</v>
          </cell>
          <cell r="C484" t="str">
            <v>MALLA SUB-URETRAL DE POLIPROPILENO TOT 1,70X30 MALLA SUB-URETRAL DE POLIPROPILENO TOT 1,70X30  .:. s/d</v>
          </cell>
          <cell r="D484" t="str">
            <v>Pieza</v>
          </cell>
          <cell r="E484">
            <v>1</v>
          </cell>
          <cell r="F484">
            <v>688.78531434249999</v>
          </cell>
          <cell r="H484">
            <v>0</v>
          </cell>
          <cell r="J484">
            <v>0</v>
          </cell>
          <cell r="M484">
            <v>0</v>
          </cell>
          <cell r="N484">
            <v>0</v>
          </cell>
          <cell r="P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688.79</v>
          </cell>
          <cell r="W484">
            <v>688.79</v>
          </cell>
          <cell r="X484">
            <v>2.3737599999999999</v>
          </cell>
          <cell r="Y484">
            <v>0</v>
          </cell>
          <cell r="Z484">
            <v>688.79</v>
          </cell>
          <cell r="AA484">
            <v>688.79</v>
          </cell>
        </row>
        <row r="485">
          <cell r="B485" t="str">
            <v>R-03-01</v>
          </cell>
          <cell r="C485" t="str">
            <v>AMINOFILINA .:. 250mg/10ml</v>
          </cell>
          <cell r="D485" t="str">
            <v>Inyectable</v>
          </cell>
          <cell r="E485">
            <v>11</v>
          </cell>
          <cell r="F485">
            <v>57.192954780500003</v>
          </cell>
          <cell r="H485">
            <v>0</v>
          </cell>
          <cell r="J485">
            <v>0</v>
          </cell>
          <cell r="M485">
            <v>0</v>
          </cell>
          <cell r="N485">
            <v>0</v>
          </cell>
          <cell r="P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11</v>
          </cell>
          <cell r="V485">
            <v>5.1990909090999997</v>
          </cell>
          <cell r="W485">
            <v>57.1900000001</v>
          </cell>
          <cell r="X485">
            <v>2.3737599999999999</v>
          </cell>
          <cell r="Y485">
            <v>0</v>
          </cell>
          <cell r="Z485">
            <v>5.1990909090999997</v>
          </cell>
          <cell r="AA485">
            <v>57.1900000001</v>
          </cell>
        </row>
        <row r="486">
          <cell r="B486" t="str">
            <v>R-03-03</v>
          </cell>
          <cell r="C486" t="str">
            <v>BECLOMETASONA DIPROPIONATO .:. 50 mcg/inhalación</v>
          </cell>
          <cell r="D486" t="str">
            <v>Aerosol</v>
          </cell>
          <cell r="E486">
            <v>33</v>
          </cell>
          <cell r="F486">
            <v>1360.3480957341001</v>
          </cell>
          <cell r="H486">
            <v>80</v>
          </cell>
          <cell r="J486">
            <v>3660</v>
          </cell>
          <cell r="M486">
            <v>1</v>
          </cell>
          <cell r="N486">
            <v>41.535105999999999</v>
          </cell>
          <cell r="P486">
            <v>61</v>
          </cell>
          <cell r="R486">
            <v>2724.883186</v>
          </cell>
          <cell r="S486">
            <v>0</v>
          </cell>
          <cell r="T486">
            <v>0</v>
          </cell>
          <cell r="U486">
            <v>53</v>
          </cell>
          <cell r="V486">
            <v>44.094339622600003</v>
          </cell>
          <cell r="W486">
            <v>2336.9999999977999</v>
          </cell>
          <cell r="X486">
            <v>2.3737599999999999</v>
          </cell>
          <cell r="Y486">
            <v>0</v>
          </cell>
          <cell r="Z486">
            <v>44.094339622600003</v>
          </cell>
          <cell r="AA486">
            <v>2336.9999999977999</v>
          </cell>
        </row>
        <row r="487">
          <cell r="B487" t="str">
            <v>R-03-04</v>
          </cell>
          <cell r="C487" t="str">
            <v>SALBUTAMOL .:. 5 mg/ml</v>
          </cell>
          <cell r="D487" t="str">
            <v>Solución para nebulización</v>
          </cell>
          <cell r="E487">
            <v>9</v>
          </cell>
          <cell r="F487">
            <v>226.72007836559999</v>
          </cell>
          <cell r="H487">
            <v>0</v>
          </cell>
          <cell r="J487">
            <v>0</v>
          </cell>
          <cell r="M487">
            <v>8</v>
          </cell>
          <cell r="N487">
            <v>196.48</v>
          </cell>
          <cell r="P487">
            <v>9</v>
          </cell>
          <cell r="R487">
            <v>221.67111700000001</v>
          </cell>
          <cell r="S487">
            <v>8</v>
          </cell>
          <cell r="T487">
            <v>201.52895799999999</v>
          </cell>
          <cell r="U487">
            <v>0</v>
          </cell>
          <cell r="V487">
            <v>0</v>
          </cell>
          <cell r="W487">
            <v>0</v>
          </cell>
          <cell r="X487">
            <v>2.3737599999999999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R-03-06</v>
          </cell>
          <cell r="C488" t="str">
            <v>SALBUTAMOL .:. 0,1 mg/inhalación</v>
          </cell>
          <cell r="D488" t="str">
            <v>Aerosol</v>
          </cell>
          <cell r="E488">
            <v>67</v>
          </cell>
          <cell r="F488">
            <v>1089.8378519856001</v>
          </cell>
          <cell r="H488">
            <v>80</v>
          </cell>
          <cell r="J488">
            <v>1485</v>
          </cell>
          <cell r="M488">
            <v>9</v>
          </cell>
          <cell r="N488">
            <v>152.5</v>
          </cell>
          <cell r="P488">
            <v>101</v>
          </cell>
          <cell r="R488">
            <v>1670.1416489999999</v>
          </cell>
          <cell r="S488">
            <v>9</v>
          </cell>
          <cell r="T488">
            <v>146.396129</v>
          </cell>
          <cell r="U488">
            <v>46</v>
          </cell>
          <cell r="V488">
            <v>19.8</v>
          </cell>
          <cell r="W488">
            <v>910.8</v>
          </cell>
          <cell r="X488">
            <v>2.3737599999999999</v>
          </cell>
          <cell r="Y488">
            <v>0</v>
          </cell>
          <cell r="Z488">
            <v>19.8</v>
          </cell>
          <cell r="AA488">
            <v>910.8</v>
          </cell>
        </row>
        <row r="489">
          <cell r="B489" t="str">
            <v>R-03-11</v>
          </cell>
          <cell r="C489" t="str">
            <v>SALMETEROL + FLUTICASONA .:. 25 mcg + 125 mcg</v>
          </cell>
          <cell r="D489" t="str">
            <v>Aerosol</v>
          </cell>
          <cell r="E489">
            <v>83</v>
          </cell>
          <cell r="F489">
            <v>6304.8540060803998</v>
          </cell>
          <cell r="H489">
            <v>300</v>
          </cell>
          <cell r="J489">
            <v>22350</v>
          </cell>
          <cell r="M489">
            <v>0</v>
          </cell>
          <cell r="N489">
            <v>0</v>
          </cell>
          <cell r="P489">
            <v>268</v>
          </cell>
          <cell r="R489">
            <v>20138.882619</v>
          </cell>
          <cell r="S489">
            <v>0</v>
          </cell>
          <cell r="T489">
            <v>0</v>
          </cell>
          <cell r="U489">
            <v>115</v>
          </cell>
          <cell r="V489">
            <v>74.051913043499994</v>
          </cell>
          <cell r="W489">
            <v>8515.9700000025005</v>
          </cell>
          <cell r="X489">
            <v>2.3737599999999999</v>
          </cell>
          <cell r="Y489">
            <v>0</v>
          </cell>
          <cell r="Z489">
            <v>74.051913043499994</v>
          </cell>
          <cell r="AA489">
            <v>8515.9700000025005</v>
          </cell>
        </row>
        <row r="490">
          <cell r="B490" t="str">
            <v>R-03-13</v>
          </cell>
          <cell r="C490" t="str">
            <v>MONTELUKAST .:. 10mg</v>
          </cell>
          <cell r="D490" t="str">
            <v>Comprimido o Cápsula</v>
          </cell>
          <cell r="E490">
            <v>0</v>
          </cell>
          <cell r="F490">
            <v>0</v>
          </cell>
          <cell r="H490">
            <v>1500</v>
          </cell>
          <cell r="J490">
            <v>4290</v>
          </cell>
          <cell r="M490">
            <v>0</v>
          </cell>
          <cell r="N490">
            <v>0</v>
          </cell>
          <cell r="P490">
            <v>730</v>
          </cell>
          <cell r="R490">
            <v>2191.1290279999998</v>
          </cell>
          <cell r="S490">
            <v>0</v>
          </cell>
          <cell r="T490">
            <v>0</v>
          </cell>
          <cell r="U490">
            <v>770</v>
          </cell>
          <cell r="V490">
            <v>2.7258051947999999</v>
          </cell>
          <cell r="W490">
            <v>2098.8699999959999</v>
          </cell>
          <cell r="X490">
            <v>2.3737599999999999</v>
          </cell>
          <cell r="Y490">
            <v>0</v>
          </cell>
          <cell r="Z490">
            <v>2.7258051947999999</v>
          </cell>
          <cell r="AA490">
            <v>2098.8699999959999</v>
          </cell>
        </row>
        <row r="491">
          <cell r="B491" t="str">
            <v>R-05-01</v>
          </cell>
          <cell r="C491" t="str">
            <v>ANTIGRIPAL (PARACETAMOL + ANTIHISTAMINICO + VASOCONSTRICTOR CON O SIN CAFEINA) .:. Según disponibilidad</v>
          </cell>
          <cell r="D491" t="str">
            <v>Comprimido</v>
          </cell>
          <cell r="E491">
            <v>5999</v>
          </cell>
          <cell r="F491">
            <v>1686.3201255956999</v>
          </cell>
          <cell r="H491">
            <v>3000</v>
          </cell>
          <cell r="J491">
            <v>870</v>
          </cell>
          <cell r="M491">
            <v>9</v>
          </cell>
          <cell r="N491">
            <v>2.5299</v>
          </cell>
          <cell r="P491">
            <v>6111</v>
          </cell>
          <cell r="R491">
            <v>1723.311283</v>
          </cell>
          <cell r="S491">
            <v>0</v>
          </cell>
          <cell r="T491">
            <v>0</v>
          </cell>
          <cell r="U491">
            <v>2897</v>
          </cell>
          <cell r="V491">
            <v>0.28841560230000002</v>
          </cell>
          <cell r="W491">
            <v>835.53999986309998</v>
          </cell>
          <cell r="X491">
            <v>2.3737599999999999</v>
          </cell>
          <cell r="Y491">
            <v>0</v>
          </cell>
          <cell r="Z491">
            <v>0.28841560230000002</v>
          </cell>
          <cell r="AA491">
            <v>835.53999986309998</v>
          </cell>
        </row>
        <row r="492">
          <cell r="B492" t="str">
            <v>R-05-02</v>
          </cell>
          <cell r="C492" t="str">
            <v>CODEINA .:. 10 mg/5 ml</v>
          </cell>
          <cell r="D492" t="str">
            <v>Jarabe</v>
          </cell>
          <cell r="E492">
            <v>281</v>
          </cell>
          <cell r="F492">
            <v>3946.9634698607001</v>
          </cell>
          <cell r="H492">
            <v>0</v>
          </cell>
          <cell r="J492">
            <v>0</v>
          </cell>
          <cell r="M492">
            <v>93</v>
          </cell>
          <cell r="N492">
            <v>1313.5690139999999</v>
          </cell>
          <cell r="P492">
            <v>202</v>
          </cell>
          <cell r="R492">
            <v>2840.1743059999999</v>
          </cell>
          <cell r="S492">
            <v>93</v>
          </cell>
          <cell r="T492">
            <v>1306.290401</v>
          </cell>
          <cell r="U492">
            <v>79</v>
          </cell>
          <cell r="V492">
            <v>14.102151898700001</v>
          </cell>
          <cell r="W492">
            <v>1114.0699999973001</v>
          </cell>
          <cell r="X492">
            <v>2.3737599999999999</v>
          </cell>
          <cell r="Y492">
            <v>0</v>
          </cell>
          <cell r="Z492">
            <v>14.102151898700001</v>
          </cell>
          <cell r="AA492">
            <v>1114.0699999973001</v>
          </cell>
        </row>
        <row r="493">
          <cell r="B493" t="str">
            <v>R-05-03</v>
          </cell>
          <cell r="C493" t="str">
            <v>DEXTROMETORFANO BROMHIDRATO .:. 10 mg/5 ml</v>
          </cell>
          <cell r="D493" t="str">
            <v>Jarabe</v>
          </cell>
          <cell r="E493">
            <v>317</v>
          </cell>
          <cell r="F493">
            <v>2078.2862962617</v>
          </cell>
          <cell r="H493">
            <v>450</v>
          </cell>
          <cell r="J493">
            <v>2907</v>
          </cell>
          <cell r="M493">
            <v>2</v>
          </cell>
          <cell r="N493">
            <v>13.034445</v>
          </cell>
          <cell r="P493">
            <v>551</v>
          </cell>
          <cell r="R493">
            <v>3614.6124289999998</v>
          </cell>
          <cell r="S493">
            <v>0</v>
          </cell>
          <cell r="T493">
            <v>0</v>
          </cell>
          <cell r="U493">
            <v>218</v>
          </cell>
          <cell r="V493">
            <v>6.3472935780000004</v>
          </cell>
          <cell r="W493">
            <v>1383.710000004</v>
          </cell>
          <cell r="X493">
            <v>2.3737599999999999</v>
          </cell>
          <cell r="Y493">
            <v>0</v>
          </cell>
          <cell r="Z493">
            <v>6.3472935780000004</v>
          </cell>
          <cell r="AA493">
            <v>1383.710000004</v>
          </cell>
        </row>
        <row r="494">
          <cell r="B494" t="str">
            <v>R-06-01</v>
          </cell>
          <cell r="C494" t="str">
            <v>CLORFENAMINA (CLORFENIRAMINA) .:. 4 mg</v>
          </cell>
          <cell r="D494" t="str">
            <v>Comprimido</v>
          </cell>
          <cell r="E494">
            <v>478</v>
          </cell>
          <cell r="F494">
            <v>114.4226060382</v>
          </cell>
          <cell r="H494">
            <v>300</v>
          </cell>
          <cell r="J494">
            <v>63</v>
          </cell>
          <cell r="M494">
            <v>0</v>
          </cell>
          <cell r="N494">
            <v>0</v>
          </cell>
          <cell r="P494">
            <v>569</v>
          </cell>
          <cell r="R494">
            <v>132.99137400000001</v>
          </cell>
          <cell r="S494">
            <v>0</v>
          </cell>
          <cell r="T494">
            <v>0</v>
          </cell>
          <cell r="U494">
            <v>209</v>
          </cell>
          <cell r="V494">
            <v>0.21258373210000001</v>
          </cell>
          <cell r="W494">
            <v>44.430000008900002</v>
          </cell>
          <cell r="X494">
            <v>2.3737599999999999</v>
          </cell>
          <cell r="Y494">
            <v>0</v>
          </cell>
          <cell r="Z494">
            <v>0.21258373210000001</v>
          </cell>
          <cell r="AA494">
            <v>44.430000008900002</v>
          </cell>
        </row>
        <row r="495">
          <cell r="B495" t="str">
            <v>R-06-02</v>
          </cell>
          <cell r="C495" t="str">
            <v>CLORFENAMINA (CLORFENIRAMINA) .:. 2 mg/5 ml</v>
          </cell>
          <cell r="D495" t="str">
            <v>Jarabe</v>
          </cell>
          <cell r="E495">
            <v>17</v>
          </cell>
          <cell r="F495">
            <v>119.4413573626</v>
          </cell>
          <cell r="H495">
            <v>20</v>
          </cell>
          <cell r="J495">
            <v>160</v>
          </cell>
          <cell r="M495">
            <v>1</v>
          </cell>
          <cell r="N495">
            <v>7.2331310000000002</v>
          </cell>
          <cell r="P495">
            <v>23</v>
          </cell>
          <cell r="R495">
            <v>169.08079699999999</v>
          </cell>
          <cell r="S495">
            <v>0</v>
          </cell>
          <cell r="T495">
            <v>0</v>
          </cell>
          <cell r="U495">
            <v>15</v>
          </cell>
          <cell r="V495">
            <v>7.8393333332999999</v>
          </cell>
          <cell r="W495">
            <v>117.58999999949999</v>
          </cell>
          <cell r="X495">
            <v>2.3737599999999999</v>
          </cell>
          <cell r="Y495">
            <v>0</v>
          </cell>
          <cell r="Z495">
            <v>7.8393333332999999</v>
          </cell>
          <cell r="AA495">
            <v>117.58999999949999</v>
          </cell>
        </row>
        <row r="496">
          <cell r="B496" t="str">
            <v>R-06-03</v>
          </cell>
          <cell r="C496" t="str">
            <v>CLORFENAMINA (CLORFENIRAMINA) .:. 10 mg/ml</v>
          </cell>
          <cell r="D496" t="str">
            <v>Inyectable</v>
          </cell>
          <cell r="E496">
            <v>84</v>
          </cell>
          <cell r="F496">
            <v>225.96</v>
          </cell>
          <cell r="H496">
            <v>550</v>
          </cell>
          <cell r="J496">
            <v>800</v>
          </cell>
          <cell r="M496">
            <v>6</v>
          </cell>
          <cell r="N496">
            <v>8.1377799999999993</v>
          </cell>
          <cell r="P496">
            <v>445</v>
          </cell>
          <cell r="R496">
            <v>722.55374400000005</v>
          </cell>
          <cell r="S496">
            <v>0</v>
          </cell>
          <cell r="T496">
            <v>0</v>
          </cell>
          <cell r="U496">
            <v>195</v>
          </cell>
          <cell r="V496">
            <v>1.5976410256</v>
          </cell>
          <cell r="W496">
            <v>311.53999999199999</v>
          </cell>
          <cell r="X496">
            <v>2.3737599999999999</v>
          </cell>
          <cell r="Y496">
            <v>0</v>
          </cell>
          <cell r="Z496">
            <v>1.5976410256</v>
          </cell>
          <cell r="AA496">
            <v>311.53999999199999</v>
          </cell>
        </row>
        <row r="497">
          <cell r="B497" t="str">
            <v>R-06-04</v>
          </cell>
          <cell r="C497" t="str">
            <v>KETOTIFENO .:. 1 mg</v>
          </cell>
          <cell r="D497" t="str">
            <v>Comprimido</v>
          </cell>
          <cell r="E497">
            <v>105</v>
          </cell>
          <cell r="F497">
            <v>318.58693243649998</v>
          </cell>
          <cell r="H497">
            <v>300</v>
          </cell>
          <cell r="J497">
            <v>900</v>
          </cell>
          <cell r="M497">
            <v>0</v>
          </cell>
          <cell r="N497">
            <v>0</v>
          </cell>
          <cell r="P497">
            <v>180</v>
          </cell>
          <cell r="R497">
            <v>543.58692900000005</v>
          </cell>
          <cell r="S497">
            <v>0</v>
          </cell>
          <cell r="T497">
            <v>0</v>
          </cell>
          <cell r="U497">
            <v>225</v>
          </cell>
          <cell r="V497">
            <v>3</v>
          </cell>
          <cell r="W497">
            <v>675</v>
          </cell>
          <cell r="X497">
            <v>2.3737599999999999</v>
          </cell>
          <cell r="Y497">
            <v>0</v>
          </cell>
          <cell r="Z497">
            <v>3</v>
          </cell>
          <cell r="AA497">
            <v>675</v>
          </cell>
        </row>
        <row r="498">
          <cell r="B498" t="str">
            <v>R-06-07</v>
          </cell>
          <cell r="C498" t="str">
            <v>CETIRIZINA .:. 10 mg</v>
          </cell>
          <cell r="D498" t="str">
            <v>Cápsula o Comprimido</v>
          </cell>
          <cell r="E498">
            <v>741</v>
          </cell>
          <cell r="F498">
            <v>262.42418973809998</v>
          </cell>
          <cell r="H498">
            <v>5800</v>
          </cell>
          <cell r="J498">
            <v>2464</v>
          </cell>
          <cell r="M498">
            <v>10</v>
          </cell>
          <cell r="N498">
            <v>4.2676800000000004</v>
          </cell>
          <cell r="P498">
            <v>5178</v>
          </cell>
          <cell r="R498">
            <v>2147.0639740000001</v>
          </cell>
          <cell r="S498">
            <v>0</v>
          </cell>
          <cell r="T498">
            <v>0</v>
          </cell>
          <cell r="U498">
            <v>1373</v>
          </cell>
          <cell r="V498">
            <v>0.4250764749</v>
          </cell>
          <cell r="W498">
            <v>583.63000003770003</v>
          </cell>
          <cell r="X498">
            <v>2.3737599999999999</v>
          </cell>
          <cell r="Y498">
            <v>0</v>
          </cell>
          <cell r="Z498">
            <v>0.4250764749</v>
          </cell>
          <cell r="AA498">
            <v>583.63000003770003</v>
          </cell>
        </row>
        <row r="499">
          <cell r="B499" t="str">
            <v>R-06-08</v>
          </cell>
          <cell r="C499" t="str">
            <v>CETIRIZINA .:. 5 mg/5 ml</v>
          </cell>
          <cell r="D499" t="str">
            <v>Jarabe</v>
          </cell>
          <cell r="E499">
            <v>9</v>
          </cell>
          <cell r="F499">
            <v>102.6173869263</v>
          </cell>
          <cell r="H499">
            <v>60</v>
          </cell>
          <cell r="J499">
            <v>619.79999999999995</v>
          </cell>
          <cell r="M499">
            <v>0</v>
          </cell>
          <cell r="N499">
            <v>0</v>
          </cell>
          <cell r="P499">
            <v>45</v>
          </cell>
          <cell r="R499">
            <v>466.57737900000001</v>
          </cell>
          <cell r="S499">
            <v>0</v>
          </cell>
          <cell r="T499">
            <v>0</v>
          </cell>
          <cell r="U499">
            <v>24</v>
          </cell>
          <cell r="V499">
            <v>10.66</v>
          </cell>
          <cell r="W499">
            <v>255.84</v>
          </cell>
          <cell r="X499">
            <v>2.3737599999999999</v>
          </cell>
          <cell r="Y499">
            <v>0</v>
          </cell>
          <cell r="Z499">
            <v>10.66</v>
          </cell>
          <cell r="AA499">
            <v>255.84</v>
          </cell>
        </row>
        <row r="500">
          <cell r="B500" t="str">
            <v>S-01-04</v>
          </cell>
          <cell r="C500" t="str">
            <v>CIPROFLOXACINA .:. 0,3%</v>
          </cell>
          <cell r="D500" t="str">
            <v>Solución oftálmica</v>
          </cell>
          <cell r="E500">
            <v>43</v>
          </cell>
          <cell r="F500">
            <v>1119.9184956367999</v>
          </cell>
          <cell r="H500">
            <v>0</v>
          </cell>
          <cell r="J500">
            <v>0</v>
          </cell>
          <cell r="M500">
            <v>10</v>
          </cell>
          <cell r="N500">
            <v>275.51</v>
          </cell>
          <cell r="P500">
            <v>43</v>
          </cell>
          <cell r="R500">
            <v>1134.9823280000001</v>
          </cell>
          <cell r="S500">
            <v>10</v>
          </cell>
          <cell r="T500">
            <v>260.44616100000002</v>
          </cell>
          <cell r="U500">
            <v>0</v>
          </cell>
          <cell r="V500">
            <v>0</v>
          </cell>
          <cell r="W500">
            <v>0</v>
          </cell>
          <cell r="X500">
            <v>2.3737599999999999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S-01-05</v>
          </cell>
          <cell r="C501" t="str">
            <v>CLORANFENICOL .:. 0,5%</v>
          </cell>
          <cell r="D501" t="str">
            <v>Solución oftálmica</v>
          </cell>
          <cell r="E501">
            <v>20</v>
          </cell>
          <cell r="F501">
            <v>420.76661037600002</v>
          </cell>
          <cell r="H501">
            <v>10</v>
          </cell>
          <cell r="J501">
            <v>70</v>
          </cell>
          <cell r="M501">
            <v>0</v>
          </cell>
          <cell r="N501">
            <v>0</v>
          </cell>
          <cell r="P501">
            <v>20</v>
          </cell>
          <cell r="R501">
            <v>397.36938199999997</v>
          </cell>
          <cell r="S501">
            <v>0</v>
          </cell>
          <cell r="T501">
            <v>0</v>
          </cell>
          <cell r="U501">
            <v>10</v>
          </cell>
          <cell r="V501">
            <v>9.34</v>
          </cell>
          <cell r="W501">
            <v>93.4</v>
          </cell>
          <cell r="X501">
            <v>2.3737599999999999</v>
          </cell>
          <cell r="Y501">
            <v>0</v>
          </cell>
          <cell r="Z501">
            <v>9.34</v>
          </cell>
          <cell r="AA501">
            <v>93.4</v>
          </cell>
        </row>
        <row r="502">
          <cell r="B502" t="str">
            <v>S-01-06</v>
          </cell>
          <cell r="C502" t="str">
            <v>CLORANFENICOL .:. 0.01</v>
          </cell>
          <cell r="D502" t="str">
            <v>Ungüento oftálmico</v>
          </cell>
          <cell r="E502">
            <v>1</v>
          </cell>
          <cell r="F502">
            <v>14.657181161</v>
          </cell>
          <cell r="H502">
            <v>10</v>
          </cell>
          <cell r="J502">
            <v>197</v>
          </cell>
          <cell r="M502">
            <v>0</v>
          </cell>
          <cell r="N502">
            <v>0</v>
          </cell>
          <cell r="P502">
            <v>2</v>
          </cell>
          <cell r="R502">
            <v>34.357180999999997</v>
          </cell>
          <cell r="S502">
            <v>0</v>
          </cell>
          <cell r="T502">
            <v>0</v>
          </cell>
          <cell r="U502">
            <v>9</v>
          </cell>
          <cell r="V502">
            <v>19.7</v>
          </cell>
          <cell r="W502">
            <v>177.3</v>
          </cell>
          <cell r="X502">
            <v>2.3737599999999999</v>
          </cell>
          <cell r="Y502">
            <v>0</v>
          </cell>
          <cell r="Z502">
            <v>19.7</v>
          </cell>
          <cell r="AA502">
            <v>177.3</v>
          </cell>
        </row>
        <row r="503">
          <cell r="B503" t="str">
            <v>S-01-09</v>
          </cell>
          <cell r="C503" t="str">
            <v>DEXAMETASONA .:. 0,1%</v>
          </cell>
          <cell r="D503" t="str">
            <v>Solución oftálmica</v>
          </cell>
          <cell r="E503">
            <v>129</v>
          </cell>
          <cell r="F503">
            <v>2199.8244828978</v>
          </cell>
          <cell r="H503">
            <v>130</v>
          </cell>
          <cell r="J503">
            <v>1327</v>
          </cell>
          <cell r="M503">
            <v>23</v>
          </cell>
          <cell r="N503">
            <v>366.28</v>
          </cell>
          <cell r="P503">
            <v>188</v>
          </cell>
          <cell r="R503">
            <v>2897.3876070000001</v>
          </cell>
          <cell r="S503">
            <v>23</v>
          </cell>
          <cell r="T503">
            <v>392.216767</v>
          </cell>
          <cell r="U503">
            <v>71</v>
          </cell>
          <cell r="V503">
            <v>8.5</v>
          </cell>
          <cell r="W503">
            <v>603.5</v>
          </cell>
          <cell r="X503">
            <v>2.3737599999999999</v>
          </cell>
          <cell r="Y503">
            <v>0</v>
          </cell>
          <cell r="Z503">
            <v>8.5</v>
          </cell>
          <cell r="AA503">
            <v>603.5</v>
          </cell>
        </row>
        <row r="504">
          <cell r="B504" t="str">
            <v>S-01-11</v>
          </cell>
          <cell r="C504" t="str">
            <v>DICLOFENACO SODICO .:. 0,1%</v>
          </cell>
          <cell r="D504" t="str">
            <v>Solución oftálmica</v>
          </cell>
          <cell r="E504">
            <v>0</v>
          </cell>
          <cell r="F504">
            <v>0</v>
          </cell>
          <cell r="H504">
            <v>10</v>
          </cell>
          <cell r="J504">
            <v>299.60000000000002</v>
          </cell>
          <cell r="M504">
            <v>0</v>
          </cell>
          <cell r="N504">
            <v>0</v>
          </cell>
          <cell r="P504">
            <v>10</v>
          </cell>
          <cell r="R504">
            <v>299.60000000000002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2.3737599999999999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S-01-12</v>
          </cell>
          <cell r="C505" t="str">
            <v>DORZOLAMIDA .:. 0.02</v>
          </cell>
          <cell r="D505" t="str">
            <v>Solución oftálmica</v>
          </cell>
          <cell r="E505">
            <v>0</v>
          </cell>
          <cell r="F505">
            <v>0</v>
          </cell>
          <cell r="H505">
            <v>100</v>
          </cell>
          <cell r="J505">
            <v>4870</v>
          </cell>
          <cell r="M505">
            <v>0</v>
          </cell>
          <cell r="N505">
            <v>0</v>
          </cell>
          <cell r="P505">
            <v>80</v>
          </cell>
          <cell r="R505">
            <v>3896</v>
          </cell>
          <cell r="S505">
            <v>0</v>
          </cell>
          <cell r="T505">
            <v>0</v>
          </cell>
          <cell r="U505">
            <v>20</v>
          </cell>
          <cell r="V505">
            <v>48.7</v>
          </cell>
          <cell r="W505">
            <v>974</v>
          </cell>
          <cell r="X505">
            <v>2.3737599999999999</v>
          </cell>
          <cell r="Y505">
            <v>0</v>
          </cell>
          <cell r="Z505">
            <v>48.7</v>
          </cell>
          <cell r="AA505">
            <v>974</v>
          </cell>
        </row>
        <row r="506">
          <cell r="B506" t="str">
            <v>S-01-15</v>
          </cell>
          <cell r="C506" t="str">
            <v>GENTAMICINA .:. 0,3%</v>
          </cell>
          <cell r="D506" t="str">
            <v>Ungüento oftálmico</v>
          </cell>
          <cell r="E506">
            <v>11</v>
          </cell>
          <cell r="F506">
            <v>220.67287848870001</v>
          </cell>
          <cell r="H506">
            <v>10</v>
          </cell>
          <cell r="J506">
            <v>190</v>
          </cell>
          <cell r="M506">
            <v>1</v>
          </cell>
          <cell r="N506">
            <v>19.898807000000001</v>
          </cell>
          <cell r="P506">
            <v>13</v>
          </cell>
          <cell r="R506">
            <v>259.57167500000003</v>
          </cell>
          <cell r="S506">
            <v>0</v>
          </cell>
          <cell r="T506">
            <v>0</v>
          </cell>
          <cell r="U506">
            <v>9</v>
          </cell>
          <cell r="V506">
            <v>19</v>
          </cell>
          <cell r="W506">
            <v>171</v>
          </cell>
          <cell r="X506">
            <v>2.3737599999999999</v>
          </cell>
          <cell r="Y506">
            <v>0</v>
          </cell>
          <cell r="Z506">
            <v>19</v>
          </cell>
          <cell r="AA506">
            <v>171</v>
          </cell>
        </row>
        <row r="507">
          <cell r="B507" t="str">
            <v>S-01-16</v>
          </cell>
          <cell r="C507" t="str">
            <v>GENTAMICINA .:. 0,3%</v>
          </cell>
          <cell r="D507" t="str">
            <v>Solución oftálmica</v>
          </cell>
          <cell r="E507">
            <v>35</v>
          </cell>
          <cell r="F507">
            <v>407.97851672899998</v>
          </cell>
          <cell r="H507">
            <v>90</v>
          </cell>
          <cell r="J507">
            <v>930</v>
          </cell>
          <cell r="M507">
            <v>16</v>
          </cell>
          <cell r="N507">
            <v>184.64</v>
          </cell>
          <cell r="P507">
            <v>114</v>
          </cell>
          <cell r="R507">
            <v>1248.114024</v>
          </cell>
          <cell r="S507">
            <v>16</v>
          </cell>
          <cell r="T507">
            <v>186.50446400000001</v>
          </cell>
          <cell r="U507">
            <v>11</v>
          </cell>
          <cell r="V507">
            <v>8</v>
          </cell>
          <cell r="W507">
            <v>88</v>
          </cell>
          <cell r="X507">
            <v>2.3737599999999999</v>
          </cell>
          <cell r="Y507">
            <v>0</v>
          </cell>
          <cell r="Z507">
            <v>8</v>
          </cell>
          <cell r="AA507">
            <v>88</v>
          </cell>
        </row>
        <row r="508">
          <cell r="B508" t="str">
            <v>S-01-18</v>
          </cell>
          <cell r="C508" t="str">
            <v>LAGRIMAS ARTIFICIALES .:. 0,3% o 1%</v>
          </cell>
          <cell r="D508" t="str">
            <v>Solución oftálmica</v>
          </cell>
          <cell r="E508">
            <v>136</v>
          </cell>
          <cell r="F508">
            <v>2811.5944906039999</v>
          </cell>
          <cell r="H508">
            <v>1100</v>
          </cell>
          <cell r="J508">
            <v>23550</v>
          </cell>
          <cell r="M508">
            <v>1</v>
          </cell>
          <cell r="N508">
            <v>19.874382000000001</v>
          </cell>
          <cell r="P508">
            <v>932</v>
          </cell>
          <cell r="R508">
            <v>19701.968771</v>
          </cell>
          <cell r="S508">
            <v>0</v>
          </cell>
          <cell r="T508">
            <v>0</v>
          </cell>
          <cell r="U508">
            <v>305</v>
          </cell>
          <cell r="V508">
            <v>21.9</v>
          </cell>
          <cell r="W508">
            <v>6679.5</v>
          </cell>
          <cell r="X508">
            <v>2.3737599999999999</v>
          </cell>
          <cell r="Y508">
            <v>0</v>
          </cell>
          <cell r="Z508">
            <v>21.9</v>
          </cell>
          <cell r="AA508">
            <v>6679.5</v>
          </cell>
        </row>
        <row r="509">
          <cell r="B509" t="str">
            <v>S-01-19</v>
          </cell>
          <cell r="C509" t="str">
            <v>NAFAZOLINA CLORHIDRATO .:. 0,1%</v>
          </cell>
          <cell r="D509" t="str">
            <v>Solución oftálmica</v>
          </cell>
          <cell r="E509">
            <v>24</v>
          </cell>
          <cell r="F509">
            <v>542.7128723472</v>
          </cell>
          <cell r="H509">
            <v>30</v>
          </cell>
          <cell r="J509">
            <v>660</v>
          </cell>
          <cell r="M509">
            <v>0</v>
          </cell>
          <cell r="N509">
            <v>0</v>
          </cell>
          <cell r="P509">
            <v>54</v>
          </cell>
          <cell r="R509">
            <v>1202.7128640000001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2.3737599999999999</v>
          </cell>
          <cell r="Y509">
            <v>0</v>
          </cell>
          <cell r="Z509">
            <v>0</v>
          </cell>
          <cell r="AA509">
            <v>0</v>
          </cell>
        </row>
        <row r="510">
          <cell r="B510" t="str">
            <v>S-01-22</v>
          </cell>
          <cell r="C510" t="str">
            <v>TIMOLOL MALEATO .:. 0,5%</v>
          </cell>
          <cell r="D510" t="str">
            <v>Solución oftálmica</v>
          </cell>
          <cell r="E510">
            <v>72</v>
          </cell>
          <cell r="F510">
            <v>1552.2801526152</v>
          </cell>
          <cell r="H510">
            <v>400</v>
          </cell>
          <cell r="J510">
            <v>6900</v>
          </cell>
          <cell r="M510">
            <v>0</v>
          </cell>
          <cell r="N510">
            <v>0</v>
          </cell>
          <cell r="P510">
            <v>349</v>
          </cell>
          <cell r="R510">
            <v>6450.3490789999996</v>
          </cell>
          <cell r="S510">
            <v>0</v>
          </cell>
          <cell r="T510">
            <v>0</v>
          </cell>
          <cell r="U510">
            <v>123</v>
          </cell>
          <cell r="V510">
            <v>16.275853658500001</v>
          </cell>
          <cell r="W510">
            <v>2001.9299999955001</v>
          </cell>
          <cell r="X510">
            <v>2.3737599999999999</v>
          </cell>
          <cell r="Y510">
            <v>0</v>
          </cell>
          <cell r="Z510">
            <v>16.275853658500001</v>
          </cell>
          <cell r="AA510">
            <v>2001.9299999955001</v>
          </cell>
        </row>
        <row r="511">
          <cell r="B511" t="str">
            <v>S-01-24</v>
          </cell>
          <cell r="C511" t="str">
            <v>CORTICOIDE  (DEXAMETASONA) + ANTIINFECCIOSO (CIPROFLOXACINO) DE ACCION TOPICA .:. Según disponibilidad</v>
          </cell>
          <cell r="D511" t="str">
            <v>Solución oftálmica</v>
          </cell>
          <cell r="E511">
            <v>26</v>
          </cell>
          <cell r="F511">
            <v>771.26128431819996</v>
          </cell>
          <cell r="H511">
            <v>0</v>
          </cell>
          <cell r="J511">
            <v>0</v>
          </cell>
          <cell r="M511">
            <v>3</v>
          </cell>
          <cell r="N511">
            <v>88.98</v>
          </cell>
          <cell r="P511">
            <v>26</v>
          </cell>
          <cell r="R511">
            <v>771.24958600000002</v>
          </cell>
          <cell r="S511">
            <v>3</v>
          </cell>
          <cell r="T511">
            <v>88.991686000000001</v>
          </cell>
          <cell r="U511">
            <v>0</v>
          </cell>
          <cell r="V511">
            <v>0</v>
          </cell>
          <cell r="W511">
            <v>0</v>
          </cell>
          <cell r="X511">
            <v>2.3737599999999999</v>
          </cell>
          <cell r="Y511">
            <v>0</v>
          </cell>
          <cell r="Z511">
            <v>0</v>
          </cell>
          <cell r="AA511">
            <v>0</v>
          </cell>
        </row>
        <row r="512">
          <cell r="B512" t="str">
            <v>S-01-25</v>
          </cell>
          <cell r="C512" t="str">
            <v>CORTICOIDE + ANTIINFECCIOSO DE ACCION TOPICA .:. Según disponibilidad</v>
          </cell>
          <cell r="D512" t="str">
            <v>Ungüento oftálmico</v>
          </cell>
          <cell r="E512">
            <v>14</v>
          </cell>
          <cell r="F512">
            <v>547.93943345260004</v>
          </cell>
          <cell r="H512">
            <v>0</v>
          </cell>
          <cell r="J512">
            <v>0</v>
          </cell>
          <cell r="M512">
            <v>0</v>
          </cell>
          <cell r="N512">
            <v>0</v>
          </cell>
          <cell r="P512">
            <v>14</v>
          </cell>
          <cell r="R512">
            <v>547.93942100000004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2.3737599999999999</v>
          </cell>
          <cell r="Y512">
            <v>0</v>
          </cell>
          <cell r="Z512">
            <v>0</v>
          </cell>
          <cell r="AA512">
            <v>0</v>
          </cell>
        </row>
        <row r="513">
          <cell r="B513" t="str">
            <v>S-01-26</v>
          </cell>
          <cell r="C513" t="str">
            <v>LAGRIMAS ARTIFICIALES .:. 0,3% o 1%</v>
          </cell>
          <cell r="D513" t="str">
            <v>Gel</v>
          </cell>
          <cell r="E513">
            <v>0</v>
          </cell>
          <cell r="F513">
            <v>0</v>
          </cell>
          <cell r="H513">
            <v>15</v>
          </cell>
          <cell r="J513">
            <v>716.55</v>
          </cell>
          <cell r="M513">
            <v>0</v>
          </cell>
          <cell r="N513">
            <v>0</v>
          </cell>
          <cell r="P513">
            <v>3</v>
          </cell>
          <cell r="R513">
            <v>143.31</v>
          </cell>
          <cell r="S513">
            <v>0</v>
          </cell>
          <cell r="T513">
            <v>0</v>
          </cell>
          <cell r="U513">
            <v>12</v>
          </cell>
          <cell r="V513">
            <v>47.77</v>
          </cell>
          <cell r="W513">
            <v>573.24</v>
          </cell>
          <cell r="X513">
            <v>2.3737599999999999</v>
          </cell>
          <cell r="Y513">
            <v>0</v>
          </cell>
          <cell r="Z513">
            <v>47.77</v>
          </cell>
          <cell r="AA513">
            <v>573.24</v>
          </cell>
        </row>
        <row r="514">
          <cell r="B514" t="str">
            <v>S-01-27</v>
          </cell>
          <cell r="C514" t="str">
            <v>LATANOPROST .:. 50 mcg/ml</v>
          </cell>
          <cell r="D514" t="str">
            <v>Solución oftálmica</v>
          </cell>
          <cell r="E514">
            <v>1</v>
          </cell>
          <cell r="F514">
            <v>91.748422622500001</v>
          </cell>
          <cell r="H514">
            <v>180</v>
          </cell>
          <cell r="J514">
            <v>16050</v>
          </cell>
          <cell r="M514">
            <v>0</v>
          </cell>
          <cell r="N514">
            <v>0</v>
          </cell>
          <cell r="P514">
            <v>151</v>
          </cell>
          <cell r="R514">
            <v>13600.748422000001</v>
          </cell>
          <cell r="S514">
            <v>0</v>
          </cell>
          <cell r="T514">
            <v>0</v>
          </cell>
          <cell r="U514">
            <v>30</v>
          </cell>
          <cell r="V514">
            <v>84.7</v>
          </cell>
          <cell r="W514">
            <v>2541</v>
          </cell>
          <cell r="X514">
            <v>2.3737599999999999</v>
          </cell>
          <cell r="Y514">
            <v>0</v>
          </cell>
          <cell r="Z514">
            <v>84.7</v>
          </cell>
          <cell r="AA514">
            <v>2541</v>
          </cell>
        </row>
        <row r="515">
          <cell r="B515" t="str">
            <v>S-02-01</v>
          </cell>
          <cell r="C515" t="str">
            <v>GLICERINA + CARBONATO DE SODIO .:. Según disponibilidad</v>
          </cell>
          <cell r="D515" t="str">
            <v>Gotas óticas</v>
          </cell>
          <cell r="E515">
            <v>1</v>
          </cell>
          <cell r="F515">
            <v>25.546497576899998</v>
          </cell>
          <cell r="H515">
            <v>30</v>
          </cell>
          <cell r="J515">
            <v>759.9</v>
          </cell>
          <cell r="M515">
            <v>0</v>
          </cell>
          <cell r="N515">
            <v>0</v>
          </cell>
          <cell r="P515">
            <v>23</v>
          </cell>
          <cell r="R515">
            <v>582.80649700000004</v>
          </cell>
          <cell r="S515">
            <v>0</v>
          </cell>
          <cell r="T515">
            <v>0</v>
          </cell>
          <cell r="U515">
            <v>8</v>
          </cell>
          <cell r="V515">
            <v>25.33</v>
          </cell>
          <cell r="W515">
            <v>202.64</v>
          </cell>
          <cell r="X515">
            <v>2.3737599999999999</v>
          </cell>
          <cell r="Y515">
            <v>0</v>
          </cell>
          <cell r="Z515">
            <v>25.33</v>
          </cell>
          <cell r="AA515">
            <v>202.64</v>
          </cell>
        </row>
        <row r="516">
          <cell r="B516" t="str">
            <v>V-03-01</v>
          </cell>
          <cell r="C516" t="str">
            <v>ACETIL CISTEINA .:. 0.1</v>
          </cell>
          <cell r="D516" t="str">
            <v>Inyectable</v>
          </cell>
          <cell r="E516">
            <v>608</v>
          </cell>
          <cell r="F516">
            <v>6098.5955427744002</v>
          </cell>
          <cell r="H516">
            <v>3871</v>
          </cell>
          <cell r="J516">
            <v>38395.800000000003</v>
          </cell>
          <cell r="M516">
            <v>180</v>
          </cell>
          <cell r="N516">
            <v>1785.83348</v>
          </cell>
          <cell r="P516">
            <v>3597</v>
          </cell>
          <cell r="R516">
            <v>35760.291082000003</v>
          </cell>
          <cell r="S516">
            <v>0</v>
          </cell>
          <cell r="T516">
            <v>0</v>
          </cell>
          <cell r="U516">
            <v>1062</v>
          </cell>
          <cell r="V516">
            <v>9.9057815442999999</v>
          </cell>
          <cell r="W516">
            <v>10519.940000046599</v>
          </cell>
          <cell r="X516">
            <v>2.3737599999999999</v>
          </cell>
          <cell r="Y516">
            <v>0</v>
          </cell>
          <cell r="Z516">
            <v>9.9057815442999999</v>
          </cell>
          <cell r="AA516">
            <v>10519.940000046599</v>
          </cell>
        </row>
        <row r="517">
          <cell r="B517" t="str">
            <v>V-03-08</v>
          </cell>
          <cell r="C517" t="str">
            <v>MESNA (MERCAPTO ETILSULFONATO SODICO) .:. 400 mg</v>
          </cell>
          <cell r="D517" t="str">
            <v>Inyectable</v>
          </cell>
          <cell r="E517">
            <v>0</v>
          </cell>
          <cell r="F517">
            <v>0</v>
          </cell>
          <cell r="H517">
            <v>3</v>
          </cell>
          <cell r="J517">
            <v>270</v>
          </cell>
          <cell r="M517">
            <v>0</v>
          </cell>
          <cell r="N517">
            <v>0</v>
          </cell>
          <cell r="P517">
            <v>3</v>
          </cell>
          <cell r="R517">
            <v>270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2.3737599999999999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V-06-01</v>
          </cell>
          <cell r="C518" t="str">
            <v>PROTEINAS PARA ALIMENTACION ENTERAL (ALIMENTO) .:. Según disponibilidad</v>
          </cell>
          <cell r="D518" t="str">
            <v>Polvo</v>
          </cell>
          <cell r="E518">
            <v>65</v>
          </cell>
          <cell r="F518">
            <v>6498.6198493969996</v>
          </cell>
          <cell r="H518">
            <v>100</v>
          </cell>
          <cell r="J518">
            <v>9975</v>
          </cell>
          <cell r="M518">
            <v>0</v>
          </cell>
          <cell r="N518">
            <v>0</v>
          </cell>
          <cell r="P518">
            <v>68</v>
          </cell>
          <cell r="R518">
            <v>6797.8697940000002</v>
          </cell>
          <cell r="S518">
            <v>0</v>
          </cell>
          <cell r="T518">
            <v>0</v>
          </cell>
          <cell r="U518">
            <v>97</v>
          </cell>
          <cell r="V518">
            <v>99.75</v>
          </cell>
          <cell r="W518">
            <v>9675.75</v>
          </cell>
          <cell r="X518">
            <v>2.3737599999999999</v>
          </cell>
          <cell r="Y518">
            <v>0</v>
          </cell>
          <cell r="Z518">
            <v>99.75</v>
          </cell>
          <cell r="AA518">
            <v>9675.75</v>
          </cell>
        </row>
        <row r="519">
          <cell r="B519" t="str">
            <v>V-06-04</v>
          </cell>
          <cell r="C519" t="str">
            <v>COMPLEMENTO NUTRICIONAL (CARMELO) .:. Según concentración</v>
          </cell>
          <cell r="D519" t="str">
            <v>Polvo</v>
          </cell>
          <cell r="E519">
            <v>150</v>
          </cell>
          <cell r="F519">
            <v>7884.0632581950003</v>
          </cell>
          <cell r="H519">
            <v>300</v>
          </cell>
          <cell r="J519">
            <v>15570</v>
          </cell>
          <cell r="M519">
            <v>1</v>
          </cell>
          <cell r="N519">
            <v>50.283307000000001</v>
          </cell>
          <cell r="P519">
            <v>323</v>
          </cell>
          <cell r="R519">
            <v>16669.146412999999</v>
          </cell>
          <cell r="S519">
            <v>0</v>
          </cell>
          <cell r="T519">
            <v>0</v>
          </cell>
          <cell r="U519">
            <v>128</v>
          </cell>
          <cell r="V519">
            <v>53.4</v>
          </cell>
          <cell r="W519">
            <v>6835.2</v>
          </cell>
          <cell r="X519">
            <v>2.3737599999999999</v>
          </cell>
          <cell r="Y519">
            <v>0</v>
          </cell>
          <cell r="Z519">
            <v>53.4</v>
          </cell>
          <cell r="AA519">
            <v>6835.2</v>
          </cell>
        </row>
        <row r="520">
          <cell r="B520" t="str">
            <v>V-06-05</v>
          </cell>
          <cell r="C520" t="str">
            <v>COMPLEMENTO NUTRICIONAL .:. Según concentración</v>
          </cell>
          <cell r="D520" t="str">
            <v>Polvo</v>
          </cell>
          <cell r="E520">
            <v>20</v>
          </cell>
          <cell r="F520">
            <v>3400.0288140480002</v>
          </cell>
          <cell r="H520">
            <v>110</v>
          </cell>
          <cell r="J520">
            <v>18112</v>
          </cell>
          <cell r="M520">
            <v>0</v>
          </cell>
          <cell r="N520">
            <v>0</v>
          </cell>
          <cell r="P520">
            <v>106</v>
          </cell>
          <cell r="R520">
            <v>17570.233671000002</v>
          </cell>
          <cell r="S520">
            <v>0</v>
          </cell>
          <cell r="T520">
            <v>0</v>
          </cell>
          <cell r="U520">
            <v>24</v>
          </cell>
          <cell r="V520">
            <v>164.24166666670001</v>
          </cell>
          <cell r="W520">
            <v>3941.8000000008001</v>
          </cell>
          <cell r="X520">
            <v>2.3737599999999999</v>
          </cell>
          <cell r="Y520">
            <v>0</v>
          </cell>
          <cell r="Z520">
            <v>164.24166666670001</v>
          </cell>
          <cell r="AA520">
            <v>3941.8000000008001</v>
          </cell>
        </row>
        <row r="521">
          <cell r="B521" t="str">
            <v>V-06-06</v>
          </cell>
          <cell r="C521" t="str">
            <v>COMPLEMENTO NUTRICIONAL (DIABETICO) .:. Según concentración</v>
          </cell>
          <cell r="D521" t="str">
            <v>Polvo</v>
          </cell>
          <cell r="E521">
            <v>0</v>
          </cell>
          <cell r="F521">
            <v>0</v>
          </cell>
          <cell r="H521">
            <v>40</v>
          </cell>
          <cell r="J521">
            <v>3378</v>
          </cell>
          <cell r="M521">
            <v>2</v>
          </cell>
          <cell r="N521">
            <v>169.8</v>
          </cell>
          <cell r="P521">
            <v>29</v>
          </cell>
          <cell r="R521">
            <v>2455.8000000000002</v>
          </cell>
          <cell r="S521">
            <v>0</v>
          </cell>
          <cell r="T521">
            <v>0</v>
          </cell>
          <cell r="U521">
            <v>13</v>
          </cell>
          <cell r="V521">
            <v>84</v>
          </cell>
          <cell r="W521">
            <v>1092</v>
          </cell>
          <cell r="X521">
            <v>2.3737599999999999</v>
          </cell>
          <cell r="Y521">
            <v>0</v>
          </cell>
          <cell r="Z521">
            <v>84</v>
          </cell>
          <cell r="AA521">
            <v>1092</v>
          </cell>
        </row>
        <row r="522">
          <cell r="B522" t="str">
            <v>V-08-02</v>
          </cell>
          <cell r="C522" t="str">
            <v>CONTRASTE IODADO .:. Según disponibilidad (50 ml)</v>
          </cell>
          <cell r="D522" t="str">
            <v>Inyectable</v>
          </cell>
          <cell r="E522">
            <v>28</v>
          </cell>
          <cell r="F522">
            <v>9226.6883683436008</v>
          </cell>
          <cell r="H522">
            <v>20</v>
          </cell>
          <cell r="J522">
            <v>5800</v>
          </cell>
          <cell r="M522">
            <v>0</v>
          </cell>
          <cell r="N522">
            <v>0</v>
          </cell>
          <cell r="P522">
            <v>28</v>
          </cell>
          <cell r="R522">
            <v>9226.688365</v>
          </cell>
          <cell r="S522">
            <v>0</v>
          </cell>
          <cell r="T522">
            <v>0</v>
          </cell>
          <cell r="U522">
            <v>20</v>
          </cell>
          <cell r="V522">
            <v>290</v>
          </cell>
          <cell r="W522">
            <v>5800</v>
          </cell>
          <cell r="X522">
            <v>2.3737599999999999</v>
          </cell>
          <cell r="Y522">
            <v>0</v>
          </cell>
          <cell r="Z522">
            <v>290</v>
          </cell>
          <cell r="AA522">
            <v>5800</v>
          </cell>
        </row>
        <row r="523">
          <cell r="B523" t="str">
            <v>V-08-03</v>
          </cell>
          <cell r="C523" t="str">
            <v>CONTRASTE IODADO .:. Según disponibilidad (100 ml o 200 ml)</v>
          </cell>
          <cell r="D523" t="str">
            <v>Inyectable</v>
          </cell>
          <cell r="E523">
            <v>0</v>
          </cell>
          <cell r="F523">
            <v>0</v>
          </cell>
          <cell r="H523">
            <v>45</v>
          </cell>
          <cell r="J523">
            <v>22300</v>
          </cell>
          <cell r="M523">
            <v>0</v>
          </cell>
          <cell r="N523">
            <v>0</v>
          </cell>
          <cell r="P523">
            <v>26</v>
          </cell>
          <cell r="R523">
            <v>12800</v>
          </cell>
          <cell r="S523">
            <v>0</v>
          </cell>
          <cell r="T523">
            <v>0</v>
          </cell>
          <cell r="U523">
            <v>19</v>
          </cell>
          <cell r="V523">
            <v>500</v>
          </cell>
          <cell r="W523">
            <v>9500</v>
          </cell>
          <cell r="X523">
            <v>2.3737599999999999</v>
          </cell>
          <cell r="Y523">
            <v>0</v>
          </cell>
          <cell r="Z523">
            <v>500</v>
          </cell>
          <cell r="AA523">
            <v>9500</v>
          </cell>
        </row>
        <row r="524">
          <cell r="B524" t="str">
            <v>V-08-05</v>
          </cell>
          <cell r="C524" t="str">
            <v>GADOPENTATO DE DIMEGLUMINA .:. 469 mg/ml</v>
          </cell>
          <cell r="D524" t="str">
            <v>Inyectable</v>
          </cell>
          <cell r="E524">
            <v>12</v>
          </cell>
          <cell r="F524">
            <v>3385.3925376635998</v>
          </cell>
          <cell r="H524">
            <v>20</v>
          </cell>
          <cell r="J524">
            <v>8400</v>
          </cell>
          <cell r="M524">
            <v>0</v>
          </cell>
          <cell r="N524">
            <v>0</v>
          </cell>
          <cell r="P524">
            <v>15</v>
          </cell>
          <cell r="R524">
            <v>4645.3925310000004</v>
          </cell>
          <cell r="S524">
            <v>0</v>
          </cell>
          <cell r="T524">
            <v>0</v>
          </cell>
          <cell r="U524">
            <v>17</v>
          </cell>
          <cell r="V524">
            <v>420</v>
          </cell>
          <cell r="W524">
            <v>7140</v>
          </cell>
          <cell r="X524">
            <v>2.3737599999999999</v>
          </cell>
          <cell r="Y524">
            <v>0</v>
          </cell>
          <cell r="Z524">
            <v>420</v>
          </cell>
          <cell r="AA524">
            <v>7140</v>
          </cell>
        </row>
        <row r="525">
          <cell r="B525" t="str">
            <v>V-08-06</v>
          </cell>
          <cell r="C525" t="str">
            <v>MEGLUMINA DIATRIZOATO .:. 70% o 76% (20 ml)</v>
          </cell>
          <cell r="D525" t="str">
            <v>Inyectable</v>
          </cell>
          <cell r="E525">
            <v>19</v>
          </cell>
          <cell r="F525">
            <v>2517.6429919404</v>
          </cell>
          <cell r="H525">
            <v>30</v>
          </cell>
          <cell r="J525">
            <v>3900</v>
          </cell>
          <cell r="M525">
            <v>1</v>
          </cell>
          <cell r="N525">
            <v>132.5</v>
          </cell>
          <cell r="P525">
            <v>19</v>
          </cell>
          <cell r="R525">
            <v>2515.2161059999999</v>
          </cell>
          <cell r="S525">
            <v>1</v>
          </cell>
          <cell r="T525">
            <v>132.50752499999999</v>
          </cell>
          <cell r="U525">
            <v>30</v>
          </cell>
          <cell r="V525">
            <v>130.08066666670001</v>
          </cell>
          <cell r="W525">
            <v>3902.4200000010001</v>
          </cell>
          <cell r="X525">
            <v>2.3737599999999999</v>
          </cell>
          <cell r="Y525">
            <v>0</v>
          </cell>
          <cell r="Z525">
            <v>130.08066666670001</v>
          </cell>
          <cell r="AA525">
            <v>3902.4200000010001</v>
          </cell>
        </row>
        <row r="526">
          <cell r="B526" t="str">
            <v>V-08-07</v>
          </cell>
          <cell r="C526" t="str">
            <v>MEGLUMINA DIATRIZOATO .:. 70% o 76% (50 ml)</v>
          </cell>
          <cell r="D526" t="str">
            <v>Inyectable</v>
          </cell>
          <cell r="E526">
            <v>1</v>
          </cell>
          <cell r="F526">
            <v>164.2238655587</v>
          </cell>
          <cell r="H526">
            <v>40</v>
          </cell>
          <cell r="J526">
            <v>6399.8</v>
          </cell>
          <cell r="M526">
            <v>0</v>
          </cell>
          <cell r="N526">
            <v>0</v>
          </cell>
          <cell r="P526">
            <v>24</v>
          </cell>
          <cell r="R526">
            <v>3844.0238650000001</v>
          </cell>
          <cell r="S526">
            <v>0</v>
          </cell>
          <cell r="T526">
            <v>0</v>
          </cell>
          <cell r="U526">
            <v>17</v>
          </cell>
          <cell r="V526">
            <v>160</v>
          </cell>
          <cell r="W526">
            <v>2720</v>
          </cell>
          <cell r="X526">
            <v>2.3737599999999999</v>
          </cell>
          <cell r="Y526">
            <v>0</v>
          </cell>
          <cell r="Z526">
            <v>160</v>
          </cell>
          <cell r="AA526">
            <v>2720</v>
          </cell>
        </row>
        <row r="527">
          <cell r="B527" t="str">
            <v>V-08-08</v>
          </cell>
          <cell r="C527" t="str">
            <v>SULFATO DE BARIO .:. Según disponibilidad</v>
          </cell>
          <cell r="D527" t="str">
            <v>Suspensión</v>
          </cell>
          <cell r="E527">
            <v>15</v>
          </cell>
          <cell r="F527">
            <v>3514.9059747330002</v>
          </cell>
          <cell r="H527">
            <v>0</v>
          </cell>
          <cell r="J527">
            <v>0</v>
          </cell>
          <cell r="M527">
            <v>0</v>
          </cell>
          <cell r="N527">
            <v>0</v>
          </cell>
          <cell r="P527">
            <v>4</v>
          </cell>
          <cell r="R527">
            <v>937.30825600000003</v>
          </cell>
          <cell r="S527">
            <v>0</v>
          </cell>
          <cell r="T527">
            <v>0</v>
          </cell>
          <cell r="U527">
            <v>11</v>
          </cell>
          <cell r="V527">
            <v>234.3272727273</v>
          </cell>
          <cell r="W527">
            <v>2577.6000000003</v>
          </cell>
          <cell r="X527">
            <v>2.3737599999999999</v>
          </cell>
          <cell r="Y527">
            <v>0</v>
          </cell>
          <cell r="Z527">
            <v>234.3272727273</v>
          </cell>
          <cell r="AA527">
            <v>2577.6000000003</v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>TOTAL:</v>
          </cell>
          <cell r="H528" t="str">
            <v/>
          </cell>
          <cell r="J528" t="str">
            <v>TOTAL:</v>
          </cell>
          <cell r="M528" t="str">
            <v/>
          </cell>
          <cell r="N528" t="str">
            <v>TOTAL:</v>
          </cell>
          <cell r="P528" t="str">
            <v/>
          </cell>
          <cell r="R528" t="str">
            <v>TOTAL:</v>
          </cell>
          <cell r="S528" t="str">
            <v/>
          </cell>
          <cell r="T528" t="str">
            <v>TOTAL:</v>
          </cell>
          <cell r="U528" t="str">
            <v/>
          </cell>
          <cell r="V528" t="str">
            <v/>
          </cell>
          <cell r="W528" t="str">
            <v>TOTAL:</v>
          </cell>
          <cell r="X528" t="str">
            <v/>
          </cell>
          <cell r="Y528" t="str">
            <v>TOTAL:</v>
          </cell>
          <cell r="Z528" t="str">
            <v/>
          </cell>
          <cell r="AA528" t="str">
            <v>TOTAL:</v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>
            <v>704923.46199754474</v>
          </cell>
          <cell r="H529" t="str">
            <v/>
          </cell>
          <cell r="J529">
            <v>2301387.37</v>
          </cell>
          <cell r="M529" t="str">
            <v/>
          </cell>
          <cell r="N529">
            <v>41881.081622999998</v>
          </cell>
          <cell r="P529" t="str">
            <v/>
          </cell>
          <cell r="R529">
            <v>2274915.4927309998</v>
          </cell>
          <cell r="S529" t="str">
            <v/>
          </cell>
          <cell r="T529">
            <v>24974.448693999999</v>
          </cell>
          <cell r="U529" t="str">
            <v/>
          </cell>
          <cell r="V529" t="str">
            <v/>
          </cell>
          <cell r="W529">
            <v>728344.91000148875</v>
          </cell>
          <cell r="X529" t="str">
            <v/>
          </cell>
          <cell r="Y529">
            <v>0</v>
          </cell>
          <cell r="Z529" t="str">
            <v/>
          </cell>
          <cell r="AA529">
            <v>728344.91000148875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0">
          <cell r="B10" t="str">
            <v>Codigo</v>
          </cell>
          <cell r="C10" t="str">
            <v>Detalle</v>
          </cell>
          <cell r="D10" t="str">
            <v>Unidad</v>
          </cell>
          <cell r="E10" t="str">
            <v>Cant. Inicial</v>
          </cell>
          <cell r="F10" t="str">
            <v>Importe Inicial</v>
          </cell>
          <cell r="H10" t="str">
            <v>Cant. Entrada</v>
          </cell>
          <cell r="J10" t="str">
            <v>Imp. Entrada</v>
          </cell>
          <cell r="M10" t="str">
            <v>Cant. Ajuste(+)</v>
          </cell>
          <cell r="N10" t="str">
            <v>Imp. Ajuste(+)</v>
          </cell>
          <cell r="P10" t="str">
            <v>Cant. Salida</v>
          </cell>
          <cell r="R10" t="str">
            <v>Imp. Salida</v>
          </cell>
          <cell r="S10" t="str">
            <v>Cant. Ajuste(-)</v>
          </cell>
          <cell r="T10" t="str">
            <v>Imp. Ajuste(-)</v>
          </cell>
          <cell r="U10" t="str">
            <v>Cant. Saldo</v>
          </cell>
          <cell r="V10" t="str">
            <v>Imp/Unit Saldo</v>
          </cell>
          <cell r="W10" t="str">
            <v>Importe Total Saldo</v>
          </cell>
          <cell r="X10" t="str">
            <v>Ult. Tipo Camb</v>
          </cell>
          <cell r="Y10" t="str">
            <v>Ajuste</v>
          </cell>
          <cell r="Z10" t="str">
            <v>Costo Actualizado</v>
          </cell>
          <cell r="AA10" t="str">
            <v>Total Actualizado</v>
          </cell>
        </row>
        <row r="11">
          <cell r="B11" t="str">
            <v>A-01-01</v>
          </cell>
          <cell r="C11" t="str">
            <v>BICARBONATO DE SODIO .:. 20 g</v>
          </cell>
          <cell r="D11" t="str">
            <v>Polvo</v>
          </cell>
          <cell r="E11">
            <v>0</v>
          </cell>
          <cell r="F11">
            <v>0</v>
          </cell>
          <cell r="H11">
            <v>1</v>
          </cell>
          <cell r="J11">
            <v>95</v>
          </cell>
          <cell r="M11">
            <v>0</v>
          </cell>
          <cell r="N11">
            <v>0</v>
          </cell>
          <cell r="P11">
            <v>1</v>
          </cell>
          <cell r="R11">
            <v>95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2.4089800000000001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A-02-01</v>
          </cell>
          <cell r="C12" t="str">
            <v>HIDROXIDO DE ALUMINIO Y MAGNESIO .:. 1 : 1</v>
          </cell>
          <cell r="D12" t="str">
            <v>Suspensión</v>
          </cell>
          <cell r="E12">
            <v>236</v>
          </cell>
          <cell r="F12">
            <v>1867.2799999928</v>
          </cell>
          <cell r="H12">
            <v>1000</v>
          </cell>
          <cell r="J12">
            <v>8150</v>
          </cell>
          <cell r="M12">
            <v>0</v>
          </cell>
          <cell r="N12">
            <v>0</v>
          </cell>
          <cell r="P12">
            <v>977</v>
          </cell>
          <cell r="R12">
            <v>7945.2798919999996</v>
          </cell>
          <cell r="S12">
            <v>0</v>
          </cell>
          <cell r="T12">
            <v>0</v>
          </cell>
          <cell r="U12">
            <v>259</v>
          </cell>
          <cell r="V12">
            <v>8</v>
          </cell>
          <cell r="W12">
            <v>2072</v>
          </cell>
          <cell r="X12">
            <v>2.4089800000000001</v>
          </cell>
          <cell r="Y12">
            <v>0</v>
          </cell>
          <cell r="Z12">
            <v>8</v>
          </cell>
          <cell r="AA12">
            <v>2072</v>
          </cell>
        </row>
        <row r="13">
          <cell r="B13" t="str">
            <v>A-02-02</v>
          </cell>
          <cell r="C13" t="str">
            <v>OMEPRAZOL .:. 20 mg</v>
          </cell>
          <cell r="D13" t="str">
            <v>Cápsula</v>
          </cell>
          <cell r="E13">
            <v>22429</v>
          </cell>
          <cell r="F13">
            <v>6475.0899992701998</v>
          </cell>
          <cell r="H13">
            <v>55000</v>
          </cell>
          <cell r="J13">
            <v>14850</v>
          </cell>
          <cell r="M13">
            <v>30</v>
          </cell>
          <cell r="N13">
            <v>8.1543600000000005</v>
          </cell>
          <cell r="P13">
            <v>60361</v>
          </cell>
          <cell r="R13">
            <v>16685.795531</v>
          </cell>
          <cell r="S13">
            <v>0</v>
          </cell>
          <cell r="T13">
            <v>0</v>
          </cell>
          <cell r="U13">
            <v>17098</v>
          </cell>
          <cell r="V13">
            <v>0.271812</v>
          </cell>
          <cell r="W13">
            <v>4647.4415760000002</v>
          </cell>
          <cell r="X13">
            <v>2.4089800000000001</v>
          </cell>
          <cell r="Y13">
            <v>0</v>
          </cell>
          <cell r="Z13">
            <v>0.271812</v>
          </cell>
          <cell r="AA13">
            <v>4647.4415760000002</v>
          </cell>
        </row>
        <row r="14">
          <cell r="B14" t="str">
            <v>A-02-03</v>
          </cell>
          <cell r="C14" t="str">
            <v>RANITIDINA .:. 150 mg</v>
          </cell>
          <cell r="D14" t="str">
            <v>Comprimido</v>
          </cell>
          <cell r="E14">
            <v>1829</v>
          </cell>
          <cell r="F14">
            <v>731.6</v>
          </cell>
          <cell r="H14">
            <v>2200</v>
          </cell>
          <cell r="J14">
            <v>770</v>
          </cell>
          <cell r="M14">
            <v>0</v>
          </cell>
          <cell r="N14">
            <v>0</v>
          </cell>
          <cell r="P14">
            <v>2992</v>
          </cell>
          <cell r="R14">
            <v>1121.535026</v>
          </cell>
          <cell r="S14">
            <v>0</v>
          </cell>
          <cell r="T14">
            <v>0</v>
          </cell>
          <cell r="U14">
            <v>1037</v>
          </cell>
          <cell r="V14">
            <v>0.366504</v>
          </cell>
          <cell r="W14">
            <v>380.06464799999998</v>
          </cell>
          <cell r="X14">
            <v>2.4089800000000001</v>
          </cell>
          <cell r="Y14">
            <v>0</v>
          </cell>
          <cell r="Z14">
            <v>0.366504</v>
          </cell>
          <cell r="AA14">
            <v>380.06464799999998</v>
          </cell>
        </row>
        <row r="15">
          <cell r="B15" t="str">
            <v>A-02-04</v>
          </cell>
          <cell r="C15" t="str">
            <v>RANITIDINA .:. 50 mg</v>
          </cell>
          <cell r="D15" t="str">
            <v>Inyectable</v>
          </cell>
          <cell r="E15">
            <v>270</v>
          </cell>
          <cell r="F15">
            <v>307.79000001000003</v>
          </cell>
          <cell r="H15">
            <v>441</v>
          </cell>
          <cell r="J15">
            <v>529.20000000000005</v>
          </cell>
          <cell r="M15">
            <v>36</v>
          </cell>
          <cell r="N15">
            <v>42.822929999999999</v>
          </cell>
          <cell r="P15">
            <v>526</v>
          </cell>
          <cell r="R15">
            <v>615.16080099999999</v>
          </cell>
          <cell r="S15">
            <v>0</v>
          </cell>
          <cell r="T15">
            <v>0</v>
          </cell>
          <cell r="U15">
            <v>221</v>
          </cell>
          <cell r="V15">
            <v>1.1975199999999999</v>
          </cell>
          <cell r="W15">
            <v>264.65192000000002</v>
          </cell>
          <cell r="X15">
            <v>2.4089800000000001</v>
          </cell>
          <cell r="Y15">
            <v>0</v>
          </cell>
          <cell r="Z15">
            <v>1.1975199999999999</v>
          </cell>
          <cell r="AA15">
            <v>264.65192000000002</v>
          </cell>
        </row>
        <row r="16">
          <cell r="B16" t="str">
            <v>A-02-05</v>
          </cell>
          <cell r="C16" t="str">
            <v>OMEPRAZOL .:. 40 mg/ml</v>
          </cell>
          <cell r="D16" t="str">
            <v>Inyectable</v>
          </cell>
          <cell r="E16">
            <v>998</v>
          </cell>
          <cell r="F16">
            <v>9758.7299999538009</v>
          </cell>
          <cell r="H16">
            <v>2000</v>
          </cell>
          <cell r="J16">
            <v>16100</v>
          </cell>
          <cell r="M16">
            <v>83</v>
          </cell>
          <cell r="N16">
            <v>781.28013399999998</v>
          </cell>
          <cell r="P16">
            <v>2597</v>
          </cell>
          <cell r="R16">
            <v>23296.861718</v>
          </cell>
          <cell r="S16">
            <v>0</v>
          </cell>
          <cell r="T16">
            <v>0</v>
          </cell>
          <cell r="U16">
            <v>484</v>
          </cell>
          <cell r="V16">
            <v>6.9073289999999998</v>
          </cell>
          <cell r="W16">
            <v>3343.1472359999998</v>
          </cell>
          <cell r="X16">
            <v>2.4089800000000001</v>
          </cell>
          <cell r="Y16">
            <v>0</v>
          </cell>
          <cell r="Z16">
            <v>6.9073289999999998</v>
          </cell>
          <cell r="AA16">
            <v>3343.1472359999998</v>
          </cell>
        </row>
        <row r="17">
          <cell r="B17" t="str">
            <v>A-03-01</v>
          </cell>
          <cell r="C17" t="str">
            <v>ATROPINA SULFATO .:. 1 mg/ml</v>
          </cell>
          <cell r="D17" t="str">
            <v>Inyectable</v>
          </cell>
          <cell r="E17">
            <v>119</v>
          </cell>
          <cell r="F17">
            <v>283.22999999839999</v>
          </cell>
          <cell r="H17">
            <v>0</v>
          </cell>
          <cell r="J17">
            <v>0</v>
          </cell>
          <cell r="M17">
            <v>0</v>
          </cell>
          <cell r="N17">
            <v>0</v>
          </cell>
          <cell r="P17">
            <v>54</v>
          </cell>
          <cell r="R17">
            <v>128.52453600000001</v>
          </cell>
          <cell r="S17">
            <v>0</v>
          </cell>
          <cell r="T17">
            <v>0</v>
          </cell>
          <cell r="U17">
            <v>65</v>
          </cell>
          <cell r="V17">
            <v>2.3800840000000001</v>
          </cell>
          <cell r="W17">
            <v>154.70545999999999</v>
          </cell>
          <cell r="X17">
            <v>2.4089800000000001</v>
          </cell>
          <cell r="Y17">
            <v>0</v>
          </cell>
          <cell r="Z17">
            <v>2.3800840000000001</v>
          </cell>
          <cell r="AA17">
            <v>154.70545999999999</v>
          </cell>
        </row>
        <row r="18">
          <cell r="B18" t="str">
            <v>A-03-02</v>
          </cell>
          <cell r="C18" t="str">
            <v>BUTILBROMURO DE HIOSCINA (BUTILESCOPOLAMINA) .:. 10 mg</v>
          </cell>
          <cell r="D18" t="str">
            <v>Comprimido</v>
          </cell>
          <cell r="E18">
            <v>326</v>
          </cell>
          <cell r="F18">
            <v>480.7699999912</v>
          </cell>
          <cell r="H18">
            <v>800</v>
          </cell>
          <cell r="J18">
            <v>920</v>
          </cell>
          <cell r="M18">
            <v>0</v>
          </cell>
          <cell r="N18">
            <v>0</v>
          </cell>
          <cell r="P18">
            <v>809</v>
          </cell>
          <cell r="R18">
            <v>990.62763199999995</v>
          </cell>
          <cell r="S18">
            <v>0</v>
          </cell>
          <cell r="T18">
            <v>0</v>
          </cell>
          <cell r="U18">
            <v>317</v>
          </cell>
          <cell r="V18">
            <v>1.2938240000000001</v>
          </cell>
          <cell r="W18">
            <v>410.14220799999998</v>
          </cell>
          <cell r="X18">
            <v>2.4089800000000001</v>
          </cell>
          <cell r="Y18">
            <v>0</v>
          </cell>
          <cell r="Z18">
            <v>1.2938240000000001</v>
          </cell>
          <cell r="AA18">
            <v>410.14220799999998</v>
          </cell>
        </row>
        <row r="19">
          <cell r="B19" t="str">
            <v>A-03-04</v>
          </cell>
          <cell r="C19" t="str">
            <v>BUTILBROMURO DE HIOSCINA (BUTILESCOPOLAMINA) .:. 20 mg/ml</v>
          </cell>
          <cell r="D19" t="str">
            <v>Inyectable</v>
          </cell>
          <cell r="E19">
            <v>196</v>
          </cell>
          <cell r="F19">
            <v>774.07000000120001</v>
          </cell>
          <cell r="H19">
            <v>440</v>
          </cell>
          <cell r="J19">
            <v>1878</v>
          </cell>
          <cell r="M19">
            <v>8</v>
          </cell>
          <cell r="N19">
            <v>32.099139999999998</v>
          </cell>
          <cell r="P19">
            <v>400</v>
          </cell>
          <cell r="R19">
            <v>1658.987799</v>
          </cell>
          <cell r="S19">
            <v>0</v>
          </cell>
          <cell r="T19">
            <v>0</v>
          </cell>
          <cell r="U19">
            <v>244</v>
          </cell>
          <cell r="V19">
            <v>4.201562</v>
          </cell>
          <cell r="W19">
            <v>1025.1811279999999</v>
          </cell>
          <cell r="X19">
            <v>2.4089800000000001</v>
          </cell>
          <cell r="Y19">
            <v>0</v>
          </cell>
          <cell r="Z19">
            <v>4.201562</v>
          </cell>
          <cell r="AA19">
            <v>1025.1811279999999</v>
          </cell>
        </row>
        <row r="20">
          <cell r="B20" t="str">
            <v>A-03-06</v>
          </cell>
          <cell r="C20" t="str">
            <v>DOMPERIDONA .:. 10 mg</v>
          </cell>
          <cell r="D20" t="str">
            <v>Comprimido</v>
          </cell>
          <cell r="E20">
            <v>12078</v>
          </cell>
          <cell r="F20">
            <v>3297.5399998727999</v>
          </cell>
          <cell r="H20">
            <v>30000</v>
          </cell>
          <cell r="J20">
            <v>10200</v>
          </cell>
          <cell r="M20">
            <v>0</v>
          </cell>
          <cell r="N20">
            <v>0</v>
          </cell>
          <cell r="P20">
            <v>28943</v>
          </cell>
          <cell r="R20">
            <v>9031.6398630000003</v>
          </cell>
          <cell r="S20">
            <v>0</v>
          </cell>
          <cell r="T20">
            <v>0</v>
          </cell>
          <cell r="U20">
            <v>13135</v>
          </cell>
          <cell r="V20">
            <v>0.34</v>
          </cell>
          <cell r="W20">
            <v>4465.8999999999996</v>
          </cell>
          <cell r="X20">
            <v>2.4089800000000001</v>
          </cell>
          <cell r="Y20">
            <v>0</v>
          </cell>
          <cell r="Z20">
            <v>0.34</v>
          </cell>
          <cell r="AA20">
            <v>4465.8999999999996</v>
          </cell>
        </row>
        <row r="21">
          <cell r="B21" t="str">
            <v>A-03-07</v>
          </cell>
          <cell r="C21" t="str">
            <v>METOCLOPRAMIDA .:. 10 mg</v>
          </cell>
          <cell r="D21" t="str">
            <v>Comprimido</v>
          </cell>
          <cell r="E21">
            <v>1057</v>
          </cell>
          <cell r="F21">
            <v>221.97</v>
          </cell>
          <cell r="H21">
            <v>2000</v>
          </cell>
          <cell r="J21">
            <v>480</v>
          </cell>
          <cell r="M21">
            <v>6</v>
          </cell>
          <cell r="N21">
            <v>1.414836</v>
          </cell>
          <cell r="P21">
            <v>1686</v>
          </cell>
          <cell r="R21">
            <v>378.67931199999998</v>
          </cell>
          <cell r="S21">
            <v>0</v>
          </cell>
          <cell r="T21">
            <v>0</v>
          </cell>
          <cell r="U21">
            <v>1377</v>
          </cell>
          <cell r="V21">
            <v>0.23580599999999999</v>
          </cell>
          <cell r="W21">
            <v>324.70486199999999</v>
          </cell>
          <cell r="X21">
            <v>2.4089800000000001</v>
          </cell>
          <cell r="Y21">
            <v>0</v>
          </cell>
          <cell r="Z21">
            <v>0.23580599999999999</v>
          </cell>
          <cell r="AA21">
            <v>324.70486199999999</v>
          </cell>
        </row>
        <row r="22">
          <cell r="B22" t="str">
            <v>A-03-08</v>
          </cell>
          <cell r="C22" t="str">
            <v>METOCLOPRAMIDA .:. 10 mg/2ml</v>
          </cell>
          <cell r="D22" t="str">
            <v>Inyectable</v>
          </cell>
          <cell r="E22">
            <v>673</v>
          </cell>
          <cell r="F22">
            <v>678.33000002790004</v>
          </cell>
          <cell r="H22">
            <v>1000</v>
          </cell>
          <cell r="J22">
            <v>950</v>
          </cell>
          <cell r="M22">
            <v>77</v>
          </cell>
          <cell r="N22">
            <v>75.353166000000002</v>
          </cell>
          <cell r="P22">
            <v>1412</v>
          </cell>
          <cell r="R22">
            <v>1377.9300639999999</v>
          </cell>
          <cell r="S22">
            <v>0</v>
          </cell>
          <cell r="T22">
            <v>0</v>
          </cell>
          <cell r="U22">
            <v>338</v>
          </cell>
          <cell r="V22">
            <v>0.96376499999999998</v>
          </cell>
          <cell r="W22">
            <v>325.75256999999999</v>
          </cell>
          <cell r="X22">
            <v>2.4089800000000001</v>
          </cell>
          <cell r="Y22">
            <v>0</v>
          </cell>
          <cell r="Z22">
            <v>0.96376499999999998</v>
          </cell>
          <cell r="AA22">
            <v>325.75256999999999</v>
          </cell>
        </row>
        <row r="23">
          <cell r="B23" t="str">
            <v>A-03-09</v>
          </cell>
          <cell r="C23" t="str">
            <v>METOCLOPRAMIDA .:. 0,35% o 0,5%</v>
          </cell>
          <cell r="D23" t="str">
            <v>Solución oral gotas</v>
          </cell>
          <cell r="E23">
            <v>14</v>
          </cell>
          <cell r="F23">
            <v>69.86</v>
          </cell>
          <cell r="H23">
            <v>35</v>
          </cell>
          <cell r="J23">
            <v>288</v>
          </cell>
          <cell r="M23">
            <v>0</v>
          </cell>
          <cell r="N23">
            <v>0</v>
          </cell>
          <cell r="P23">
            <v>42</v>
          </cell>
          <cell r="R23">
            <v>315.86</v>
          </cell>
          <cell r="S23">
            <v>0</v>
          </cell>
          <cell r="T23">
            <v>0</v>
          </cell>
          <cell r="U23">
            <v>7</v>
          </cell>
          <cell r="V23">
            <v>6</v>
          </cell>
          <cell r="W23">
            <v>42</v>
          </cell>
          <cell r="X23">
            <v>2.4089800000000001</v>
          </cell>
          <cell r="Y23">
            <v>0</v>
          </cell>
          <cell r="Z23">
            <v>6</v>
          </cell>
          <cell r="AA23">
            <v>42</v>
          </cell>
        </row>
        <row r="24">
          <cell r="B24" t="str">
            <v>A-03-10</v>
          </cell>
          <cell r="C24" t="str">
            <v>PROPINOXATO .:. 10 mg</v>
          </cell>
          <cell r="D24" t="str">
            <v>Comprimido</v>
          </cell>
          <cell r="E24">
            <v>312</v>
          </cell>
          <cell r="F24">
            <v>498.68999999520003</v>
          </cell>
          <cell r="H24">
            <v>3000</v>
          </cell>
          <cell r="J24">
            <v>4535</v>
          </cell>
          <cell r="M24">
            <v>0</v>
          </cell>
          <cell r="N24">
            <v>0</v>
          </cell>
          <cell r="P24">
            <v>1959</v>
          </cell>
          <cell r="R24">
            <v>2989.2402849999999</v>
          </cell>
          <cell r="S24">
            <v>0</v>
          </cell>
          <cell r="T24">
            <v>0</v>
          </cell>
          <cell r="U24">
            <v>1353</v>
          </cell>
          <cell r="V24">
            <v>1.5110490000000001</v>
          </cell>
          <cell r="W24">
            <v>2044.4492969999999</v>
          </cell>
          <cell r="X24">
            <v>2.4089800000000001</v>
          </cell>
          <cell r="Y24">
            <v>0</v>
          </cell>
          <cell r="Z24">
            <v>1.5110490000000001</v>
          </cell>
          <cell r="AA24">
            <v>2044.4492969999999</v>
          </cell>
        </row>
        <row r="25">
          <cell r="B25" t="str">
            <v>A-03-11</v>
          </cell>
          <cell r="C25" t="str">
            <v>PROPINOXATO .:. 5 mg/ml</v>
          </cell>
          <cell r="D25" t="str">
            <v>Inyectable</v>
          </cell>
          <cell r="E25">
            <v>110</v>
          </cell>
          <cell r="F25">
            <v>537.9</v>
          </cell>
          <cell r="H25">
            <v>450</v>
          </cell>
          <cell r="J25">
            <v>2205</v>
          </cell>
          <cell r="M25">
            <v>0</v>
          </cell>
          <cell r="N25">
            <v>0</v>
          </cell>
          <cell r="P25">
            <v>490</v>
          </cell>
          <cell r="R25">
            <v>2399.9013319999999</v>
          </cell>
          <cell r="S25">
            <v>0</v>
          </cell>
          <cell r="T25">
            <v>0</v>
          </cell>
          <cell r="U25">
            <v>70</v>
          </cell>
          <cell r="V25">
            <v>4.8999769999999998</v>
          </cell>
          <cell r="W25">
            <v>342.99838999999997</v>
          </cell>
          <cell r="X25">
            <v>2.4089800000000001</v>
          </cell>
          <cell r="Y25">
            <v>0</v>
          </cell>
          <cell r="Z25">
            <v>4.8999769999999998</v>
          </cell>
          <cell r="AA25">
            <v>342.99838999999997</v>
          </cell>
        </row>
        <row r="26">
          <cell r="B26" t="str">
            <v>A-03-12</v>
          </cell>
          <cell r="C26" t="str">
            <v>SIMETICONA .:. 3% o 4%</v>
          </cell>
          <cell r="D26" t="str">
            <v>Suspensión</v>
          </cell>
          <cell r="E26">
            <v>61</v>
          </cell>
          <cell r="F26">
            <v>1036.4699999994</v>
          </cell>
          <cell r="H26">
            <v>80</v>
          </cell>
          <cell r="J26">
            <v>1325</v>
          </cell>
          <cell r="M26">
            <v>0</v>
          </cell>
          <cell r="N26">
            <v>0</v>
          </cell>
          <cell r="P26">
            <v>114</v>
          </cell>
          <cell r="R26">
            <v>1929.469953</v>
          </cell>
          <cell r="S26">
            <v>0</v>
          </cell>
          <cell r="T26">
            <v>0</v>
          </cell>
          <cell r="U26">
            <v>27</v>
          </cell>
          <cell r="V26">
            <v>16</v>
          </cell>
          <cell r="W26">
            <v>432</v>
          </cell>
          <cell r="X26">
            <v>2.4089800000000001</v>
          </cell>
          <cell r="Y26">
            <v>0</v>
          </cell>
          <cell r="Z26">
            <v>16</v>
          </cell>
          <cell r="AA26">
            <v>432</v>
          </cell>
        </row>
        <row r="27">
          <cell r="B27" t="str">
            <v>A-03-13</v>
          </cell>
          <cell r="C27" t="str">
            <v>SIMETICONA .:. 100 mg</v>
          </cell>
          <cell r="D27" t="str">
            <v>Comprimido</v>
          </cell>
          <cell r="E27">
            <v>7691</v>
          </cell>
          <cell r="F27">
            <v>9152.2900000000009</v>
          </cell>
          <cell r="H27">
            <v>26000</v>
          </cell>
          <cell r="J27">
            <v>32190</v>
          </cell>
          <cell r="M27">
            <v>0</v>
          </cell>
          <cell r="N27">
            <v>0</v>
          </cell>
          <cell r="P27">
            <v>29383</v>
          </cell>
          <cell r="R27">
            <v>36410.048704000001</v>
          </cell>
          <cell r="S27">
            <v>0</v>
          </cell>
          <cell r="T27">
            <v>0</v>
          </cell>
          <cell r="U27">
            <v>4308</v>
          </cell>
          <cell r="V27">
            <v>1.1449020000000001</v>
          </cell>
          <cell r="W27">
            <v>4932.2378159999998</v>
          </cell>
          <cell r="X27">
            <v>2.4089800000000001</v>
          </cell>
          <cell r="Y27">
            <v>0</v>
          </cell>
          <cell r="Z27">
            <v>1.1449020000000001</v>
          </cell>
          <cell r="AA27">
            <v>4932.2378159999998</v>
          </cell>
        </row>
        <row r="28">
          <cell r="B28" t="str">
            <v>A-04-01</v>
          </cell>
          <cell r="C28" t="str">
            <v>ONDANSETRON .:. 8 mg</v>
          </cell>
          <cell r="D28" t="str">
            <v>Inyectable</v>
          </cell>
          <cell r="E28">
            <v>146</v>
          </cell>
          <cell r="F28">
            <v>1310.3100000003999</v>
          </cell>
          <cell r="H28">
            <v>400</v>
          </cell>
          <cell r="J28">
            <v>1800</v>
          </cell>
          <cell r="M28">
            <v>5</v>
          </cell>
          <cell r="N28">
            <v>29.32761</v>
          </cell>
          <cell r="P28">
            <v>405</v>
          </cell>
          <cell r="R28">
            <v>2555.6375560000001</v>
          </cell>
          <cell r="S28">
            <v>0</v>
          </cell>
          <cell r="T28">
            <v>0</v>
          </cell>
          <cell r="U28">
            <v>146</v>
          </cell>
          <cell r="V28">
            <v>4</v>
          </cell>
          <cell r="W28">
            <v>584</v>
          </cell>
          <cell r="X28">
            <v>2.4089800000000001</v>
          </cell>
          <cell r="Y28">
            <v>0</v>
          </cell>
          <cell r="Z28">
            <v>4</v>
          </cell>
          <cell r="AA28">
            <v>584</v>
          </cell>
        </row>
        <row r="29">
          <cell r="B29" t="str">
            <v>A-04-02</v>
          </cell>
          <cell r="C29" t="str">
            <v>ONDANSETRON .:. 8 mg</v>
          </cell>
          <cell r="D29" t="str">
            <v>Comprimido</v>
          </cell>
          <cell r="E29">
            <v>0</v>
          </cell>
          <cell r="F29">
            <v>0</v>
          </cell>
          <cell r="H29">
            <v>400</v>
          </cell>
          <cell r="J29">
            <v>2760</v>
          </cell>
          <cell r="M29">
            <v>0</v>
          </cell>
          <cell r="N29">
            <v>0</v>
          </cell>
          <cell r="P29">
            <v>142</v>
          </cell>
          <cell r="R29">
            <v>979.8</v>
          </cell>
          <cell r="S29">
            <v>0</v>
          </cell>
          <cell r="T29">
            <v>0</v>
          </cell>
          <cell r="U29">
            <v>258</v>
          </cell>
          <cell r="V29">
            <v>6.9</v>
          </cell>
          <cell r="W29">
            <v>1780.2</v>
          </cell>
          <cell r="X29">
            <v>2.4089800000000001</v>
          </cell>
          <cell r="Y29">
            <v>0</v>
          </cell>
          <cell r="Z29">
            <v>6.9</v>
          </cell>
          <cell r="AA29">
            <v>1780.2</v>
          </cell>
        </row>
        <row r="30">
          <cell r="B30" t="str">
            <v>A-05-01</v>
          </cell>
          <cell r="C30" t="str">
            <v xml:space="preserve">ACIDO URSODEOXICOLICO  250 MG .:. 250 MG. </v>
          </cell>
          <cell r="D30" t="str">
            <v>Comprimido o Cápsula</v>
          </cell>
          <cell r="E30">
            <v>380</v>
          </cell>
          <cell r="F30">
            <v>3781</v>
          </cell>
          <cell r="H30">
            <v>1750</v>
          </cell>
          <cell r="J30">
            <v>14700</v>
          </cell>
          <cell r="M30">
            <v>0</v>
          </cell>
          <cell r="N30">
            <v>0</v>
          </cell>
          <cell r="P30">
            <v>1735</v>
          </cell>
          <cell r="R30">
            <v>15163</v>
          </cell>
          <cell r="S30">
            <v>0</v>
          </cell>
          <cell r="T30">
            <v>0</v>
          </cell>
          <cell r="U30">
            <v>395</v>
          </cell>
          <cell r="V30">
            <v>8.4</v>
          </cell>
          <cell r="W30">
            <v>3318</v>
          </cell>
          <cell r="X30">
            <v>2.4089800000000001</v>
          </cell>
          <cell r="Y30">
            <v>0</v>
          </cell>
          <cell r="Z30">
            <v>8.4</v>
          </cell>
          <cell r="AA30">
            <v>3318</v>
          </cell>
        </row>
        <row r="31">
          <cell r="B31" t="str">
            <v>A-06-01</v>
          </cell>
          <cell r="C31" t="str">
            <v>ACEITE MINERAL .:. 0.4</v>
          </cell>
          <cell r="D31" t="str">
            <v>Emulsión oral</v>
          </cell>
          <cell r="E31">
            <v>178</v>
          </cell>
          <cell r="F31">
            <v>2253.170000006</v>
          </cell>
          <cell r="H31">
            <v>100</v>
          </cell>
          <cell r="J31">
            <v>1350</v>
          </cell>
          <cell r="M31">
            <v>1</v>
          </cell>
          <cell r="N31">
            <v>12.658236</v>
          </cell>
          <cell r="P31">
            <v>183</v>
          </cell>
          <cell r="R31">
            <v>2319.8281820000002</v>
          </cell>
          <cell r="S31">
            <v>0</v>
          </cell>
          <cell r="T31">
            <v>0</v>
          </cell>
          <cell r="U31">
            <v>96</v>
          </cell>
          <cell r="V31">
            <v>13.5</v>
          </cell>
          <cell r="W31">
            <v>1296</v>
          </cell>
          <cell r="X31">
            <v>2.4089800000000001</v>
          </cell>
          <cell r="Y31">
            <v>0</v>
          </cell>
          <cell r="Z31">
            <v>13.5</v>
          </cell>
          <cell r="AA31">
            <v>1296</v>
          </cell>
        </row>
        <row r="32">
          <cell r="B32" t="str">
            <v>A-06-02</v>
          </cell>
          <cell r="C32" t="str">
            <v>BISACODILO .:. 5 mg</v>
          </cell>
          <cell r="D32" t="str">
            <v>Comprimido</v>
          </cell>
          <cell r="E32">
            <v>73</v>
          </cell>
          <cell r="F32">
            <v>52.729999998300002</v>
          </cell>
          <cell r="H32">
            <v>200</v>
          </cell>
          <cell r="J32">
            <v>70</v>
          </cell>
          <cell r="M32">
            <v>0</v>
          </cell>
          <cell r="N32">
            <v>0</v>
          </cell>
          <cell r="P32">
            <v>155</v>
          </cell>
          <cell r="R32">
            <v>81.429991000000001</v>
          </cell>
          <cell r="S32">
            <v>0</v>
          </cell>
          <cell r="T32">
            <v>0</v>
          </cell>
          <cell r="U32">
            <v>118</v>
          </cell>
          <cell r="V32">
            <v>0.35</v>
          </cell>
          <cell r="W32">
            <v>41.3</v>
          </cell>
          <cell r="X32">
            <v>2.4089800000000001</v>
          </cell>
          <cell r="Y32">
            <v>0</v>
          </cell>
          <cell r="Z32">
            <v>0.35</v>
          </cell>
          <cell r="AA32">
            <v>41.3</v>
          </cell>
        </row>
        <row r="33">
          <cell r="B33" t="str">
            <v>A-06-04</v>
          </cell>
          <cell r="C33" t="str">
            <v>FIBRA NATURAL .:. Según disponibilidad</v>
          </cell>
          <cell r="D33" t="str">
            <v>Polvo o granulado</v>
          </cell>
          <cell r="E33">
            <v>3753</v>
          </cell>
          <cell r="F33">
            <v>13144.2200001738</v>
          </cell>
          <cell r="H33">
            <v>5000</v>
          </cell>
          <cell r="J33">
            <v>17280</v>
          </cell>
          <cell r="M33">
            <v>0</v>
          </cell>
          <cell r="N33">
            <v>0</v>
          </cell>
          <cell r="P33">
            <v>6647</v>
          </cell>
          <cell r="R33">
            <v>23474.419890000001</v>
          </cell>
          <cell r="S33">
            <v>0</v>
          </cell>
          <cell r="T33">
            <v>0</v>
          </cell>
          <cell r="U33">
            <v>2106</v>
          </cell>
          <cell r="V33">
            <v>3.3</v>
          </cell>
          <cell r="W33">
            <v>6949.8</v>
          </cell>
          <cell r="X33">
            <v>2.4089800000000001</v>
          </cell>
          <cell r="Y33">
            <v>0</v>
          </cell>
          <cell r="Z33">
            <v>3.3</v>
          </cell>
          <cell r="AA33">
            <v>6949.8</v>
          </cell>
        </row>
        <row r="34">
          <cell r="B34" t="str">
            <v>A-06-05</v>
          </cell>
          <cell r="C34" t="str">
            <v>GLICEROL (GLICERINA) .:. 2 g a 4 g (adulto)</v>
          </cell>
          <cell r="D34" t="str">
            <v>Supositorio</v>
          </cell>
          <cell r="E34">
            <v>131</v>
          </cell>
          <cell r="F34">
            <v>274.79000000180002</v>
          </cell>
          <cell r="H34">
            <v>100</v>
          </cell>
          <cell r="J34">
            <v>208</v>
          </cell>
          <cell r="M34">
            <v>0</v>
          </cell>
          <cell r="N34">
            <v>0</v>
          </cell>
          <cell r="P34">
            <v>84</v>
          </cell>
          <cell r="R34">
            <v>175.73392000000001</v>
          </cell>
          <cell r="S34">
            <v>0</v>
          </cell>
          <cell r="T34">
            <v>0</v>
          </cell>
          <cell r="U34">
            <v>147</v>
          </cell>
          <cell r="V34">
            <v>2.088816</v>
          </cell>
          <cell r="W34">
            <v>307.05595199999999</v>
          </cell>
          <cell r="X34">
            <v>2.4089800000000001</v>
          </cell>
          <cell r="Y34">
            <v>0</v>
          </cell>
          <cell r="Z34">
            <v>2.088816</v>
          </cell>
          <cell r="AA34">
            <v>307.05595199999999</v>
          </cell>
        </row>
        <row r="35">
          <cell r="B35" t="str">
            <v>A-06-06</v>
          </cell>
          <cell r="C35" t="str">
            <v>GLICEROL (GLICERINA) .:. 1 g a 1,80 g (infantil)</v>
          </cell>
          <cell r="D35" t="str">
            <v>Supositorio</v>
          </cell>
          <cell r="E35">
            <v>40</v>
          </cell>
          <cell r="F35">
            <v>61.75</v>
          </cell>
          <cell r="H35">
            <v>0</v>
          </cell>
          <cell r="J35">
            <v>0</v>
          </cell>
          <cell r="M35">
            <v>0</v>
          </cell>
          <cell r="N35">
            <v>0</v>
          </cell>
          <cell r="P35">
            <v>9</v>
          </cell>
          <cell r="R35">
            <v>13.893750000000001</v>
          </cell>
          <cell r="S35">
            <v>0</v>
          </cell>
          <cell r="T35">
            <v>0</v>
          </cell>
          <cell r="U35">
            <v>31</v>
          </cell>
          <cell r="V35">
            <v>1.54375</v>
          </cell>
          <cell r="W35">
            <v>47.856250000000003</v>
          </cell>
          <cell r="X35">
            <v>2.4089800000000001</v>
          </cell>
          <cell r="Y35">
            <v>0</v>
          </cell>
          <cell r="Z35">
            <v>1.54375</v>
          </cell>
          <cell r="AA35">
            <v>47.856250000000003</v>
          </cell>
        </row>
        <row r="36">
          <cell r="B36" t="str">
            <v>A-06-07</v>
          </cell>
          <cell r="C36" t="str">
            <v>LACTULOSA .:. 65% hasta 66.7%</v>
          </cell>
          <cell r="D36" t="str">
            <v>Solución oral</v>
          </cell>
          <cell r="E36">
            <v>183</v>
          </cell>
          <cell r="F36">
            <v>10978.17</v>
          </cell>
          <cell r="H36">
            <v>360</v>
          </cell>
          <cell r="J36">
            <v>17400</v>
          </cell>
          <cell r="M36">
            <v>2</v>
          </cell>
          <cell r="N36">
            <v>116.101868</v>
          </cell>
          <cell r="P36">
            <v>491</v>
          </cell>
          <cell r="R36">
            <v>26407.863987000001</v>
          </cell>
          <cell r="S36">
            <v>0</v>
          </cell>
          <cell r="T36">
            <v>0</v>
          </cell>
          <cell r="U36">
            <v>54</v>
          </cell>
          <cell r="V36">
            <v>38.637180000000001</v>
          </cell>
          <cell r="W36">
            <v>2086.4077200000002</v>
          </cell>
          <cell r="X36">
            <v>2.4089800000000001</v>
          </cell>
          <cell r="Y36">
            <v>0</v>
          </cell>
          <cell r="Z36">
            <v>38.637180000000001</v>
          </cell>
          <cell r="AA36">
            <v>2086.4077200000002</v>
          </cell>
        </row>
        <row r="37">
          <cell r="B37" t="str">
            <v>A-07-02</v>
          </cell>
          <cell r="C37" t="str">
            <v>LOPERAMIDA .:. 2 mg</v>
          </cell>
          <cell r="D37" t="str">
            <v>Cápsula o Comprimido</v>
          </cell>
          <cell r="E37">
            <v>168</v>
          </cell>
          <cell r="F37">
            <v>33.6</v>
          </cell>
          <cell r="H37">
            <v>900</v>
          </cell>
          <cell r="J37">
            <v>368</v>
          </cell>
          <cell r="M37">
            <v>0</v>
          </cell>
          <cell r="N37">
            <v>0</v>
          </cell>
          <cell r="P37">
            <v>673</v>
          </cell>
          <cell r="R37">
            <v>243.59995699999999</v>
          </cell>
          <cell r="S37">
            <v>0</v>
          </cell>
          <cell r="T37">
            <v>0</v>
          </cell>
          <cell r="U37">
            <v>395</v>
          </cell>
          <cell r="V37">
            <v>0.4</v>
          </cell>
          <cell r="W37">
            <v>158</v>
          </cell>
          <cell r="X37">
            <v>2.4089800000000001</v>
          </cell>
          <cell r="Y37">
            <v>0</v>
          </cell>
          <cell r="Z37">
            <v>0.4</v>
          </cell>
          <cell r="AA37">
            <v>158</v>
          </cell>
        </row>
        <row r="38">
          <cell r="B38" t="str">
            <v>A-07-04</v>
          </cell>
          <cell r="C38" t="str">
            <v>NISTATINA .:. 500.000 UI/5 ml</v>
          </cell>
          <cell r="D38" t="str">
            <v>Suspensión</v>
          </cell>
          <cell r="E38">
            <v>12</v>
          </cell>
          <cell r="F38">
            <v>146.7099999996</v>
          </cell>
          <cell r="H38">
            <v>60</v>
          </cell>
          <cell r="J38">
            <v>720</v>
          </cell>
          <cell r="M38">
            <v>1</v>
          </cell>
          <cell r="N38">
            <v>12.196529</v>
          </cell>
          <cell r="P38">
            <v>65</v>
          </cell>
          <cell r="R38">
            <v>782.90652699999998</v>
          </cell>
          <cell r="S38">
            <v>0</v>
          </cell>
          <cell r="T38">
            <v>0</v>
          </cell>
          <cell r="U38">
            <v>8</v>
          </cell>
          <cell r="V38">
            <v>12</v>
          </cell>
          <cell r="W38">
            <v>96</v>
          </cell>
          <cell r="X38">
            <v>2.4089800000000001</v>
          </cell>
          <cell r="Y38">
            <v>0</v>
          </cell>
          <cell r="Z38">
            <v>12</v>
          </cell>
          <cell r="AA38">
            <v>96</v>
          </cell>
        </row>
        <row r="39">
          <cell r="B39" t="str">
            <v>A-07-06</v>
          </cell>
          <cell r="C39" t="str">
            <v>SALES DE REHIDRATACION ORAL (SRO) BAJA OSMOLARIDAD .:. Según concentración eestándar</v>
          </cell>
          <cell r="D39" t="str">
            <v>Sobres</v>
          </cell>
          <cell r="E39">
            <v>748</v>
          </cell>
          <cell r="F39">
            <v>897.6</v>
          </cell>
          <cell r="H39">
            <v>500</v>
          </cell>
          <cell r="J39">
            <v>500</v>
          </cell>
          <cell r="M39">
            <v>0</v>
          </cell>
          <cell r="N39">
            <v>0</v>
          </cell>
          <cell r="P39">
            <v>742</v>
          </cell>
          <cell r="R39">
            <v>883.58598800000004</v>
          </cell>
          <cell r="S39">
            <v>0</v>
          </cell>
          <cell r="T39">
            <v>0</v>
          </cell>
          <cell r="U39">
            <v>506</v>
          </cell>
          <cell r="V39">
            <v>1.0158370000000001</v>
          </cell>
          <cell r="W39">
            <v>514.01352199999997</v>
          </cell>
          <cell r="X39">
            <v>2.4089800000000001</v>
          </cell>
          <cell r="Y39">
            <v>0</v>
          </cell>
          <cell r="Z39">
            <v>1.0158370000000001</v>
          </cell>
          <cell r="AA39">
            <v>514.01352199999997</v>
          </cell>
        </row>
        <row r="40">
          <cell r="B40" t="str">
            <v>A-07-07</v>
          </cell>
          <cell r="C40" t="str">
            <v>MESALAZINA .:. 500 mg</v>
          </cell>
          <cell r="D40" t="str">
            <v>Comprimido</v>
          </cell>
          <cell r="E40">
            <v>120</v>
          </cell>
          <cell r="F40">
            <v>936</v>
          </cell>
          <cell r="H40">
            <v>2600</v>
          </cell>
          <cell r="J40">
            <v>18284</v>
          </cell>
          <cell r="M40">
            <v>0</v>
          </cell>
          <cell r="N40">
            <v>0</v>
          </cell>
          <cell r="P40">
            <v>2270</v>
          </cell>
          <cell r="R40">
            <v>16700</v>
          </cell>
          <cell r="S40">
            <v>0</v>
          </cell>
          <cell r="T40">
            <v>0</v>
          </cell>
          <cell r="U40">
            <v>450</v>
          </cell>
          <cell r="V40">
            <v>5.6</v>
          </cell>
          <cell r="W40">
            <v>2520</v>
          </cell>
          <cell r="X40">
            <v>2.4089800000000001</v>
          </cell>
          <cell r="Y40">
            <v>0</v>
          </cell>
          <cell r="Z40">
            <v>5.6</v>
          </cell>
          <cell r="AA40">
            <v>2520</v>
          </cell>
        </row>
        <row r="41">
          <cell r="B41" t="str">
            <v>A-09-01</v>
          </cell>
          <cell r="C41" t="str">
            <v>ENZIMAS PANCREATICAS (LIPASA, PROTEASA Y AMILASA EN COMBINACION) .:. Según disponibilidad</v>
          </cell>
          <cell r="D41" t="str">
            <v>Comprimido</v>
          </cell>
          <cell r="E41">
            <v>1736</v>
          </cell>
          <cell r="F41">
            <v>1527.68</v>
          </cell>
          <cell r="H41">
            <v>7000</v>
          </cell>
          <cell r="J41">
            <v>5950</v>
          </cell>
          <cell r="M41">
            <v>0</v>
          </cell>
          <cell r="N41">
            <v>0</v>
          </cell>
          <cell r="P41">
            <v>6982</v>
          </cell>
          <cell r="R41">
            <v>5986.78</v>
          </cell>
          <cell r="S41">
            <v>0</v>
          </cell>
          <cell r="T41">
            <v>0</v>
          </cell>
          <cell r="U41">
            <v>1754</v>
          </cell>
          <cell r="V41">
            <v>0.85</v>
          </cell>
          <cell r="W41">
            <v>1490.9</v>
          </cell>
          <cell r="X41">
            <v>2.4089800000000001</v>
          </cell>
          <cell r="Y41">
            <v>0</v>
          </cell>
          <cell r="Z41">
            <v>0.85</v>
          </cell>
          <cell r="AA41">
            <v>1490.9</v>
          </cell>
        </row>
        <row r="42">
          <cell r="B42" t="str">
            <v>A-10-01</v>
          </cell>
          <cell r="C42" t="str">
            <v>GLIBENCLAMIDA .:. 5 mg</v>
          </cell>
          <cell r="D42" t="str">
            <v>Comprimido</v>
          </cell>
          <cell r="E42">
            <v>7625</v>
          </cell>
          <cell r="F42">
            <v>919.00999969999998</v>
          </cell>
          <cell r="H42">
            <v>11000</v>
          </cell>
          <cell r="J42">
            <v>990</v>
          </cell>
          <cell r="M42">
            <v>5</v>
          </cell>
          <cell r="N42">
            <v>0.60189000000000004</v>
          </cell>
          <cell r="P42">
            <v>16723</v>
          </cell>
          <cell r="R42">
            <v>1726.3561540000001</v>
          </cell>
          <cell r="S42">
            <v>0</v>
          </cell>
          <cell r="T42">
            <v>0</v>
          </cell>
          <cell r="U42">
            <v>1907</v>
          </cell>
          <cell r="V42">
            <v>9.6096000000000001E-2</v>
          </cell>
          <cell r="W42">
            <v>183.25507200000001</v>
          </cell>
          <cell r="X42">
            <v>2.4089800000000001</v>
          </cell>
          <cell r="Y42">
            <v>0</v>
          </cell>
          <cell r="Z42">
            <v>9.6096000000000001E-2</v>
          </cell>
          <cell r="AA42">
            <v>183.25507200000001</v>
          </cell>
        </row>
        <row r="43">
          <cell r="B43" t="str">
            <v>A-10-02</v>
          </cell>
          <cell r="C43" t="str">
            <v>INSULINA RECOMBINANTE HUMANA NPH .:. 100 UI/ml</v>
          </cell>
          <cell r="D43" t="str">
            <v>Inyectable</v>
          </cell>
          <cell r="E43">
            <v>152</v>
          </cell>
          <cell r="F43">
            <v>8439.0800000008003</v>
          </cell>
          <cell r="H43">
            <v>200</v>
          </cell>
          <cell r="J43">
            <v>10595</v>
          </cell>
          <cell r="M43">
            <v>0</v>
          </cell>
          <cell r="N43">
            <v>0</v>
          </cell>
          <cell r="P43">
            <v>265</v>
          </cell>
          <cell r="R43">
            <v>14563.90602</v>
          </cell>
          <cell r="S43">
            <v>0</v>
          </cell>
          <cell r="T43">
            <v>0</v>
          </cell>
          <cell r="U43">
            <v>87</v>
          </cell>
          <cell r="V43">
            <v>51.381307999999997</v>
          </cell>
          <cell r="W43">
            <v>4470.173796</v>
          </cell>
          <cell r="X43">
            <v>2.4089800000000001</v>
          </cell>
          <cell r="Y43">
            <v>0</v>
          </cell>
          <cell r="Z43">
            <v>51.381307999999997</v>
          </cell>
          <cell r="AA43">
            <v>4470.173796</v>
          </cell>
        </row>
        <row r="44">
          <cell r="B44" t="str">
            <v>A-10-03</v>
          </cell>
          <cell r="C44" t="str">
            <v>INSULINA ZINC CRISTALINA  RECOMBINANTE HUMANA .:. 100 UI/ml</v>
          </cell>
          <cell r="D44" t="str">
            <v>Inyectable</v>
          </cell>
          <cell r="E44">
            <v>34</v>
          </cell>
          <cell r="F44">
            <v>2384.7600000000002</v>
          </cell>
          <cell r="H44">
            <v>90</v>
          </cell>
          <cell r="J44">
            <v>6312.6</v>
          </cell>
          <cell r="M44">
            <v>0</v>
          </cell>
          <cell r="N44">
            <v>0</v>
          </cell>
          <cell r="P44">
            <v>89</v>
          </cell>
          <cell r="R44">
            <v>6242.46</v>
          </cell>
          <cell r="S44">
            <v>0</v>
          </cell>
          <cell r="T44">
            <v>0</v>
          </cell>
          <cell r="U44">
            <v>35</v>
          </cell>
          <cell r="V44">
            <v>70.14</v>
          </cell>
          <cell r="W44">
            <v>2454.9</v>
          </cell>
          <cell r="X44">
            <v>2.4089800000000001</v>
          </cell>
          <cell r="Y44">
            <v>0</v>
          </cell>
          <cell r="Z44">
            <v>70.14</v>
          </cell>
          <cell r="AA44">
            <v>2454.9</v>
          </cell>
        </row>
        <row r="45">
          <cell r="B45" t="str">
            <v>A-10-04</v>
          </cell>
          <cell r="C45" t="str">
            <v>METFORMINA .:. 850 mg</v>
          </cell>
          <cell r="D45" t="str">
            <v>Comprimido</v>
          </cell>
          <cell r="E45">
            <v>25895</v>
          </cell>
          <cell r="F45">
            <v>8236.7400009935009</v>
          </cell>
          <cell r="H45">
            <v>80000</v>
          </cell>
          <cell r="J45">
            <v>25940</v>
          </cell>
          <cell r="M45">
            <v>60</v>
          </cell>
          <cell r="N45">
            <v>19.08492</v>
          </cell>
          <cell r="P45">
            <v>84003</v>
          </cell>
          <cell r="R45">
            <v>27460.371459999998</v>
          </cell>
          <cell r="S45">
            <v>0</v>
          </cell>
          <cell r="T45">
            <v>0</v>
          </cell>
          <cell r="U45">
            <v>21952</v>
          </cell>
          <cell r="V45">
            <v>0.30682599999999999</v>
          </cell>
          <cell r="W45">
            <v>6735.4443520000004</v>
          </cell>
          <cell r="X45">
            <v>2.4089800000000001</v>
          </cell>
          <cell r="Y45">
            <v>0</v>
          </cell>
          <cell r="Z45">
            <v>0.30682599999999999</v>
          </cell>
          <cell r="AA45">
            <v>6735.4443520000004</v>
          </cell>
        </row>
        <row r="46">
          <cell r="B46" t="str">
            <v>A-10-05</v>
          </cell>
          <cell r="C46" t="str">
            <v>INSULINA GLARGINA .:. 100 U.I / ml</v>
          </cell>
          <cell r="D46" t="str">
            <v>Inyectable</v>
          </cell>
          <cell r="E46">
            <v>17</v>
          </cell>
          <cell r="F46">
            <v>4589.8400000001002</v>
          </cell>
          <cell r="H46">
            <v>73</v>
          </cell>
          <cell r="J46">
            <v>17867.2</v>
          </cell>
          <cell r="M46">
            <v>5</v>
          </cell>
          <cell r="N46">
            <v>1589.9905879999999</v>
          </cell>
          <cell r="P46">
            <v>78</v>
          </cell>
          <cell r="R46">
            <v>19967.370579999999</v>
          </cell>
          <cell r="S46">
            <v>0</v>
          </cell>
          <cell r="T46">
            <v>0</v>
          </cell>
          <cell r="U46">
            <v>17</v>
          </cell>
          <cell r="V46">
            <v>239.98</v>
          </cell>
          <cell r="W46">
            <v>4079.66</v>
          </cell>
          <cell r="X46">
            <v>2.4089800000000001</v>
          </cell>
          <cell r="Y46">
            <v>0</v>
          </cell>
          <cell r="Z46">
            <v>239.98</v>
          </cell>
          <cell r="AA46">
            <v>4079.66</v>
          </cell>
        </row>
        <row r="47">
          <cell r="B47" t="str">
            <v>A-10-07</v>
          </cell>
          <cell r="C47" t="str">
            <v>METFORMINA .:. 500 mg</v>
          </cell>
          <cell r="D47" t="str">
            <v>Comprimido</v>
          </cell>
          <cell r="E47">
            <v>698</v>
          </cell>
          <cell r="F47">
            <v>698</v>
          </cell>
          <cell r="H47">
            <v>1000</v>
          </cell>
          <cell r="J47">
            <v>680</v>
          </cell>
          <cell r="M47">
            <v>0</v>
          </cell>
          <cell r="N47">
            <v>0</v>
          </cell>
          <cell r="P47">
            <v>988</v>
          </cell>
          <cell r="R47">
            <v>895.2</v>
          </cell>
          <cell r="S47">
            <v>0</v>
          </cell>
          <cell r="T47">
            <v>0</v>
          </cell>
          <cell r="U47">
            <v>710</v>
          </cell>
          <cell r="V47">
            <v>0.68</v>
          </cell>
          <cell r="W47">
            <v>482.8</v>
          </cell>
          <cell r="X47">
            <v>2.4089800000000001</v>
          </cell>
          <cell r="Y47">
            <v>0</v>
          </cell>
          <cell r="Z47">
            <v>0.68</v>
          </cell>
          <cell r="AA47">
            <v>482.8</v>
          </cell>
        </row>
        <row r="48">
          <cell r="B48" t="str">
            <v>A-11-02</v>
          </cell>
          <cell r="C48" t="str">
            <v>ACIDO ASCORBICO (VITAMINA C) .:. 500 mg/ml (2 ml)</v>
          </cell>
          <cell r="D48" t="str">
            <v>Inyectable</v>
          </cell>
          <cell r="E48">
            <v>2975</v>
          </cell>
          <cell r="F48">
            <v>7383.9400001325002</v>
          </cell>
          <cell r="H48">
            <v>0</v>
          </cell>
          <cell r="J48">
            <v>0</v>
          </cell>
          <cell r="M48">
            <v>50</v>
          </cell>
          <cell r="N48">
            <v>124.0998</v>
          </cell>
          <cell r="P48">
            <v>1456</v>
          </cell>
          <cell r="R48">
            <v>3613.7868629999998</v>
          </cell>
          <cell r="S48">
            <v>0</v>
          </cell>
          <cell r="T48">
            <v>0</v>
          </cell>
          <cell r="U48">
            <v>1569</v>
          </cell>
          <cell r="V48">
            <v>2.4819960000000001</v>
          </cell>
          <cell r="W48">
            <v>3894.2517240000002</v>
          </cell>
          <cell r="X48">
            <v>2.4089800000000001</v>
          </cell>
          <cell r="Y48">
            <v>0</v>
          </cell>
          <cell r="Z48">
            <v>2.4819960000000001</v>
          </cell>
          <cell r="AA48">
            <v>3894.2517240000002</v>
          </cell>
        </row>
        <row r="49">
          <cell r="B49" t="str">
            <v>A-11-03</v>
          </cell>
          <cell r="C49" t="str">
            <v>ACIDO ASCORBICO (VITAMINA C) .:. Según disponibilidad</v>
          </cell>
          <cell r="D49" t="str">
            <v>Solución oral gotas</v>
          </cell>
          <cell r="E49">
            <v>16</v>
          </cell>
          <cell r="F49">
            <v>160</v>
          </cell>
          <cell r="H49">
            <v>20</v>
          </cell>
          <cell r="J49">
            <v>309.60000000000002</v>
          </cell>
          <cell r="M49">
            <v>0</v>
          </cell>
          <cell r="N49">
            <v>0</v>
          </cell>
          <cell r="P49">
            <v>26</v>
          </cell>
          <cell r="R49">
            <v>321.94782099999998</v>
          </cell>
          <cell r="S49">
            <v>0</v>
          </cell>
          <cell r="T49">
            <v>0</v>
          </cell>
          <cell r="U49">
            <v>10</v>
          </cell>
          <cell r="V49">
            <v>14.765217</v>
          </cell>
          <cell r="W49">
            <v>147.65217000000001</v>
          </cell>
          <cell r="X49">
            <v>2.4089800000000001</v>
          </cell>
          <cell r="Y49">
            <v>0</v>
          </cell>
          <cell r="Z49">
            <v>14.765217</v>
          </cell>
          <cell r="AA49">
            <v>147.65217000000001</v>
          </cell>
        </row>
        <row r="50">
          <cell r="B50" t="str">
            <v>A-11-04</v>
          </cell>
          <cell r="C50" t="str">
            <v>CIANOCOBALAMINA (VITAMINA B12) .:. 1 mg/ml</v>
          </cell>
          <cell r="D50" t="str">
            <v>Inyectable</v>
          </cell>
          <cell r="E50">
            <v>560</v>
          </cell>
          <cell r="F50">
            <v>2737.7499999920001</v>
          </cell>
          <cell r="H50">
            <v>1300</v>
          </cell>
          <cell r="J50">
            <v>6240</v>
          </cell>
          <cell r="M50">
            <v>0</v>
          </cell>
          <cell r="N50">
            <v>0</v>
          </cell>
          <cell r="P50">
            <v>1578</v>
          </cell>
          <cell r="R50">
            <v>7620.9258229999996</v>
          </cell>
          <cell r="S50">
            <v>0</v>
          </cell>
          <cell r="T50">
            <v>0</v>
          </cell>
          <cell r="U50">
            <v>282</v>
          </cell>
          <cell r="V50">
            <v>4.8114319999999999</v>
          </cell>
          <cell r="W50">
            <v>1356.8238240000001</v>
          </cell>
          <cell r="X50">
            <v>2.4089800000000001</v>
          </cell>
          <cell r="Y50">
            <v>0</v>
          </cell>
          <cell r="Z50">
            <v>4.8114319999999999</v>
          </cell>
          <cell r="AA50">
            <v>1356.8238240000001</v>
          </cell>
        </row>
        <row r="51">
          <cell r="B51" t="str">
            <v>A-11-06</v>
          </cell>
          <cell r="C51" t="str">
            <v>COMPLEJO  B (B1 + B6 + B12) .:. Según concentración eestándar</v>
          </cell>
          <cell r="D51" t="str">
            <v>Comprimido</v>
          </cell>
          <cell r="E51">
            <v>9271</v>
          </cell>
          <cell r="F51">
            <v>1312.2000004486999</v>
          </cell>
          <cell r="H51">
            <v>10000</v>
          </cell>
          <cell r="J51">
            <v>1500</v>
          </cell>
          <cell r="M51">
            <v>30</v>
          </cell>
          <cell r="N51">
            <v>4.2461399999999996</v>
          </cell>
          <cell r="P51">
            <v>13390</v>
          </cell>
          <cell r="R51">
            <v>1948.2965220000001</v>
          </cell>
          <cell r="S51">
            <v>0</v>
          </cell>
          <cell r="T51">
            <v>0</v>
          </cell>
          <cell r="U51">
            <v>5911</v>
          </cell>
          <cell r="V51">
            <v>0.14687</v>
          </cell>
          <cell r="W51">
            <v>868.14856999999995</v>
          </cell>
          <cell r="X51">
            <v>2.4089800000000001</v>
          </cell>
          <cell r="Y51">
            <v>0</v>
          </cell>
          <cell r="Z51">
            <v>0.14687</v>
          </cell>
          <cell r="AA51">
            <v>868.14856999999995</v>
          </cell>
        </row>
        <row r="52">
          <cell r="B52" t="str">
            <v>A-11-07</v>
          </cell>
          <cell r="C52" t="str">
            <v>COMPLEJO  B (B1 + B6 + B12) .:. Según concentración eestándar</v>
          </cell>
          <cell r="D52" t="str">
            <v>Inyectable</v>
          </cell>
          <cell r="E52">
            <v>1316</v>
          </cell>
          <cell r="F52">
            <v>1645.0300000623999</v>
          </cell>
          <cell r="H52">
            <v>3000</v>
          </cell>
          <cell r="J52">
            <v>3900</v>
          </cell>
          <cell r="M52">
            <v>27</v>
          </cell>
          <cell r="N52">
            <v>34.891846000000001</v>
          </cell>
          <cell r="P52">
            <v>3069</v>
          </cell>
          <cell r="R52">
            <v>3926.8108219999999</v>
          </cell>
          <cell r="S52">
            <v>0</v>
          </cell>
          <cell r="T52">
            <v>0</v>
          </cell>
          <cell r="U52">
            <v>1274</v>
          </cell>
          <cell r="V52">
            <v>1.297574</v>
          </cell>
          <cell r="W52">
            <v>1653.1092759999999</v>
          </cell>
          <cell r="X52">
            <v>2.4089800000000001</v>
          </cell>
          <cell r="Y52">
            <v>0</v>
          </cell>
          <cell r="Z52">
            <v>1.297574</v>
          </cell>
          <cell r="AA52">
            <v>1653.1092759999999</v>
          </cell>
        </row>
        <row r="53">
          <cell r="B53" t="str">
            <v>A-11-09</v>
          </cell>
          <cell r="C53" t="str">
            <v>MULTIVITAMINAS .:. Según concentración estándar</v>
          </cell>
          <cell r="D53" t="str">
            <v>Comprimido</v>
          </cell>
          <cell r="E53">
            <v>15988</v>
          </cell>
          <cell r="F53">
            <v>4735.8099998076004</v>
          </cell>
          <cell r="H53">
            <v>15120</v>
          </cell>
          <cell r="J53">
            <v>5249.79</v>
          </cell>
          <cell r="M53">
            <v>0</v>
          </cell>
          <cell r="N53">
            <v>0</v>
          </cell>
          <cell r="P53">
            <v>13865</v>
          </cell>
          <cell r="R53">
            <v>4350.241489</v>
          </cell>
          <cell r="S53">
            <v>0</v>
          </cell>
          <cell r="T53">
            <v>0</v>
          </cell>
          <cell r="U53">
            <v>17243</v>
          </cell>
          <cell r="V53">
            <v>0.32682</v>
          </cell>
          <cell r="W53">
            <v>5635.3572599999998</v>
          </cell>
          <cell r="X53">
            <v>2.4089800000000001</v>
          </cell>
          <cell r="Y53">
            <v>0</v>
          </cell>
          <cell r="Z53">
            <v>0.32682</v>
          </cell>
          <cell r="AA53">
            <v>5635.3572599999998</v>
          </cell>
        </row>
        <row r="54">
          <cell r="B54" t="str">
            <v>A-11-10</v>
          </cell>
          <cell r="C54" t="str">
            <v>MULTIVITAMINAS .:. Según concentración estándar</v>
          </cell>
          <cell r="D54" t="str">
            <v>Jarabe</v>
          </cell>
          <cell r="E54">
            <v>62</v>
          </cell>
          <cell r="F54">
            <v>1266.6600000000001</v>
          </cell>
          <cell r="H54">
            <v>0</v>
          </cell>
          <cell r="J54">
            <v>0</v>
          </cell>
          <cell r="M54">
            <v>0</v>
          </cell>
          <cell r="N54">
            <v>0</v>
          </cell>
          <cell r="P54">
            <v>61</v>
          </cell>
          <cell r="R54">
            <v>1246.23</v>
          </cell>
          <cell r="S54">
            <v>0</v>
          </cell>
          <cell r="T54">
            <v>0</v>
          </cell>
          <cell r="U54">
            <v>1</v>
          </cell>
          <cell r="V54">
            <v>20.43</v>
          </cell>
          <cell r="W54">
            <v>20.43</v>
          </cell>
          <cell r="X54">
            <v>2.4089800000000001</v>
          </cell>
          <cell r="Y54">
            <v>0</v>
          </cell>
          <cell r="Z54">
            <v>20.43</v>
          </cell>
          <cell r="AA54">
            <v>20.43</v>
          </cell>
        </row>
        <row r="55">
          <cell r="B55" t="str">
            <v>A-11-11</v>
          </cell>
          <cell r="C55" t="str">
            <v>PIRIDOXINA CLORHIDRATO (VITAMINA B6) .:. 300 mg</v>
          </cell>
          <cell r="D55" t="str">
            <v>Comprimido</v>
          </cell>
          <cell r="E55">
            <v>140</v>
          </cell>
          <cell r="F55">
            <v>236.6</v>
          </cell>
          <cell r="H55">
            <v>0</v>
          </cell>
          <cell r="J55">
            <v>0</v>
          </cell>
          <cell r="M55">
            <v>0</v>
          </cell>
          <cell r="N55">
            <v>0</v>
          </cell>
          <cell r="P55">
            <v>140</v>
          </cell>
          <cell r="R55">
            <v>236.6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2.4089800000000001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A-11-13</v>
          </cell>
          <cell r="C56" t="str">
            <v>RETINOL (VITAMINA A) .:. 10.000 UI</v>
          </cell>
          <cell r="D56" t="str">
            <v>Cápsula o Perla</v>
          </cell>
          <cell r="E56">
            <v>292</v>
          </cell>
          <cell r="F56">
            <v>159.8400000076</v>
          </cell>
          <cell r="H56">
            <v>300</v>
          </cell>
          <cell r="J56">
            <v>168</v>
          </cell>
          <cell r="M56">
            <v>0</v>
          </cell>
          <cell r="N56">
            <v>0</v>
          </cell>
          <cell r="P56">
            <v>363</v>
          </cell>
          <cell r="R56">
            <v>199.60957200000001</v>
          </cell>
          <cell r="S56">
            <v>0</v>
          </cell>
          <cell r="T56">
            <v>0</v>
          </cell>
          <cell r="U56">
            <v>229</v>
          </cell>
          <cell r="V56">
            <v>0.55995799999999996</v>
          </cell>
          <cell r="W56">
            <v>128.23038199999999</v>
          </cell>
          <cell r="X56">
            <v>2.4089800000000001</v>
          </cell>
          <cell r="Y56">
            <v>0</v>
          </cell>
          <cell r="Z56">
            <v>0.55995799999999996</v>
          </cell>
          <cell r="AA56">
            <v>128.23038199999999</v>
          </cell>
        </row>
        <row r="57">
          <cell r="B57" t="str">
            <v>A-11-17</v>
          </cell>
          <cell r="C57" t="str">
            <v>TIAMINA (VITAMINA B 1) .:. 300 mg</v>
          </cell>
          <cell r="D57" t="str">
            <v>Comprimido</v>
          </cell>
          <cell r="E57">
            <v>262</v>
          </cell>
          <cell r="F57">
            <v>284.0399999988</v>
          </cell>
          <cell r="H57">
            <v>1000</v>
          </cell>
          <cell r="J57">
            <v>1090</v>
          </cell>
          <cell r="M57">
            <v>0</v>
          </cell>
          <cell r="N57">
            <v>0</v>
          </cell>
          <cell r="P57">
            <v>673</v>
          </cell>
          <cell r="R57">
            <v>732.02999799999998</v>
          </cell>
          <cell r="S57">
            <v>0</v>
          </cell>
          <cell r="T57">
            <v>0</v>
          </cell>
          <cell r="U57">
            <v>589</v>
          </cell>
          <cell r="V57">
            <v>1.0900000000000001</v>
          </cell>
          <cell r="W57">
            <v>642.01</v>
          </cell>
          <cell r="X57">
            <v>2.4089800000000001</v>
          </cell>
          <cell r="Y57">
            <v>0</v>
          </cell>
          <cell r="Z57">
            <v>1.0900000000000001</v>
          </cell>
          <cell r="AA57">
            <v>642.01</v>
          </cell>
        </row>
        <row r="58">
          <cell r="B58" t="str">
            <v>A-11-18</v>
          </cell>
          <cell r="C58" t="str">
            <v>TIAMINA (VITAMINA B 1) .:. 100 mg/ml</v>
          </cell>
          <cell r="D58" t="str">
            <v>Inyectable</v>
          </cell>
          <cell r="E58">
            <v>0</v>
          </cell>
          <cell r="F58">
            <v>0</v>
          </cell>
          <cell r="H58">
            <v>200</v>
          </cell>
          <cell r="J58">
            <v>604</v>
          </cell>
          <cell r="M58">
            <v>11</v>
          </cell>
          <cell r="N58">
            <v>33.200000000000003</v>
          </cell>
          <cell r="P58">
            <v>114</v>
          </cell>
          <cell r="R58">
            <v>342.32</v>
          </cell>
          <cell r="S58">
            <v>0</v>
          </cell>
          <cell r="T58">
            <v>0</v>
          </cell>
          <cell r="U58">
            <v>97</v>
          </cell>
          <cell r="V58">
            <v>3.04</v>
          </cell>
          <cell r="W58">
            <v>294.88</v>
          </cell>
          <cell r="X58">
            <v>2.4089800000000001</v>
          </cell>
          <cell r="Y58">
            <v>0</v>
          </cell>
          <cell r="Z58">
            <v>3.04</v>
          </cell>
          <cell r="AA58">
            <v>294.88</v>
          </cell>
        </row>
        <row r="59">
          <cell r="B59" t="str">
            <v>A-11-19</v>
          </cell>
          <cell r="C59" t="str">
            <v>TOCOFEROL (VITAMINA E) .:. 1.000 UI</v>
          </cell>
          <cell r="D59" t="str">
            <v>Cápsula blanda</v>
          </cell>
          <cell r="E59">
            <v>3769</v>
          </cell>
          <cell r="F59">
            <v>4146.8100001745997</v>
          </cell>
          <cell r="H59">
            <v>16020</v>
          </cell>
          <cell r="J59">
            <v>23600</v>
          </cell>
          <cell r="M59">
            <v>0</v>
          </cell>
          <cell r="N59">
            <v>0</v>
          </cell>
          <cell r="P59">
            <v>16592</v>
          </cell>
          <cell r="R59">
            <v>23109.676692000001</v>
          </cell>
          <cell r="S59">
            <v>0</v>
          </cell>
          <cell r="T59">
            <v>0</v>
          </cell>
          <cell r="U59">
            <v>3197</v>
          </cell>
          <cell r="V59">
            <v>1.4504630000000001</v>
          </cell>
          <cell r="W59">
            <v>4637.1302109999997</v>
          </cell>
          <cell r="X59">
            <v>2.4089800000000001</v>
          </cell>
          <cell r="Y59">
            <v>0</v>
          </cell>
          <cell r="Z59">
            <v>1.4504630000000001</v>
          </cell>
          <cell r="AA59">
            <v>4637.1302109999997</v>
          </cell>
        </row>
        <row r="60">
          <cell r="B60" t="str">
            <v>A-12-01</v>
          </cell>
          <cell r="C60" t="str">
            <v>CALCIO (CARBONATO O CITRATO) .:. 500 mg (ión calcio)</v>
          </cell>
          <cell r="D60" t="str">
            <v>Comprimido</v>
          </cell>
          <cell r="E60">
            <v>2350</v>
          </cell>
          <cell r="F60">
            <v>587.5</v>
          </cell>
          <cell r="H60">
            <v>1500</v>
          </cell>
          <cell r="J60">
            <v>1290</v>
          </cell>
          <cell r="M60">
            <v>1870</v>
          </cell>
          <cell r="N60">
            <v>467.5</v>
          </cell>
          <cell r="P60">
            <v>3850</v>
          </cell>
          <cell r="R60">
            <v>1877.5</v>
          </cell>
          <cell r="S60">
            <v>1870</v>
          </cell>
          <cell r="T60">
            <v>467.5</v>
          </cell>
          <cell r="U60">
            <v>0</v>
          </cell>
          <cell r="V60">
            <v>0</v>
          </cell>
          <cell r="W60">
            <v>0</v>
          </cell>
          <cell r="X60">
            <v>2.4089800000000001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A-12-02</v>
          </cell>
          <cell r="C61" t="str">
            <v>CALCIO + VITAMINA D .:. 500 mg (ión calcio); Según disponibilidad</v>
          </cell>
          <cell r="D61" t="str">
            <v>Comprimido o Cápsula</v>
          </cell>
          <cell r="E61">
            <v>7715</v>
          </cell>
          <cell r="F61">
            <v>4596.1999999870004</v>
          </cell>
          <cell r="H61">
            <v>16000</v>
          </cell>
          <cell r="J61">
            <v>9120</v>
          </cell>
          <cell r="M61">
            <v>8</v>
          </cell>
          <cell r="N61">
            <v>4.7659919999999998</v>
          </cell>
          <cell r="P61">
            <v>18482</v>
          </cell>
          <cell r="R61">
            <v>10890.825913000001</v>
          </cell>
          <cell r="S61">
            <v>0</v>
          </cell>
          <cell r="T61">
            <v>0</v>
          </cell>
          <cell r="U61">
            <v>5241</v>
          </cell>
          <cell r="V61">
            <v>0.54</v>
          </cell>
          <cell r="W61">
            <v>2830.14</v>
          </cell>
          <cell r="X61">
            <v>2.4089800000000001</v>
          </cell>
          <cell r="Y61">
            <v>0</v>
          </cell>
          <cell r="Z61">
            <v>0.54</v>
          </cell>
          <cell r="AA61">
            <v>2830.14</v>
          </cell>
        </row>
        <row r="62">
          <cell r="B62" t="str">
            <v>A-12-03</v>
          </cell>
          <cell r="C62" t="str">
            <v>CLORURO DE POTASIO .:. 1,3 mEq/ml</v>
          </cell>
          <cell r="D62" t="str">
            <v>Solución oral</v>
          </cell>
          <cell r="E62">
            <v>3</v>
          </cell>
          <cell r="F62">
            <v>78.06</v>
          </cell>
          <cell r="H62">
            <v>0</v>
          </cell>
          <cell r="J62">
            <v>0</v>
          </cell>
          <cell r="M62">
            <v>0</v>
          </cell>
          <cell r="N62">
            <v>0</v>
          </cell>
          <cell r="P62">
            <v>3</v>
          </cell>
          <cell r="R62">
            <v>78.06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2.4089800000000001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A-12-05</v>
          </cell>
          <cell r="C63" t="str">
            <v>ZINC .:. 20 mg/5 ml (Como zinc elemental)</v>
          </cell>
          <cell r="D63" t="str">
            <v>Jarabe</v>
          </cell>
          <cell r="E63">
            <v>117</v>
          </cell>
          <cell r="F63">
            <v>810.81</v>
          </cell>
          <cell r="H63">
            <v>0</v>
          </cell>
          <cell r="J63">
            <v>0</v>
          </cell>
          <cell r="M63">
            <v>0</v>
          </cell>
          <cell r="N63">
            <v>0</v>
          </cell>
          <cell r="P63">
            <v>55</v>
          </cell>
          <cell r="R63">
            <v>381.15</v>
          </cell>
          <cell r="S63">
            <v>0</v>
          </cell>
          <cell r="T63">
            <v>0</v>
          </cell>
          <cell r="U63">
            <v>62</v>
          </cell>
          <cell r="V63">
            <v>6.93</v>
          </cell>
          <cell r="W63">
            <v>429.66</v>
          </cell>
          <cell r="X63">
            <v>2.4089800000000001</v>
          </cell>
          <cell r="Y63">
            <v>0</v>
          </cell>
          <cell r="Z63">
            <v>6.93</v>
          </cell>
          <cell r="AA63">
            <v>429.66</v>
          </cell>
        </row>
        <row r="64">
          <cell r="B64" t="str">
            <v>A-12-06</v>
          </cell>
          <cell r="C64" t="str">
            <v>ZINC (COMO SULFATO) .:. 20 mg</v>
          </cell>
          <cell r="D64" t="str">
            <v>Comprimido</v>
          </cell>
          <cell r="E64">
            <v>5933</v>
          </cell>
          <cell r="F64">
            <v>1682.3300000953</v>
          </cell>
          <cell r="H64">
            <v>0</v>
          </cell>
          <cell r="J64">
            <v>0</v>
          </cell>
          <cell r="M64">
            <v>4</v>
          </cell>
          <cell r="N64">
            <v>1.1343319999999999</v>
          </cell>
          <cell r="P64">
            <v>1226</v>
          </cell>
          <cell r="R64">
            <v>347.63803799999999</v>
          </cell>
          <cell r="S64">
            <v>0</v>
          </cell>
          <cell r="T64">
            <v>0</v>
          </cell>
          <cell r="U64">
            <v>4711</v>
          </cell>
          <cell r="V64">
            <v>0.28355399999999997</v>
          </cell>
          <cell r="W64">
            <v>1335.8228939999999</v>
          </cell>
          <cell r="X64">
            <v>2.4089800000000001</v>
          </cell>
          <cell r="Y64">
            <v>0</v>
          </cell>
          <cell r="Z64">
            <v>0.28355399999999997</v>
          </cell>
          <cell r="AA64">
            <v>1335.8228939999999</v>
          </cell>
        </row>
        <row r="65">
          <cell r="B65" t="str">
            <v>B-01-01</v>
          </cell>
          <cell r="C65" t="str">
            <v>ACIDO ACETIL SALICILICO .:. 100 mg</v>
          </cell>
          <cell r="D65" t="str">
            <v>Comprimido</v>
          </cell>
          <cell r="E65">
            <v>17212</v>
          </cell>
          <cell r="F65">
            <v>2623.1300000204001</v>
          </cell>
          <cell r="H65">
            <v>33120</v>
          </cell>
          <cell r="J65">
            <v>5610</v>
          </cell>
          <cell r="M65">
            <v>30</v>
          </cell>
          <cell r="N65">
            <v>4.5720299999999998</v>
          </cell>
          <cell r="P65">
            <v>41254</v>
          </cell>
          <cell r="R65">
            <v>6711.9273999999996</v>
          </cell>
          <cell r="S65">
            <v>0</v>
          </cell>
          <cell r="T65">
            <v>0</v>
          </cell>
          <cell r="U65">
            <v>9108</v>
          </cell>
          <cell r="V65">
            <v>0.16752</v>
          </cell>
          <cell r="W65">
            <v>1525.77216</v>
          </cell>
          <cell r="X65">
            <v>2.4089800000000001</v>
          </cell>
          <cell r="Y65">
            <v>0</v>
          </cell>
          <cell r="Z65">
            <v>0.16752</v>
          </cell>
          <cell r="AA65">
            <v>1525.77216</v>
          </cell>
        </row>
        <row r="66">
          <cell r="B66" t="str">
            <v>B-01-03</v>
          </cell>
          <cell r="C66" t="str">
            <v>HEPARINA DE BAJO PESO MOLECULAR .:. 40 M.G.</v>
          </cell>
          <cell r="D66" t="str">
            <v>Inyectable</v>
          </cell>
          <cell r="E66">
            <v>222</v>
          </cell>
          <cell r="F66">
            <v>8012.4999999906004</v>
          </cell>
          <cell r="H66">
            <v>300</v>
          </cell>
          <cell r="J66">
            <v>11850</v>
          </cell>
          <cell r="M66">
            <v>7</v>
          </cell>
          <cell r="N66">
            <v>259.76755100000003</v>
          </cell>
          <cell r="P66">
            <v>365</v>
          </cell>
          <cell r="R66">
            <v>14033.048772</v>
          </cell>
          <cell r="S66">
            <v>0</v>
          </cell>
          <cell r="T66">
            <v>0</v>
          </cell>
          <cell r="U66">
            <v>164</v>
          </cell>
          <cell r="V66">
            <v>37.129381000000002</v>
          </cell>
          <cell r="W66">
            <v>6089.218484</v>
          </cell>
          <cell r="X66">
            <v>2.4089800000000001</v>
          </cell>
          <cell r="Y66">
            <v>0</v>
          </cell>
          <cell r="Z66">
            <v>37.129381000000002</v>
          </cell>
          <cell r="AA66">
            <v>6089.218484</v>
          </cell>
        </row>
        <row r="67">
          <cell r="B67" t="str">
            <v>B-01-031</v>
          </cell>
          <cell r="C67" t="str">
            <v>HEPARINA DE BAJO PESO MOLECULAR  60 MG .:. 60 MG</v>
          </cell>
          <cell r="D67" t="str">
            <v>Inyectable</v>
          </cell>
          <cell r="E67">
            <v>385</v>
          </cell>
          <cell r="F67">
            <v>22760.000000006501</v>
          </cell>
          <cell r="H67">
            <v>150</v>
          </cell>
          <cell r="J67">
            <v>8475</v>
          </cell>
          <cell r="M67">
            <v>0</v>
          </cell>
          <cell r="N67">
            <v>0</v>
          </cell>
          <cell r="P67">
            <v>399</v>
          </cell>
          <cell r="R67">
            <v>23314.000086</v>
          </cell>
          <cell r="S67">
            <v>0</v>
          </cell>
          <cell r="T67">
            <v>0</v>
          </cell>
          <cell r="U67">
            <v>136</v>
          </cell>
          <cell r="V67">
            <v>58.242645000000003</v>
          </cell>
          <cell r="W67">
            <v>7920.9997199999998</v>
          </cell>
          <cell r="X67">
            <v>2.4089800000000001</v>
          </cell>
          <cell r="Y67">
            <v>0</v>
          </cell>
          <cell r="Z67">
            <v>58.242645000000003</v>
          </cell>
          <cell r="AA67">
            <v>7920.9997199999998</v>
          </cell>
        </row>
        <row r="68">
          <cell r="B68" t="str">
            <v>B-01-04</v>
          </cell>
          <cell r="C68" t="str">
            <v>HEPARINA SODICA .:. 5.000 UI/ml</v>
          </cell>
          <cell r="D68" t="str">
            <v>Inyectable</v>
          </cell>
          <cell r="E68">
            <v>11</v>
          </cell>
          <cell r="F68">
            <v>438.43000000030003</v>
          </cell>
          <cell r="H68">
            <v>40</v>
          </cell>
          <cell r="J68">
            <v>1440</v>
          </cell>
          <cell r="M68">
            <v>0</v>
          </cell>
          <cell r="N68">
            <v>0</v>
          </cell>
          <cell r="P68">
            <v>40</v>
          </cell>
          <cell r="R68">
            <v>1482.4299980000001</v>
          </cell>
          <cell r="S68">
            <v>0</v>
          </cell>
          <cell r="T68">
            <v>0</v>
          </cell>
          <cell r="U68">
            <v>11</v>
          </cell>
          <cell r="V68">
            <v>36</v>
          </cell>
          <cell r="W68">
            <v>396</v>
          </cell>
          <cell r="X68">
            <v>2.4089800000000001</v>
          </cell>
          <cell r="Y68">
            <v>0</v>
          </cell>
          <cell r="Z68">
            <v>36</v>
          </cell>
          <cell r="AA68">
            <v>396</v>
          </cell>
        </row>
        <row r="69">
          <cell r="B69" t="str">
            <v>B-01-05</v>
          </cell>
          <cell r="C69" t="str">
            <v>WARFARINA .:. 5 mg</v>
          </cell>
          <cell r="D69" t="str">
            <v>Comprimido ranurado</v>
          </cell>
          <cell r="E69">
            <v>1234</v>
          </cell>
          <cell r="F69">
            <v>977.20000001819994</v>
          </cell>
          <cell r="H69">
            <v>2000</v>
          </cell>
          <cell r="J69">
            <v>1160</v>
          </cell>
          <cell r="M69">
            <v>0</v>
          </cell>
          <cell r="N69">
            <v>0</v>
          </cell>
          <cell r="P69">
            <v>2009</v>
          </cell>
          <cell r="R69">
            <v>1502.8311100000001</v>
          </cell>
          <cell r="S69">
            <v>0</v>
          </cell>
          <cell r="T69">
            <v>0</v>
          </cell>
          <cell r="U69">
            <v>1225</v>
          </cell>
          <cell r="V69">
            <v>0.51785199999999998</v>
          </cell>
          <cell r="W69">
            <v>634.36869999999999</v>
          </cell>
          <cell r="X69">
            <v>2.4089800000000001</v>
          </cell>
          <cell r="Y69">
            <v>0</v>
          </cell>
          <cell r="Z69">
            <v>0.51785199999999998</v>
          </cell>
          <cell r="AA69">
            <v>634.36869999999999</v>
          </cell>
        </row>
        <row r="70">
          <cell r="B70" t="str">
            <v>B-01-06</v>
          </cell>
          <cell r="C70" t="str">
            <v>CLOPIDOGREL .:. 75 mg</v>
          </cell>
          <cell r="D70" t="str">
            <v>Comprimido</v>
          </cell>
          <cell r="E70">
            <v>3777</v>
          </cell>
          <cell r="F70">
            <v>4174.7199998309998</v>
          </cell>
          <cell r="H70">
            <v>10300</v>
          </cell>
          <cell r="J70">
            <v>17950</v>
          </cell>
          <cell r="M70">
            <v>0</v>
          </cell>
          <cell r="N70">
            <v>0</v>
          </cell>
          <cell r="P70">
            <v>11196</v>
          </cell>
          <cell r="R70">
            <v>17245.534957</v>
          </cell>
          <cell r="S70">
            <v>0</v>
          </cell>
          <cell r="T70">
            <v>0</v>
          </cell>
          <cell r="U70">
            <v>2881</v>
          </cell>
          <cell r="V70">
            <v>1.693573</v>
          </cell>
          <cell r="W70">
            <v>4879.1838129999996</v>
          </cell>
          <cell r="X70">
            <v>2.4089800000000001</v>
          </cell>
          <cell r="Y70">
            <v>0</v>
          </cell>
          <cell r="Z70">
            <v>1.693573</v>
          </cell>
          <cell r="AA70">
            <v>4879.1838129999996</v>
          </cell>
        </row>
        <row r="71">
          <cell r="B71" t="str">
            <v>B-01-07</v>
          </cell>
          <cell r="C71" t="str">
            <v xml:space="preserve">RIBAROXABAN  .:. 10 MG </v>
          </cell>
          <cell r="D71" t="str">
            <v>Comprimido</v>
          </cell>
          <cell r="E71">
            <v>0</v>
          </cell>
          <cell r="F71">
            <v>0</v>
          </cell>
          <cell r="H71">
            <v>910</v>
          </cell>
          <cell r="J71">
            <v>6370</v>
          </cell>
          <cell r="M71">
            <v>0</v>
          </cell>
          <cell r="N71">
            <v>0</v>
          </cell>
          <cell r="P71">
            <v>497</v>
          </cell>
          <cell r="R71">
            <v>3479</v>
          </cell>
          <cell r="S71">
            <v>0</v>
          </cell>
          <cell r="T71">
            <v>0</v>
          </cell>
          <cell r="U71">
            <v>413</v>
          </cell>
          <cell r="V71">
            <v>7</v>
          </cell>
          <cell r="W71">
            <v>2891</v>
          </cell>
          <cell r="X71">
            <v>2.4089800000000001</v>
          </cell>
          <cell r="Y71">
            <v>0</v>
          </cell>
          <cell r="Z71">
            <v>7</v>
          </cell>
          <cell r="AA71">
            <v>2891</v>
          </cell>
        </row>
        <row r="72">
          <cell r="B72" t="str">
            <v>B-02-02</v>
          </cell>
          <cell r="C72" t="str">
            <v>FITOMENADIONA  (VITAMINA K1) .:. 10 mg/ml</v>
          </cell>
          <cell r="D72" t="str">
            <v>Inyectable</v>
          </cell>
          <cell r="E72">
            <v>433</v>
          </cell>
          <cell r="F72">
            <v>1038.1300000172</v>
          </cell>
          <cell r="H72">
            <v>0</v>
          </cell>
          <cell r="J72">
            <v>0</v>
          </cell>
          <cell r="M72">
            <v>230</v>
          </cell>
          <cell r="N72">
            <v>551.43011200000001</v>
          </cell>
          <cell r="P72">
            <v>226</v>
          </cell>
          <cell r="R72">
            <v>541.84132599999998</v>
          </cell>
          <cell r="S72">
            <v>226</v>
          </cell>
          <cell r="T72">
            <v>541.84152099999994</v>
          </cell>
          <cell r="U72">
            <v>211</v>
          </cell>
          <cell r="V72">
            <v>2.3975219999999999</v>
          </cell>
          <cell r="W72">
            <v>505.87714199999999</v>
          </cell>
          <cell r="X72">
            <v>2.4089800000000001</v>
          </cell>
          <cell r="Y72">
            <v>0</v>
          </cell>
          <cell r="Z72">
            <v>2.3975219999999999</v>
          </cell>
          <cell r="AA72">
            <v>505.87714199999999</v>
          </cell>
        </row>
        <row r="73">
          <cell r="B73" t="str">
            <v>B-02-06</v>
          </cell>
          <cell r="C73" t="str">
            <v>ACIDO TRANEXAMICO .:. 500 mg</v>
          </cell>
          <cell r="D73" t="str">
            <v>Inyectable</v>
          </cell>
          <cell r="E73">
            <v>0</v>
          </cell>
          <cell r="F73">
            <v>0</v>
          </cell>
          <cell r="H73">
            <v>110</v>
          </cell>
          <cell r="J73">
            <v>2898</v>
          </cell>
          <cell r="M73">
            <v>10</v>
          </cell>
          <cell r="N73">
            <v>258.19672000000003</v>
          </cell>
          <cell r="P73">
            <v>100</v>
          </cell>
          <cell r="R73">
            <v>2639.8032750000002</v>
          </cell>
          <cell r="S73">
            <v>0</v>
          </cell>
          <cell r="T73">
            <v>0</v>
          </cell>
          <cell r="U73">
            <v>20</v>
          </cell>
          <cell r="V73">
            <v>25.819672000000001</v>
          </cell>
          <cell r="W73">
            <v>516.39344000000006</v>
          </cell>
          <cell r="X73">
            <v>2.4089800000000001</v>
          </cell>
          <cell r="Y73">
            <v>0</v>
          </cell>
          <cell r="Z73">
            <v>25.819672000000001</v>
          </cell>
          <cell r="AA73">
            <v>516.39344000000006</v>
          </cell>
        </row>
        <row r="74">
          <cell r="B74" t="str">
            <v>B-03-01</v>
          </cell>
          <cell r="C74" t="str">
            <v>ACIDO FOLICO .:. 5 mg</v>
          </cell>
          <cell r="D74" t="str">
            <v>Comprimido</v>
          </cell>
          <cell r="E74">
            <v>1053</v>
          </cell>
          <cell r="F74">
            <v>299.6400000438</v>
          </cell>
          <cell r="H74">
            <v>3700</v>
          </cell>
          <cell r="J74">
            <v>999</v>
          </cell>
          <cell r="M74">
            <v>0</v>
          </cell>
          <cell r="N74">
            <v>0</v>
          </cell>
          <cell r="P74">
            <v>4280</v>
          </cell>
          <cell r="R74">
            <v>1170.9299900000001</v>
          </cell>
          <cell r="S74">
            <v>0</v>
          </cell>
          <cell r="T74">
            <v>0</v>
          </cell>
          <cell r="U74">
            <v>473</v>
          </cell>
          <cell r="V74">
            <v>0.27</v>
          </cell>
          <cell r="W74">
            <v>127.71</v>
          </cell>
          <cell r="X74">
            <v>2.4089800000000001</v>
          </cell>
          <cell r="Y74">
            <v>0</v>
          </cell>
          <cell r="Z74">
            <v>0.27</v>
          </cell>
          <cell r="AA74">
            <v>127.71</v>
          </cell>
        </row>
        <row r="75">
          <cell r="B75" t="str">
            <v>B-03-02</v>
          </cell>
          <cell r="C75" t="str">
            <v>ERITROPOYETINA .:. 10.000 UI</v>
          </cell>
          <cell r="D75" t="str">
            <v>Inyectable</v>
          </cell>
          <cell r="E75">
            <v>15</v>
          </cell>
          <cell r="F75">
            <v>750</v>
          </cell>
          <cell r="H75">
            <v>30</v>
          </cell>
          <cell r="J75">
            <v>1701.6</v>
          </cell>
          <cell r="M75">
            <v>0</v>
          </cell>
          <cell r="N75">
            <v>0</v>
          </cell>
          <cell r="P75">
            <v>41</v>
          </cell>
          <cell r="R75">
            <v>2226.4</v>
          </cell>
          <cell r="S75">
            <v>0</v>
          </cell>
          <cell r="T75">
            <v>0</v>
          </cell>
          <cell r="U75">
            <v>4</v>
          </cell>
          <cell r="V75">
            <v>56.3</v>
          </cell>
          <cell r="W75">
            <v>225.2</v>
          </cell>
          <cell r="X75">
            <v>2.4089800000000001</v>
          </cell>
          <cell r="Y75">
            <v>0</v>
          </cell>
          <cell r="Z75">
            <v>56.3</v>
          </cell>
          <cell r="AA75">
            <v>225.2</v>
          </cell>
        </row>
        <row r="76">
          <cell r="B76" t="str">
            <v>B-03-04</v>
          </cell>
          <cell r="C76" t="str">
            <v>HIERRO .:. 100 mg - IM o IV</v>
          </cell>
          <cell r="D76" t="str">
            <v>Inyectable</v>
          </cell>
          <cell r="E76">
            <v>32</v>
          </cell>
          <cell r="F76">
            <v>837.24</v>
          </cell>
          <cell r="H76">
            <v>80</v>
          </cell>
          <cell r="J76">
            <v>1760</v>
          </cell>
          <cell r="M76">
            <v>1</v>
          </cell>
          <cell r="N76">
            <v>22.109048000000001</v>
          </cell>
          <cell r="P76">
            <v>104</v>
          </cell>
          <cell r="R76">
            <v>2420.367589</v>
          </cell>
          <cell r="S76">
            <v>0</v>
          </cell>
          <cell r="T76">
            <v>0</v>
          </cell>
          <cell r="U76">
            <v>9</v>
          </cell>
          <cell r="V76">
            <v>22.109048000000001</v>
          </cell>
          <cell r="W76">
            <v>198.98143200000001</v>
          </cell>
          <cell r="X76">
            <v>2.4089800000000001</v>
          </cell>
          <cell r="Y76">
            <v>0</v>
          </cell>
          <cell r="Z76">
            <v>22.109048000000001</v>
          </cell>
          <cell r="AA76">
            <v>198.98143200000001</v>
          </cell>
        </row>
        <row r="77">
          <cell r="B77" t="str">
            <v>B-03-05</v>
          </cell>
          <cell r="C77" t="str">
            <v>MICRONUTRIENTES (VIT. C + VIT A + FE + ZN + AC. FOLICO) (CHISPITAS NUTRICIONALES) .:. Según concentración estándard</v>
          </cell>
          <cell r="D77" t="str">
            <v>Polvo</v>
          </cell>
          <cell r="E77">
            <v>360</v>
          </cell>
          <cell r="F77">
            <v>136.80000000000001</v>
          </cell>
          <cell r="H77">
            <v>0</v>
          </cell>
          <cell r="J77">
            <v>0</v>
          </cell>
          <cell r="M77">
            <v>0</v>
          </cell>
          <cell r="N77">
            <v>0</v>
          </cell>
          <cell r="P77">
            <v>60</v>
          </cell>
          <cell r="R77">
            <v>22.8</v>
          </cell>
          <cell r="S77">
            <v>0</v>
          </cell>
          <cell r="T77">
            <v>0</v>
          </cell>
          <cell r="U77">
            <v>300</v>
          </cell>
          <cell r="V77">
            <v>0.38</v>
          </cell>
          <cell r="W77">
            <v>114</v>
          </cell>
          <cell r="X77">
            <v>2.4089800000000001</v>
          </cell>
          <cell r="Y77">
            <v>0</v>
          </cell>
          <cell r="Z77">
            <v>0.38</v>
          </cell>
          <cell r="AA77">
            <v>114</v>
          </cell>
        </row>
        <row r="78">
          <cell r="B78" t="str">
            <v>B-03-07</v>
          </cell>
          <cell r="C78" t="str">
            <v>SULFATO FERROSO .:. 125 mg/ml</v>
          </cell>
          <cell r="D78" t="str">
            <v>Solución oral</v>
          </cell>
          <cell r="E78">
            <v>4</v>
          </cell>
          <cell r="F78">
            <v>30.5</v>
          </cell>
          <cell r="H78">
            <v>15</v>
          </cell>
          <cell r="J78">
            <v>192.9</v>
          </cell>
          <cell r="M78">
            <v>0</v>
          </cell>
          <cell r="N78">
            <v>0</v>
          </cell>
          <cell r="P78">
            <v>17</v>
          </cell>
          <cell r="R78">
            <v>197.68</v>
          </cell>
          <cell r="S78">
            <v>0</v>
          </cell>
          <cell r="T78">
            <v>0</v>
          </cell>
          <cell r="U78">
            <v>2</v>
          </cell>
          <cell r="V78">
            <v>12.86</v>
          </cell>
          <cell r="W78">
            <v>25.72</v>
          </cell>
          <cell r="X78">
            <v>2.4089800000000001</v>
          </cell>
          <cell r="Y78">
            <v>0</v>
          </cell>
          <cell r="Z78">
            <v>12.86</v>
          </cell>
          <cell r="AA78">
            <v>25.72</v>
          </cell>
        </row>
        <row r="79">
          <cell r="B79" t="str">
            <v>B-03-08</v>
          </cell>
          <cell r="C79" t="str">
            <v>SULFATO FERROSO + AC. FOLICO + VITAMINA C .:. 200 mg + 0,5 mg + 150 mg</v>
          </cell>
          <cell r="D79" t="str">
            <v>Comprimido</v>
          </cell>
          <cell r="E79">
            <v>491</v>
          </cell>
          <cell r="F79">
            <v>236.81000001870001</v>
          </cell>
          <cell r="H79">
            <v>2800</v>
          </cell>
          <cell r="J79">
            <v>840</v>
          </cell>
          <cell r="M79">
            <v>0</v>
          </cell>
          <cell r="N79">
            <v>0</v>
          </cell>
          <cell r="P79">
            <v>2054</v>
          </cell>
          <cell r="R79">
            <v>864.90023599999995</v>
          </cell>
          <cell r="S79">
            <v>0</v>
          </cell>
          <cell r="T79">
            <v>0</v>
          </cell>
          <cell r="U79">
            <v>1237</v>
          </cell>
          <cell r="V79">
            <v>0.17130899999999999</v>
          </cell>
          <cell r="W79">
            <v>211.909233</v>
          </cell>
          <cell r="X79">
            <v>2.4089800000000001</v>
          </cell>
          <cell r="Y79">
            <v>0</v>
          </cell>
          <cell r="Z79">
            <v>0.17130899999999999</v>
          </cell>
          <cell r="AA79">
            <v>211.909233</v>
          </cell>
        </row>
        <row r="80">
          <cell r="B80" t="str">
            <v>B-03-09</v>
          </cell>
          <cell r="C80" t="str">
            <v>SULFATO FERROSO + AC. FOLICO + VITAMINA C .:. 125 mg + 0,25 mg + 30 mg</v>
          </cell>
          <cell r="D80" t="str">
            <v>Solución oral</v>
          </cell>
          <cell r="E80">
            <v>14</v>
          </cell>
          <cell r="F80">
            <v>95.2</v>
          </cell>
          <cell r="H80">
            <v>20</v>
          </cell>
          <cell r="J80">
            <v>119.6</v>
          </cell>
          <cell r="M80">
            <v>0</v>
          </cell>
          <cell r="N80">
            <v>0</v>
          </cell>
          <cell r="P80">
            <v>14</v>
          </cell>
          <cell r="R80">
            <v>95.2</v>
          </cell>
          <cell r="S80">
            <v>0</v>
          </cell>
          <cell r="T80">
            <v>0</v>
          </cell>
          <cell r="U80">
            <v>20</v>
          </cell>
          <cell r="V80">
            <v>5.98</v>
          </cell>
          <cell r="W80">
            <v>119.6</v>
          </cell>
          <cell r="X80">
            <v>2.4089800000000001</v>
          </cell>
          <cell r="Y80">
            <v>0</v>
          </cell>
          <cell r="Z80">
            <v>5.98</v>
          </cell>
          <cell r="AA80">
            <v>119.6</v>
          </cell>
        </row>
        <row r="81">
          <cell r="B81" t="str">
            <v>B-05-01</v>
          </cell>
          <cell r="C81" t="str">
            <v>AGUA PARA INYECCION .:. 5 ml</v>
          </cell>
          <cell r="D81" t="str">
            <v>Inyectable</v>
          </cell>
          <cell r="E81">
            <v>906</v>
          </cell>
          <cell r="F81">
            <v>613.32999998939999</v>
          </cell>
          <cell r="H81">
            <v>4200</v>
          </cell>
          <cell r="J81">
            <v>3318</v>
          </cell>
          <cell r="M81">
            <v>47</v>
          </cell>
          <cell r="N81">
            <v>35.410136000000001</v>
          </cell>
          <cell r="P81">
            <v>3109</v>
          </cell>
          <cell r="R81">
            <v>2353.5636260000001</v>
          </cell>
          <cell r="S81">
            <v>0</v>
          </cell>
          <cell r="T81">
            <v>0</v>
          </cell>
          <cell r="U81">
            <v>2044</v>
          </cell>
          <cell r="V81">
            <v>0.78922499999999995</v>
          </cell>
          <cell r="W81">
            <v>1613.1759</v>
          </cell>
          <cell r="X81">
            <v>2.4089800000000001</v>
          </cell>
          <cell r="Y81">
            <v>0</v>
          </cell>
          <cell r="Z81">
            <v>0.78922499999999995</v>
          </cell>
          <cell r="AA81">
            <v>1613.1759</v>
          </cell>
        </row>
        <row r="82">
          <cell r="B82" t="str">
            <v>B-05-02</v>
          </cell>
          <cell r="C82" t="str">
            <v>ALBUMINA HUMANA .:. 0.2</v>
          </cell>
          <cell r="D82" t="str">
            <v>Inyectable</v>
          </cell>
          <cell r="E82">
            <v>66</v>
          </cell>
          <cell r="F82">
            <v>15840</v>
          </cell>
          <cell r="H82">
            <v>266</v>
          </cell>
          <cell r="J82">
            <v>68149</v>
          </cell>
          <cell r="M82">
            <v>11</v>
          </cell>
          <cell r="N82">
            <v>2789.6</v>
          </cell>
          <cell r="P82">
            <v>326</v>
          </cell>
          <cell r="R82">
            <v>82188.600000000006</v>
          </cell>
          <cell r="S82">
            <v>0</v>
          </cell>
          <cell r="T82">
            <v>0</v>
          </cell>
          <cell r="U82">
            <v>17</v>
          </cell>
          <cell r="V82">
            <v>270</v>
          </cell>
          <cell r="W82">
            <v>4590</v>
          </cell>
          <cell r="X82">
            <v>2.4089800000000001</v>
          </cell>
          <cell r="Y82">
            <v>0</v>
          </cell>
          <cell r="Z82">
            <v>270</v>
          </cell>
          <cell r="AA82">
            <v>4590</v>
          </cell>
        </row>
        <row r="83">
          <cell r="B83" t="str">
            <v>B-05-03</v>
          </cell>
          <cell r="C83" t="str">
            <v>AMINOACIDOS .:. 0.1</v>
          </cell>
          <cell r="D83" t="str">
            <v>Solución parenteral de gran volumen</v>
          </cell>
          <cell r="E83">
            <v>2</v>
          </cell>
          <cell r="F83">
            <v>200</v>
          </cell>
          <cell r="H83">
            <v>70</v>
          </cell>
          <cell r="J83">
            <v>9961</v>
          </cell>
          <cell r="M83">
            <v>4</v>
          </cell>
          <cell r="N83">
            <v>523</v>
          </cell>
          <cell r="P83">
            <v>51</v>
          </cell>
          <cell r="R83">
            <v>7764.5694409999996</v>
          </cell>
          <cell r="S83">
            <v>2</v>
          </cell>
          <cell r="T83">
            <v>200</v>
          </cell>
          <cell r="U83">
            <v>23</v>
          </cell>
          <cell r="V83">
            <v>118.23611099999999</v>
          </cell>
          <cell r="W83">
            <v>2719.4305530000001</v>
          </cell>
          <cell r="X83">
            <v>2.4089800000000001</v>
          </cell>
          <cell r="Y83">
            <v>0</v>
          </cell>
          <cell r="Z83">
            <v>118.23611099999999</v>
          </cell>
          <cell r="AA83">
            <v>2719.4305530000001</v>
          </cell>
        </row>
        <row r="84">
          <cell r="B84" t="str">
            <v>B-05-04</v>
          </cell>
          <cell r="C84" t="str">
            <v>BICARBONATO DE SODIO .:. 0.08</v>
          </cell>
          <cell r="D84" t="str">
            <v>Inyectable</v>
          </cell>
          <cell r="E84">
            <v>0</v>
          </cell>
          <cell r="F84">
            <v>0</v>
          </cell>
          <cell r="H84">
            <v>100</v>
          </cell>
          <cell r="J84">
            <v>800</v>
          </cell>
          <cell r="M84">
            <v>0</v>
          </cell>
          <cell r="N84">
            <v>0</v>
          </cell>
          <cell r="P84">
            <v>20</v>
          </cell>
          <cell r="R84">
            <v>160</v>
          </cell>
          <cell r="S84">
            <v>0</v>
          </cell>
          <cell r="T84">
            <v>0</v>
          </cell>
          <cell r="U84">
            <v>80</v>
          </cell>
          <cell r="V84">
            <v>8</v>
          </cell>
          <cell r="W84">
            <v>640</v>
          </cell>
          <cell r="X84">
            <v>2.4089800000000001</v>
          </cell>
          <cell r="Y84">
            <v>0</v>
          </cell>
          <cell r="Z84">
            <v>8</v>
          </cell>
          <cell r="AA84">
            <v>640</v>
          </cell>
        </row>
        <row r="85">
          <cell r="B85" t="str">
            <v>B-05-06</v>
          </cell>
          <cell r="C85" t="str">
            <v>CLORURO DE POTASIO .:. 0.2</v>
          </cell>
          <cell r="D85" t="str">
            <v>Inyectable</v>
          </cell>
          <cell r="E85">
            <v>237</v>
          </cell>
          <cell r="F85">
            <v>436.43999999009998</v>
          </cell>
          <cell r="H85">
            <v>350</v>
          </cell>
          <cell r="J85">
            <v>920</v>
          </cell>
          <cell r="M85">
            <v>45</v>
          </cell>
          <cell r="N85">
            <v>91.610607000000002</v>
          </cell>
          <cell r="P85">
            <v>607</v>
          </cell>
          <cell r="R85">
            <v>1385.1080360000001</v>
          </cell>
          <cell r="S85">
            <v>0</v>
          </cell>
          <cell r="T85">
            <v>0</v>
          </cell>
          <cell r="U85">
            <v>25</v>
          </cell>
          <cell r="V85">
            <v>2.5176989999999999</v>
          </cell>
          <cell r="W85">
            <v>62.942475000000002</v>
          </cell>
          <cell r="X85">
            <v>2.4089800000000001</v>
          </cell>
          <cell r="Y85">
            <v>0</v>
          </cell>
          <cell r="Z85">
            <v>2.5176989999999999</v>
          </cell>
          <cell r="AA85">
            <v>62.942475000000002</v>
          </cell>
        </row>
        <row r="86">
          <cell r="B86" t="str">
            <v>B-05-07</v>
          </cell>
          <cell r="C86" t="str">
            <v>CLORURO DE SODIO .:. 0.2</v>
          </cell>
          <cell r="D86" t="str">
            <v>Inyectable</v>
          </cell>
          <cell r="E86">
            <v>50</v>
          </cell>
          <cell r="F86">
            <v>199.5</v>
          </cell>
          <cell r="H86">
            <v>100</v>
          </cell>
          <cell r="J86">
            <v>320</v>
          </cell>
          <cell r="M86">
            <v>8</v>
          </cell>
          <cell r="N86">
            <v>28.382681999999999</v>
          </cell>
          <cell r="P86">
            <v>84</v>
          </cell>
          <cell r="R86">
            <v>296.24953199999999</v>
          </cell>
          <cell r="S86">
            <v>0</v>
          </cell>
          <cell r="T86">
            <v>0</v>
          </cell>
          <cell r="U86">
            <v>74</v>
          </cell>
          <cell r="V86">
            <v>3.4004470000000002</v>
          </cell>
          <cell r="W86">
            <v>251.63307800000001</v>
          </cell>
          <cell r="X86">
            <v>2.4089800000000001</v>
          </cell>
          <cell r="Y86">
            <v>0</v>
          </cell>
          <cell r="Z86">
            <v>3.4004470000000002</v>
          </cell>
          <cell r="AA86">
            <v>251.63307800000001</v>
          </cell>
        </row>
        <row r="87">
          <cell r="B87" t="str">
            <v>B-05-09</v>
          </cell>
          <cell r="C87" t="str">
            <v>EMULSION DE LIPIDOS .:. Según disponibilidad</v>
          </cell>
          <cell r="D87" t="str">
            <v>Emulsión inyectable</v>
          </cell>
          <cell r="E87">
            <v>0</v>
          </cell>
          <cell r="F87">
            <v>0</v>
          </cell>
          <cell r="H87">
            <v>21</v>
          </cell>
          <cell r="J87">
            <v>2981.28</v>
          </cell>
          <cell r="M87">
            <v>0</v>
          </cell>
          <cell r="N87">
            <v>0</v>
          </cell>
          <cell r="P87">
            <v>14</v>
          </cell>
          <cell r="R87">
            <v>2001.28</v>
          </cell>
          <cell r="S87">
            <v>0</v>
          </cell>
          <cell r="T87">
            <v>0</v>
          </cell>
          <cell r="U87">
            <v>7</v>
          </cell>
          <cell r="V87">
            <v>140</v>
          </cell>
          <cell r="W87">
            <v>980</v>
          </cell>
          <cell r="X87">
            <v>2.4089800000000001</v>
          </cell>
          <cell r="Y87">
            <v>0</v>
          </cell>
          <cell r="Z87">
            <v>140</v>
          </cell>
          <cell r="AA87">
            <v>980</v>
          </cell>
        </row>
        <row r="88">
          <cell r="B88" t="str">
            <v>B-05-10</v>
          </cell>
          <cell r="C88" t="str">
            <v>GLUCONATO CALCICO (CALCIO GLUCONATO) .:. 0.1</v>
          </cell>
          <cell r="D88" t="str">
            <v>Inyectable</v>
          </cell>
          <cell r="E88">
            <v>83</v>
          </cell>
          <cell r="F88">
            <v>289.9200000006</v>
          </cell>
          <cell r="H88">
            <v>100</v>
          </cell>
          <cell r="J88">
            <v>300</v>
          </cell>
          <cell r="M88">
            <v>20</v>
          </cell>
          <cell r="N88">
            <v>64.930120000000002</v>
          </cell>
          <cell r="P88">
            <v>166</v>
          </cell>
          <cell r="R88">
            <v>543.85011599999996</v>
          </cell>
          <cell r="S88">
            <v>0</v>
          </cell>
          <cell r="T88">
            <v>0</v>
          </cell>
          <cell r="U88">
            <v>37</v>
          </cell>
          <cell r="V88">
            <v>3</v>
          </cell>
          <cell r="W88">
            <v>111</v>
          </cell>
          <cell r="X88">
            <v>2.4089800000000001</v>
          </cell>
          <cell r="Y88">
            <v>0</v>
          </cell>
          <cell r="Z88">
            <v>3</v>
          </cell>
          <cell r="AA88">
            <v>111</v>
          </cell>
        </row>
        <row r="89">
          <cell r="B89" t="str">
            <v>B-05-11</v>
          </cell>
          <cell r="C89" t="str">
            <v>OLIGOELEMENTOS PARA NUTRICION PARENTERAL .:. Según disponibilidad</v>
          </cell>
          <cell r="D89" t="str">
            <v>Solucion parenteral de gran volumen</v>
          </cell>
          <cell r="E89">
            <v>28</v>
          </cell>
          <cell r="F89">
            <v>1398.32</v>
          </cell>
          <cell r="H89">
            <v>0</v>
          </cell>
          <cell r="J89">
            <v>0</v>
          </cell>
          <cell r="M89">
            <v>2</v>
          </cell>
          <cell r="N89">
            <v>99.88</v>
          </cell>
          <cell r="P89">
            <v>2</v>
          </cell>
          <cell r="R89">
            <v>99.88</v>
          </cell>
          <cell r="S89">
            <v>0</v>
          </cell>
          <cell r="T89">
            <v>0</v>
          </cell>
          <cell r="U89">
            <v>28</v>
          </cell>
          <cell r="V89">
            <v>49.94</v>
          </cell>
          <cell r="W89">
            <v>1398.32</v>
          </cell>
          <cell r="X89">
            <v>2.4089800000000001</v>
          </cell>
          <cell r="Y89">
            <v>0</v>
          </cell>
          <cell r="Z89">
            <v>49.94</v>
          </cell>
          <cell r="AA89">
            <v>1398.32</v>
          </cell>
        </row>
        <row r="90">
          <cell r="B90" t="str">
            <v>B-05-15</v>
          </cell>
          <cell r="C90" t="str">
            <v>SOLUCION DE GLUCOSA .:. 5% (500 ml)</v>
          </cell>
          <cell r="D90" t="str">
            <v>Solución parenteral de gran volumen</v>
          </cell>
          <cell r="E90">
            <v>165</v>
          </cell>
          <cell r="F90">
            <v>1518.2100000045</v>
          </cell>
          <cell r="H90">
            <v>100</v>
          </cell>
          <cell r="J90">
            <v>859</v>
          </cell>
          <cell r="M90">
            <v>15</v>
          </cell>
          <cell r="N90">
            <v>138.017155</v>
          </cell>
          <cell r="P90">
            <v>190</v>
          </cell>
          <cell r="R90">
            <v>1740.5247409999999</v>
          </cell>
          <cell r="S90">
            <v>0</v>
          </cell>
          <cell r="T90">
            <v>0</v>
          </cell>
          <cell r="U90">
            <v>90</v>
          </cell>
          <cell r="V90">
            <v>8.6078030000000005</v>
          </cell>
          <cell r="W90">
            <v>774.70227</v>
          </cell>
          <cell r="X90">
            <v>2.4089800000000001</v>
          </cell>
          <cell r="Y90">
            <v>0</v>
          </cell>
          <cell r="Z90">
            <v>8.6078030000000005</v>
          </cell>
          <cell r="AA90">
            <v>774.70227</v>
          </cell>
        </row>
        <row r="91">
          <cell r="B91" t="str">
            <v>B-05-16</v>
          </cell>
          <cell r="C91" t="str">
            <v>SOLUCION DE GLUCOSA .:. 5% (1.000 ml)</v>
          </cell>
          <cell r="D91" t="str">
            <v>Solución parenteral de gran volumen</v>
          </cell>
          <cell r="E91">
            <v>78</v>
          </cell>
          <cell r="F91">
            <v>896.5899999966</v>
          </cell>
          <cell r="H91">
            <v>370</v>
          </cell>
          <cell r="J91">
            <v>4488.3</v>
          </cell>
          <cell r="M91">
            <v>23</v>
          </cell>
          <cell r="N91">
            <v>291.52598899999998</v>
          </cell>
          <cell r="P91">
            <v>233</v>
          </cell>
          <cell r="R91">
            <v>2912.7256299999999</v>
          </cell>
          <cell r="S91">
            <v>0</v>
          </cell>
          <cell r="T91">
            <v>0</v>
          </cell>
          <cell r="U91">
            <v>238</v>
          </cell>
          <cell r="V91">
            <v>11.612144000000001</v>
          </cell>
          <cell r="W91">
            <v>2763.6902719999998</v>
          </cell>
          <cell r="X91">
            <v>2.4089800000000001</v>
          </cell>
          <cell r="Y91">
            <v>0</v>
          </cell>
          <cell r="Z91">
            <v>11.612144000000001</v>
          </cell>
          <cell r="AA91">
            <v>2763.6902719999998</v>
          </cell>
        </row>
        <row r="92">
          <cell r="B92" t="str">
            <v>B-05-17</v>
          </cell>
          <cell r="C92" t="str">
            <v>SOLUCION DE GLUCOSA .:. 10% (500 ml)</v>
          </cell>
          <cell r="D92" t="str">
            <v>Solución parenteral de gran volumen</v>
          </cell>
          <cell r="E92">
            <v>38</v>
          </cell>
          <cell r="F92">
            <v>335.10999999900002</v>
          </cell>
          <cell r="H92">
            <v>40</v>
          </cell>
          <cell r="J92">
            <v>352.8</v>
          </cell>
          <cell r="M92">
            <v>4</v>
          </cell>
          <cell r="N92">
            <v>35.279868</v>
          </cell>
          <cell r="P92">
            <v>75</v>
          </cell>
          <cell r="R92">
            <v>661.45007199999998</v>
          </cell>
          <cell r="S92">
            <v>0</v>
          </cell>
          <cell r="T92">
            <v>0</v>
          </cell>
          <cell r="U92">
            <v>7</v>
          </cell>
          <cell r="V92">
            <v>8.8199670000000001</v>
          </cell>
          <cell r="W92">
            <v>61.739769000000003</v>
          </cell>
          <cell r="X92">
            <v>2.4089800000000001</v>
          </cell>
          <cell r="Y92">
            <v>0</v>
          </cell>
          <cell r="Z92">
            <v>8.8199670000000001</v>
          </cell>
          <cell r="AA92">
            <v>61.739769000000003</v>
          </cell>
        </row>
        <row r="93">
          <cell r="B93" t="str">
            <v>B-05-18</v>
          </cell>
          <cell r="C93" t="str">
            <v>SOLUCION DE GLUCOSA .:. 10% (1.000 ml)</v>
          </cell>
          <cell r="D93" t="str">
            <v>Solución parenteral de gran volumen</v>
          </cell>
          <cell r="E93">
            <v>50</v>
          </cell>
          <cell r="F93">
            <v>625.30999999999995</v>
          </cell>
          <cell r="H93">
            <v>120</v>
          </cell>
          <cell r="J93">
            <v>1500</v>
          </cell>
          <cell r="M93">
            <v>12</v>
          </cell>
          <cell r="N93">
            <v>150.02324999999999</v>
          </cell>
          <cell r="P93">
            <v>100</v>
          </cell>
          <cell r="R93">
            <v>1250.20615</v>
          </cell>
          <cell r="S93">
            <v>0</v>
          </cell>
          <cell r="T93">
            <v>0</v>
          </cell>
          <cell r="U93">
            <v>82</v>
          </cell>
          <cell r="V93">
            <v>12.50155</v>
          </cell>
          <cell r="W93">
            <v>1025.1270999999999</v>
          </cell>
          <cell r="X93">
            <v>2.4089800000000001</v>
          </cell>
          <cell r="Y93">
            <v>0</v>
          </cell>
          <cell r="Z93">
            <v>12.50155</v>
          </cell>
          <cell r="AA93">
            <v>1025.1270999999999</v>
          </cell>
        </row>
        <row r="94">
          <cell r="B94" t="str">
            <v>B-05-19</v>
          </cell>
          <cell r="C94" t="str">
            <v>SOLUCION DE GLUCOSA .:. 50% (500 ml)</v>
          </cell>
          <cell r="D94" t="str">
            <v>Solución parenteral de gran volumen</v>
          </cell>
          <cell r="E94">
            <v>1</v>
          </cell>
          <cell r="F94">
            <v>25.56</v>
          </cell>
          <cell r="H94">
            <v>48</v>
          </cell>
          <cell r="J94">
            <v>931.2</v>
          </cell>
          <cell r="M94">
            <v>5</v>
          </cell>
          <cell r="N94">
            <v>97</v>
          </cell>
          <cell r="P94">
            <v>34</v>
          </cell>
          <cell r="R94">
            <v>665.76</v>
          </cell>
          <cell r="S94">
            <v>0</v>
          </cell>
          <cell r="T94">
            <v>0</v>
          </cell>
          <cell r="U94">
            <v>20</v>
          </cell>
          <cell r="V94">
            <v>19.399999999999999</v>
          </cell>
          <cell r="W94">
            <v>388</v>
          </cell>
          <cell r="X94">
            <v>2.4089800000000001</v>
          </cell>
          <cell r="Y94">
            <v>0</v>
          </cell>
          <cell r="Z94">
            <v>19.399999999999999</v>
          </cell>
          <cell r="AA94">
            <v>388</v>
          </cell>
        </row>
        <row r="95">
          <cell r="B95" t="str">
            <v>B-05-20</v>
          </cell>
          <cell r="C95" t="str">
            <v>SOLUCION DE GLUCOSA .:. 50% (20 ml)</v>
          </cell>
          <cell r="D95" t="str">
            <v>Inyectable</v>
          </cell>
          <cell r="E95">
            <v>20</v>
          </cell>
          <cell r="F95">
            <v>134.4</v>
          </cell>
          <cell r="H95">
            <v>0</v>
          </cell>
          <cell r="J95">
            <v>0</v>
          </cell>
          <cell r="M95">
            <v>0</v>
          </cell>
          <cell r="N95">
            <v>0</v>
          </cell>
          <cell r="P95">
            <v>3</v>
          </cell>
          <cell r="R95">
            <v>20.16</v>
          </cell>
          <cell r="S95">
            <v>0</v>
          </cell>
          <cell r="T95">
            <v>0</v>
          </cell>
          <cell r="U95">
            <v>17</v>
          </cell>
          <cell r="V95">
            <v>6.72</v>
          </cell>
          <cell r="W95">
            <v>114.24</v>
          </cell>
          <cell r="X95">
            <v>2.4089800000000001</v>
          </cell>
          <cell r="Y95">
            <v>0</v>
          </cell>
          <cell r="Z95">
            <v>6.72</v>
          </cell>
          <cell r="AA95">
            <v>114.24</v>
          </cell>
        </row>
        <row r="96">
          <cell r="B96" t="str">
            <v>B-05-21</v>
          </cell>
          <cell r="C96" t="str">
            <v>SOLUCION DE MANITOL .:. 20% (500 ml)</v>
          </cell>
          <cell r="D96" t="str">
            <v>Solución parenteral de gran volumen</v>
          </cell>
          <cell r="E96">
            <v>2</v>
          </cell>
          <cell r="F96">
            <v>47.69</v>
          </cell>
          <cell r="H96">
            <v>64</v>
          </cell>
          <cell r="J96">
            <v>1529.2</v>
          </cell>
          <cell r="M96">
            <v>0</v>
          </cell>
          <cell r="N96">
            <v>0</v>
          </cell>
          <cell r="P96">
            <v>55</v>
          </cell>
          <cell r="R96">
            <v>1314.065842</v>
          </cell>
          <cell r="S96">
            <v>0</v>
          </cell>
          <cell r="T96">
            <v>0</v>
          </cell>
          <cell r="U96">
            <v>11</v>
          </cell>
          <cell r="V96">
            <v>23.893103</v>
          </cell>
          <cell r="W96">
            <v>262.82413300000002</v>
          </cell>
          <cell r="X96">
            <v>2.4089800000000001</v>
          </cell>
          <cell r="Y96">
            <v>0</v>
          </cell>
          <cell r="Z96">
            <v>23.893103</v>
          </cell>
          <cell r="AA96">
            <v>262.82413300000002</v>
          </cell>
        </row>
        <row r="97">
          <cell r="B97" t="str">
            <v>B-05-22</v>
          </cell>
          <cell r="C97" t="str">
            <v>SOLUCION FISIOLOGICA .:. 0,9% (500 ml)</v>
          </cell>
          <cell r="D97" t="str">
            <v>Solución parenteral de gran volumen</v>
          </cell>
          <cell r="E97">
            <v>610</v>
          </cell>
          <cell r="F97">
            <v>5294.4400000209998</v>
          </cell>
          <cell r="H97">
            <v>900</v>
          </cell>
          <cell r="J97">
            <v>6750</v>
          </cell>
          <cell r="M97">
            <v>35</v>
          </cell>
          <cell r="N97">
            <v>282.68493100000001</v>
          </cell>
          <cell r="P97">
            <v>882</v>
          </cell>
          <cell r="R97">
            <v>7132.0985460000002</v>
          </cell>
          <cell r="S97">
            <v>0</v>
          </cell>
          <cell r="T97">
            <v>0</v>
          </cell>
          <cell r="U97">
            <v>663</v>
          </cell>
          <cell r="V97">
            <v>7.8356339999999998</v>
          </cell>
          <cell r="W97">
            <v>5195.0253419999999</v>
          </cell>
          <cell r="X97">
            <v>2.4089800000000001</v>
          </cell>
          <cell r="Y97">
            <v>0</v>
          </cell>
          <cell r="Z97">
            <v>7.8356339999999998</v>
          </cell>
          <cell r="AA97">
            <v>5195.0253419999999</v>
          </cell>
        </row>
        <row r="98">
          <cell r="B98" t="str">
            <v>B-05-23</v>
          </cell>
          <cell r="C98" t="str">
            <v>SOLUCION FISIOLOGICA .:. 0,9% (1.000 ml)</v>
          </cell>
          <cell r="D98" t="str">
            <v>Solución parenteral de gran volumen</v>
          </cell>
          <cell r="E98">
            <v>756</v>
          </cell>
          <cell r="F98">
            <v>6985.6300000368001</v>
          </cell>
          <cell r="H98">
            <v>1272</v>
          </cell>
          <cell r="J98">
            <v>11435.28</v>
          </cell>
          <cell r="M98">
            <v>45</v>
          </cell>
          <cell r="N98">
            <v>409.76064000000002</v>
          </cell>
          <cell r="P98">
            <v>1640</v>
          </cell>
          <cell r="R98">
            <v>14914.149285</v>
          </cell>
          <cell r="S98">
            <v>0</v>
          </cell>
          <cell r="T98">
            <v>0</v>
          </cell>
          <cell r="U98">
            <v>433</v>
          </cell>
          <cell r="V98">
            <v>9.0450820000000007</v>
          </cell>
          <cell r="W98">
            <v>3916.5205059999998</v>
          </cell>
          <cell r="X98">
            <v>2.4089800000000001</v>
          </cell>
          <cell r="Y98">
            <v>0</v>
          </cell>
          <cell r="Z98">
            <v>9.0450820000000007</v>
          </cell>
          <cell r="AA98">
            <v>3916.5205059999998</v>
          </cell>
        </row>
        <row r="99">
          <cell r="B99" t="str">
            <v>B-05-24</v>
          </cell>
          <cell r="C99" t="str">
            <v>SOLUCION GLUCOSADA CLORURADA .:. 500 ml</v>
          </cell>
          <cell r="D99" t="str">
            <v>Solución parenteral de gran volumen</v>
          </cell>
          <cell r="E99">
            <v>4</v>
          </cell>
          <cell r="F99">
            <v>27.52</v>
          </cell>
          <cell r="H99">
            <v>0</v>
          </cell>
          <cell r="J99">
            <v>0</v>
          </cell>
          <cell r="M99">
            <v>0</v>
          </cell>
          <cell r="N99">
            <v>0</v>
          </cell>
          <cell r="P99">
            <v>2</v>
          </cell>
          <cell r="R99">
            <v>13.76</v>
          </cell>
          <cell r="S99">
            <v>0</v>
          </cell>
          <cell r="T99">
            <v>0</v>
          </cell>
          <cell r="U99">
            <v>2</v>
          </cell>
          <cell r="V99">
            <v>6.88</v>
          </cell>
          <cell r="W99">
            <v>13.76</v>
          </cell>
          <cell r="X99">
            <v>2.4089800000000001</v>
          </cell>
          <cell r="Y99">
            <v>0</v>
          </cell>
          <cell r="Z99">
            <v>6.88</v>
          </cell>
          <cell r="AA99">
            <v>13.76</v>
          </cell>
        </row>
        <row r="100">
          <cell r="B100" t="str">
            <v>B-05-25</v>
          </cell>
          <cell r="C100" t="str">
            <v>SOLUCION GLUCOSADA CLORURADA .:. 1.000 ml</v>
          </cell>
          <cell r="D100" t="str">
            <v>Solución parenteral de gran volumen</v>
          </cell>
          <cell r="E100">
            <v>5</v>
          </cell>
          <cell r="F100">
            <v>45.24</v>
          </cell>
          <cell r="H100">
            <v>0</v>
          </cell>
          <cell r="J100">
            <v>0</v>
          </cell>
          <cell r="M100">
            <v>0</v>
          </cell>
          <cell r="N100">
            <v>0</v>
          </cell>
          <cell r="P100">
            <v>1</v>
          </cell>
          <cell r="R100">
            <v>9.048</v>
          </cell>
          <cell r="S100">
            <v>0</v>
          </cell>
          <cell r="T100">
            <v>0</v>
          </cell>
          <cell r="U100">
            <v>4</v>
          </cell>
          <cell r="V100">
            <v>9.048</v>
          </cell>
          <cell r="W100">
            <v>36.192</v>
          </cell>
          <cell r="X100">
            <v>2.4089800000000001</v>
          </cell>
          <cell r="Y100">
            <v>0</v>
          </cell>
          <cell r="Z100">
            <v>9.048</v>
          </cell>
          <cell r="AA100">
            <v>36.192</v>
          </cell>
        </row>
        <row r="101">
          <cell r="B101" t="str">
            <v>B-05-29</v>
          </cell>
          <cell r="C101" t="str">
            <v>SOLUCION RINGER LACTATO .:. 500 ml</v>
          </cell>
          <cell r="D101" t="str">
            <v>Solución parenteral de gran volumen</v>
          </cell>
          <cell r="E101">
            <v>7</v>
          </cell>
          <cell r="F101">
            <v>55.829999999899997</v>
          </cell>
          <cell r="H101">
            <v>24</v>
          </cell>
          <cell r="J101">
            <v>192.24</v>
          </cell>
          <cell r="M101">
            <v>0</v>
          </cell>
          <cell r="N101">
            <v>0</v>
          </cell>
          <cell r="P101">
            <v>10</v>
          </cell>
          <cell r="R101">
            <v>79.859998000000004</v>
          </cell>
          <cell r="S101">
            <v>0</v>
          </cell>
          <cell r="T101">
            <v>0</v>
          </cell>
          <cell r="U101">
            <v>21</v>
          </cell>
          <cell r="V101">
            <v>8.01</v>
          </cell>
          <cell r="W101">
            <v>168.21</v>
          </cell>
          <cell r="X101">
            <v>2.4089800000000001</v>
          </cell>
          <cell r="Y101">
            <v>0</v>
          </cell>
          <cell r="Z101">
            <v>8.01</v>
          </cell>
          <cell r="AA101">
            <v>168.21</v>
          </cell>
        </row>
        <row r="102">
          <cell r="B102" t="str">
            <v>B-05-30</v>
          </cell>
          <cell r="C102" t="str">
            <v>SOLUCION RINGER LACTATO .:. 1.000 ml</v>
          </cell>
          <cell r="D102" t="str">
            <v>Solución parenteral de gran volumen</v>
          </cell>
          <cell r="E102">
            <v>42</v>
          </cell>
          <cell r="F102">
            <v>457.46999999820002</v>
          </cell>
          <cell r="H102">
            <v>150</v>
          </cell>
          <cell r="J102">
            <v>1633.5</v>
          </cell>
          <cell r="M102">
            <v>0</v>
          </cell>
          <cell r="N102">
            <v>0</v>
          </cell>
          <cell r="P102">
            <v>90</v>
          </cell>
          <cell r="R102">
            <v>980.18282299999998</v>
          </cell>
          <cell r="S102">
            <v>0</v>
          </cell>
          <cell r="T102">
            <v>0</v>
          </cell>
          <cell r="U102">
            <v>102</v>
          </cell>
          <cell r="V102">
            <v>10.89007</v>
          </cell>
          <cell r="W102">
            <v>1110.7871399999999</v>
          </cell>
          <cell r="X102">
            <v>2.4089800000000001</v>
          </cell>
          <cell r="Y102">
            <v>0</v>
          </cell>
          <cell r="Z102">
            <v>10.89007</v>
          </cell>
          <cell r="AA102">
            <v>1110.7871399999999</v>
          </cell>
        </row>
        <row r="103">
          <cell r="B103" t="str">
            <v>B-05-31</v>
          </cell>
          <cell r="C103" t="str">
            <v>SOLUCION RINGER NORMAL .:. 500 ml</v>
          </cell>
          <cell r="D103" t="str">
            <v>Solución parenteral de gran volumen</v>
          </cell>
          <cell r="E103">
            <v>93</v>
          </cell>
          <cell r="F103">
            <v>728.19</v>
          </cell>
          <cell r="H103">
            <v>90</v>
          </cell>
          <cell r="J103">
            <v>792</v>
          </cell>
          <cell r="M103">
            <v>4</v>
          </cell>
          <cell r="N103">
            <v>31.32</v>
          </cell>
          <cell r="P103">
            <v>105</v>
          </cell>
          <cell r="R103">
            <v>829.91</v>
          </cell>
          <cell r="S103">
            <v>0</v>
          </cell>
          <cell r="T103">
            <v>0</v>
          </cell>
          <cell r="U103">
            <v>82</v>
          </cell>
          <cell r="V103">
            <v>8.8000000000000007</v>
          </cell>
          <cell r="W103">
            <v>721.6</v>
          </cell>
          <cell r="X103">
            <v>2.4089800000000001</v>
          </cell>
          <cell r="Y103">
            <v>0</v>
          </cell>
          <cell r="Z103">
            <v>8.8000000000000007</v>
          </cell>
          <cell r="AA103">
            <v>721.6</v>
          </cell>
        </row>
        <row r="104">
          <cell r="B104" t="str">
            <v>B-05-32</v>
          </cell>
          <cell r="C104" t="str">
            <v>SOLUCION RINGER NORMAL .:. 1.000 ml</v>
          </cell>
          <cell r="D104" t="str">
            <v>Solución parenteral de gran volumen</v>
          </cell>
          <cell r="E104">
            <v>777</v>
          </cell>
          <cell r="F104">
            <v>8306.0099999646009</v>
          </cell>
          <cell r="H104">
            <v>1008</v>
          </cell>
          <cell r="J104">
            <v>10785.6</v>
          </cell>
          <cell r="M104">
            <v>77</v>
          </cell>
          <cell r="N104">
            <v>823.46340899999996</v>
          </cell>
          <cell r="P104">
            <v>1284</v>
          </cell>
          <cell r="R104">
            <v>13732.350568</v>
          </cell>
          <cell r="S104">
            <v>0</v>
          </cell>
          <cell r="T104">
            <v>0</v>
          </cell>
          <cell r="U104">
            <v>578</v>
          </cell>
          <cell r="V104">
            <v>10.696752</v>
          </cell>
          <cell r="W104">
            <v>6182.7226559999999</v>
          </cell>
          <cell r="X104">
            <v>2.4089800000000001</v>
          </cell>
          <cell r="Y104">
            <v>0</v>
          </cell>
          <cell r="Z104">
            <v>10.696752</v>
          </cell>
          <cell r="AA104">
            <v>6182.7226559999999</v>
          </cell>
        </row>
        <row r="105">
          <cell r="B105" t="str">
            <v>B-05-33</v>
          </cell>
          <cell r="C105" t="str">
            <v>SULFATO DE MAGNESIO .:. 0.1</v>
          </cell>
          <cell r="D105" t="str">
            <v>Inyectable</v>
          </cell>
          <cell r="E105">
            <v>134</v>
          </cell>
          <cell r="F105">
            <v>638.67000000660005</v>
          </cell>
          <cell r="H105">
            <v>400</v>
          </cell>
          <cell r="J105">
            <v>1996</v>
          </cell>
          <cell r="M105">
            <v>22</v>
          </cell>
          <cell r="N105">
            <v>109.42859199999999</v>
          </cell>
          <cell r="P105">
            <v>423</v>
          </cell>
          <cell r="R105">
            <v>2080.6166870000002</v>
          </cell>
          <cell r="S105">
            <v>0</v>
          </cell>
          <cell r="T105">
            <v>0</v>
          </cell>
          <cell r="U105">
            <v>133</v>
          </cell>
          <cell r="V105">
            <v>4.9885840000000004</v>
          </cell>
          <cell r="W105">
            <v>663.481672</v>
          </cell>
          <cell r="X105">
            <v>2.4089800000000001</v>
          </cell>
          <cell r="Y105">
            <v>0</v>
          </cell>
          <cell r="Z105">
            <v>4.9885840000000004</v>
          </cell>
          <cell r="AA105">
            <v>663.481672</v>
          </cell>
        </row>
        <row r="106">
          <cell r="B106" t="str">
            <v>B-05-34</v>
          </cell>
          <cell r="C106" t="str">
            <v>SOLUCION FISIOLOGICA .:. 0.009</v>
          </cell>
          <cell r="D106" t="str">
            <v>Frasco infusor x 150 ml</v>
          </cell>
          <cell r="E106">
            <v>0</v>
          </cell>
          <cell r="F106">
            <v>0</v>
          </cell>
          <cell r="H106">
            <v>150</v>
          </cell>
          <cell r="J106">
            <v>1095</v>
          </cell>
          <cell r="M106">
            <v>1</v>
          </cell>
          <cell r="N106">
            <v>7.3</v>
          </cell>
          <cell r="P106">
            <v>54</v>
          </cell>
          <cell r="R106">
            <v>394.2</v>
          </cell>
          <cell r="S106">
            <v>0</v>
          </cell>
          <cell r="T106">
            <v>0</v>
          </cell>
          <cell r="U106">
            <v>97</v>
          </cell>
          <cell r="V106">
            <v>7.3</v>
          </cell>
          <cell r="W106">
            <v>708.1</v>
          </cell>
          <cell r="X106">
            <v>2.4089800000000001</v>
          </cell>
          <cell r="Y106">
            <v>0</v>
          </cell>
          <cell r="Z106">
            <v>7.3</v>
          </cell>
          <cell r="AA106">
            <v>708.1</v>
          </cell>
        </row>
        <row r="107">
          <cell r="B107" t="str">
            <v>C-01-02</v>
          </cell>
          <cell r="C107" t="str">
            <v>AMIODARONA (CLORHIDRATO) .:. 200 mg</v>
          </cell>
          <cell r="D107" t="str">
            <v>Comprimido</v>
          </cell>
          <cell r="E107">
            <v>2514</v>
          </cell>
          <cell r="F107">
            <v>2339.5199999718002</v>
          </cell>
          <cell r="H107">
            <v>4000</v>
          </cell>
          <cell r="J107">
            <v>4400</v>
          </cell>
          <cell r="M107">
            <v>0</v>
          </cell>
          <cell r="N107">
            <v>0</v>
          </cell>
          <cell r="P107">
            <v>5311</v>
          </cell>
          <cell r="R107">
            <v>5324.23657</v>
          </cell>
          <cell r="S107">
            <v>0</v>
          </cell>
          <cell r="T107">
            <v>0</v>
          </cell>
          <cell r="U107">
            <v>1203</v>
          </cell>
          <cell r="V107">
            <v>1.176461</v>
          </cell>
          <cell r="W107">
            <v>1415.2825829999999</v>
          </cell>
          <cell r="X107">
            <v>2.4089800000000001</v>
          </cell>
          <cell r="Y107">
            <v>0</v>
          </cell>
          <cell r="Z107">
            <v>1.176461</v>
          </cell>
          <cell r="AA107">
            <v>1415.2825829999999</v>
          </cell>
        </row>
        <row r="108">
          <cell r="B108" t="str">
            <v>C-01-03</v>
          </cell>
          <cell r="C108" t="str">
            <v>AMIODARONA (CLORHIDRATO) .:. 50 mg/ml</v>
          </cell>
          <cell r="D108" t="str">
            <v>Inyectable</v>
          </cell>
          <cell r="E108">
            <v>14</v>
          </cell>
          <cell r="F108">
            <v>99.950000000200006</v>
          </cell>
          <cell r="H108">
            <v>160</v>
          </cell>
          <cell r="J108">
            <v>1048</v>
          </cell>
          <cell r="M108">
            <v>0</v>
          </cell>
          <cell r="N108">
            <v>0</v>
          </cell>
          <cell r="P108">
            <v>158</v>
          </cell>
          <cell r="R108">
            <v>1037.549998</v>
          </cell>
          <cell r="S108">
            <v>0</v>
          </cell>
          <cell r="T108">
            <v>0</v>
          </cell>
          <cell r="U108">
            <v>16</v>
          </cell>
          <cell r="V108">
            <v>6.9</v>
          </cell>
          <cell r="W108">
            <v>110.4</v>
          </cell>
          <cell r="X108">
            <v>2.4089800000000001</v>
          </cell>
          <cell r="Y108">
            <v>0</v>
          </cell>
          <cell r="Z108">
            <v>6.9</v>
          </cell>
          <cell r="AA108">
            <v>110.4</v>
          </cell>
        </row>
        <row r="109">
          <cell r="B109" t="str">
            <v>C-01-04</v>
          </cell>
          <cell r="C109" t="str">
            <v>DIGOXINA .:. 0,75 mg/ml</v>
          </cell>
          <cell r="D109" t="str">
            <v>Solución oral gotas</v>
          </cell>
          <cell r="E109">
            <v>2</v>
          </cell>
          <cell r="F109">
            <v>170.65</v>
          </cell>
          <cell r="H109">
            <v>0</v>
          </cell>
          <cell r="J109">
            <v>0</v>
          </cell>
          <cell r="M109">
            <v>0</v>
          </cell>
          <cell r="N109">
            <v>0</v>
          </cell>
          <cell r="P109">
            <v>2</v>
          </cell>
          <cell r="R109">
            <v>170.65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2.4089800000000001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C-01-06</v>
          </cell>
          <cell r="C110" t="str">
            <v>DIGOXINA .:. 0,25 mg</v>
          </cell>
          <cell r="D110" t="str">
            <v>Comprimido ranurado</v>
          </cell>
          <cell r="E110">
            <v>125</v>
          </cell>
          <cell r="F110">
            <v>62.96</v>
          </cell>
          <cell r="H110">
            <v>500</v>
          </cell>
          <cell r="J110">
            <v>260</v>
          </cell>
          <cell r="M110">
            <v>0</v>
          </cell>
          <cell r="N110">
            <v>0</v>
          </cell>
          <cell r="P110">
            <v>492</v>
          </cell>
          <cell r="R110">
            <v>253.8</v>
          </cell>
          <cell r="S110">
            <v>0</v>
          </cell>
          <cell r="T110">
            <v>0</v>
          </cell>
          <cell r="U110">
            <v>133</v>
          </cell>
          <cell r="V110">
            <v>0.52</v>
          </cell>
          <cell r="W110">
            <v>69.16</v>
          </cell>
          <cell r="X110">
            <v>2.4089800000000001</v>
          </cell>
          <cell r="Y110">
            <v>0</v>
          </cell>
          <cell r="Z110">
            <v>0.52</v>
          </cell>
          <cell r="AA110">
            <v>69.16</v>
          </cell>
        </row>
        <row r="111">
          <cell r="B111" t="str">
            <v>C-01-10</v>
          </cell>
          <cell r="C111" t="str">
            <v>EPINEFRINA (ADRENALINA) .:. 1 mg/ml</v>
          </cell>
          <cell r="D111" t="str">
            <v>Inyectable</v>
          </cell>
          <cell r="E111">
            <v>51</v>
          </cell>
          <cell r="F111">
            <v>293.05000000140001</v>
          </cell>
          <cell r="H111">
            <v>25</v>
          </cell>
          <cell r="J111">
            <v>150</v>
          </cell>
          <cell r="M111">
            <v>0</v>
          </cell>
          <cell r="N111">
            <v>0</v>
          </cell>
          <cell r="P111">
            <v>75</v>
          </cell>
          <cell r="R111">
            <v>437.04998799999998</v>
          </cell>
          <cell r="S111">
            <v>0</v>
          </cell>
          <cell r="T111">
            <v>0</v>
          </cell>
          <cell r="U111">
            <v>1</v>
          </cell>
          <cell r="V111">
            <v>6</v>
          </cell>
          <cell r="W111">
            <v>6</v>
          </cell>
          <cell r="X111">
            <v>2.4089800000000001</v>
          </cell>
          <cell r="Y111">
            <v>0</v>
          </cell>
          <cell r="Z111">
            <v>6</v>
          </cell>
          <cell r="AA111">
            <v>6</v>
          </cell>
        </row>
        <row r="112">
          <cell r="B112" t="str">
            <v>C-01-11</v>
          </cell>
          <cell r="C112" t="str">
            <v>ISOSORBIDA MONONITRATO .:. 20 mg</v>
          </cell>
          <cell r="D112" t="str">
            <v>Comprimido</v>
          </cell>
          <cell r="E112">
            <v>510</v>
          </cell>
          <cell r="F112">
            <v>989.97999999900003</v>
          </cell>
          <cell r="H112">
            <v>500</v>
          </cell>
          <cell r="J112">
            <v>950</v>
          </cell>
          <cell r="M112">
            <v>0</v>
          </cell>
          <cell r="N112">
            <v>0</v>
          </cell>
          <cell r="P112">
            <v>570</v>
          </cell>
          <cell r="R112">
            <v>1103.9799929999999</v>
          </cell>
          <cell r="S112">
            <v>0</v>
          </cell>
          <cell r="T112">
            <v>0</v>
          </cell>
          <cell r="U112">
            <v>440</v>
          </cell>
          <cell r="V112">
            <v>1.9</v>
          </cell>
          <cell r="W112">
            <v>836</v>
          </cell>
          <cell r="X112">
            <v>2.4089800000000001</v>
          </cell>
          <cell r="Y112">
            <v>0</v>
          </cell>
          <cell r="Z112">
            <v>1.9</v>
          </cell>
          <cell r="AA112">
            <v>836</v>
          </cell>
        </row>
        <row r="113">
          <cell r="B113" t="str">
            <v>C-01-13</v>
          </cell>
          <cell r="C113" t="str">
            <v>ETILEFRINA .:. 10 mg/ml</v>
          </cell>
          <cell r="D113" t="str">
            <v>Inyectable</v>
          </cell>
          <cell r="E113">
            <v>0</v>
          </cell>
          <cell r="F113">
            <v>0</v>
          </cell>
          <cell r="H113">
            <v>20</v>
          </cell>
          <cell r="J113">
            <v>276</v>
          </cell>
          <cell r="M113">
            <v>0</v>
          </cell>
          <cell r="N113">
            <v>0</v>
          </cell>
          <cell r="P113">
            <v>12</v>
          </cell>
          <cell r="R113">
            <v>165.6</v>
          </cell>
          <cell r="S113">
            <v>0</v>
          </cell>
          <cell r="T113">
            <v>0</v>
          </cell>
          <cell r="U113">
            <v>8</v>
          </cell>
          <cell r="V113">
            <v>13.8</v>
          </cell>
          <cell r="W113">
            <v>110.4</v>
          </cell>
          <cell r="X113">
            <v>2.4089800000000001</v>
          </cell>
          <cell r="Y113">
            <v>0</v>
          </cell>
          <cell r="Z113">
            <v>13.8</v>
          </cell>
          <cell r="AA113">
            <v>110.4</v>
          </cell>
        </row>
        <row r="114">
          <cell r="B114" t="str">
            <v>C-01-15</v>
          </cell>
          <cell r="C114" t="str">
            <v>NORADRENALINA .:. 1 mg/ml</v>
          </cell>
          <cell r="D114" t="str">
            <v>Inyectable</v>
          </cell>
          <cell r="E114">
            <v>0</v>
          </cell>
          <cell r="F114">
            <v>0</v>
          </cell>
          <cell r="H114">
            <v>195</v>
          </cell>
          <cell r="J114">
            <v>2660</v>
          </cell>
          <cell r="M114">
            <v>30</v>
          </cell>
          <cell r="N114">
            <v>524</v>
          </cell>
          <cell r="P114">
            <v>216</v>
          </cell>
          <cell r="R114">
            <v>3094</v>
          </cell>
          <cell r="S114">
            <v>0</v>
          </cell>
          <cell r="T114">
            <v>0</v>
          </cell>
          <cell r="U114">
            <v>9</v>
          </cell>
          <cell r="V114">
            <v>10</v>
          </cell>
          <cell r="W114">
            <v>90</v>
          </cell>
          <cell r="X114">
            <v>2.4089800000000001</v>
          </cell>
          <cell r="Y114">
            <v>0</v>
          </cell>
          <cell r="Z114">
            <v>10</v>
          </cell>
          <cell r="AA114">
            <v>90</v>
          </cell>
        </row>
        <row r="115">
          <cell r="B115" t="str">
            <v>C-02-04</v>
          </cell>
          <cell r="C115" t="str">
            <v>METILDOPA (ALFAMETILDOPA) .:. 500 mg</v>
          </cell>
          <cell r="D115" t="str">
            <v>Comprimido</v>
          </cell>
          <cell r="E115">
            <v>34</v>
          </cell>
          <cell r="F115">
            <v>39.719999999400002</v>
          </cell>
          <cell r="H115">
            <v>0</v>
          </cell>
          <cell r="J115">
            <v>0</v>
          </cell>
          <cell r="M115">
            <v>0</v>
          </cell>
          <cell r="N115">
            <v>0</v>
          </cell>
          <cell r="P115">
            <v>5</v>
          </cell>
          <cell r="R115">
            <v>5.8411759999999999</v>
          </cell>
          <cell r="S115">
            <v>0</v>
          </cell>
          <cell r="T115">
            <v>0</v>
          </cell>
          <cell r="U115">
            <v>29</v>
          </cell>
          <cell r="V115">
            <v>1.1682349999999999</v>
          </cell>
          <cell r="W115">
            <v>33.878815000000003</v>
          </cell>
          <cell r="X115">
            <v>2.4089800000000001</v>
          </cell>
          <cell r="Y115">
            <v>0</v>
          </cell>
          <cell r="Z115">
            <v>1.1682349999999999</v>
          </cell>
          <cell r="AA115">
            <v>33.878815000000003</v>
          </cell>
        </row>
        <row r="116">
          <cell r="B116" t="str">
            <v>C-02-08</v>
          </cell>
          <cell r="C116" t="str">
            <v>SILDENAFILO .:. 50 mg</v>
          </cell>
          <cell r="D116" t="str">
            <v>Comprimido</v>
          </cell>
          <cell r="E116">
            <v>120</v>
          </cell>
          <cell r="F116">
            <v>312</v>
          </cell>
          <cell r="H116">
            <v>120</v>
          </cell>
          <cell r="J116">
            <v>216</v>
          </cell>
          <cell r="M116">
            <v>0</v>
          </cell>
          <cell r="N116">
            <v>0</v>
          </cell>
          <cell r="P116">
            <v>240</v>
          </cell>
          <cell r="R116">
            <v>528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2.4089800000000001</v>
          </cell>
          <cell r="Y116">
            <v>0</v>
          </cell>
          <cell r="Z116">
            <v>0</v>
          </cell>
          <cell r="AA116">
            <v>0</v>
          </cell>
        </row>
        <row r="117">
          <cell r="B117" t="str">
            <v>C-03-01</v>
          </cell>
          <cell r="C117" t="str">
            <v>ACETAZOLAMIDA .:. 250 mg</v>
          </cell>
          <cell r="D117" t="str">
            <v>Comprimido</v>
          </cell>
          <cell r="E117">
            <v>62</v>
          </cell>
          <cell r="F117">
            <v>118.42</v>
          </cell>
          <cell r="H117">
            <v>500</v>
          </cell>
          <cell r="J117">
            <v>740</v>
          </cell>
          <cell r="M117">
            <v>0</v>
          </cell>
          <cell r="N117">
            <v>0</v>
          </cell>
          <cell r="P117">
            <v>262</v>
          </cell>
          <cell r="R117">
            <v>497.027289</v>
          </cell>
          <cell r="S117">
            <v>0</v>
          </cell>
          <cell r="T117">
            <v>0</v>
          </cell>
          <cell r="U117">
            <v>300</v>
          </cell>
          <cell r="V117">
            <v>1.204642</v>
          </cell>
          <cell r="W117">
            <v>361.39260000000002</v>
          </cell>
          <cell r="X117">
            <v>2.4089800000000001</v>
          </cell>
          <cell r="Y117">
            <v>0</v>
          </cell>
          <cell r="Z117">
            <v>1.204642</v>
          </cell>
          <cell r="AA117">
            <v>361.39260000000002</v>
          </cell>
        </row>
        <row r="118">
          <cell r="B118" t="str">
            <v>C-03-02</v>
          </cell>
          <cell r="C118" t="str">
            <v>ESPIRONOLACTONA .:. 100 mg</v>
          </cell>
          <cell r="D118" t="str">
            <v>Comprimido</v>
          </cell>
          <cell r="E118">
            <v>1009</v>
          </cell>
          <cell r="F118">
            <v>1139.1499999829</v>
          </cell>
          <cell r="H118">
            <v>1500</v>
          </cell>
          <cell r="J118">
            <v>1800</v>
          </cell>
          <cell r="M118">
            <v>11</v>
          </cell>
          <cell r="N118">
            <v>13.022834</v>
          </cell>
          <cell r="P118">
            <v>2315</v>
          </cell>
          <cell r="R118">
            <v>2709.474377</v>
          </cell>
          <cell r="S118">
            <v>0</v>
          </cell>
          <cell r="T118">
            <v>0</v>
          </cell>
          <cell r="U118">
            <v>205</v>
          </cell>
          <cell r="V118">
            <v>1.183894</v>
          </cell>
          <cell r="W118">
            <v>242.69827000000001</v>
          </cell>
          <cell r="X118">
            <v>2.4089800000000001</v>
          </cell>
          <cell r="Y118">
            <v>0</v>
          </cell>
          <cell r="Z118">
            <v>1.183894</v>
          </cell>
          <cell r="AA118">
            <v>242.69827000000001</v>
          </cell>
        </row>
        <row r="119">
          <cell r="B119" t="str">
            <v>C-03-04</v>
          </cell>
          <cell r="C119" t="str">
            <v>FUROSEMIDA .:. 40 mg</v>
          </cell>
          <cell r="D119" t="str">
            <v>Comprimido ranurado</v>
          </cell>
          <cell r="E119">
            <v>761</v>
          </cell>
          <cell r="F119">
            <v>123.000000035</v>
          </cell>
          <cell r="H119">
            <v>4500</v>
          </cell>
          <cell r="J119">
            <v>770</v>
          </cell>
          <cell r="M119">
            <v>0</v>
          </cell>
          <cell r="N119">
            <v>0</v>
          </cell>
          <cell r="P119">
            <v>4301</v>
          </cell>
          <cell r="R119">
            <v>727.88916800000004</v>
          </cell>
          <cell r="S119">
            <v>0</v>
          </cell>
          <cell r="T119">
            <v>0</v>
          </cell>
          <cell r="U119">
            <v>960</v>
          </cell>
          <cell r="V119">
            <v>0.17199</v>
          </cell>
          <cell r="W119">
            <v>165.1104</v>
          </cell>
          <cell r="X119">
            <v>2.4089800000000001</v>
          </cell>
          <cell r="Y119">
            <v>0</v>
          </cell>
          <cell r="Z119">
            <v>0.17199</v>
          </cell>
          <cell r="AA119">
            <v>165.1104</v>
          </cell>
        </row>
        <row r="120">
          <cell r="B120" t="str">
            <v>C-03-05</v>
          </cell>
          <cell r="C120" t="str">
            <v>FUROSEMIDA .:. 10 mg/ml</v>
          </cell>
          <cell r="D120" t="str">
            <v>Inyectable</v>
          </cell>
          <cell r="E120">
            <v>573</v>
          </cell>
          <cell r="F120">
            <v>1012.0999999845</v>
          </cell>
          <cell r="H120">
            <v>500</v>
          </cell>
          <cell r="J120">
            <v>900</v>
          </cell>
          <cell r="M120">
            <v>74</v>
          </cell>
          <cell r="N120">
            <v>131.42335499999999</v>
          </cell>
          <cell r="P120">
            <v>908</v>
          </cell>
          <cell r="R120">
            <v>1616.2252450000001</v>
          </cell>
          <cell r="S120">
            <v>0</v>
          </cell>
          <cell r="T120">
            <v>0</v>
          </cell>
          <cell r="U120">
            <v>239</v>
          </cell>
          <cell r="V120">
            <v>1.787857</v>
          </cell>
          <cell r="W120">
            <v>427.29782299999999</v>
          </cell>
          <cell r="X120">
            <v>2.4089800000000001</v>
          </cell>
          <cell r="Y120">
            <v>0</v>
          </cell>
          <cell r="Z120">
            <v>1.787857</v>
          </cell>
          <cell r="AA120">
            <v>427.29782299999999</v>
          </cell>
        </row>
        <row r="121">
          <cell r="B121" t="str">
            <v>C-03-06</v>
          </cell>
          <cell r="C121" t="str">
            <v>HIDROCLOROTIAZIDA .:. 50 mg</v>
          </cell>
          <cell r="D121" t="str">
            <v>Comprimido ranurado</v>
          </cell>
          <cell r="E121">
            <v>1931</v>
          </cell>
          <cell r="F121">
            <v>379.3700000906</v>
          </cell>
          <cell r="H121">
            <v>4000</v>
          </cell>
          <cell r="J121">
            <v>600</v>
          </cell>
          <cell r="M121">
            <v>0</v>
          </cell>
          <cell r="N121">
            <v>0</v>
          </cell>
          <cell r="P121">
            <v>5393</v>
          </cell>
          <cell r="R121">
            <v>895.40468099999998</v>
          </cell>
          <cell r="S121">
            <v>0</v>
          </cell>
          <cell r="T121">
            <v>0</v>
          </cell>
          <cell r="U121">
            <v>538</v>
          </cell>
          <cell r="V121">
            <v>0.15606900000000001</v>
          </cell>
          <cell r="W121">
            <v>83.965121999999994</v>
          </cell>
          <cell r="X121">
            <v>2.4089800000000001</v>
          </cell>
          <cell r="Y121">
            <v>0</v>
          </cell>
          <cell r="Z121">
            <v>0.15606900000000001</v>
          </cell>
          <cell r="AA121">
            <v>83.965121999999994</v>
          </cell>
        </row>
        <row r="122">
          <cell r="B122" t="str">
            <v>C-03-07</v>
          </cell>
          <cell r="C122" t="str">
            <v>HIDROCLOROTIAZIDA + AMILORIDA .:. 50 mg + 5 mg</v>
          </cell>
          <cell r="D122" t="str">
            <v>Comprimido</v>
          </cell>
          <cell r="E122">
            <v>355</v>
          </cell>
          <cell r="F122">
            <v>237.2100000005</v>
          </cell>
          <cell r="H122">
            <v>400</v>
          </cell>
          <cell r="J122">
            <v>320</v>
          </cell>
          <cell r="M122">
            <v>0</v>
          </cell>
          <cell r="N122">
            <v>0</v>
          </cell>
          <cell r="P122">
            <v>282</v>
          </cell>
          <cell r="R122">
            <v>202.78796800000001</v>
          </cell>
          <cell r="S122">
            <v>0</v>
          </cell>
          <cell r="T122">
            <v>0</v>
          </cell>
          <cell r="U122">
            <v>473</v>
          </cell>
          <cell r="V122">
            <v>0.74930600000000003</v>
          </cell>
          <cell r="W122">
            <v>354.421738</v>
          </cell>
          <cell r="X122">
            <v>2.4089800000000001</v>
          </cell>
          <cell r="Y122">
            <v>0</v>
          </cell>
          <cell r="Z122">
            <v>0.74930600000000003</v>
          </cell>
          <cell r="AA122">
            <v>354.421738</v>
          </cell>
        </row>
        <row r="123">
          <cell r="B123" t="str">
            <v>C-05-01</v>
          </cell>
          <cell r="C123" t="str">
            <v>CORTICOIDE + ANESTESICO .:. Según disponibilidad</v>
          </cell>
          <cell r="D123" t="str">
            <v>Supositorio</v>
          </cell>
          <cell r="E123">
            <v>511</v>
          </cell>
          <cell r="F123">
            <v>1604.54</v>
          </cell>
          <cell r="H123">
            <v>360</v>
          </cell>
          <cell r="J123">
            <v>1080</v>
          </cell>
          <cell r="M123">
            <v>0</v>
          </cell>
          <cell r="N123">
            <v>0</v>
          </cell>
          <cell r="P123">
            <v>863</v>
          </cell>
          <cell r="R123">
            <v>2660.478251</v>
          </cell>
          <cell r="S123">
            <v>0</v>
          </cell>
          <cell r="T123">
            <v>0</v>
          </cell>
          <cell r="U123">
            <v>8</v>
          </cell>
          <cell r="V123">
            <v>3.0077159999999998</v>
          </cell>
          <cell r="W123">
            <v>24.061727999999999</v>
          </cell>
          <cell r="X123">
            <v>2.4089800000000001</v>
          </cell>
          <cell r="Y123">
            <v>0</v>
          </cell>
          <cell r="Z123">
            <v>3.0077159999999998</v>
          </cell>
          <cell r="AA123">
            <v>24.061727999999999</v>
          </cell>
        </row>
        <row r="124">
          <cell r="B124" t="str">
            <v>C-05-02</v>
          </cell>
          <cell r="C124" t="str">
            <v>CORTICOIDE + ANESTESICO .:. Según disponibilidad</v>
          </cell>
          <cell r="D124" t="str">
            <v>Crema o Pomada</v>
          </cell>
          <cell r="E124">
            <v>32</v>
          </cell>
          <cell r="F124">
            <v>1391.9</v>
          </cell>
          <cell r="H124">
            <v>40</v>
          </cell>
          <cell r="J124">
            <v>1681.6</v>
          </cell>
          <cell r="M124">
            <v>0</v>
          </cell>
          <cell r="N124">
            <v>0</v>
          </cell>
          <cell r="P124">
            <v>48</v>
          </cell>
          <cell r="R124">
            <v>2064.54</v>
          </cell>
          <cell r="S124">
            <v>0</v>
          </cell>
          <cell r="T124">
            <v>0</v>
          </cell>
          <cell r="U124">
            <v>24</v>
          </cell>
          <cell r="V124">
            <v>42.04</v>
          </cell>
          <cell r="W124">
            <v>1008.96</v>
          </cell>
          <cell r="X124">
            <v>2.4089800000000001</v>
          </cell>
          <cell r="Y124">
            <v>0</v>
          </cell>
          <cell r="Z124">
            <v>42.04</v>
          </cell>
          <cell r="AA124">
            <v>1008.96</v>
          </cell>
        </row>
        <row r="125">
          <cell r="B125" t="str">
            <v>C-07-01</v>
          </cell>
          <cell r="C125" t="str">
            <v>ATENOLOL .:. 100 mg</v>
          </cell>
          <cell r="D125" t="str">
            <v>Comprimido ranurado</v>
          </cell>
          <cell r="E125">
            <v>657</v>
          </cell>
          <cell r="F125">
            <v>157.68</v>
          </cell>
          <cell r="H125">
            <v>1200</v>
          </cell>
          <cell r="J125">
            <v>336</v>
          </cell>
          <cell r="M125">
            <v>146</v>
          </cell>
          <cell r="N125">
            <v>39.33</v>
          </cell>
          <cell r="P125">
            <v>831</v>
          </cell>
          <cell r="R125">
            <v>217.300723</v>
          </cell>
          <cell r="S125">
            <v>146</v>
          </cell>
          <cell r="T125">
            <v>39.328861000000003</v>
          </cell>
          <cell r="U125">
            <v>1026</v>
          </cell>
          <cell r="V125">
            <v>0.269376</v>
          </cell>
          <cell r="W125">
            <v>276.37977599999999</v>
          </cell>
          <cell r="X125">
            <v>2.4089800000000001</v>
          </cell>
          <cell r="Y125">
            <v>0</v>
          </cell>
          <cell r="Z125">
            <v>0.269376</v>
          </cell>
          <cell r="AA125">
            <v>276.37977599999999</v>
          </cell>
        </row>
        <row r="126">
          <cell r="B126" t="str">
            <v>C-07-02</v>
          </cell>
          <cell r="C126" t="str">
            <v>PROPRANOLOL .:. 40 mg</v>
          </cell>
          <cell r="D126" t="str">
            <v>Comprimido</v>
          </cell>
          <cell r="E126">
            <v>10</v>
          </cell>
          <cell r="F126">
            <v>3.39</v>
          </cell>
          <cell r="H126">
            <v>1000</v>
          </cell>
          <cell r="J126">
            <v>300</v>
          </cell>
          <cell r="M126">
            <v>2</v>
          </cell>
          <cell r="N126">
            <v>0.6</v>
          </cell>
          <cell r="P126">
            <v>886</v>
          </cell>
          <cell r="R126">
            <v>266.19</v>
          </cell>
          <cell r="S126">
            <v>0</v>
          </cell>
          <cell r="T126">
            <v>0</v>
          </cell>
          <cell r="U126">
            <v>126</v>
          </cell>
          <cell r="V126">
            <v>0.3</v>
          </cell>
          <cell r="W126">
            <v>37.799999999999997</v>
          </cell>
          <cell r="X126">
            <v>2.4089800000000001</v>
          </cell>
          <cell r="Y126">
            <v>0</v>
          </cell>
          <cell r="Z126">
            <v>0.3</v>
          </cell>
          <cell r="AA126">
            <v>37.799999999999997</v>
          </cell>
        </row>
        <row r="127">
          <cell r="B127" t="str">
            <v>C-07-04</v>
          </cell>
          <cell r="C127" t="str">
            <v>CARVEDILOL .:. 6,25 mg</v>
          </cell>
          <cell r="D127" t="str">
            <v>Comprimido</v>
          </cell>
          <cell r="E127">
            <v>6641</v>
          </cell>
          <cell r="F127">
            <v>3379.7399998553001</v>
          </cell>
          <cell r="H127">
            <v>21000</v>
          </cell>
          <cell r="J127">
            <v>9450</v>
          </cell>
          <cell r="M127">
            <v>60</v>
          </cell>
          <cell r="N127">
            <v>27.063780000000001</v>
          </cell>
          <cell r="P127">
            <v>23740</v>
          </cell>
          <cell r="R127">
            <v>11073.374184</v>
          </cell>
          <cell r="S127">
            <v>0</v>
          </cell>
          <cell r="T127">
            <v>0</v>
          </cell>
          <cell r="U127">
            <v>3961</v>
          </cell>
          <cell r="V127">
            <v>0.45024700000000001</v>
          </cell>
          <cell r="W127">
            <v>1783.428367</v>
          </cell>
          <cell r="X127">
            <v>2.4089800000000001</v>
          </cell>
          <cell r="Y127">
            <v>0</v>
          </cell>
          <cell r="Z127">
            <v>0.45024700000000001</v>
          </cell>
          <cell r="AA127">
            <v>1783.428367</v>
          </cell>
        </row>
        <row r="128">
          <cell r="B128" t="str">
            <v>C-07-05</v>
          </cell>
          <cell r="C128" t="str">
            <v>CARVEDILOL .:. 12,5 mg</v>
          </cell>
          <cell r="D128" t="str">
            <v>Comprimido</v>
          </cell>
          <cell r="E128">
            <v>4862</v>
          </cell>
          <cell r="F128">
            <v>5751.4300001443999</v>
          </cell>
          <cell r="H128">
            <v>8500</v>
          </cell>
          <cell r="J128">
            <v>7675</v>
          </cell>
          <cell r="M128">
            <v>0</v>
          </cell>
          <cell r="N128">
            <v>0</v>
          </cell>
          <cell r="P128">
            <v>10909</v>
          </cell>
          <cell r="R128">
            <v>11032.238831999999</v>
          </cell>
          <cell r="S128">
            <v>0</v>
          </cell>
          <cell r="T128">
            <v>0</v>
          </cell>
          <cell r="U128">
            <v>2453</v>
          </cell>
          <cell r="V128">
            <v>0.97602500000000003</v>
          </cell>
          <cell r="W128">
            <v>2394.1893249999998</v>
          </cell>
          <cell r="X128">
            <v>2.4089800000000001</v>
          </cell>
          <cell r="Y128">
            <v>0</v>
          </cell>
          <cell r="Z128">
            <v>0.97602500000000003</v>
          </cell>
          <cell r="AA128">
            <v>2394.1893249999998</v>
          </cell>
        </row>
        <row r="129">
          <cell r="B129" t="str">
            <v>C-07-06</v>
          </cell>
          <cell r="C129" t="str">
            <v>BISOPROLOL .:. 5 mg</v>
          </cell>
          <cell r="D129" t="str">
            <v>Comprimido</v>
          </cell>
          <cell r="E129">
            <v>523</v>
          </cell>
          <cell r="F129">
            <v>1547.8299999855001</v>
          </cell>
          <cell r="H129">
            <v>4600</v>
          </cell>
          <cell r="J129">
            <v>11964</v>
          </cell>
          <cell r="M129">
            <v>0</v>
          </cell>
          <cell r="N129">
            <v>0</v>
          </cell>
          <cell r="P129">
            <v>4507</v>
          </cell>
          <cell r="R129">
            <v>12143.687314999999</v>
          </cell>
          <cell r="S129">
            <v>0</v>
          </cell>
          <cell r="T129">
            <v>0</v>
          </cell>
          <cell r="U129">
            <v>616</v>
          </cell>
          <cell r="V129">
            <v>2.2210100000000002</v>
          </cell>
          <cell r="W129">
            <v>1368.1421600000001</v>
          </cell>
          <cell r="X129">
            <v>2.4089800000000001</v>
          </cell>
          <cell r="Y129">
            <v>0</v>
          </cell>
          <cell r="Z129">
            <v>2.2210100000000002</v>
          </cell>
          <cell r="AA129">
            <v>1368.1421600000001</v>
          </cell>
        </row>
        <row r="130">
          <cell r="B130" t="str">
            <v>C-08-02</v>
          </cell>
          <cell r="C130" t="str">
            <v>NIMODIPINA .:. 30 mg</v>
          </cell>
          <cell r="D130" t="str">
            <v>Comprimido</v>
          </cell>
          <cell r="E130">
            <v>5817</v>
          </cell>
          <cell r="F130">
            <v>2256.8100002616002</v>
          </cell>
          <cell r="H130">
            <v>8000</v>
          </cell>
          <cell r="J130">
            <v>3120</v>
          </cell>
          <cell r="M130">
            <v>0</v>
          </cell>
          <cell r="N130">
            <v>0</v>
          </cell>
          <cell r="P130">
            <v>10816</v>
          </cell>
          <cell r="R130">
            <v>4208.1176500000001</v>
          </cell>
          <cell r="S130">
            <v>0</v>
          </cell>
          <cell r="T130">
            <v>0</v>
          </cell>
          <cell r="U130">
            <v>3001</v>
          </cell>
          <cell r="V130">
            <v>0.389434</v>
          </cell>
          <cell r="W130">
            <v>1168.6914340000001</v>
          </cell>
          <cell r="X130">
            <v>2.4089800000000001</v>
          </cell>
          <cell r="Y130">
            <v>0</v>
          </cell>
          <cell r="Z130">
            <v>0.389434</v>
          </cell>
          <cell r="AA130">
            <v>1168.6914340000001</v>
          </cell>
        </row>
        <row r="131">
          <cell r="B131" t="str">
            <v>C-08-04</v>
          </cell>
          <cell r="C131" t="str">
            <v>VERAPAMILO .:. 80 mg</v>
          </cell>
          <cell r="D131" t="str">
            <v>Comprimido</v>
          </cell>
          <cell r="E131">
            <v>36</v>
          </cell>
          <cell r="F131">
            <v>69.310000000800002</v>
          </cell>
          <cell r="H131">
            <v>0</v>
          </cell>
          <cell r="J131">
            <v>0</v>
          </cell>
          <cell r="M131">
            <v>0</v>
          </cell>
          <cell r="N131">
            <v>0</v>
          </cell>
          <cell r="P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36</v>
          </cell>
          <cell r="V131">
            <v>1.9252769999999999</v>
          </cell>
          <cell r="W131">
            <v>69.309972000000002</v>
          </cell>
          <cell r="X131">
            <v>2.4089800000000001</v>
          </cell>
          <cell r="Y131">
            <v>0</v>
          </cell>
          <cell r="Z131">
            <v>1.9252769999999999</v>
          </cell>
          <cell r="AA131">
            <v>69.309972000000002</v>
          </cell>
        </row>
        <row r="132">
          <cell r="B132" t="str">
            <v>C-08-07</v>
          </cell>
          <cell r="C132" t="str">
            <v>AMLODIPINA .:. 10 mg</v>
          </cell>
          <cell r="D132" t="str">
            <v>Comprimido</v>
          </cell>
          <cell r="E132">
            <v>4682</v>
          </cell>
          <cell r="F132">
            <v>1335.7600001194</v>
          </cell>
          <cell r="H132">
            <v>11500</v>
          </cell>
          <cell r="J132">
            <v>2530</v>
          </cell>
          <cell r="M132">
            <v>2</v>
          </cell>
          <cell r="N132">
            <v>0.44359799999999999</v>
          </cell>
          <cell r="P132">
            <v>16184</v>
          </cell>
          <cell r="R132">
            <v>3866.203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2.4089800000000001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C-09-01</v>
          </cell>
          <cell r="C133" t="str">
            <v>ENALAPRIL MALEATO .:. 10 mg</v>
          </cell>
          <cell r="D133" t="str">
            <v>Comprimido ranurado</v>
          </cell>
          <cell r="E133">
            <v>2076</v>
          </cell>
          <cell r="F133">
            <v>381.76999989960001</v>
          </cell>
          <cell r="H133">
            <v>2600</v>
          </cell>
          <cell r="J133">
            <v>260</v>
          </cell>
          <cell r="M133">
            <v>0</v>
          </cell>
          <cell r="N133">
            <v>0</v>
          </cell>
          <cell r="P133">
            <v>4676</v>
          </cell>
          <cell r="R133">
            <v>641.76992199999995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2.4089800000000001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C-09-02</v>
          </cell>
          <cell r="C134" t="str">
            <v>LOSARTAN .:. 50 mg</v>
          </cell>
          <cell r="D134" t="str">
            <v>Comprimido</v>
          </cell>
          <cell r="E134">
            <v>51179</v>
          </cell>
          <cell r="F134">
            <v>34289.93</v>
          </cell>
          <cell r="H134">
            <v>108000</v>
          </cell>
          <cell r="J134">
            <v>65760</v>
          </cell>
          <cell r="M134">
            <v>42</v>
          </cell>
          <cell r="N134">
            <v>28.14</v>
          </cell>
          <cell r="P134">
            <v>122114</v>
          </cell>
          <cell r="R134">
            <v>79189.872162</v>
          </cell>
          <cell r="S134">
            <v>0</v>
          </cell>
          <cell r="T134">
            <v>0</v>
          </cell>
          <cell r="U134">
            <v>37107</v>
          </cell>
          <cell r="V134">
            <v>0.562917</v>
          </cell>
          <cell r="W134">
            <v>20888.161119</v>
          </cell>
          <cell r="X134">
            <v>2.4089800000000001</v>
          </cell>
          <cell r="Y134">
            <v>0</v>
          </cell>
          <cell r="Z134">
            <v>0.562917</v>
          </cell>
          <cell r="AA134">
            <v>20888.161119</v>
          </cell>
        </row>
        <row r="135">
          <cell r="B135" t="str">
            <v>C-10-01</v>
          </cell>
          <cell r="C135" t="str">
            <v>ATORVASTATINA .:. 10 mg</v>
          </cell>
          <cell r="D135" t="str">
            <v>Comprimido</v>
          </cell>
          <cell r="E135">
            <v>5299</v>
          </cell>
          <cell r="F135">
            <v>1220.5299997919001</v>
          </cell>
          <cell r="H135">
            <v>8000</v>
          </cell>
          <cell r="J135">
            <v>1280</v>
          </cell>
          <cell r="M135">
            <v>0</v>
          </cell>
          <cell r="N135">
            <v>0</v>
          </cell>
          <cell r="P135">
            <v>9832</v>
          </cell>
          <cell r="R135">
            <v>1878.877825</v>
          </cell>
          <cell r="S135">
            <v>0</v>
          </cell>
          <cell r="T135">
            <v>0</v>
          </cell>
          <cell r="U135">
            <v>3467</v>
          </cell>
          <cell r="V135">
            <v>0.17930499999999999</v>
          </cell>
          <cell r="W135">
            <v>621.65043500000002</v>
          </cell>
          <cell r="X135">
            <v>2.4089800000000001</v>
          </cell>
          <cell r="Y135">
            <v>0</v>
          </cell>
          <cell r="Z135">
            <v>0.17930499999999999</v>
          </cell>
          <cell r="AA135">
            <v>621.65043500000002</v>
          </cell>
        </row>
        <row r="136">
          <cell r="B136" t="str">
            <v>C-10-02</v>
          </cell>
          <cell r="C136" t="str">
            <v>GENFIBROZILO .:. 600 mg</v>
          </cell>
          <cell r="D136" t="str">
            <v>Comprimido</v>
          </cell>
          <cell r="E136">
            <v>2676</v>
          </cell>
          <cell r="F136">
            <v>2193.4900000655998</v>
          </cell>
          <cell r="H136">
            <v>6300</v>
          </cell>
          <cell r="J136">
            <v>6268</v>
          </cell>
          <cell r="M136">
            <v>0</v>
          </cell>
          <cell r="N136">
            <v>0</v>
          </cell>
          <cell r="P136">
            <v>7320</v>
          </cell>
          <cell r="R136">
            <v>6908.8447509999996</v>
          </cell>
          <cell r="S136">
            <v>0</v>
          </cell>
          <cell r="T136">
            <v>0</v>
          </cell>
          <cell r="U136">
            <v>1656</v>
          </cell>
          <cell r="V136">
            <v>0.93758699999999995</v>
          </cell>
          <cell r="W136">
            <v>1552.6440720000001</v>
          </cell>
          <cell r="X136">
            <v>2.4089800000000001</v>
          </cell>
          <cell r="Y136">
            <v>0</v>
          </cell>
          <cell r="Z136">
            <v>0.93758699999999995</v>
          </cell>
          <cell r="AA136">
            <v>1552.6440720000001</v>
          </cell>
        </row>
        <row r="137">
          <cell r="B137" t="str">
            <v>C-10-03</v>
          </cell>
          <cell r="C137" t="str">
            <v>ROSUVASTATINA .:. 20 mg</v>
          </cell>
          <cell r="D137" t="str">
            <v>Comprimido</v>
          </cell>
          <cell r="E137">
            <v>0</v>
          </cell>
          <cell r="F137">
            <v>0</v>
          </cell>
          <cell r="H137">
            <v>300</v>
          </cell>
          <cell r="J137">
            <v>555</v>
          </cell>
          <cell r="M137">
            <v>0</v>
          </cell>
          <cell r="N137">
            <v>0</v>
          </cell>
          <cell r="P137">
            <v>300</v>
          </cell>
          <cell r="R137">
            <v>555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2.4089800000000001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C-10-04</v>
          </cell>
          <cell r="C138" t="str">
            <v>FENOFIBRATO .:. 200 mg</v>
          </cell>
          <cell r="D138" t="str">
            <v>Cápsula o Comprimido</v>
          </cell>
          <cell r="E138">
            <v>0</v>
          </cell>
          <cell r="F138">
            <v>0</v>
          </cell>
          <cell r="H138">
            <v>7500</v>
          </cell>
          <cell r="J138">
            <v>32500</v>
          </cell>
          <cell r="M138">
            <v>0</v>
          </cell>
          <cell r="N138">
            <v>0</v>
          </cell>
          <cell r="P138">
            <v>5710</v>
          </cell>
          <cell r="R138">
            <v>25365.453325999999</v>
          </cell>
          <cell r="S138">
            <v>0</v>
          </cell>
          <cell r="T138">
            <v>0</v>
          </cell>
          <cell r="U138">
            <v>1790</v>
          </cell>
          <cell r="V138">
            <v>3.9857800000000001</v>
          </cell>
          <cell r="W138">
            <v>7134.5461999999998</v>
          </cell>
          <cell r="X138">
            <v>2.4089800000000001</v>
          </cell>
          <cell r="Y138">
            <v>0</v>
          </cell>
          <cell r="Z138">
            <v>3.9857800000000001</v>
          </cell>
          <cell r="AA138">
            <v>7134.5461999999998</v>
          </cell>
        </row>
        <row r="139">
          <cell r="B139" t="str">
            <v>C-10-05</v>
          </cell>
          <cell r="C139" t="str">
            <v>ATORVASTATINA .:. 20 mg.</v>
          </cell>
          <cell r="D139" t="str">
            <v>Comprimido</v>
          </cell>
          <cell r="E139">
            <v>14746</v>
          </cell>
          <cell r="F139">
            <v>4425.4599999833999</v>
          </cell>
          <cell r="H139">
            <v>42000</v>
          </cell>
          <cell r="J139">
            <v>22050</v>
          </cell>
          <cell r="M139">
            <v>73</v>
          </cell>
          <cell r="N139">
            <v>32.625179000000003</v>
          </cell>
          <cell r="P139">
            <v>47585</v>
          </cell>
          <cell r="R139">
            <v>22530.495695000001</v>
          </cell>
          <cell r="S139">
            <v>0</v>
          </cell>
          <cell r="T139">
            <v>0</v>
          </cell>
          <cell r="U139">
            <v>9234</v>
          </cell>
          <cell r="V139">
            <v>0.43075400000000003</v>
          </cell>
          <cell r="W139">
            <v>3977.5824360000001</v>
          </cell>
          <cell r="X139">
            <v>2.4089800000000001</v>
          </cell>
          <cell r="Y139">
            <v>0</v>
          </cell>
          <cell r="Z139">
            <v>0.43075400000000003</v>
          </cell>
          <cell r="AA139">
            <v>3977.5824360000001</v>
          </cell>
        </row>
        <row r="140">
          <cell r="B140" t="str">
            <v>D-01-02</v>
          </cell>
          <cell r="C140" t="str">
            <v>BACITRACINA + NEOMICINA SULFATO .:. 500 UI + 5 mg/g</v>
          </cell>
          <cell r="D140" t="str">
            <v>Crema o Pomada</v>
          </cell>
          <cell r="E140">
            <v>11</v>
          </cell>
          <cell r="F140">
            <v>71.5</v>
          </cell>
          <cell r="H140">
            <v>175</v>
          </cell>
          <cell r="J140">
            <v>1196</v>
          </cell>
          <cell r="M140">
            <v>0</v>
          </cell>
          <cell r="N140">
            <v>0</v>
          </cell>
          <cell r="P140">
            <v>104</v>
          </cell>
          <cell r="R140">
            <v>718.09997499999997</v>
          </cell>
          <cell r="S140">
            <v>0</v>
          </cell>
          <cell r="T140">
            <v>0</v>
          </cell>
          <cell r="U140">
            <v>82</v>
          </cell>
          <cell r="V140">
            <v>6.7</v>
          </cell>
          <cell r="W140">
            <v>549.4</v>
          </cell>
          <cell r="X140">
            <v>2.4089800000000001</v>
          </cell>
          <cell r="Y140">
            <v>0</v>
          </cell>
          <cell r="Z140">
            <v>6.7</v>
          </cell>
          <cell r="AA140">
            <v>549.4</v>
          </cell>
        </row>
        <row r="141">
          <cell r="B141" t="str">
            <v>D-01-03</v>
          </cell>
          <cell r="C141" t="str">
            <v>CLOTRIMAZOL .:. 0.01</v>
          </cell>
          <cell r="D141" t="str">
            <v>Crema o Pomada</v>
          </cell>
          <cell r="E141">
            <v>82</v>
          </cell>
          <cell r="F141">
            <v>491.18</v>
          </cell>
          <cell r="H141">
            <v>400</v>
          </cell>
          <cell r="J141">
            <v>1909</v>
          </cell>
          <cell r="M141">
            <v>0</v>
          </cell>
          <cell r="N141">
            <v>0</v>
          </cell>
          <cell r="P141">
            <v>312</v>
          </cell>
          <cell r="R141">
            <v>1805.18</v>
          </cell>
          <cell r="S141">
            <v>0</v>
          </cell>
          <cell r="T141">
            <v>0</v>
          </cell>
          <cell r="U141">
            <v>170</v>
          </cell>
          <cell r="V141">
            <v>3.5</v>
          </cell>
          <cell r="W141">
            <v>595</v>
          </cell>
          <cell r="X141">
            <v>2.4089800000000001</v>
          </cell>
          <cell r="Y141">
            <v>0</v>
          </cell>
          <cell r="Z141">
            <v>3.5</v>
          </cell>
          <cell r="AA141">
            <v>595</v>
          </cell>
        </row>
        <row r="142">
          <cell r="B142" t="str">
            <v>D-01-04</v>
          </cell>
          <cell r="C142" t="str">
            <v>NISTATINA .:. 100.000 UI/g</v>
          </cell>
          <cell r="D142" t="str">
            <v>Crema o Pomada</v>
          </cell>
          <cell r="E142">
            <v>7</v>
          </cell>
          <cell r="F142">
            <v>64.929999999900005</v>
          </cell>
          <cell r="H142">
            <v>0</v>
          </cell>
          <cell r="J142">
            <v>0</v>
          </cell>
          <cell r="M142">
            <v>0</v>
          </cell>
          <cell r="N142">
            <v>0</v>
          </cell>
          <cell r="P142">
            <v>7</v>
          </cell>
          <cell r="R142">
            <v>64.929997999999998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2.4089800000000001</v>
          </cell>
          <cell r="Y142">
            <v>0</v>
          </cell>
          <cell r="Z142">
            <v>0</v>
          </cell>
          <cell r="AA142">
            <v>0</v>
          </cell>
        </row>
        <row r="143">
          <cell r="B143" t="str">
            <v>D-01-06</v>
          </cell>
          <cell r="C143" t="str">
            <v>TOLNAFTATO .:. 0.01</v>
          </cell>
          <cell r="D143" t="str">
            <v>Solución</v>
          </cell>
          <cell r="E143">
            <v>0</v>
          </cell>
          <cell r="F143">
            <v>0</v>
          </cell>
          <cell r="H143">
            <v>40</v>
          </cell>
          <cell r="J143">
            <v>916</v>
          </cell>
          <cell r="M143">
            <v>0</v>
          </cell>
          <cell r="N143">
            <v>0</v>
          </cell>
          <cell r="P143">
            <v>27</v>
          </cell>
          <cell r="R143">
            <v>618.29999999999995</v>
          </cell>
          <cell r="S143">
            <v>0</v>
          </cell>
          <cell r="T143">
            <v>0</v>
          </cell>
          <cell r="U143">
            <v>13</v>
          </cell>
          <cell r="V143">
            <v>22.9</v>
          </cell>
          <cell r="W143">
            <v>297.7</v>
          </cell>
          <cell r="X143">
            <v>2.4089800000000001</v>
          </cell>
          <cell r="Y143">
            <v>0</v>
          </cell>
          <cell r="Z143">
            <v>22.9</v>
          </cell>
          <cell r="AA143">
            <v>297.7</v>
          </cell>
        </row>
        <row r="144">
          <cell r="B144" t="str">
            <v>D-01-07</v>
          </cell>
          <cell r="C144" t="str">
            <v>VIOLETA DE GENCIANA (CLORURO DE METILROSANILINA) .:. 0.01</v>
          </cell>
          <cell r="D144" t="str">
            <v>Solución</v>
          </cell>
          <cell r="E144">
            <v>1</v>
          </cell>
          <cell r="F144">
            <v>3.44</v>
          </cell>
          <cell r="H144">
            <v>15</v>
          </cell>
          <cell r="J144">
            <v>42</v>
          </cell>
          <cell r="M144">
            <v>0</v>
          </cell>
          <cell r="N144">
            <v>0</v>
          </cell>
          <cell r="P144">
            <v>15</v>
          </cell>
          <cell r="R144">
            <v>42.64</v>
          </cell>
          <cell r="S144">
            <v>0</v>
          </cell>
          <cell r="T144">
            <v>0</v>
          </cell>
          <cell r="U144">
            <v>1</v>
          </cell>
          <cell r="V144">
            <v>2.8</v>
          </cell>
          <cell r="W144">
            <v>2.8</v>
          </cell>
          <cell r="X144">
            <v>2.4089800000000001</v>
          </cell>
          <cell r="Y144">
            <v>0</v>
          </cell>
          <cell r="Z144">
            <v>2.8</v>
          </cell>
          <cell r="AA144">
            <v>2.8</v>
          </cell>
        </row>
        <row r="145">
          <cell r="B145" t="str">
            <v>D-02-02</v>
          </cell>
          <cell r="C145" t="str">
            <v>OXIDO DE ZINC CON O SIN ACEITE .:. Según disponibilidad</v>
          </cell>
          <cell r="D145" t="str">
            <v>Pasta o Pomada</v>
          </cell>
          <cell r="E145">
            <v>0</v>
          </cell>
          <cell r="F145">
            <v>0</v>
          </cell>
          <cell r="H145">
            <v>30</v>
          </cell>
          <cell r="J145">
            <v>487.5</v>
          </cell>
          <cell r="M145">
            <v>0</v>
          </cell>
          <cell r="N145">
            <v>0</v>
          </cell>
          <cell r="P145">
            <v>12</v>
          </cell>
          <cell r="R145">
            <v>195</v>
          </cell>
          <cell r="S145">
            <v>0</v>
          </cell>
          <cell r="T145">
            <v>0</v>
          </cell>
          <cell r="U145">
            <v>18</v>
          </cell>
          <cell r="V145">
            <v>16.25</v>
          </cell>
          <cell r="W145">
            <v>292.5</v>
          </cell>
          <cell r="X145">
            <v>2.4089800000000001</v>
          </cell>
          <cell r="Y145">
            <v>0</v>
          </cell>
          <cell r="Z145">
            <v>16.25</v>
          </cell>
          <cell r="AA145">
            <v>292.5</v>
          </cell>
        </row>
        <row r="146">
          <cell r="B146" t="str">
            <v>D-02-04</v>
          </cell>
          <cell r="C146" t="str">
            <v>VASELINA LIQUIDA .:. Según disponibilidad</v>
          </cell>
          <cell r="D146" t="str">
            <v>Solución 1 l</v>
          </cell>
          <cell r="E146">
            <v>0</v>
          </cell>
          <cell r="F146">
            <v>0</v>
          </cell>
          <cell r="H146">
            <v>28</v>
          </cell>
          <cell r="J146">
            <v>1201.2</v>
          </cell>
          <cell r="M146">
            <v>0</v>
          </cell>
          <cell r="N146">
            <v>0</v>
          </cell>
          <cell r="P146">
            <v>17</v>
          </cell>
          <cell r="R146">
            <v>805.2</v>
          </cell>
          <cell r="S146">
            <v>0</v>
          </cell>
          <cell r="T146">
            <v>0</v>
          </cell>
          <cell r="U146">
            <v>11</v>
          </cell>
          <cell r="V146">
            <v>36</v>
          </cell>
          <cell r="W146">
            <v>396</v>
          </cell>
          <cell r="X146">
            <v>2.4089800000000001</v>
          </cell>
          <cell r="Y146">
            <v>0</v>
          </cell>
          <cell r="Z146">
            <v>36</v>
          </cell>
          <cell r="AA146">
            <v>396</v>
          </cell>
        </row>
        <row r="147">
          <cell r="B147" t="str">
            <v>D-04-01</v>
          </cell>
          <cell r="C147" t="str">
            <v>LIDOCAINA .:. 0.02</v>
          </cell>
          <cell r="D147" t="str">
            <v>Gel o Jalea</v>
          </cell>
          <cell r="E147">
            <v>0</v>
          </cell>
          <cell r="F147">
            <v>0</v>
          </cell>
          <cell r="H147">
            <v>44</v>
          </cell>
          <cell r="J147">
            <v>768</v>
          </cell>
          <cell r="M147">
            <v>0</v>
          </cell>
          <cell r="N147">
            <v>0</v>
          </cell>
          <cell r="P147">
            <v>35</v>
          </cell>
          <cell r="R147">
            <v>633.89999399999999</v>
          </cell>
          <cell r="S147">
            <v>0</v>
          </cell>
          <cell r="T147">
            <v>0</v>
          </cell>
          <cell r="U147">
            <v>9</v>
          </cell>
          <cell r="V147">
            <v>14.9</v>
          </cell>
          <cell r="W147">
            <v>134.1</v>
          </cell>
          <cell r="X147">
            <v>2.4089800000000001</v>
          </cell>
          <cell r="Y147">
            <v>0</v>
          </cell>
          <cell r="Z147">
            <v>14.9</v>
          </cell>
          <cell r="AA147">
            <v>134.1</v>
          </cell>
        </row>
        <row r="148">
          <cell r="B148" t="str">
            <v>D-06-02</v>
          </cell>
          <cell r="C148" t="str">
            <v>SULFADIAZINA DE PLATA .:. 0.01</v>
          </cell>
          <cell r="D148" t="str">
            <v>Crema o Pomada</v>
          </cell>
          <cell r="E148">
            <v>35</v>
          </cell>
          <cell r="F148">
            <v>1201.5700000009999</v>
          </cell>
          <cell r="H148">
            <v>20</v>
          </cell>
          <cell r="J148">
            <v>847</v>
          </cell>
          <cell r="M148">
            <v>0</v>
          </cell>
          <cell r="N148">
            <v>0</v>
          </cell>
          <cell r="P148">
            <v>32</v>
          </cell>
          <cell r="R148">
            <v>1161.8895560000001</v>
          </cell>
          <cell r="S148">
            <v>0</v>
          </cell>
          <cell r="T148">
            <v>0</v>
          </cell>
          <cell r="U148">
            <v>23</v>
          </cell>
          <cell r="V148">
            <v>38.551322999999996</v>
          </cell>
          <cell r="W148">
            <v>886.680429</v>
          </cell>
          <cell r="X148">
            <v>2.4089800000000001</v>
          </cell>
          <cell r="Y148">
            <v>0</v>
          </cell>
          <cell r="Z148">
            <v>38.551322999999996</v>
          </cell>
          <cell r="AA148">
            <v>886.680429</v>
          </cell>
        </row>
        <row r="149">
          <cell r="B149" t="str">
            <v>D-06-03</v>
          </cell>
          <cell r="C149" t="str">
            <v>ACICLOVIR .:. 0.05</v>
          </cell>
          <cell r="D149" t="str">
            <v>Crema dermica</v>
          </cell>
          <cell r="E149">
            <v>14</v>
          </cell>
          <cell r="F149">
            <v>234.64</v>
          </cell>
          <cell r="H149">
            <v>80</v>
          </cell>
          <cell r="J149">
            <v>830</v>
          </cell>
          <cell r="M149">
            <v>0</v>
          </cell>
          <cell r="N149">
            <v>0</v>
          </cell>
          <cell r="P149">
            <v>79</v>
          </cell>
          <cell r="R149">
            <v>931.36901699999999</v>
          </cell>
          <cell r="S149">
            <v>0</v>
          </cell>
          <cell r="T149">
            <v>0</v>
          </cell>
          <cell r="U149">
            <v>15</v>
          </cell>
          <cell r="V149">
            <v>8.8847310000000004</v>
          </cell>
          <cell r="W149">
            <v>133.27096499999999</v>
          </cell>
          <cell r="X149">
            <v>2.4089800000000001</v>
          </cell>
          <cell r="Y149">
            <v>0</v>
          </cell>
          <cell r="Z149">
            <v>8.8847310000000004</v>
          </cell>
          <cell r="AA149">
            <v>133.27096499999999</v>
          </cell>
        </row>
        <row r="150">
          <cell r="B150" t="str">
            <v>D-07-01</v>
          </cell>
          <cell r="C150" t="str">
            <v>BETAMETASONA (VALERATO) .:. 0,1%</v>
          </cell>
          <cell r="D150" t="str">
            <v>Crema o Pomada</v>
          </cell>
          <cell r="E150">
            <v>9</v>
          </cell>
          <cell r="F150">
            <v>61.47</v>
          </cell>
          <cell r="H150">
            <v>215</v>
          </cell>
          <cell r="J150">
            <v>1646.5</v>
          </cell>
          <cell r="M150">
            <v>0</v>
          </cell>
          <cell r="N150">
            <v>0</v>
          </cell>
          <cell r="P150">
            <v>106</v>
          </cell>
          <cell r="R150">
            <v>871.28420300000005</v>
          </cell>
          <cell r="S150">
            <v>0</v>
          </cell>
          <cell r="T150">
            <v>0</v>
          </cell>
          <cell r="U150">
            <v>118</v>
          </cell>
          <cell r="V150">
            <v>7.0905570000000004</v>
          </cell>
          <cell r="W150">
            <v>836.68572600000005</v>
          </cell>
          <cell r="X150">
            <v>2.4089800000000001</v>
          </cell>
          <cell r="Y150">
            <v>0</v>
          </cell>
          <cell r="Z150">
            <v>7.0905570000000004</v>
          </cell>
          <cell r="AA150">
            <v>836.68572600000005</v>
          </cell>
        </row>
        <row r="151">
          <cell r="B151" t="str">
            <v>D-07-02</v>
          </cell>
          <cell r="C151" t="str">
            <v>CLOBETASOL .:. 0,05%</v>
          </cell>
          <cell r="D151" t="str">
            <v>Crema o Pomada</v>
          </cell>
          <cell r="E151">
            <v>33</v>
          </cell>
          <cell r="F151">
            <v>439.23</v>
          </cell>
          <cell r="H151">
            <v>130</v>
          </cell>
          <cell r="J151">
            <v>1599</v>
          </cell>
          <cell r="M151">
            <v>0</v>
          </cell>
          <cell r="N151">
            <v>0</v>
          </cell>
          <cell r="P151">
            <v>109</v>
          </cell>
          <cell r="R151">
            <v>1390.2299760000001</v>
          </cell>
          <cell r="S151">
            <v>0</v>
          </cell>
          <cell r="T151">
            <v>0</v>
          </cell>
          <cell r="U151">
            <v>54</v>
          </cell>
          <cell r="V151">
            <v>12</v>
          </cell>
          <cell r="W151">
            <v>648</v>
          </cell>
          <cell r="X151">
            <v>2.4089800000000001</v>
          </cell>
          <cell r="Y151">
            <v>0</v>
          </cell>
          <cell r="Z151">
            <v>12</v>
          </cell>
          <cell r="AA151">
            <v>648</v>
          </cell>
        </row>
        <row r="152">
          <cell r="B152" t="str">
            <v>D-07-03</v>
          </cell>
          <cell r="C152" t="str">
            <v>CLOBETASOL .:. 0,05%</v>
          </cell>
          <cell r="D152" t="str">
            <v>Solución</v>
          </cell>
          <cell r="E152">
            <v>6</v>
          </cell>
          <cell r="F152">
            <v>307.92</v>
          </cell>
          <cell r="H152">
            <v>25</v>
          </cell>
          <cell r="J152">
            <v>1400</v>
          </cell>
          <cell r="M152">
            <v>0</v>
          </cell>
          <cell r="N152">
            <v>0</v>
          </cell>
          <cell r="P152">
            <v>31</v>
          </cell>
          <cell r="R152">
            <v>1707.92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2.4089800000000001</v>
          </cell>
          <cell r="Y152">
            <v>0</v>
          </cell>
          <cell r="Z152">
            <v>0</v>
          </cell>
          <cell r="AA152">
            <v>0</v>
          </cell>
        </row>
        <row r="153">
          <cell r="B153" t="str">
            <v>D-07-04</v>
          </cell>
          <cell r="C153" t="str">
            <v>HIDROCORTISONA ACETATO .:. 0.01</v>
          </cell>
          <cell r="D153" t="str">
            <v>Crema o Pomada</v>
          </cell>
          <cell r="E153">
            <v>28</v>
          </cell>
          <cell r="F153">
            <v>213.95999999919999</v>
          </cell>
          <cell r="H153">
            <v>100</v>
          </cell>
          <cell r="J153">
            <v>750</v>
          </cell>
          <cell r="M153">
            <v>0</v>
          </cell>
          <cell r="N153">
            <v>0</v>
          </cell>
          <cell r="P153">
            <v>124</v>
          </cell>
          <cell r="R153">
            <v>933.95998399999996</v>
          </cell>
          <cell r="S153">
            <v>0</v>
          </cell>
          <cell r="T153">
            <v>0</v>
          </cell>
          <cell r="U153">
            <v>4</v>
          </cell>
          <cell r="V153">
            <v>7.5</v>
          </cell>
          <cell r="W153">
            <v>30</v>
          </cell>
          <cell r="X153">
            <v>2.4089800000000001</v>
          </cell>
          <cell r="Y153">
            <v>0</v>
          </cell>
          <cell r="Z153">
            <v>7.5</v>
          </cell>
          <cell r="AA153">
            <v>30</v>
          </cell>
        </row>
        <row r="154">
          <cell r="B154" t="str">
            <v>D-08-01</v>
          </cell>
          <cell r="C154" t="str">
            <v>ALCOHOL ETILICO (ETANOL) .:. 70% a 95%</v>
          </cell>
          <cell r="D154" t="str">
            <v>Solución 1 l</v>
          </cell>
          <cell r="E154">
            <v>436</v>
          </cell>
          <cell r="F154">
            <v>5668.250000002</v>
          </cell>
          <cell r="H154">
            <v>500</v>
          </cell>
          <cell r="J154">
            <v>6500</v>
          </cell>
          <cell r="M154">
            <v>0</v>
          </cell>
          <cell r="N154">
            <v>0</v>
          </cell>
          <cell r="P154">
            <v>691</v>
          </cell>
          <cell r="R154">
            <v>8983.2364479999997</v>
          </cell>
          <cell r="S154">
            <v>0</v>
          </cell>
          <cell r="T154">
            <v>0</v>
          </cell>
          <cell r="U154">
            <v>245</v>
          </cell>
          <cell r="V154">
            <v>13.000055</v>
          </cell>
          <cell r="W154">
            <v>3185.0134750000002</v>
          </cell>
          <cell r="X154">
            <v>2.4089800000000001</v>
          </cell>
          <cell r="Y154">
            <v>0</v>
          </cell>
          <cell r="Z154">
            <v>13.000055</v>
          </cell>
          <cell r="AA154">
            <v>3185.0134750000002</v>
          </cell>
        </row>
        <row r="155">
          <cell r="B155" t="str">
            <v>D-08-02</v>
          </cell>
          <cell r="C155" t="str">
            <v>CLORHEXIDINA GLUCONATO .:. Según disponibilidad</v>
          </cell>
          <cell r="D155" t="str">
            <v>Solución</v>
          </cell>
          <cell r="E155">
            <v>10</v>
          </cell>
          <cell r="F155">
            <v>1002.35</v>
          </cell>
          <cell r="H155">
            <v>3</v>
          </cell>
          <cell r="J155">
            <v>370</v>
          </cell>
          <cell r="M155">
            <v>0</v>
          </cell>
          <cell r="N155">
            <v>0</v>
          </cell>
          <cell r="P155">
            <v>3</v>
          </cell>
          <cell r="R155">
            <v>316.02424100000002</v>
          </cell>
          <cell r="S155">
            <v>0</v>
          </cell>
          <cell r="T155">
            <v>0</v>
          </cell>
          <cell r="U155">
            <v>10</v>
          </cell>
          <cell r="V155">
            <v>105.632575</v>
          </cell>
          <cell r="W155">
            <v>1056.32575</v>
          </cell>
          <cell r="X155">
            <v>2.4089800000000001</v>
          </cell>
          <cell r="Y155">
            <v>0</v>
          </cell>
          <cell r="Z155">
            <v>105.632575</v>
          </cell>
          <cell r="AA155">
            <v>1056.32575</v>
          </cell>
        </row>
        <row r="156">
          <cell r="B156" t="str">
            <v>D-08-08</v>
          </cell>
          <cell r="C156" t="str">
            <v>IODO POVIDONA (YODOPOVIDONA) .:. 0.1</v>
          </cell>
          <cell r="D156" t="str">
            <v>Solución</v>
          </cell>
          <cell r="E156">
            <v>0</v>
          </cell>
          <cell r="F156">
            <v>0</v>
          </cell>
          <cell r="H156">
            <v>8</v>
          </cell>
          <cell r="J156">
            <v>412</v>
          </cell>
          <cell r="M156">
            <v>0</v>
          </cell>
          <cell r="N156">
            <v>0</v>
          </cell>
          <cell r="P156">
            <v>6</v>
          </cell>
          <cell r="R156">
            <v>309</v>
          </cell>
          <cell r="S156">
            <v>0</v>
          </cell>
          <cell r="T156">
            <v>0</v>
          </cell>
          <cell r="U156">
            <v>2</v>
          </cell>
          <cell r="V156">
            <v>51.5</v>
          </cell>
          <cell r="W156">
            <v>103</v>
          </cell>
          <cell r="X156">
            <v>2.4089800000000001</v>
          </cell>
          <cell r="Y156">
            <v>0</v>
          </cell>
          <cell r="Z156">
            <v>51.5</v>
          </cell>
          <cell r="AA156">
            <v>103</v>
          </cell>
        </row>
        <row r="157">
          <cell r="B157" t="str">
            <v>D-08-10</v>
          </cell>
          <cell r="C157" t="str">
            <v>PEROXIDO DE HIDROGENO (AGUA OXIGENADA) .:. 2% o 3%</v>
          </cell>
          <cell r="D157" t="str">
            <v>Solución</v>
          </cell>
          <cell r="E157">
            <v>3</v>
          </cell>
          <cell r="F157">
            <v>37.5</v>
          </cell>
          <cell r="H157">
            <v>10</v>
          </cell>
          <cell r="J157">
            <v>131.9</v>
          </cell>
          <cell r="M157">
            <v>0</v>
          </cell>
          <cell r="N157">
            <v>0</v>
          </cell>
          <cell r="P157">
            <v>4</v>
          </cell>
          <cell r="R157">
            <v>50.69</v>
          </cell>
          <cell r="S157">
            <v>0</v>
          </cell>
          <cell r="T157">
            <v>0</v>
          </cell>
          <cell r="U157">
            <v>9</v>
          </cell>
          <cell r="V157">
            <v>13.19</v>
          </cell>
          <cell r="W157">
            <v>118.71</v>
          </cell>
          <cell r="X157">
            <v>2.4089800000000001</v>
          </cell>
          <cell r="Y157">
            <v>0</v>
          </cell>
          <cell r="Z157">
            <v>13.19</v>
          </cell>
          <cell r="AA157">
            <v>118.71</v>
          </cell>
        </row>
        <row r="158">
          <cell r="B158" t="str">
            <v>D-10-01</v>
          </cell>
          <cell r="C158" t="str">
            <v>ERITROMICINA .:. 2% a 4%</v>
          </cell>
          <cell r="D158" t="str">
            <v>Loción</v>
          </cell>
          <cell r="E158">
            <v>19</v>
          </cell>
          <cell r="F158">
            <v>1075.9399999994</v>
          </cell>
          <cell r="H158">
            <v>55</v>
          </cell>
          <cell r="J158">
            <v>3101</v>
          </cell>
          <cell r="M158">
            <v>0</v>
          </cell>
          <cell r="N158">
            <v>0</v>
          </cell>
          <cell r="P158">
            <v>50</v>
          </cell>
          <cell r="R158">
            <v>2818.5399990000001</v>
          </cell>
          <cell r="S158">
            <v>0</v>
          </cell>
          <cell r="T158">
            <v>0</v>
          </cell>
          <cell r="U158">
            <v>24</v>
          </cell>
          <cell r="V158">
            <v>56.6</v>
          </cell>
          <cell r="W158">
            <v>1358.4</v>
          </cell>
          <cell r="X158">
            <v>2.4089800000000001</v>
          </cell>
          <cell r="Y158">
            <v>0</v>
          </cell>
          <cell r="Z158">
            <v>56.6</v>
          </cell>
          <cell r="AA158">
            <v>1358.4</v>
          </cell>
        </row>
        <row r="159">
          <cell r="B159" t="str">
            <v>D-10-03</v>
          </cell>
          <cell r="C159" t="str">
            <v>PEROXIDO DE BENZOILO .:. 0.05</v>
          </cell>
          <cell r="D159" t="str">
            <v>Crema, Pomada o Gel</v>
          </cell>
          <cell r="E159">
            <v>6</v>
          </cell>
          <cell r="F159">
            <v>510.6</v>
          </cell>
          <cell r="H159">
            <v>30</v>
          </cell>
          <cell r="J159">
            <v>1935</v>
          </cell>
          <cell r="M159">
            <v>0</v>
          </cell>
          <cell r="N159">
            <v>0</v>
          </cell>
          <cell r="P159">
            <v>34</v>
          </cell>
          <cell r="R159">
            <v>2316.6</v>
          </cell>
          <cell r="S159">
            <v>0</v>
          </cell>
          <cell r="T159">
            <v>0</v>
          </cell>
          <cell r="U159">
            <v>2</v>
          </cell>
          <cell r="V159">
            <v>64.5</v>
          </cell>
          <cell r="W159">
            <v>129</v>
          </cell>
          <cell r="X159">
            <v>2.4089800000000001</v>
          </cell>
          <cell r="Y159">
            <v>0</v>
          </cell>
          <cell r="Z159">
            <v>64.5</v>
          </cell>
          <cell r="AA159">
            <v>129</v>
          </cell>
        </row>
        <row r="160">
          <cell r="B160" t="str">
            <v>D-10-04</v>
          </cell>
          <cell r="C160" t="str">
            <v>RESORCINOL .:. 0.1</v>
          </cell>
          <cell r="D160" t="str">
            <v>Crema o Pomada</v>
          </cell>
          <cell r="E160">
            <v>12</v>
          </cell>
          <cell r="F160">
            <v>256.52000000039999</v>
          </cell>
          <cell r="H160">
            <v>0</v>
          </cell>
          <cell r="J160">
            <v>0</v>
          </cell>
          <cell r="M160">
            <v>0</v>
          </cell>
          <cell r="N160">
            <v>0</v>
          </cell>
          <cell r="P160">
            <v>3</v>
          </cell>
          <cell r="R160">
            <v>64.129998999999998</v>
          </cell>
          <cell r="S160">
            <v>0</v>
          </cell>
          <cell r="T160">
            <v>0</v>
          </cell>
          <cell r="U160">
            <v>9</v>
          </cell>
          <cell r="V160">
            <v>21.376666</v>
          </cell>
          <cell r="W160">
            <v>192.389994</v>
          </cell>
          <cell r="X160">
            <v>2.4089800000000001</v>
          </cell>
          <cell r="Y160">
            <v>0</v>
          </cell>
          <cell r="Z160">
            <v>21.376666</v>
          </cell>
          <cell r="AA160">
            <v>192.389994</v>
          </cell>
        </row>
        <row r="161">
          <cell r="B161" t="str">
            <v>DAC001</v>
          </cell>
          <cell r="C161" t="str">
            <v>AGUJA DESCARTABLE .:. 18 * 1 1/2 "</v>
          </cell>
          <cell r="D161" t="str">
            <v>Sobre estéril</v>
          </cell>
          <cell r="E161">
            <v>267</v>
          </cell>
          <cell r="F161">
            <v>48.06</v>
          </cell>
          <cell r="H161">
            <v>0</v>
          </cell>
          <cell r="J161">
            <v>0</v>
          </cell>
          <cell r="M161">
            <v>6</v>
          </cell>
          <cell r="N161">
            <v>1.08</v>
          </cell>
          <cell r="P161">
            <v>269</v>
          </cell>
          <cell r="R161">
            <v>48.42</v>
          </cell>
          <cell r="S161">
            <v>0</v>
          </cell>
          <cell r="T161">
            <v>0</v>
          </cell>
          <cell r="U161">
            <v>4</v>
          </cell>
          <cell r="V161">
            <v>0.18</v>
          </cell>
          <cell r="W161">
            <v>0.72</v>
          </cell>
          <cell r="X161">
            <v>2.4089800000000001</v>
          </cell>
          <cell r="Y161">
            <v>0</v>
          </cell>
          <cell r="Z161">
            <v>0.18</v>
          </cell>
          <cell r="AA161">
            <v>0.72</v>
          </cell>
        </row>
        <row r="162">
          <cell r="B162" t="str">
            <v>DAC007</v>
          </cell>
          <cell r="C162" t="str">
            <v>AGUJA DESCARTABLE .:. N° 25 * 5/8"</v>
          </cell>
          <cell r="D162" t="str">
            <v>Sobre estéril</v>
          </cell>
          <cell r="E162">
            <v>697</v>
          </cell>
          <cell r="F162">
            <v>132.3500000128</v>
          </cell>
          <cell r="H162">
            <v>800</v>
          </cell>
          <cell r="J162">
            <v>176</v>
          </cell>
          <cell r="M162">
            <v>0</v>
          </cell>
          <cell r="N162">
            <v>0</v>
          </cell>
          <cell r="P162">
            <v>1497</v>
          </cell>
          <cell r="R162">
            <v>308.34999599999998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2.4089800000000001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DAC008</v>
          </cell>
          <cell r="C163" t="str">
            <v>AGUJA DESCARTABLE .:. N° 21 * 1 1/2"</v>
          </cell>
          <cell r="D163" t="str">
            <v>Sobre estéril</v>
          </cell>
          <cell r="E163">
            <v>1282</v>
          </cell>
          <cell r="F163">
            <v>194.9699999906</v>
          </cell>
          <cell r="H163">
            <v>1400</v>
          </cell>
          <cell r="J163">
            <v>308</v>
          </cell>
          <cell r="M163">
            <v>0</v>
          </cell>
          <cell r="N163">
            <v>0</v>
          </cell>
          <cell r="P163">
            <v>2205</v>
          </cell>
          <cell r="R163">
            <v>401.72073799999998</v>
          </cell>
          <cell r="S163">
            <v>0</v>
          </cell>
          <cell r="T163">
            <v>0</v>
          </cell>
          <cell r="U163">
            <v>477</v>
          </cell>
          <cell r="V163">
            <v>0.21226200000000001</v>
          </cell>
          <cell r="W163">
            <v>101.248974</v>
          </cell>
          <cell r="X163">
            <v>2.4089800000000001</v>
          </cell>
          <cell r="Y163">
            <v>0</v>
          </cell>
          <cell r="Z163">
            <v>0.21226200000000001</v>
          </cell>
          <cell r="AA163">
            <v>101.248974</v>
          </cell>
        </row>
        <row r="164">
          <cell r="B164" t="str">
            <v>DAC010</v>
          </cell>
          <cell r="C164" t="str">
            <v>AGUJA DESCARTABLE .:. N° 23 * 1 1/2"</v>
          </cell>
          <cell r="D164" t="str">
            <v>Sobre estéril</v>
          </cell>
          <cell r="E164">
            <v>2074</v>
          </cell>
          <cell r="F164">
            <v>389.29999993199999</v>
          </cell>
          <cell r="H164">
            <v>1800</v>
          </cell>
          <cell r="J164">
            <v>396</v>
          </cell>
          <cell r="M164">
            <v>0</v>
          </cell>
          <cell r="N164">
            <v>0</v>
          </cell>
          <cell r="P164">
            <v>2711</v>
          </cell>
          <cell r="R164">
            <v>539.56145200000003</v>
          </cell>
          <cell r="S164">
            <v>0</v>
          </cell>
          <cell r="T164">
            <v>0</v>
          </cell>
          <cell r="U164">
            <v>1163</v>
          </cell>
          <cell r="V164">
            <v>0.21129700000000001</v>
          </cell>
          <cell r="W164">
            <v>245.73841100000001</v>
          </cell>
          <cell r="X164">
            <v>2.4089800000000001</v>
          </cell>
          <cell r="Y164">
            <v>0</v>
          </cell>
          <cell r="Z164">
            <v>0.21129700000000001</v>
          </cell>
          <cell r="AA164">
            <v>245.73841100000001</v>
          </cell>
        </row>
        <row r="165">
          <cell r="B165" t="str">
            <v>DAC013</v>
          </cell>
          <cell r="C165" t="str">
            <v>AGUJA PARA ANESTESIA RAQUIDEA .:. N° 25 PUNTA DE LAPIZ</v>
          </cell>
          <cell r="D165" t="str">
            <v>Sobre estéril</v>
          </cell>
          <cell r="E165">
            <v>22</v>
          </cell>
          <cell r="F165">
            <v>852.31999999959999</v>
          </cell>
          <cell r="H165">
            <v>25</v>
          </cell>
          <cell r="J165">
            <v>950</v>
          </cell>
          <cell r="M165">
            <v>0</v>
          </cell>
          <cell r="N165">
            <v>0</v>
          </cell>
          <cell r="P165">
            <v>40</v>
          </cell>
          <cell r="R165">
            <v>1534.543514</v>
          </cell>
          <cell r="S165">
            <v>0</v>
          </cell>
          <cell r="T165">
            <v>0</v>
          </cell>
          <cell r="U165">
            <v>7</v>
          </cell>
          <cell r="V165">
            <v>38.253779000000002</v>
          </cell>
          <cell r="W165">
            <v>267.776453</v>
          </cell>
          <cell r="X165">
            <v>2.4089800000000001</v>
          </cell>
          <cell r="Y165">
            <v>0</v>
          </cell>
          <cell r="Z165">
            <v>38.253779000000002</v>
          </cell>
          <cell r="AA165">
            <v>267.776453</v>
          </cell>
        </row>
        <row r="166">
          <cell r="B166" t="str">
            <v>DAC014</v>
          </cell>
          <cell r="C166" t="str">
            <v>AGUJA PARA ANESTESIA RAQUIDEA .:. N° 27 PUNTA DE LAPIZ</v>
          </cell>
          <cell r="D166" t="str">
            <v>Sobre estéril</v>
          </cell>
          <cell r="E166">
            <v>27</v>
          </cell>
          <cell r="F166">
            <v>1080</v>
          </cell>
          <cell r="H166">
            <v>90</v>
          </cell>
          <cell r="J166">
            <v>3600</v>
          </cell>
          <cell r="M166">
            <v>0</v>
          </cell>
          <cell r="N166">
            <v>0</v>
          </cell>
          <cell r="P166">
            <v>70</v>
          </cell>
          <cell r="R166">
            <v>2800</v>
          </cell>
          <cell r="S166">
            <v>0</v>
          </cell>
          <cell r="T166">
            <v>0</v>
          </cell>
          <cell r="U166">
            <v>47</v>
          </cell>
          <cell r="V166">
            <v>40</v>
          </cell>
          <cell r="W166">
            <v>1880</v>
          </cell>
          <cell r="X166">
            <v>2.4089800000000001</v>
          </cell>
          <cell r="Y166">
            <v>0</v>
          </cell>
          <cell r="Z166">
            <v>40</v>
          </cell>
          <cell r="AA166">
            <v>1880</v>
          </cell>
        </row>
        <row r="167">
          <cell r="B167" t="str">
            <v>DAC060</v>
          </cell>
          <cell r="C167" t="str">
            <v>CATETER VENOSO CENTRAL .:. TRIPLE LUMEN SET 7F X 12" (30CM)</v>
          </cell>
          <cell r="D167" t="str">
            <v>Sobre estéril</v>
          </cell>
          <cell r="E167">
            <v>18</v>
          </cell>
          <cell r="F167">
            <v>4739.9999999993997</v>
          </cell>
          <cell r="H167">
            <v>10</v>
          </cell>
          <cell r="J167">
            <v>2500</v>
          </cell>
          <cell r="M167">
            <v>5</v>
          </cell>
          <cell r="N167">
            <v>1316.67</v>
          </cell>
          <cell r="P167">
            <v>21</v>
          </cell>
          <cell r="R167">
            <v>5468.4644189999999</v>
          </cell>
          <cell r="S167">
            <v>5</v>
          </cell>
          <cell r="T167">
            <v>1316.6666660000001</v>
          </cell>
          <cell r="U167">
            <v>7</v>
          </cell>
          <cell r="V167">
            <v>253.076987</v>
          </cell>
          <cell r="W167">
            <v>1771.5389090000001</v>
          </cell>
          <cell r="X167">
            <v>2.4089800000000001</v>
          </cell>
          <cell r="Y167">
            <v>0</v>
          </cell>
          <cell r="Z167">
            <v>253.076987</v>
          </cell>
          <cell r="AA167">
            <v>1771.5389090000001</v>
          </cell>
        </row>
        <row r="168">
          <cell r="B168" t="str">
            <v>DAC065</v>
          </cell>
          <cell r="C168" t="str">
            <v>CATETER VENOSO PERIFERICO .:. Nº  18  CON ALETAS DE FIJACION</v>
          </cell>
          <cell r="D168" t="str">
            <v>Sobre estéril</v>
          </cell>
          <cell r="E168">
            <v>106</v>
          </cell>
          <cell r="F168">
            <v>387.96</v>
          </cell>
          <cell r="H168">
            <v>100</v>
          </cell>
          <cell r="J168">
            <v>398</v>
          </cell>
          <cell r="M168">
            <v>2</v>
          </cell>
          <cell r="N168">
            <v>7.5661529999999999</v>
          </cell>
          <cell r="P168">
            <v>155</v>
          </cell>
          <cell r="R168">
            <v>586.59867699999995</v>
          </cell>
          <cell r="S168">
            <v>0</v>
          </cell>
          <cell r="T168">
            <v>0</v>
          </cell>
          <cell r="U168">
            <v>53</v>
          </cell>
          <cell r="V168">
            <v>3.90429</v>
          </cell>
          <cell r="W168">
            <v>206.92737</v>
          </cell>
          <cell r="X168">
            <v>2.4089800000000001</v>
          </cell>
          <cell r="Y168">
            <v>0</v>
          </cell>
          <cell r="Z168">
            <v>3.90429</v>
          </cell>
          <cell r="AA168">
            <v>206.92737</v>
          </cell>
        </row>
        <row r="169">
          <cell r="B169" t="str">
            <v>DAC066</v>
          </cell>
          <cell r="C169" t="str">
            <v>CATETER VENOSO PERIFERICO .:. Nº 20 CON ALETAS DE FIJACION</v>
          </cell>
          <cell r="D169" t="str">
            <v>Sobre estéril</v>
          </cell>
          <cell r="E169">
            <v>154</v>
          </cell>
          <cell r="F169">
            <v>564.96000000439994</v>
          </cell>
          <cell r="H169">
            <v>450</v>
          </cell>
          <cell r="J169">
            <v>1771.5</v>
          </cell>
          <cell r="M169">
            <v>8</v>
          </cell>
          <cell r="N169">
            <v>30.456765999999998</v>
          </cell>
          <cell r="P169">
            <v>520</v>
          </cell>
          <cell r="R169">
            <v>2010.066896</v>
          </cell>
          <cell r="S169">
            <v>0</v>
          </cell>
          <cell r="T169">
            <v>0</v>
          </cell>
          <cell r="U169">
            <v>92</v>
          </cell>
          <cell r="V169">
            <v>3.8788</v>
          </cell>
          <cell r="W169">
            <v>356.84960000000001</v>
          </cell>
          <cell r="X169">
            <v>2.4089800000000001</v>
          </cell>
          <cell r="Y169">
            <v>0</v>
          </cell>
          <cell r="Z169">
            <v>3.8788</v>
          </cell>
          <cell r="AA169">
            <v>356.84960000000001</v>
          </cell>
        </row>
        <row r="170">
          <cell r="B170" t="str">
            <v>DAC067</v>
          </cell>
          <cell r="C170" t="str">
            <v>CATETER VENOSO PERIFERICO .:. Nº  22 CON ALETAS DE FIJACION</v>
          </cell>
          <cell r="D170" t="str">
            <v>Sobre estéril</v>
          </cell>
          <cell r="E170">
            <v>767</v>
          </cell>
          <cell r="F170">
            <v>2769.9000000047999</v>
          </cell>
          <cell r="H170">
            <v>300</v>
          </cell>
          <cell r="J170">
            <v>1155</v>
          </cell>
          <cell r="M170">
            <v>15</v>
          </cell>
          <cell r="N170">
            <v>54.407998999999997</v>
          </cell>
          <cell r="P170">
            <v>963</v>
          </cell>
          <cell r="R170">
            <v>3521.2518580000001</v>
          </cell>
          <cell r="S170">
            <v>0</v>
          </cell>
          <cell r="T170">
            <v>0</v>
          </cell>
          <cell r="U170">
            <v>119</v>
          </cell>
          <cell r="V170">
            <v>3.8492069999999998</v>
          </cell>
          <cell r="W170">
            <v>458.055633</v>
          </cell>
          <cell r="X170">
            <v>2.4089800000000001</v>
          </cell>
          <cell r="Y170">
            <v>0</v>
          </cell>
          <cell r="Z170">
            <v>3.8492069999999998</v>
          </cell>
          <cell r="AA170">
            <v>458.055633</v>
          </cell>
        </row>
        <row r="171">
          <cell r="B171" t="str">
            <v>DAC068</v>
          </cell>
          <cell r="C171" t="str">
            <v>CATETER VENOSO PERIFERICO .:. Nº  24 CON ALETAS DE FIJACION</v>
          </cell>
          <cell r="D171" t="str">
            <v>Sobre estéril</v>
          </cell>
          <cell r="E171">
            <v>157</v>
          </cell>
          <cell r="F171">
            <v>579.71999999479999</v>
          </cell>
          <cell r="H171">
            <v>0</v>
          </cell>
          <cell r="J171">
            <v>0</v>
          </cell>
          <cell r="M171">
            <v>4</v>
          </cell>
          <cell r="N171">
            <v>14.769936</v>
          </cell>
          <cell r="P171">
            <v>68</v>
          </cell>
          <cell r="R171">
            <v>251.08891199999999</v>
          </cell>
          <cell r="S171">
            <v>0</v>
          </cell>
          <cell r="T171">
            <v>0</v>
          </cell>
          <cell r="U171">
            <v>93</v>
          </cell>
          <cell r="V171">
            <v>3.6924839999999999</v>
          </cell>
          <cell r="W171">
            <v>343.40101199999998</v>
          </cell>
          <cell r="X171">
            <v>2.4089800000000001</v>
          </cell>
          <cell r="Y171">
            <v>0</v>
          </cell>
          <cell r="Z171">
            <v>3.6924839999999999</v>
          </cell>
          <cell r="AA171">
            <v>343.40101199999998</v>
          </cell>
        </row>
        <row r="172">
          <cell r="B172" t="str">
            <v>DAC069</v>
          </cell>
          <cell r="C172" t="str">
            <v>DISPOSITIVO BIDIRECCIONAL .:. PARA TRANSFERENCIA DE MEDICAMENTOS</v>
          </cell>
          <cell r="D172" t="str">
            <v>Sobre estéril</v>
          </cell>
          <cell r="E172">
            <v>22</v>
          </cell>
          <cell r="F172">
            <v>109.15000000080001</v>
          </cell>
          <cell r="H172">
            <v>0</v>
          </cell>
          <cell r="J172">
            <v>0</v>
          </cell>
          <cell r="M172">
            <v>0</v>
          </cell>
          <cell r="N172">
            <v>0</v>
          </cell>
          <cell r="P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22</v>
          </cell>
          <cell r="V172">
            <v>4.9613630000000004</v>
          </cell>
          <cell r="W172">
            <v>109.149986</v>
          </cell>
          <cell r="X172">
            <v>2.4089800000000001</v>
          </cell>
          <cell r="Y172">
            <v>0</v>
          </cell>
          <cell r="Z172">
            <v>4.9613630000000004</v>
          </cell>
          <cell r="AA172">
            <v>109.149986</v>
          </cell>
        </row>
        <row r="173">
          <cell r="B173" t="str">
            <v>DAC074</v>
          </cell>
          <cell r="C173" t="str">
            <v>EQUIPO DE VENOCLISIS .:. CON AGUJA Nº 21</v>
          </cell>
          <cell r="D173" t="str">
            <v>Sobre estéril</v>
          </cell>
          <cell r="E173">
            <v>933</v>
          </cell>
          <cell r="F173">
            <v>2391.3200000318998</v>
          </cell>
          <cell r="H173">
            <v>1200</v>
          </cell>
          <cell r="J173">
            <v>3360</v>
          </cell>
          <cell r="M173">
            <v>30</v>
          </cell>
          <cell r="N173">
            <v>80.178809999999999</v>
          </cell>
          <cell r="P173">
            <v>1657</v>
          </cell>
          <cell r="R173">
            <v>4451.4304460000003</v>
          </cell>
          <cell r="S173">
            <v>0</v>
          </cell>
          <cell r="T173">
            <v>0</v>
          </cell>
          <cell r="U173">
            <v>506</v>
          </cell>
          <cell r="V173">
            <v>2.7274060000000002</v>
          </cell>
          <cell r="W173">
            <v>1380.067436</v>
          </cell>
          <cell r="X173">
            <v>2.4089800000000001</v>
          </cell>
          <cell r="Y173">
            <v>0</v>
          </cell>
          <cell r="Z173">
            <v>2.7274060000000002</v>
          </cell>
          <cell r="AA173">
            <v>1380.067436</v>
          </cell>
        </row>
        <row r="174">
          <cell r="B174" t="str">
            <v>DAC076</v>
          </cell>
          <cell r="C174" t="str">
            <v>EQUIPO VENOCLISIS .:. COLOR AMBAR</v>
          </cell>
          <cell r="D174" t="str">
            <v>Sobre estéril</v>
          </cell>
          <cell r="E174">
            <v>0</v>
          </cell>
          <cell r="F174">
            <v>0</v>
          </cell>
          <cell r="H174">
            <v>30</v>
          </cell>
          <cell r="J174">
            <v>687</v>
          </cell>
          <cell r="M174">
            <v>2</v>
          </cell>
          <cell r="N174">
            <v>45.8</v>
          </cell>
          <cell r="P174">
            <v>14</v>
          </cell>
          <cell r="R174">
            <v>320.60000000000002</v>
          </cell>
          <cell r="S174">
            <v>0</v>
          </cell>
          <cell r="T174">
            <v>0</v>
          </cell>
          <cell r="U174">
            <v>18</v>
          </cell>
          <cell r="V174">
            <v>22.9</v>
          </cell>
          <cell r="W174">
            <v>412.2</v>
          </cell>
          <cell r="X174">
            <v>2.4089800000000001</v>
          </cell>
          <cell r="Y174">
            <v>0</v>
          </cell>
          <cell r="Z174">
            <v>22.9</v>
          </cell>
          <cell r="AA174">
            <v>412.2</v>
          </cell>
        </row>
        <row r="175">
          <cell r="B175" t="str">
            <v>DAC078</v>
          </cell>
          <cell r="C175" t="str">
            <v>EXTENSOR DE VIA .:. DE 120 CM</v>
          </cell>
          <cell r="D175" t="str">
            <v>Sobre estéril</v>
          </cell>
          <cell r="E175">
            <v>7</v>
          </cell>
          <cell r="F175">
            <v>86.1</v>
          </cell>
          <cell r="H175">
            <v>0</v>
          </cell>
          <cell r="J175">
            <v>0</v>
          </cell>
          <cell r="M175">
            <v>0</v>
          </cell>
          <cell r="N175">
            <v>0</v>
          </cell>
          <cell r="P175">
            <v>7</v>
          </cell>
          <cell r="R175">
            <v>86.1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2.4089800000000001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DAC088</v>
          </cell>
          <cell r="C176" t="str">
            <v>LLAVE DE 3 VIAS .:. CON ALARGADOR 50 CM - 10CM</v>
          </cell>
          <cell r="D176" t="str">
            <v>Sobre estéril</v>
          </cell>
          <cell r="E176">
            <v>150</v>
          </cell>
          <cell r="F176">
            <v>577.27999999500003</v>
          </cell>
          <cell r="H176">
            <v>150</v>
          </cell>
          <cell r="J176">
            <v>607.5</v>
          </cell>
          <cell r="M176">
            <v>3</v>
          </cell>
          <cell r="N176">
            <v>11.545598999999999</v>
          </cell>
          <cell r="P176">
            <v>209</v>
          </cell>
          <cell r="R176">
            <v>815.62555099999997</v>
          </cell>
          <cell r="S176">
            <v>0</v>
          </cell>
          <cell r="T176">
            <v>0</v>
          </cell>
          <cell r="U176">
            <v>94</v>
          </cell>
          <cell r="V176">
            <v>4.05</v>
          </cell>
          <cell r="W176">
            <v>380.7</v>
          </cell>
          <cell r="X176">
            <v>2.4089800000000001</v>
          </cell>
          <cell r="Y176">
            <v>0</v>
          </cell>
          <cell r="Z176">
            <v>4.05</v>
          </cell>
          <cell r="AA176">
            <v>380.7</v>
          </cell>
        </row>
        <row r="177">
          <cell r="B177" t="str">
            <v>DAC089</v>
          </cell>
          <cell r="C177" t="str">
            <v>LLAVE DE 3 VIAS .:. SIN ALARGADOR</v>
          </cell>
          <cell r="D177" t="str">
            <v>Sobre estéril</v>
          </cell>
          <cell r="E177">
            <v>87</v>
          </cell>
          <cell r="F177">
            <v>261</v>
          </cell>
          <cell r="H177">
            <v>150</v>
          </cell>
          <cell r="J177">
            <v>525</v>
          </cell>
          <cell r="M177">
            <v>4</v>
          </cell>
          <cell r="N177">
            <v>12</v>
          </cell>
          <cell r="P177">
            <v>110</v>
          </cell>
          <cell r="R177">
            <v>339.5</v>
          </cell>
          <cell r="S177">
            <v>0</v>
          </cell>
          <cell r="T177">
            <v>0</v>
          </cell>
          <cell r="U177">
            <v>131</v>
          </cell>
          <cell r="V177">
            <v>3.5</v>
          </cell>
          <cell r="W177">
            <v>458.5</v>
          </cell>
          <cell r="X177">
            <v>2.4089800000000001</v>
          </cell>
          <cell r="Y177">
            <v>0</v>
          </cell>
          <cell r="Z177">
            <v>3.5</v>
          </cell>
          <cell r="AA177">
            <v>458.5</v>
          </cell>
        </row>
        <row r="178">
          <cell r="B178" t="str">
            <v>DAC091</v>
          </cell>
          <cell r="C178" t="str">
            <v>MICROGOTERO .:. CON DEPOSITO RIGIDO 100 ML - 150ML</v>
          </cell>
          <cell r="D178" t="str">
            <v>Sobre estéril</v>
          </cell>
          <cell r="E178">
            <v>111</v>
          </cell>
          <cell r="F178">
            <v>1242.7100000016001</v>
          </cell>
          <cell r="H178">
            <v>100</v>
          </cell>
          <cell r="J178">
            <v>900</v>
          </cell>
          <cell r="M178">
            <v>4</v>
          </cell>
          <cell r="N178">
            <v>40.838172</v>
          </cell>
          <cell r="P178">
            <v>176</v>
          </cell>
          <cell r="R178">
            <v>1798.1944129999999</v>
          </cell>
          <cell r="S178">
            <v>0</v>
          </cell>
          <cell r="T178">
            <v>0</v>
          </cell>
          <cell r="U178">
            <v>39</v>
          </cell>
          <cell r="V178">
            <v>9.8808629999999997</v>
          </cell>
          <cell r="W178">
            <v>385.353657</v>
          </cell>
          <cell r="X178">
            <v>2.4089800000000001</v>
          </cell>
          <cell r="Y178">
            <v>0</v>
          </cell>
          <cell r="Z178">
            <v>9.8808629999999997</v>
          </cell>
          <cell r="AA178">
            <v>385.353657</v>
          </cell>
        </row>
        <row r="179">
          <cell r="B179" t="str">
            <v>DAC093</v>
          </cell>
          <cell r="C179" t="str">
            <v>TAPON HEPARINIZADO .:. PIEZA</v>
          </cell>
          <cell r="D179" t="str">
            <v>Pieza</v>
          </cell>
          <cell r="E179">
            <v>176</v>
          </cell>
          <cell r="F179">
            <v>316.8</v>
          </cell>
          <cell r="H179">
            <v>200</v>
          </cell>
          <cell r="J179">
            <v>400</v>
          </cell>
          <cell r="M179">
            <v>2</v>
          </cell>
          <cell r="N179">
            <v>3.7265820000000001</v>
          </cell>
          <cell r="P179">
            <v>216</v>
          </cell>
          <cell r="R179">
            <v>408.42021</v>
          </cell>
          <cell r="S179">
            <v>0</v>
          </cell>
          <cell r="T179">
            <v>0</v>
          </cell>
          <cell r="U179">
            <v>162</v>
          </cell>
          <cell r="V179">
            <v>1.926582</v>
          </cell>
          <cell r="W179">
            <v>312.10628400000002</v>
          </cell>
          <cell r="X179">
            <v>2.4089800000000001</v>
          </cell>
          <cell r="Y179">
            <v>0</v>
          </cell>
          <cell r="Z179">
            <v>1.926582</v>
          </cell>
          <cell r="AA179">
            <v>312.10628400000002</v>
          </cell>
        </row>
        <row r="180">
          <cell r="B180" t="str">
            <v>DB002</v>
          </cell>
          <cell r="C180" t="str">
            <v>BOLSA COLECTORA DE ORINA .:. 2000 ML. CON VALVULA ANTIRREFLUJO</v>
          </cell>
          <cell r="D180" t="str">
            <v>Bolsa esteril</v>
          </cell>
          <cell r="E180">
            <v>70</v>
          </cell>
          <cell r="F180">
            <v>344.86999999900002</v>
          </cell>
          <cell r="H180">
            <v>60</v>
          </cell>
          <cell r="J180">
            <v>282</v>
          </cell>
          <cell r="M180">
            <v>2</v>
          </cell>
          <cell r="N180">
            <v>9.6267139999999998</v>
          </cell>
          <cell r="P180">
            <v>103</v>
          </cell>
          <cell r="R180">
            <v>500.19669399999998</v>
          </cell>
          <cell r="S180">
            <v>0</v>
          </cell>
          <cell r="T180">
            <v>0</v>
          </cell>
          <cell r="U180">
            <v>29</v>
          </cell>
          <cell r="V180">
            <v>4.7</v>
          </cell>
          <cell r="W180">
            <v>136.30000000000001</v>
          </cell>
          <cell r="X180">
            <v>2.4089800000000001</v>
          </cell>
          <cell r="Y180">
            <v>0</v>
          </cell>
          <cell r="Z180">
            <v>4.7</v>
          </cell>
          <cell r="AA180">
            <v>136.30000000000001</v>
          </cell>
        </row>
        <row r="181">
          <cell r="B181" t="str">
            <v>DI-01-01</v>
          </cell>
          <cell r="C181" t="str">
            <v>GENERADOR DE  MARCAPASO  CARDIACO DOBLE CAMARA (DDDR) .:. s/d</v>
          </cell>
          <cell r="D181" t="str">
            <v>Pieza</v>
          </cell>
          <cell r="E181">
            <v>0</v>
          </cell>
          <cell r="F181">
            <v>0</v>
          </cell>
          <cell r="H181">
            <v>6</v>
          </cell>
          <cell r="J181">
            <v>107900</v>
          </cell>
          <cell r="M181">
            <v>0</v>
          </cell>
          <cell r="N181">
            <v>0</v>
          </cell>
          <cell r="P181">
            <v>6</v>
          </cell>
          <cell r="R181">
            <v>107900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2.4089800000000001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DI014</v>
          </cell>
          <cell r="C182" t="str">
            <v>PLACA RADIOGRÁFICA DI-HL .:. 20 X 25</v>
          </cell>
          <cell r="D182" t="str">
            <v>Caja</v>
          </cell>
          <cell r="E182">
            <v>0</v>
          </cell>
          <cell r="F182">
            <v>0</v>
          </cell>
          <cell r="H182">
            <v>2</v>
          </cell>
          <cell r="J182">
            <v>2900</v>
          </cell>
          <cell r="M182">
            <v>0</v>
          </cell>
          <cell r="N182">
            <v>0</v>
          </cell>
          <cell r="P182">
            <v>2</v>
          </cell>
          <cell r="R182">
            <v>2900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2.4089800000000001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DJ003</v>
          </cell>
          <cell r="C183" t="str">
            <v>JERINGA DESCARTABLE .:. 3 ML CON AGUJA 21 X 1 1/2" C/ROSCA</v>
          </cell>
          <cell r="D183" t="str">
            <v>Sobre estéril</v>
          </cell>
          <cell r="E183">
            <v>1886</v>
          </cell>
          <cell r="F183">
            <v>754.4</v>
          </cell>
          <cell r="H183">
            <v>0</v>
          </cell>
          <cell r="J183">
            <v>0</v>
          </cell>
          <cell r="M183">
            <v>0</v>
          </cell>
          <cell r="N183">
            <v>0</v>
          </cell>
          <cell r="P183">
            <v>1886</v>
          </cell>
          <cell r="R183">
            <v>754.4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2.4089800000000001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DJ004</v>
          </cell>
          <cell r="C184" t="str">
            <v>JERINGA DESCARTABLE .:. 5 ML CON AGUJA 21 X 1 1/2" C/ROSCA</v>
          </cell>
          <cell r="D184" t="str">
            <v>Sobre estéril</v>
          </cell>
          <cell r="E184">
            <v>1363</v>
          </cell>
          <cell r="F184">
            <v>558.83000000000004</v>
          </cell>
          <cell r="H184">
            <v>5000</v>
          </cell>
          <cell r="J184">
            <v>1920</v>
          </cell>
          <cell r="M184">
            <v>9</v>
          </cell>
          <cell r="N184">
            <v>3.3546</v>
          </cell>
          <cell r="P184">
            <v>5133</v>
          </cell>
          <cell r="R184">
            <v>2029.200846</v>
          </cell>
          <cell r="S184">
            <v>0</v>
          </cell>
          <cell r="T184">
            <v>0</v>
          </cell>
          <cell r="U184">
            <v>1239</v>
          </cell>
          <cell r="V184">
            <v>0.36560399999999998</v>
          </cell>
          <cell r="W184">
            <v>452.98335600000001</v>
          </cell>
          <cell r="X184">
            <v>2.4089800000000001</v>
          </cell>
          <cell r="Y184">
            <v>0</v>
          </cell>
          <cell r="Z184">
            <v>0.36560399999999998</v>
          </cell>
          <cell r="AA184">
            <v>452.98335600000001</v>
          </cell>
        </row>
        <row r="185">
          <cell r="B185" t="str">
            <v>DJ005</v>
          </cell>
          <cell r="C185" t="str">
            <v>JERINGA DESCARTABLE .:. 10 ML CON AGUJA 21 X 1 1/2" C/ROSCA</v>
          </cell>
          <cell r="D185" t="str">
            <v>Sobre estéril</v>
          </cell>
          <cell r="E185">
            <v>6195</v>
          </cell>
          <cell r="F185">
            <v>3508.1500000575002</v>
          </cell>
          <cell r="H185">
            <v>11500</v>
          </cell>
          <cell r="J185">
            <v>6180</v>
          </cell>
          <cell r="M185">
            <v>223</v>
          </cell>
          <cell r="N185">
            <v>122.341956</v>
          </cell>
          <cell r="P185">
            <v>15896</v>
          </cell>
          <cell r="R185">
            <v>8839.8779809999996</v>
          </cell>
          <cell r="S185">
            <v>0</v>
          </cell>
          <cell r="T185">
            <v>0</v>
          </cell>
          <cell r="U185">
            <v>2022</v>
          </cell>
          <cell r="V185">
            <v>0.48002600000000001</v>
          </cell>
          <cell r="W185">
            <v>970.612572</v>
          </cell>
          <cell r="X185">
            <v>2.4089800000000001</v>
          </cell>
          <cell r="Y185">
            <v>0</v>
          </cell>
          <cell r="Z185">
            <v>0.48002600000000001</v>
          </cell>
          <cell r="AA185">
            <v>970.612572</v>
          </cell>
        </row>
        <row r="186">
          <cell r="B186" t="str">
            <v>DJ006</v>
          </cell>
          <cell r="C186" t="str">
            <v>JERINGA DESCARTABLE .:. 20 ML CON AGUJA 21X 1 1/2" C/ ROSCA</v>
          </cell>
          <cell r="D186" t="str">
            <v>Sobre estéril</v>
          </cell>
          <cell r="E186">
            <v>2608</v>
          </cell>
          <cell r="F186">
            <v>2500.5699999024</v>
          </cell>
          <cell r="H186">
            <v>3000</v>
          </cell>
          <cell r="J186">
            <v>2490</v>
          </cell>
          <cell r="M186">
            <v>108</v>
          </cell>
          <cell r="N186">
            <v>101.000293</v>
          </cell>
          <cell r="P186">
            <v>3881</v>
          </cell>
          <cell r="R186">
            <v>3623.2275930000001</v>
          </cell>
          <cell r="S186">
            <v>0</v>
          </cell>
          <cell r="T186">
            <v>0</v>
          </cell>
          <cell r="U186">
            <v>1835</v>
          </cell>
          <cell r="V186">
            <v>0.80018599999999995</v>
          </cell>
          <cell r="W186">
            <v>1468.34131</v>
          </cell>
          <cell r="X186">
            <v>2.4089800000000001</v>
          </cell>
          <cell r="Y186">
            <v>0</v>
          </cell>
          <cell r="Z186">
            <v>0.80018599999999995</v>
          </cell>
          <cell r="AA186">
            <v>1468.34131</v>
          </cell>
        </row>
        <row r="187">
          <cell r="B187" t="str">
            <v>DJ007</v>
          </cell>
          <cell r="C187" t="str">
            <v>JERINGA DESCARTABLE 50 ML LUER .:. 50 ML LUER</v>
          </cell>
          <cell r="D187" t="str">
            <v>Sobre estéril</v>
          </cell>
          <cell r="E187">
            <v>83</v>
          </cell>
          <cell r="F187">
            <v>208.2500000018</v>
          </cell>
          <cell r="H187">
            <v>100</v>
          </cell>
          <cell r="J187">
            <v>250</v>
          </cell>
          <cell r="M187">
            <v>7</v>
          </cell>
          <cell r="N187">
            <v>17.523961</v>
          </cell>
          <cell r="P187">
            <v>166</v>
          </cell>
          <cell r="R187">
            <v>415.69175899999999</v>
          </cell>
          <cell r="S187">
            <v>0</v>
          </cell>
          <cell r="T187">
            <v>0</v>
          </cell>
          <cell r="U187">
            <v>24</v>
          </cell>
          <cell r="V187">
            <v>2.5034230000000002</v>
          </cell>
          <cell r="W187">
            <v>60.082152000000001</v>
          </cell>
          <cell r="X187">
            <v>2.4089800000000001</v>
          </cell>
          <cell r="Y187">
            <v>0</v>
          </cell>
          <cell r="Z187">
            <v>2.5034230000000002</v>
          </cell>
          <cell r="AA187">
            <v>60.082152000000001</v>
          </cell>
        </row>
        <row r="188">
          <cell r="B188" t="str">
            <v>DJ009</v>
          </cell>
          <cell r="C188" t="str">
            <v>JERINGA INSULINA DESCARTABLE .:. 1 ML C/AGUJA DESMONTABLE N° 28</v>
          </cell>
          <cell r="D188" t="str">
            <v>Sobre estéril</v>
          </cell>
          <cell r="E188">
            <v>720</v>
          </cell>
          <cell r="F188">
            <v>357.62999997600002</v>
          </cell>
          <cell r="H188">
            <v>0</v>
          </cell>
          <cell r="J188">
            <v>0</v>
          </cell>
          <cell r="M188">
            <v>14</v>
          </cell>
          <cell r="N188">
            <v>6.9539299999999997</v>
          </cell>
          <cell r="P188">
            <v>659</v>
          </cell>
          <cell r="R188">
            <v>327.33071000000001</v>
          </cell>
          <cell r="S188">
            <v>0</v>
          </cell>
          <cell r="T188">
            <v>0</v>
          </cell>
          <cell r="U188">
            <v>75</v>
          </cell>
          <cell r="V188">
            <v>0.49670799999999998</v>
          </cell>
          <cell r="W188">
            <v>37.253100000000003</v>
          </cell>
          <cell r="X188">
            <v>2.4089800000000001</v>
          </cell>
          <cell r="Y188">
            <v>0</v>
          </cell>
          <cell r="Z188">
            <v>0.49670799999999998</v>
          </cell>
          <cell r="AA188">
            <v>37.253100000000003</v>
          </cell>
        </row>
        <row r="189">
          <cell r="B189" t="str">
            <v>DL315</v>
          </cell>
          <cell r="C189" t="str">
            <v>PORTA OBJETOS  ESMERILADO .:. POR 50 PIEZAS O  MAS CON BORDE ESMERILADO</v>
          </cell>
          <cell r="D189" t="str">
            <v>Caja</v>
          </cell>
          <cell r="E189">
            <v>18</v>
          </cell>
          <cell r="F189">
            <v>272.12999999940001</v>
          </cell>
          <cell r="H189">
            <v>0</v>
          </cell>
          <cell r="J189">
            <v>0</v>
          </cell>
          <cell r="M189">
            <v>0</v>
          </cell>
          <cell r="N189">
            <v>0</v>
          </cell>
          <cell r="P189">
            <v>4</v>
          </cell>
          <cell r="R189">
            <v>60.473331999999999</v>
          </cell>
          <cell r="S189">
            <v>0</v>
          </cell>
          <cell r="T189">
            <v>0</v>
          </cell>
          <cell r="U189">
            <v>14</v>
          </cell>
          <cell r="V189">
            <v>15.118333</v>
          </cell>
          <cell r="W189">
            <v>211.65666200000001</v>
          </cell>
          <cell r="X189">
            <v>2.4089800000000001</v>
          </cell>
          <cell r="Y189">
            <v>0</v>
          </cell>
          <cell r="Z189">
            <v>15.118333</v>
          </cell>
          <cell r="AA189">
            <v>211.65666200000001</v>
          </cell>
        </row>
        <row r="190">
          <cell r="B190" t="str">
            <v>DL366</v>
          </cell>
          <cell r="C190" t="str">
            <v>TIRAS REACTIVAS PARAGLUCOMETRO .:. CAJA POR 50 TIRAS BUENA REPRODUCIBILIDAD REPETITIVIDAD TENGA ESTABILIDAD EXACTITUD APTA PARA USO A DIFERENTES ALTURAS, HASTA 4000 M. DE ALTURA SOBRE EL NIVEL DE MAR (PRESENTAR CERTIFICADO DE CALIBRACION DE ALTURA DE LA FABRICA DE ORIGEN).</v>
          </cell>
          <cell r="D190" t="str">
            <v>Caja</v>
          </cell>
          <cell r="E190">
            <v>1</v>
          </cell>
          <cell r="F190">
            <v>300</v>
          </cell>
          <cell r="H190">
            <v>0</v>
          </cell>
          <cell r="J190">
            <v>0</v>
          </cell>
          <cell r="M190">
            <v>0</v>
          </cell>
          <cell r="N190">
            <v>0</v>
          </cell>
          <cell r="P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1</v>
          </cell>
          <cell r="V190">
            <v>300</v>
          </cell>
          <cell r="W190">
            <v>300</v>
          </cell>
          <cell r="X190">
            <v>2.4089800000000001</v>
          </cell>
          <cell r="Y190">
            <v>0</v>
          </cell>
          <cell r="Z190">
            <v>300</v>
          </cell>
          <cell r="AA190">
            <v>300</v>
          </cell>
        </row>
        <row r="191">
          <cell r="B191" t="str">
            <v>DL3661</v>
          </cell>
          <cell r="C191" t="str">
            <v>TIRAS REACTIVAS PARA GLUCOMETRO .:. TIRAS DE BUENA REPRODUCIBILIDAD REPETITIVIDAD TENGA ESTABILIDAD EXACTITUD APTA PARA USO A DIFERENTES ALTURAS, HASTA 4000 M. DE ALTURA SOBRE EL NIVEL DE MAR (PRESENTAR CERTIFICADO DE CALIBRACION DE ALTURA DE LA FABRICA DE ORIGEN).</v>
          </cell>
          <cell r="D191" t="str">
            <v>Pieza</v>
          </cell>
          <cell r="E191">
            <v>792</v>
          </cell>
          <cell r="F191">
            <v>4655.7999999719996</v>
          </cell>
          <cell r="H191">
            <v>0</v>
          </cell>
          <cell r="J191">
            <v>0</v>
          </cell>
          <cell r="M191">
            <v>18</v>
          </cell>
          <cell r="N191">
            <v>69.959999999999994</v>
          </cell>
          <cell r="P191">
            <v>371</v>
          </cell>
          <cell r="R191">
            <v>2165.3478380000001</v>
          </cell>
          <cell r="S191">
            <v>12</v>
          </cell>
          <cell r="T191">
            <v>69.989148999999998</v>
          </cell>
          <cell r="U191">
            <v>427</v>
          </cell>
          <cell r="V191">
            <v>5.8323720000000003</v>
          </cell>
          <cell r="W191">
            <v>2490.4228440000002</v>
          </cell>
          <cell r="X191">
            <v>2.4089800000000001</v>
          </cell>
          <cell r="Y191">
            <v>0</v>
          </cell>
          <cell r="Z191">
            <v>5.8323720000000003</v>
          </cell>
          <cell r="AA191">
            <v>2490.4228440000002</v>
          </cell>
        </row>
        <row r="192">
          <cell r="B192" t="str">
            <v>DMQ005</v>
          </cell>
          <cell r="C192" t="str">
            <v>CAMPO QUIRURGICO .:. DESCARTABLE</v>
          </cell>
          <cell r="D192" t="str">
            <v>Sobre estéril</v>
          </cell>
          <cell r="E192">
            <v>2</v>
          </cell>
          <cell r="F192">
            <v>230.29</v>
          </cell>
          <cell r="H192">
            <v>608</v>
          </cell>
          <cell r="J192">
            <v>770</v>
          </cell>
          <cell r="M192">
            <v>0</v>
          </cell>
          <cell r="N192">
            <v>0</v>
          </cell>
          <cell r="P192">
            <v>8</v>
          </cell>
          <cell r="R192">
            <v>536.23199999999997</v>
          </cell>
          <cell r="S192">
            <v>0</v>
          </cell>
          <cell r="T192">
            <v>0</v>
          </cell>
          <cell r="U192">
            <v>602</v>
          </cell>
          <cell r="V192">
            <v>0.77085999999999999</v>
          </cell>
          <cell r="W192">
            <v>464.05772000000002</v>
          </cell>
          <cell r="X192">
            <v>2.4089800000000001</v>
          </cell>
          <cell r="Y192">
            <v>0</v>
          </cell>
          <cell r="Z192">
            <v>0.77085999999999999</v>
          </cell>
          <cell r="AA192">
            <v>464.05772000000002</v>
          </cell>
        </row>
        <row r="193">
          <cell r="B193" t="str">
            <v>DMQ012</v>
          </cell>
          <cell r="C193" t="str">
            <v>ELECTRODOS .:. DE ESPUMA PARA ADULTO</v>
          </cell>
          <cell r="D193" t="str">
            <v>Sobre</v>
          </cell>
          <cell r="E193">
            <v>594</v>
          </cell>
          <cell r="F193">
            <v>926.10000000540003</v>
          </cell>
          <cell r="H193">
            <v>1000</v>
          </cell>
          <cell r="J193">
            <v>1400</v>
          </cell>
          <cell r="M193">
            <v>28</v>
          </cell>
          <cell r="N193">
            <v>40.453218999999997</v>
          </cell>
          <cell r="P193">
            <v>938</v>
          </cell>
          <cell r="R193">
            <v>1395.3389259999999</v>
          </cell>
          <cell r="S193">
            <v>0</v>
          </cell>
          <cell r="T193">
            <v>0</v>
          </cell>
          <cell r="U193">
            <v>684</v>
          </cell>
          <cell r="V193">
            <v>1.4199029999999999</v>
          </cell>
          <cell r="W193">
            <v>971.21365200000002</v>
          </cell>
          <cell r="X193">
            <v>2.4089800000000001</v>
          </cell>
          <cell r="Y193">
            <v>0</v>
          </cell>
          <cell r="Z193">
            <v>1.4199029999999999</v>
          </cell>
          <cell r="AA193">
            <v>971.21365200000002</v>
          </cell>
        </row>
        <row r="194">
          <cell r="B194" t="str">
            <v>DMQ019</v>
          </cell>
          <cell r="C194" t="str">
            <v>GUANTES QUIRURGICOS .:. N° 6  PUNO LARGO</v>
          </cell>
          <cell r="D194" t="str">
            <v>Sobre estéril</v>
          </cell>
          <cell r="E194">
            <v>72</v>
          </cell>
          <cell r="F194">
            <v>130.0000000032</v>
          </cell>
          <cell r="H194">
            <v>0</v>
          </cell>
          <cell r="J194">
            <v>0</v>
          </cell>
          <cell r="M194">
            <v>0</v>
          </cell>
          <cell r="N194">
            <v>0</v>
          </cell>
          <cell r="P194">
            <v>44</v>
          </cell>
          <cell r="R194">
            <v>79.444444000000004</v>
          </cell>
          <cell r="S194">
            <v>0</v>
          </cell>
          <cell r="T194">
            <v>0</v>
          </cell>
          <cell r="U194">
            <v>28</v>
          </cell>
          <cell r="V194">
            <v>1.805555</v>
          </cell>
          <cell r="W194">
            <v>50.555540000000001</v>
          </cell>
          <cell r="X194">
            <v>2.4089800000000001</v>
          </cell>
          <cell r="Y194">
            <v>0</v>
          </cell>
          <cell r="Z194">
            <v>1.805555</v>
          </cell>
          <cell r="AA194">
            <v>50.555540000000001</v>
          </cell>
        </row>
        <row r="195">
          <cell r="B195" t="str">
            <v>DMQ020</v>
          </cell>
          <cell r="C195" t="str">
            <v>GUANTES QUIRURGICOS ESTERIL .:. N° 6 1/2 PUNO LARGO</v>
          </cell>
          <cell r="D195" t="str">
            <v>Sobre estéril</v>
          </cell>
          <cell r="E195">
            <v>972</v>
          </cell>
          <cell r="F195">
            <v>2318.3400000095999</v>
          </cell>
          <cell r="H195">
            <v>0</v>
          </cell>
          <cell r="J195">
            <v>0</v>
          </cell>
          <cell r="M195">
            <v>4</v>
          </cell>
          <cell r="N195">
            <v>9.5404920000000004</v>
          </cell>
          <cell r="P195">
            <v>212</v>
          </cell>
          <cell r="R195">
            <v>505.64610599999997</v>
          </cell>
          <cell r="S195">
            <v>0</v>
          </cell>
          <cell r="T195">
            <v>0</v>
          </cell>
          <cell r="U195">
            <v>764</v>
          </cell>
          <cell r="V195">
            <v>2.3851230000000001</v>
          </cell>
          <cell r="W195">
            <v>1822.233972</v>
          </cell>
          <cell r="X195">
            <v>2.4089800000000001</v>
          </cell>
          <cell r="Y195">
            <v>0</v>
          </cell>
          <cell r="Z195">
            <v>2.3851230000000001</v>
          </cell>
          <cell r="AA195">
            <v>1822.233972</v>
          </cell>
        </row>
        <row r="196">
          <cell r="B196" t="str">
            <v>DMQ021</v>
          </cell>
          <cell r="C196" t="str">
            <v>GUANTES QUIRURGICOS ESTERIL .:. N° 7 PUNO LARGO</v>
          </cell>
          <cell r="D196" t="str">
            <v>Sobre estéril</v>
          </cell>
          <cell r="E196">
            <v>479</v>
          </cell>
          <cell r="F196">
            <v>1151.4399999919001</v>
          </cell>
          <cell r="H196">
            <v>500</v>
          </cell>
          <cell r="J196">
            <v>1200</v>
          </cell>
          <cell r="M196">
            <v>0</v>
          </cell>
          <cell r="N196">
            <v>0</v>
          </cell>
          <cell r="P196">
            <v>351</v>
          </cell>
          <cell r="R196">
            <v>843.26523999999995</v>
          </cell>
          <cell r="S196">
            <v>0</v>
          </cell>
          <cell r="T196">
            <v>0</v>
          </cell>
          <cell r="U196">
            <v>628</v>
          </cell>
          <cell r="V196">
            <v>2.4015520000000001</v>
          </cell>
          <cell r="W196">
            <v>1508.1746559999999</v>
          </cell>
          <cell r="X196">
            <v>2.4089800000000001</v>
          </cell>
          <cell r="Y196">
            <v>0</v>
          </cell>
          <cell r="Z196">
            <v>2.4015520000000001</v>
          </cell>
          <cell r="AA196">
            <v>1508.1746559999999</v>
          </cell>
        </row>
        <row r="197">
          <cell r="B197" t="str">
            <v>DMQ022</v>
          </cell>
          <cell r="C197" t="str">
            <v>GUANTES QUIRURGICOS ESTERIL .:. N° 7 1/2 PUNO LARGO</v>
          </cell>
          <cell r="D197" t="str">
            <v>Sobre estéril</v>
          </cell>
          <cell r="E197">
            <v>603</v>
          </cell>
          <cell r="F197">
            <v>1455.8599999971</v>
          </cell>
          <cell r="H197">
            <v>500</v>
          </cell>
          <cell r="J197">
            <v>1200</v>
          </cell>
          <cell r="M197">
            <v>3</v>
          </cell>
          <cell r="N197">
            <v>7.2197940000000003</v>
          </cell>
          <cell r="P197">
            <v>514</v>
          </cell>
          <cell r="R197">
            <v>1238.373374</v>
          </cell>
          <cell r="S197">
            <v>0</v>
          </cell>
          <cell r="T197">
            <v>0</v>
          </cell>
          <cell r="U197">
            <v>592</v>
          </cell>
          <cell r="V197">
            <v>2.4065979999999998</v>
          </cell>
          <cell r="W197">
            <v>1424.7060160000001</v>
          </cell>
          <cell r="X197">
            <v>2.4089800000000001</v>
          </cell>
          <cell r="Y197">
            <v>0</v>
          </cell>
          <cell r="Z197">
            <v>2.4065979999999998</v>
          </cell>
          <cell r="AA197">
            <v>1424.7060160000001</v>
          </cell>
        </row>
        <row r="198">
          <cell r="B198" t="str">
            <v>DMQ023</v>
          </cell>
          <cell r="C198" t="str">
            <v>GUANTES QUIRURGICOS ESTERIL .:. N° 8 PUNO LARGO</v>
          </cell>
          <cell r="D198" t="str">
            <v>Sobre estéril</v>
          </cell>
          <cell r="E198">
            <v>393</v>
          </cell>
          <cell r="F198">
            <v>944.71000000560002</v>
          </cell>
          <cell r="H198">
            <v>0</v>
          </cell>
          <cell r="J198">
            <v>0</v>
          </cell>
          <cell r="M198">
            <v>0</v>
          </cell>
          <cell r="N198">
            <v>0</v>
          </cell>
          <cell r="P198">
            <v>47</v>
          </cell>
          <cell r="R198">
            <v>112.980574</v>
          </cell>
          <cell r="S198">
            <v>0</v>
          </cell>
          <cell r="T198">
            <v>0</v>
          </cell>
          <cell r="U198">
            <v>346</v>
          </cell>
          <cell r="V198">
            <v>2.403842</v>
          </cell>
          <cell r="W198">
            <v>831.729332</v>
          </cell>
          <cell r="X198">
            <v>2.4089800000000001</v>
          </cell>
          <cell r="Y198">
            <v>0</v>
          </cell>
          <cell r="Z198">
            <v>2.403842</v>
          </cell>
          <cell r="AA198">
            <v>831.729332</v>
          </cell>
        </row>
        <row r="199">
          <cell r="B199" t="str">
            <v>DMQ028</v>
          </cell>
          <cell r="C199" t="str">
            <v>HOJAS DE BISTURI .:. N° 11</v>
          </cell>
          <cell r="D199" t="str">
            <v>Sobre estéril</v>
          </cell>
          <cell r="E199">
            <v>46</v>
          </cell>
          <cell r="F199">
            <v>27.6</v>
          </cell>
          <cell r="H199">
            <v>50</v>
          </cell>
          <cell r="J199">
            <v>31</v>
          </cell>
          <cell r="M199">
            <v>0</v>
          </cell>
          <cell r="N199">
            <v>0</v>
          </cell>
          <cell r="P199">
            <v>86</v>
          </cell>
          <cell r="R199">
            <v>52.4</v>
          </cell>
          <cell r="S199">
            <v>0</v>
          </cell>
          <cell r="T199">
            <v>0</v>
          </cell>
          <cell r="U199">
            <v>10</v>
          </cell>
          <cell r="V199">
            <v>0.62</v>
          </cell>
          <cell r="W199">
            <v>6.2</v>
          </cell>
          <cell r="X199">
            <v>2.4089800000000001</v>
          </cell>
          <cell r="Y199">
            <v>0</v>
          </cell>
          <cell r="Z199">
            <v>0.62</v>
          </cell>
          <cell r="AA199">
            <v>6.2</v>
          </cell>
        </row>
        <row r="200">
          <cell r="B200" t="str">
            <v>DMQ030</v>
          </cell>
          <cell r="C200" t="str">
            <v>HOJAS DE BISTURI N° 15 .:. N° 15</v>
          </cell>
          <cell r="D200" t="str">
            <v>Sobre estéril</v>
          </cell>
          <cell r="E200">
            <v>96</v>
          </cell>
          <cell r="F200">
            <v>55.68</v>
          </cell>
          <cell r="H200">
            <v>0</v>
          </cell>
          <cell r="J200">
            <v>0</v>
          </cell>
          <cell r="M200">
            <v>0</v>
          </cell>
          <cell r="N200">
            <v>0</v>
          </cell>
          <cell r="P200">
            <v>86</v>
          </cell>
          <cell r="R200">
            <v>49.88</v>
          </cell>
          <cell r="S200">
            <v>0</v>
          </cell>
          <cell r="T200">
            <v>0</v>
          </cell>
          <cell r="U200">
            <v>10</v>
          </cell>
          <cell r="V200">
            <v>0.57999999999999996</v>
          </cell>
          <cell r="W200">
            <v>5.8</v>
          </cell>
          <cell r="X200">
            <v>2.4089800000000001</v>
          </cell>
          <cell r="Y200">
            <v>0</v>
          </cell>
          <cell r="Z200">
            <v>0.57999999999999996</v>
          </cell>
          <cell r="AA200">
            <v>5.8</v>
          </cell>
        </row>
        <row r="201">
          <cell r="B201" t="str">
            <v>DMQ034</v>
          </cell>
          <cell r="C201" t="str">
            <v>MALLA DE POLIPROPILENO .:. 15 X 15 CM</v>
          </cell>
          <cell r="D201" t="str">
            <v>Sobre estéril</v>
          </cell>
          <cell r="E201">
            <v>0</v>
          </cell>
          <cell r="F201">
            <v>0</v>
          </cell>
          <cell r="H201">
            <v>12</v>
          </cell>
          <cell r="J201">
            <v>5520</v>
          </cell>
          <cell r="M201">
            <v>0</v>
          </cell>
          <cell r="N201">
            <v>0</v>
          </cell>
          <cell r="P201">
            <v>3</v>
          </cell>
          <cell r="R201">
            <v>1380</v>
          </cell>
          <cell r="S201">
            <v>0</v>
          </cell>
          <cell r="T201">
            <v>0</v>
          </cell>
          <cell r="U201">
            <v>9</v>
          </cell>
          <cell r="V201">
            <v>460</v>
          </cell>
          <cell r="W201">
            <v>4140</v>
          </cell>
          <cell r="X201">
            <v>2.4089800000000001</v>
          </cell>
          <cell r="Y201">
            <v>0</v>
          </cell>
          <cell r="Z201">
            <v>460</v>
          </cell>
          <cell r="AA201">
            <v>4140</v>
          </cell>
        </row>
        <row r="202">
          <cell r="B202" t="str">
            <v>DO001</v>
          </cell>
          <cell r="C202" t="str">
            <v>ACIDO GRABADOR .:. GEL  37%</v>
          </cell>
          <cell r="D202" t="str">
            <v>Jeringa</v>
          </cell>
          <cell r="E202">
            <v>0</v>
          </cell>
          <cell r="F202">
            <v>0</v>
          </cell>
          <cell r="H202">
            <v>3</v>
          </cell>
          <cell r="J202">
            <v>186</v>
          </cell>
          <cell r="M202">
            <v>0</v>
          </cell>
          <cell r="N202">
            <v>0</v>
          </cell>
          <cell r="P202">
            <v>3</v>
          </cell>
          <cell r="R202">
            <v>186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2.4089800000000001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DO002</v>
          </cell>
          <cell r="C203" t="str">
            <v>ADHESIVO DENTINARIO .:. UNIDAD</v>
          </cell>
          <cell r="D203" t="str">
            <v>Frasco</v>
          </cell>
          <cell r="E203">
            <v>0</v>
          </cell>
          <cell r="F203">
            <v>0</v>
          </cell>
          <cell r="H203">
            <v>4</v>
          </cell>
          <cell r="J203">
            <v>300</v>
          </cell>
          <cell r="M203">
            <v>0</v>
          </cell>
          <cell r="N203">
            <v>0</v>
          </cell>
          <cell r="P203">
            <v>4</v>
          </cell>
          <cell r="R203">
            <v>300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2.4089800000000001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DO003</v>
          </cell>
          <cell r="C204" t="str">
            <v>AGUJA  PARA CARPULE EXTRA CORTA .:. 30 G</v>
          </cell>
          <cell r="D204" t="str">
            <v>Caja</v>
          </cell>
          <cell r="E204">
            <v>0</v>
          </cell>
          <cell r="F204">
            <v>0</v>
          </cell>
          <cell r="H204">
            <v>1</v>
          </cell>
          <cell r="J204">
            <v>48</v>
          </cell>
          <cell r="M204">
            <v>0</v>
          </cell>
          <cell r="N204">
            <v>0</v>
          </cell>
          <cell r="P204">
            <v>1</v>
          </cell>
          <cell r="R204">
            <v>48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2.4089800000000001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DO005</v>
          </cell>
          <cell r="C205" t="str">
            <v>AGUJA PARA CARPULE CORTA .:. 30 G</v>
          </cell>
          <cell r="D205" t="str">
            <v>Caja</v>
          </cell>
          <cell r="E205">
            <v>0</v>
          </cell>
          <cell r="F205">
            <v>0</v>
          </cell>
          <cell r="H205">
            <v>6</v>
          </cell>
          <cell r="J205">
            <v>270</v>
          </cell>
          <cell r="M205">
            <v>0</v>
          </cell>
          <cell r="N205">
            <v>0</v>
          </cell>
          <cell r="P205">
            <v>6</v>
          </cell>
          <cell r="R205">
            <v>270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2.4089800000000001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DO006</v>
          </cell>
          <cell r="C206" t="str">
            <v>APLICADORES PARA ADHESIVO .:. DIFERENTES FORMAS</v>
          </cell>
          <cell r="D206" t="str">
            <v>Frasco</v>
          </cell>
          <cell r="E206">
            <v>0</v>
          </cell>
          <cell r="F206">
            <v>0</v>
          </cell>
          <cell r="H206">
            <v>8</v>
          </cell>
          <cell r="J206">
            <v>240</v>
          </cell>
          <cell r="M206">
            <v>0</v>
          </cell>
          <cell r="N206">
            <v>0</v>
          </cell>
          <cell r="P206">
            <v>8</v>
          </cell>
          <cell r="R206">
            <v>240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2.4089800000000001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DO009</v>
          </cell>
          <cell r="C207" t="str">
            <v>CEMENTO ENDODONTICO .:. NO REABSORVIBLE</v>
          </cell>
          <cell r="D207" t="str">
            <v>Caja</v>
          </cell>
          <cell r="E207">
            <v>0</v>
          </cell>
          <cell r="F207">
            <v>0</v>
          </cell>
          <cell r="H207">
            <v>2</v>
          </cell>
          <cell r="J207">
            <v>238</v>
          </cell>
          <cell r="M207">
            <v>0</v>
          </cell>
          <cell r="N207">
            <v>0</v>
          </cell>
          <cell r="P207">
            <v>2</v>
          </cell>
          <cell r="R207">
            <v>238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2.4089800000000001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DO010</v>
          </cell>
          <cell r="C208" t="str">
            <v>CEMENTO ENDODONTICO  . .:. REABSORBIBLE POLVO / LIQUIDO</v>
          </cell>
          <cell r="D208" t="str">
            <v>Caja</v>
          </cell>
          <cell r="E208">
            <v>0</v>
          </cell>
          <cell r="F208">
            <v>0</v>
          </cell>
          <cell r="H208">
            <v>2</v>
          </cell>
          <cell r="J208">
            <v>150</v>
          </cell>
          <cell r="M208">
            <v>0</v>
          </cell>
          <cell r="N208">
            <v>0</v>
          </cell>
          <cell r="P208">
            <v>2</v>
          </cell>
          <cell r="R208">
            <v>150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2.4089800000000001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DO011</v>
          </cell>
          <cell r="C209" t="str">
            <v>CEMENTO OXIFOSFATO .:. POLVO  LIQUIDO</v>
          </cell>
          <cell r="D209" t="str">
            <v>Caja</v>
          </cell>
          <cell r="E209">
            <v>0</v>
          </cell>
          <cell r="F209">
            <v>0</v>
          </cell>
          <cell r="H209">
            <v>4</v>
          </cell>
          <cell r="J209">
            <v>238</v>
          </cell>
          <cell r="M209">
            <v>0</v>
          </cell>
          <cell r="N209">
            <v>0</v>
          </cell>
          <cell r="P209">
            <v>4</v>
          </cell>
          <cell r="R209">
            <v>238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2.4089800000000001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DO024</v>
          </cell>
          <cell r="C210" t="str">
            <v>CUÑAS .:. INTERPROXIMALES</v>
          </cell>
          <cell r="D210" t="str">
            <v>Caja x 100 U</v>
          </cell>
          <cell r="E210">
            <v>0</v>
          </cell>
          <cell r="F210">
            <v>0</v>
          </cell>
          <cell r="H210">
            <v>2</v>
          </cell>
          <cell r="J210">
            <v>100</v>
          </cell>
          <cell r="M210">
            <v>0</v>
          </cell>
          <cell r="N210">
            <v>0</v>
          </cell>
          <cell r="P210">
            <v>2</v>
          </cell>
          <cell r="R210">
            <v>100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2.4089800000000001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DO033</v>
          </cell>
          <cell r="C211" t="str">
            <v>EUGENOL .:. SOLUCION</v>
          </cell>
          <cell r="D211" t="str">
            <v>Frasco</v>
          </cell>
          <cell r="E211">
            <v>0</v>
          </cell>
          <cell r="F211">
            <v>0</v>
          </cell>
          <cell r="H211">
            <v>5</v>
          </cell>
          <cell r="J211">
            <v>120</v>
          </cell>
          <cell r="M211">
            <v>0</v>
          </cell>
          <cell r="N211">
            <v>0</v>
          </cell>
          <cell r="P211">
            <v>5</v>
          </cell>
          <cell r="R211">
            <v>120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2.4089800000000001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DO034</v>
          </cell>
          <cell r="C212" t="str">
            <v>EYECTORES DE SALIVA .:. PIEZA</v>
          </cell>
          <cell r="D212" t="str">
            <v>Bolsa x 100 U</v>
          </cell>
          <cell r="E212">
            <v>0</v>
          </cell>
          <cell r="F212">
            <v>0</v>
          </cell>
          <cell r="H212">
            <v>8</v>
          </cell>
          <cell r="J212">
            <v>280</v>
          </cell>
          <cell r="M212">
            <v>0</v>
          </cell>
          <cell r="N212">
            <v>0</v>
          </cell>
          <cell r="P212">
            <v>8</v>
          </cell>
          <cell r="R212">
            <v>280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2.4089800000000001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DO035</v>
          </cell>
          <cell r="C213" t="str">
            <v>FLUOR ACIDULADO .:. GEL</v>
          </cell>
          <cell r="D213" t="str">
            <v>Frasco</v>
          </cell>
          <cell r="E213">
            <v>0</v>
          </cell>
          <cell r="F213">
            <v>0</v>
          </cell>
          <cell r="H213">
            <v>4</v>
          </cell>
          <cell r="J213">
            <v>100</v>
          </cell>
          <cell r="M213">
            <v>0</v>
          </cell>
          <cell r="N213">
            <v>0</v>
          </cell>
          <cell r="P213">
            <v>4</v>
          </cell>
          <cell r="R213">
            <v>100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2.4089800000000001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DO038</v>
          </cell>
          <cell r="C214" t="str">
            <v>FRESA  PARA PULIR RESINA .:. DIFRENTES FORMAS</v>
          </cell>
          <cell r="D214" t="str">
            <v>kit</v>
          </cell>
          <cell r="E214">
            <v>0</v>
          </cell>
          <cell r="F214">
            <v>0</v>
          </cell>
          <cell r="H214">
            <v>28</v>
          </cell>
          <cell r="J214">
            <v>190</v>
          </cell>
          <cell r="M214">
            <v>0</v>
          </cell>
          <cell r="N214">
            <v>0</v>
          </cell>
          <cell r="P214">
            <v>28</v>
          </cell>
          <cell r="R214">
            <v>190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2.4089800000000001</v>
          </cell>
          <cell r="Y214">
            <v>0</v>
          </cell>
          <cell r="Z214">
            <v>0</v>
          </cell>
          <cell r="AA214">
            <v>0</v>
          </cell>
        </row>
        <row r="215">
          <cell r="B215" t="str">
            <v>DO039</v>
          </cell>
          <cell r="C215" t="str">
            <v>FRESA ENDO Z .:. UNIDAD</v>
          </cell>
          <cell r="D215" t="str">
            <v>Pieza</v>
          </cell>
          <cell r="E215">
            <v>0</v>
          </cell>
          <cell r="F215">
            <v>0</v>
          </cell>
          <cell r="H215">
            <v>2</v>
          </cell>
          <cell r="J215">
            <v>80</v>
          </cell>
          <cell r="M215">
            <v>0</v>
          </cell>
          <cell r="N215">
            <v>0</v>
          </cell>
          <cell r="P215">
            <v>2</v>
          </cell>
          <cell r="R215">
            <v>80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2.4089800000000001</v>
          </cell>
          <cell r="Y215">
            <v>0</v>
          </cell>
          <cell r="Z215">
            <v>0</v>
          </cell>
          <cell r="AA215">
            <v>0</v>
          </cell>
        </row>
        <row r="216">
          <cell r="B216" t="str">
            <v>DO0402</v>
          </cell>
          <cell r="C216" t="str">
            <v xml:space="preserve">FRESAS DE CARBURO  .:. </v>
          </cell>
          <cell r="D216" t="str">
            <v>Pieza</v>
          </cell>
          <cell r="E216">
            <v>0</v>
          </cell>
          <cell r="F216">
            <v>0</v>
          </cell>
          <cell r="H216">
            <v>20</v>
          </cell>
          <cell r="J216">
            <v>210</v>
          </cell>
          <cell r="M216">
            <v>0</v>
          </cell>
          <cell r="N216">
            <v>0</v>
          </cell>
          <cell r="P216">
            <v>20</v>
          </cell>
          <cell r="R216">
            <v>210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2.4089800000000001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DO042</v>
          </cell>
          <cell r="C217" t="str">
            <v>FRESAS DE DIAMANTE AV .:. DIFERENTES FORMAS Y TAMANOS</v>
          </cell>
          <cell r="D217" t="str">
            <v>Pieza</v>
          </cell>
          <cell r="E217">
            <v>0</v>
          </cell>
          <cell r="F217">
            <v>0</v>
          </cell>
          <cell r="H217">
            <v>70</v>
          </cell>
          <cell r="J217">
            <v>560</v>
          </cell>
          <cell r="M217">
            <v>0</v>
          </cell>
          <cell r="N217">
            <v>0</v>
          </cell>
          <cell r="P217">
            <v>70</v>
          </cell>
          <cell r="R217">
            <v>560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2.4089800000000001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DO050</v>
          </cell>
          <cell r="C218" t="str">
            <v>HEMOSTATICO .:. GEL</v>
          </cell>
          <cell r="D218" t="str">
            <v>Jeringa</v>
          </cell>
          <cell r="E218">
            <v>0</v>
          </cell>
          <cell r="F218">
            <v>0</v>
          </cell>
          <cell r="H218">
            <v>2</v>
          </cell>
          <cell r="J218">
            <v>264</v>
          </cell>
          <cell r="M218">
            <v>0</v>
          </cell>
          <cell r="N218">
            <v>0</v>
          </cell>
          <cell r="P218">
            <v>2</v>
          </cell>
          <cell r="R218">
            <v>264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2.4089800000000001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DO053</v>
          </cell>
          <cell r="C219" t="str">
            <v>HIDROXIDO DE CALCIO .:. PASTA/ BASE Y CATALIZADOR</v>
          </cell>
          <cell r="D219" t="str">
            <v>Caja</v>
          </cell>
          <cell r="E219">
            <v>0</v>
          </cell>
          <cell r="F219">
            <v>0</v>
          </cell>
          <cell r="H219">
            <v>2</v>
          </cell>
          <cell r="J219">
            <v>195</v>
          </cell>
          <cell r="M219">
            <v>0</v>
          </cell>
          <cell r="N219">
            <v>0</v>
          </cell>
          <cell r="P219">
            <v>2</v>
          </cell>
          <cell r="R219">
            <v>195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2.4089800000000001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DO054</v>
          </cell>
          <cell r="C220" t="str">
            <v>HIDROXIDO DE CALCIO QUIMICAMENTE PURO .:. POLVO .</v>
          </cell>
          <cell r="D220" t="str">
            <v>Frasco</v>
          </cell>
          <cell r="E220">
            <v>0</v>
          </cell>
          <cell r="F220">
            <v>0</v>
          </cell>
          <cell r="H220">
            <v>2</v>
          </cell>
          <cell r="J220">
            <v>52</v>
          </cell>
          <cell r="M220">
            <v>0</v>
          </cell>
          <cell r="N220">
            <v>0</v>
          </cell>
          <cell r="P220">
            <v>2</v>
          </cell>
          <cell r="R220">
            <v>52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2.4089800000000001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DO055</v>
          </cell>
          <cell r="C221" t="str">
            <v>HILO DENTAL .:. PIEZA</v>
          </cell>
          <cell r="D221" t="str">
            <v>Pieza</v>
          </cell>
          <cell r="E221">
            <v>0</v>
          </cell>
          <cell r="F221">
            <v>0</v>
          </cell>
          <cell r="H221">
            <v>4</v>
          </cell>
          <cell r="J221">
            <v>68</v>
          </cell>
          <cell r="M221">
            <v>0</v>
          </cell>
          <cell r="N221">
            <v>0</v>
          </cell>
          <cell r="P221">
            <v>4</v>
          </cell>
          <cell r="R221">
            <v>68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2.4089800000000001</v>
          </cell>
          <cell r="Y221">
            <v>0</v>
          </cell>
          <cell r="Z221">
            <v>0</v>
          </cell>
          <cell r="AA221">
            <v>0</v>
          </cell>
        </row>
        <row r="222">
          <cell r="B222" t="str">
            <v>DO056</v>
          </cell>
          <cell r="C222" t="str">
            <v>IODOFORMO .:. POLVO</v>
          </cell>
          <cell r="D222" t="str">
            <v>Frasco</v>
          </cell>
          <cell r="E222">
            <v>0</v>
          </cell>
          <cell r="F222">
            <v>0</v>
          </cell>
          <cell r="H222">
            <v>2</v>
          </cell>
          <cell r="J222">
            <v>140</v>
          </cell>
          <cell r="M222">
            <v>0</v>
          </cell>
          <cell r="N222">
            <v>0</v>
          </cell>
          <cell r="P222">
            <v>2</v>
          </cell>
          <cell r="R222">
            <v>140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2.4089800000000001</v>
          </cell>
          <cell r="Y222">
            <v>0</v>
          </cell>
          <cell r="Z222">
            <v>0</v>
          </cell>
          <cell r="AA222">
            <v>0</v>
          </cell>
        </row>
        <row r="223">
          <cell r="B223" t="str">
            <v>DO059</v>
          </cell>
          <cell r="C223" t="str">
            <v>IONOMERO DE VIDRIO BASE .:. AUTOPOLIMERIZABLE POLVO LIQUIDO</v>
          </cell>
          <cell r="D223" t="str">
            <v>Caja</v>
          </cell>
          <cell r="E223">
            <v>0</v>
          </cell>
          <cell r="F223">
            <v>0</v>
          </cell>
          <cell r="H223">
            <v>6</v>
          </cell>
          <cell r="J223">
            <v>2180</v>
          </cell>
          <cell r="M223">
            <v>0</v>
          </cell>
          <cell r="N223">
            <v>0</v>
          </cell>
          <cell r="P223">
            <v>6</v>
          </cell>
          <cell r="R223">
            <v>2180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2.4089800000000001</v>
          </cell>
          <cell r="Y223">
            <v>0</v>
          </cell>
          <cell r="Z223">
            <v>0</v>
          </cell>
          <cell r="AA223">
            <v>0</v>
          </cell>
        </row>
        <row r="224">
          <cell r="B224" t="str">
            <v>DO060</v>
          </cell>
          <cell r="C224" t="str">
            <v>IONOMERO DE VIDRIO DE  RESTAURACION .:. AUTOPOLIMERIZABLE POLVO LIQUIDO</v>
          </cell>
          <cell r="D224" t="str">
            <v>Caja</v>
          </cell>
          <cell r="E224">
            <v>0</v>
          </cell>
          <cell r="F224">
            <v>0</v>
          </cell>
          <cell r="H224">
            <v>6</v>
          </cell>
          <cell r="J224">
            <v>2798</v>
          </cell>
          <cell r="M224">
            <v>0</v>
          </cell>
          <cell r="N224">
            <v>0</v>
          </cell>
          <cell r="P224">
            <v>6</v>
          </cell>
          <cell r="R224">
            <v>2798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2.4089800000000001</v>
          </cell>
          <cell r="Y224">
            <v>0</v>
          </cell>
          <cell r="Z224">
            <v>0</v>
          </cell>
          <cell r="AA224">
            <v>0</v>
          </cell>
        </row>
        <row r="225">
          <cell r="B225" t="str">
            <v>DO063</v>
          </cell>
          <cell r="C225" t="str">
            <v>LIMA H .:. DE 15  40: 21MM, 25MM Y 31 MM</v>
          </cell>
          <cell r="D225" t="str">
            <v>Caja</v>
          </cell>
          <cell r="E225">
            <v>0</v>
          </cell>
          <cell r="F225">
            <v>0</v>
          </cell>
          <cell r="H225">
            <v>8</v>
          </cell>
          <cell r="J225">
            <v>268</v>
          </cell>
          <cell r="M225">
            <v>0</v>
          </cell>
          <cell r="N225">
            <v>0</v>
          </cell>
          <cell r="P225">
            <v>8</v>
          </cell>
          <cell r="R225">
            <v>268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2.4089800000000001</v>
          </cell>
          <cell r="Y225">
            <v>0</v>
          </cell>
          <cell r="Z225">
            <v>0</v>
          </cell>
          <cell r="AA225">
            <v>0</v>
          </cell>
        </row>
        <row r="226">
          <cell r="B226" t="str">
            <v>DO065</v>
          </cell>
          <cell r="C226" t="str">
            <v>LIMA K .:. DE 15  40: 21MM, 25MM Y 31 MM</v>
          </cell>
          <cell r="D226" t="str">
            <v>Caja</v>
          </cell>
          <cell r="E226">
            <v>0</v>
          </cell>
          <cell r="F226">
            <v>0</v>
          </cell>
          <cell r="H226">
            <v>8</v>
          </cell>
          <cell r="J226">
            <v>268</v>
          </cell>
          <cell r="M226">
            <v>0</v>
          </cell>
          <cell r="N226">
            <v>0</v>
          </cell>
          <cell r="P226">
            <v>8</v>
          </cell>
          <cell r="R226">
            <v>268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2.4089800000000001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DO067</v>
          </cell>
          <cell r="C227" t="str">
            <v>LIMA K .:. 21 MM: N° 06,08,10</v>
          </cell>
          <cell r="D227" t="str">
            <v>Caja</v>
          </cell>
          <cell r="E227">
            <v>0</v>
          </cell>
          <cell r="F227">
            <v>0</v>
          </cell>
          <cell r="H227">
            <v>4</v>
          </cell>
          <cell r="J227">
            <v>160</v>
          </cell>
          <cell r="M227">
            <v>0</v>
          </cell>
          <cell r="N227">
            <v>0</v>
          </cell>
          <cell r="P227">
            <v>4</v>
          </cell>
          <cell r="R227">
            <v>160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2.4089800000000001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DO068</v>
          </cell>
          <cell r="C228" t="str">
            <v>LIMA K .:. 25 MM: N° 06,08,10</v>
          </cell>
          <cell r="D228" t="str">
            <v>Caja</v>
          </cell>
          <cell r="E228">
            <v>0</v>
          </cell>
          <cell r="F228">
            <v>0</v>
          </cell>
          <cell r="H228">
            <v>4</v>
          </cell>
          <cell r="J228">
            <v>160</v>
          </cell>
          <cell r="M228">
            <v>0</v>
          </cell>
          <cell r="N228">
            <v>0</v>
          </cell>
          <cell r="P228">
            <v>4</v>
          </cell>
          <cell r="R228">
            <v>160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2.4089800000000001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DO074</v>
          </cell>
          <cell r="C229" t="str">
            <v>MATRIZ METALICA .:. PIEZA</v>
          </cell>
          <cell r="D229" t="str">
            <v>CajaRollo</v>
          </cell>
          <cell r="E229">
            <v>0</v>
          </cell>
          <cell r="F229">
            <v>0</v>
          </cell>
          <cell r="H229">
            <v>12</v>
          </cell>
          <cell r="J229">
            <v>51</v>
          </cell>
          <cell r="M229">
            <v>0</v>
          </cell>
          <cell r="N229">
            <v>0</v>
          </cell>
          <cell r="P229">
            <v>6</v>
          </cell>
          <cell r="R229">
            <v>33</v>
          </cell>
          <cell r="S229">
            <v>0</v>
          </cell>
          <cell r="T229">
            <v>0</v>
          </cell>
          <cell r="U229">
            <v>6</v>
          </cell>
          <cell r="V229">
            <v>3</v>
          </cell>
          <cell r="W229">
            <v>18</v>
          </cell>
          <cell r="X229">
            <v>2.4089800000000001</v>
          </cell>
          <cell r="Y229">
            <v>0</v>
          </cell>
          <cell r="Z229">
            <v>3</v>
          </cell>
          <cell r="AA229">
            <v>18</v>
          </cell>
        </row>
        <row r="230">
          <cell r="B230" t="str">
            <v>DO076</v>
          </cell>
          <cell r="C230" t="str">
            <v>OXIDO DE ZINC .:. POLVO</v>
          </cell>
          <cell r="D230" t="str">
            <v>Frasco</v>
          </cell>
          <cell r="E230">
            <v>0</v>
          </cell>
          <cell r="F230">
            <v>0</v>
          </cell>
          <cell r="H230">
            <v>2</v>
          </cell>
          <cell r="J230">
            <v>70</v>
          </cell>
          <cell r="M230">
            <v>0</v>
          </cell>
          <cell r="N230">
            <v>0</v>
          </cell>
          <cell r="P230">
            <v>2</v>
          </cell>
          <cell r="R230">
            <v>70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2.4089800000000001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DO081</v>
          </cell>
          <cell r="C231" t="str">
            <v>PASTA ALVEOLAR ANTISEPTICA .:. ANTISEPTICA PASTA</v>
          </cell>
          <cell r="D231" t="str">
            <v>Frasco</v>
          </cell>
          <cell r="E231">
            <v>0</v>
          </cell>
          <cell r="F231">
            <v>0</v>
          </cell>
          <cell r="H231">
            <v>2</v>
          </cell>
          <cell r="J231">
            <v>158</v>
          </cell>
          <cell r="M231">
            <v>0</v>
          </cell>
          <cell r="N231">
            <v>0</v>
          </cell>
          <cell r="P231">
            <v>2</v>
          </cell>
          <cell r="R231">
            <v>158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2.4089800000000001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DO083</v>
          </cell>
          <cell r="C232" t="str">
            <v>PASTA PROFILACTICA .:. PASTA</v>
          </cell>
          <cell r="D232" t="str">
            <v>Frasco</v>
          </cell>
          <cell r="E232">
            <v>0</v>
          </cell>
          <cell r="F232">
            <v>0</v>
          </cell>
          <cell r="H232">
            <v>4</v>
          </cell>
          <cell r="J232">
            <v>98</v>
          </cell>
          <cell r="M232">
            <v>0</v>
          </cell>
          <cell r="N232">
            <v>0</v>
          </cell>
          <cell r="P232">
            <v>4</v>
          </cell>
          <cell r="R232">
            <v>98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2.4089800000000001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DO085</v>
          </cell>
          <cell r="C233" t="str">
            <v>REGLA ENDODONTICA .:. METALICAS AUTOCLAVABLE</v>
          </cell>
          <cell r="D233" t="str">
            <v>Pieza</v>
          </cell>
          <cell r="E233">
            <v>0</v>
          </cell>
          <cell r="F233">
            <v>0</v>
          </cell>
          <cell r="H233">
            <v>1</v>
          </cell>
          <cell r="J233">
            <v>35</v>
          </cell>
          <cell r="M233">
            <v>0</v>
          </cell>
          <cell r="N233">
            <v>0</v>
          </cell>
          <cell r="P233">
            <v>1</v>
          </cell>
          <cell r="R233">
            <v>35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2.4089800000000001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DO087</v>
          </cell>
          <cell r="C234" t="str">
            <v>RESINA FLUIDA .:. FOTOPOLIMERIZABLE A1A2 DE 2 G</v>
          </cell>
          <cell r="D234" t="str">
            <v>Jeringa .</v>
          </cell>
          <cell r="E234">
            <v>0</v>
          </cell>
          <cell r="F234">
            <v>0</v>
          </cell>
          <cell r="H234">
            <v>7</v>
          </cell>
          <cell r="J234">
            <v>622</v>
          </cell>
          <cell r="M234">
            <v>0</v>
          </cell>
          <cell r="N234">
            <v>0</v>
          </cell>
          <cell r="P234">
            <v>7</v>
          </cell>
          <cell r="R234">
            <v>622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2.4089800000000001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DO088</v>
          </cell>
          <cell r="C235" t="str">
            <v>RESINA FOTOPOLIMERIZABLE .:. A1,A2,A3</v>
          </cell>
          <cell r="D235" t="str">
            <v>Jeringa</v>
          </cell>
          <cell r="E235">
            <v>0</v>
          </cell>
          <cell r="F235">
            <v>0</v>
          </cell>
          <cell r="H235">
            <v>32</v>
          </cell>
          <cell r="J235">
            <v>3720</v>
          </cell>
          <cell r="M235">
            <v>0</v>
          </cell>
          <cell r="N235">
            <v>0</v>
          </cell>
          <cell r="P235">
            <v>32</v>
          </cell>
          <cell r="R235">
            <v>3720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2.4089800000000001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DO091</v>
          </cell>
          <cell r="C236" t="str">
            <v>ROLLOS DE ALGODON .:. TRENZADO</v>
          </cell>
          <cell r="D236" t="str">
            <v>Bolsa</v>
          </cell>
          <cell r="E236">
            <v>0</v>
          </cell>
          <cell r="F236">
            <v>0</v>
          </cell>
          <cell r="H236">
            <v>6</v>
          </cell>
          <cell r="J236">
            <v>330</v>
          </cell>
          <cell r="M236">
            <v>0</v>
          </cell>
          <cell r="N236">
            <v>0</v>
          </cell>
          <cell r="P236">
            <v>6</v>
          </cell>
          <cell r="R236">
            <v>330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2.4089800000000001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DO096</v>
          </cell>
          <cell r="C237" t="str">
            <v>TIRA NERVIOS .:. CORTOS</v>
          </cell>
          <cell r="D237" t="str">
            <v>Caja</v>
          </cell>
          <cell r="E237">
            <v>0</v>
          </cell>
          <cell r="F237">
            <v>0</v>
          </cell>
          <cell r="H237">
            <v>6</v>
          </cell>
          <cell r="J237">
            <v>240</v>
          </cell>
          <cell r="M237">
            <v>0</v>
          </cell>
          <cell r="N237">
            <v>0</v>
          </cell>
          <cell r="P237">
            <v>6</v>
          </cell>
          <cell r="R237">
            <v>240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2.4089800000000001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DOI001</v>
          </cell>
          <cell r="C238" t="str">
            <v>ABRE BOCA DE MOLT .:. ACERO INOXIDABLE PEDIATRICO / ADULTO</v>
          </cell>
          <cell r="D238" t="str">
            <v>Pieza</v>
          </cell>
          <cell r="E238">
            <v>0</v>
          </cell>
          <cell r="F238">
            <v>0</v>
          </cell>
          <cell r="H238">
            <v>4</v>
          </cell>
          <cell r="J238">
            <v>360</v>
          </cell>
          <cell r="M238">
            <v>0</v>
          </cell>
          <cell r="N238">
            <v>0</v>
          </cell>
          <cell r="P238">
            <v>4</v>
          </cell>
          <cell r="R238">
            <v>360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2.4089800000000001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DOI018</v>
          </cell>
          <cell r="C239" t="str">
            <v>ESPATULA PARA RESINA .:. ACERO INOXIDABLE, BIPOLAR</v>
          </cell>
          <cell r="D239" t="str">
            <v>Pieza</v>
          </cell>
          <cell r="E239">
            <v>0</v>
          </cell>
          <cell r="F239">
            <v>0</v>
          </cell>
          <cell r="H239">
            <v>2</v>
          </cell>
          <cell r="J239">
            <v>420</v>
          </cell>
          <cell r="M239">
            <v>0</v>
          </cell>
          <cell r="N239">
            <v>0</v>
          </cell>
          <cell r="P239">
            <v>2</v>
          </cell>
          <cell r="R239">
            <v>420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2.4089800000000001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DOI019</v>
          </cell>
          <cell r="C240" t="str">
            <v>ESPEJO BUCAL .:. PIEZA</v>
          </cell>
          <cell r="D240" t="str">
            <v>Pieza</v>
          </cell>
          <cell r="E240">
            <v>0</v>
          </cell>
          <cell r="F240">
            <v>0</v>
          </cell>
          <cell r="H240">
            <v>10</v>
          </cell>
          <cell r="J240">
            <v>160</v>
          </cell>
          <cell r="M240">
            <v>0</v>
          </cell>
          <cell r="N240">
            <v>0</v>
          </cell>
          <cell r="P240">
            <v>10</v>
          </cell>
          <cell r="R240">
            <v>160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2.4089800000000001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DOI022</v>
          </cell>
          <cell r="C241" t="str">
            <v>ESPATULA PARACEMENTO .:. ACERO INOXIDABLE, BIPOLAR</v>
          </cell>
          <cell r="D241" t="str">
            <v>Pieza</v>
          </cell>
          <cell r="E241">
            <v>0</v>
          </cell>
          <cell r="F241">
            <v>0</v>
          </cell>
          <cell r="H241">
            <v>3</v>
          </cell>
          <cell r="J241">
            <v>33</v>
          </cell>
          <cell r="M241">
            <v>0</v>
          </cell>
          <cell r="N241">
            <v>0</v>
          </cell>
          <cell r="P241">
            <v>3</v>
          </cell>
          <cell r="R241">
            <v>33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2.4089800000000001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DOI023D</v>
          </cell>
          <cell r="C242" t="str">
            <v>ESPONJERO .:. PARA LIMAS</v>
          </cell>
          <cell r="D242" t="str">
            <v>Pieza</v>
          </cell>
          <cell r="E242">
            <v>0</v>
          </cell>
          <cell r="F242">
            <v>0</v>
          </cell>
          <cell r="H242">
            <v>2</v>
          </cell>
          <cell r="J242">
            <v>56</v>
          </cell>
          <cell r="M242">
            <v>0</v>
          </cell>
          <cell r="N242">
            <v>0</v>
          </cell>
          <cell r="P242">
            <v>2</v>
          </cell>
          <cell r="R242">
            <v>56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2.4089800000000001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DOI029</v>
          </cell>
          <cell r="C243" t="str">
            <v>JERINGA CARPULE .:. ACERO INOXIDABLE</v>
          </cell>
          <cell r="D243" t="str">
            <v>Pieza</v>
          </cell>
          <cell r="E243">
            <v>0</v>
          </cell>
          <cell r="F243">
            <v>0</v>
          </cell>
          <cell r="H243">
            <v>3</v>
          </cell>
          <cell r="J243">
            <v>180</v>
          </cell>
          <cell r="M243">
            <v>0</v>
          </cell>
          <cell r="N243">
            <v>0</v>
          </cell>
          <cell r="P243">
            <v>3</v>
          </cell>
          <cell r="R243">
            <v>180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2.4089800000000001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DOT005</v>
          </cell>
          <cell r="C244" t="str">
            <v>ALGODON .:. 100 GRS.</v>
          </cell>
          <cell r="D244" t="str">
            <v>Paquete</v>
          </cell>
          <cell r="E244">
            <v>7</v>
          </cell>
          <cell r="F244">
            <v>69.3</v>
          </cell>
          <cell r="H244">
            <v>90</v>
          </cell>
          <cell r="J244">
            <v>626</v>
          </cell>
          <cell r="M244">
            <v>0</v>
          </cell>
          <cell r="N244">
            <v>0</v>
          </cell>
          <cell r="P244">
            <v>62</v>
          </cell>
          <cell r="R244">
            <v>453.48181499999998</v>
          </cell>
          <cell r="S244">
            <v>0</v>
          </cell>
          <cell r="T244">
            <v>0</v>
          </cell>
          <cell r="U244">
            <v>35</v>
          </cell>
          <cell r="V244">
            <v>6.90909</v>
          </cell>
          <cell r="W244">
            <v>241.81815</v>
          </cell>
          <cell r="X244">
            <v>2.4089800000000001</v>
          </cell>
          <cell r="Y244">
            <v>0</v>
          </cell>
          <cell r="Z244">
            <v>6.90909</v>
          </cell>
          <cell r="AA244">
            <v>241.81815</v>
          </cell>
        </row>
        <row r="245">
          <cell r="B245" t="str">
            <v>DOT006</v>
          </cell>
          <cell r="C245" t="str">
            <v>ALGODON .:. 400 GRS.</v>
          </cell>
          <cell r="D245" t="str">
            <v>Paquete</v>
          </cell>
          <cell r="E245">
            <v>0</v>
          </cell>
          <cell r="F245">
            <v>0</v>
          </cell>
          <cell r="H245">
            <v>55</v>
          </cell>
          <cell r="J245">
            <v>1525</v>
          </cell>
          <cell r="M245">
            <v>0</v>
          </cell>
          <cell r="N245">
            <v>0</v>
          </cell>
          <cell r="P245">
            <v>32</v>
          </cell>
          <cell r="R245">
            <v>904</v>
          </cell>
          <cell r="S245">
            <v>0</v>
          </cell>
          <cell r="T245">
            <v>0</v>
          </cell>
          <cell r="U245">
            <v>23</v>
          </cell>
          <cell r="V245">
            <v>27</v>
          </cell>
          <cell r="W245">
            <v>621</v>
          </cell>
          <cell r="X245">
            <v>2.4089800000000001</v>
          </cell>
          <cell r="Y245">
            <v>0</v>
          </cell>
          <cell r="Z245">
            <v>27</v>
          </cell>
          <cell r="AA245">
            <v>621</v>
          </cell>
        </row>
        <row r="246">
          <cell r="B246" t="str">
            <v>DOT024</v>
          </cell>
          <cell r="C246" t="str">
            <v>BAJA LENGUA .:. DE MADERA ADULTOS</v>
          </cell>
          <cell r="D246" t="str">
            <v>Caja x 100</v>
          </cell>
          <cell r="E246">
            <v>8</v>
          </cell>
          <cell r="F246">
            <v>106.02</v>
          </cell>
          <cell r="H246">
            <v>200</v>
          </cell>
          <cell r="J246">
            <v>3000</v>
          </cell>
          <cell r="M246">
            <v>0</v>
          </cell>
          <cell r="N246">
            <v>0</v>
          </cell>
          <cell r="P246">
            <v>79</v>
          </cell>
          <cell r="R246">
            <v>1171.02</v>
          </cell>
          <cell r="S246">
            <v>0</v>
          </cell>
          <cell r="T246">
            <v>0</v>
          </cell>
          <cell r="U246">
            <v>129</v>
          </cell>
          <cell r="V246">
            <v>15</v>
          </cell>
          <cell r="W246">
            <v>1935</v>
          </cell>
          <cell r="X246">
            <v>2.4089800000000001</v>
          </cell>
          <cell r="Y246">
            <v>0</v>
          </cell>
          <cell r="Z246">
            <v>15</v>
          </cell>
          <cell r="AA246">
            <v>1935</v>
          </cell>
        </row>
        <row r="247">
          <cell r="B247" t="str">
            <v>DOT035</v>
          </cell>
          <cell r="C247" t="str">
            <v>FILTRO ANTIMICROBIANO .:. PARA RESPIRADORES PARA OXIGENO</v>
          </cell>
          <cell r="D247" t="str">
            <v>Sobre estéril</v>
          </cell>
          <cell r="E247">
            <v>0</v>
          </cell>
          <cell r="F247">
            <v>0</v>
          </cell>
          <cell r="H247">
            <v>70</v>
          </cell>
          <cell r="J247">
            <v>2940</v>
          </cell>
          <cell r="M247">
            <v>0</v>
          </cell>
          <cell r="N247">
            <v>0</v>
          </cell>
          <cell r="P247">
            <v>14</v>
          </cell>
          <cell r="R247">
            <v>588</v>
          </cell>
          <cell r="S247">
            <v>0</v>
          </cell>
          <cell r="T247">
            <v>0</v>
          </cell>
          <cell r="U247">
            <v>56</v>
          </cell>
          <cell r="V247">
            <v>42</v>
          </cell>
          <cell r="W247">
            <v>2352</v>
          </cell>
          <cell r="X247">
            <v>2.4089800000000001</v>
          </cell>
          <cell r="Y247">
            <v>0</v>
          </cell>
          <cell r="Z247">
            <v>42</v>
          </cell>
          <cell r="AA247">
            <v>2352</v>
          </cell>
        </row>
        <row r="248">
          <cell r="B248" t="str">
            <v>DOT037</v>
          </cell>
          <cell r="C248" t="str">
            <v>GASA .:. 100 YARDAS MALLA 20  X  24 MM CON HILO RADIOPACO, CORTADA A REQUERIMIENTO</v>
          </cell>
          <cell r="D248" t="str">
            <v>Rollo</v>
          </cell>
          <cell r="E248">
            <v>1</v>
          </cell>
          <cell r="F248">
            <v>480</v>
          </cell>
          <cell r="H248">
            <v>5</v>
          </cell>
          <cell r="J248">
            <v>2379.9699999999998</v>
          </cell>
          <cell r="M248">
            <v>0</v>
          </cell>
          <cell r="N248">
            <v>0</v>
          </cell>
          <cell r="P248">
            <v>3</v>
          </cell>
          <cell r="R248">
            <v>1439.98</v>
          </cell>
          <cell r="S248">
            <v>0</v>
          </cell>
          <cell r="T248">
            <v>0</v>
          </cell>
          <cell r="U248">
            <v>3</v>
          </cell>
          <cell r="V248">
            <v>473.33</v>
          </cell>
          <cell r="W248">
            <v>1419.99</v>
          </cell>
          <cell r="X248">
            <v>2.4089800000000001</v>
          </cell>
          <cell r="Y248">
            <v>0</v>
          </cell>
          <cell r="Z248">
            <v>473.33</v>
          </cell>
          <cell r="AA248">
            <v>1419.99</v>
          </cell>
        </row>
        <row r="249">
          <cell r="B249" t="str">
            <v>DOT045</v>
          </cell>
          <cell r="C249" t="str">
            <v>PAPEL GRADO MEDICO .:. CON POLIETILENO 15 CM X 200 M SIN FUELLE PARASTERILIZAR A VAPOR</v>
          </cell>
          <cell r="D249" t="str">
            <v>Rollo</v>
          </cell>
          <cell r="E249">
            <v>0</v>
          </cell>
          <cell r="F249">
            <v>0</v>
          </cell>
          <cell r="H249">
            <v>1</v>
          </cell>
          <cell r="J249">
            <v>432</v>
          </cell>
          <cell r="M249">
            <v>0</v>
          </cell>
          <cell r="N249">
            <v>0</v>
          </cell>
          <cell r="P249">
            <v>1</v>
          </cell>
          <cell r="R249">
            <v>432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2.4089800000000001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DOT046</v>
          </cell>
          <cell r="C250" t="str">
            <v>PAPEL GRADO MEDICO .:. CON POLIETILENO 25 CM X 200 M SIN FUELLE PARASTERILIZAR A VAPOR</v>
          </cell>
          <cell r="D250" t="str">
            <v>Rollo</v>
          </cell>
          <cell r="E250">
            <v>0</v>
          </cell>
          <cell r="F250">
            <v>0</v>
          </cell>
          <cell r="H250">
            <v>2</v>
          </cell>
          <cell r="J250">
            <v>1128</v>
          </cell>
          <cell r="M250">
            <v>0</v>
          </cell>
          <cell r="N250">
            <v>0</v>
          </cell>
          <cell r="P250">
            <v>2</v>
          </cell>
          <cell r="R250">
            <v>1128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2.4089800000000001</v>
          </cell>
          <cell r="Y250">
            <v>0</v>
          </cell>
          <cell r="Z250">
            <v>0</v>
          </cell>
          <cell r="AA250">
            <v>0</v>
          </cell>
        </row>
        <row r="251">
          <cell r="B251" t="str">
            <v>DOT052</v>
          </cell>
          <cell r="C251" t="str">
            <v>TELA ADHESIVA .:. CORRIENTE 4 X 10 CM</v>
          </cell>
          <cell r="D251" t="str">
            <v>Rollo</v>
          </cell>
          <cell r="E251">
            <v>20</v>
          </cell>
          <cell r="F251">
            <v>793.8</v>
          </cell>
          <cell r="H251">
            <v>33</v>
          </cell>
          <cell r="J251">
            <v>1320</v>
          </cell>
          <cell r="M251">
            <v>0</v>
          </cell>
          <cell r="N251">
            <v>0</v>
          </cell>
          <cell r="P251">
            <v>28</v>
          </cell>
          <cell r="R251">
            <v>1115.4607080000001</v>
          </cell>
          <cell r="S251">
            <v>0</v>
          </cell>
          <cell r="T251">
            <v>0</v>
          </cell>
          <cell r="U251">
            <v>25</v>
          </cell>
          <cell r="V251">
            <v>39.933571000000001</v>
          </cell>
          <cell r="W251">
            <v>998.33927500000004</v>
          </cell>
          <cell r="X251">
            <v>2.4089800000000001</v>
          </cell>
          <cell r="Y251">
            <v>0</v>
          </cell>
          <cell r="Z251">
            <v>39.933571000000001</v>
          </cell>
          <cell r="AA251">
            <v>998.33927500000004</v>
          </cell>
        </row>
        <row r="252">
          <cell r="B252" t="str">
            <v>DOT054</v>
          </cell>
          <cell r="C252" t="str">
            <v>TELA ADHESIVA .:. ANTIALERGICA COLOR PIEL 1/2"</v>
          </cell>
          <cell r="D252" t="str">
            <v>Rollo</v>
          </cell>
          <cell r="E252">
            <v>10</v>
          </cell>
          <cell r="F252">
            <v>79.900000000000006</v>
          </cell>
          <cell r="H252">
            <v>30</v>
          </cell>
          <cell r="J252">
            <v>120</v>
          </cell>
          <cell r="M252">
            <v>0</v>
          </cell>
          <cell r="N252">
            <v>0</v>
          </cell>
          <cell r="P252">
            <v>22</v>
          </cell>
          <cell r="R252">
            <v>127.9</v>
          </cell>
          <cell r="S252">
            <v>0</v>
          </cell>
          <cell r="T252">
            <v>0</v>
          </cell>
          <cell r="U252">
            <v>18</v>
          </cell>
          <cell r="V252">
            <v>4</v>
          </cell>
          <cell r="W252">
            <v>72</v>
          </cell>
          <cell r="X252">
            <v>2.4089800000000001</v>
          </cell>
          <cell r="Y252">
            <v>0</v>
          </cell>
          <cell r="Z252">
            <v>4</v>
          </cell>
          <cell r="AA252">
            <v>72</v>
          </cell>
        </row>
        <row r="253">
          <cell r="B253" t="str">
            <v>DOT055</v>
          </cell>
          <cell r="C253" t="str">
            <v>TELA ADHESIVA .:. ANTIALERGICA COLOR PIEL 1 "</v>
          </cell>
          <cell r="D253" t="str">
            <v>Rollo</v>
          </cell>
          <cell r="E253">
            <v>17</v>
          </cell>
          <cell r="F253">
            <v>213.9499999992</v>
          </cell>
          <cell r="H253">
            <v>30</v>
          </cell>
          <cell r="J253">
            <v>180</v>
          </cell>
          <cell r="M253">
            <v>0</v>
          </cell>
          <cell r="N253">
            <v>0</v>
          </cell>
          <cell r="P253">
            <v>27</v>
          </cell>
          <cell r="R253">
            <v>273.94999799999999</v>
          </cell>
          <cell r="S253">
            <v>0</v>
          </cell>
          <cell r="T253">
            <v>0</v>
          </cell>
          <cell r="U253">
            <v>20</v>
          </cell>
          <cell r="V253">
            <v>6</v>
          </cell>
          <cell r="W253">
            <v>120</v>
          </cell>
          <cell r="X253">
            <v>2.4089800000000001</v>
          </cell>
          <cell r="Y253">
            <v>0</v>
          </cell>
          <cell r="Z253">
            <v>6</v>
          </cell>
          <cell r="AA253">
            <v>120</v>
          </cell>
        </row>
        <row r="254">
          <cell r="B254" t="str">
            <v>DOT070</v>
          </cell>
          <cell r="C254" t="str">
            <v>VENDA DE GASA .:. 3" (7.5 CENTIMETROS)</v>
          </cell>
          <cell r="D254" t="str">
            <v>Rollo</v>
          </cell>
          <cell r="E254">
            <v>30</v>
          </cell>
          <cell r="F254">
            <v>118.5</v>
          </cell>
          <cell r="H254">
            <v>28</v>
          </cell>
          <cell r="J254">
            <v>140</v>
          </cell>
          <cell r="M254">
            <v>0</v>
          </cell>
          <cell r="N254">
            <v>0</v>
          </cell>
          <cell r="P254">
            <v>54</v>
          </cell>
          <cell r="R254">
            <v>238.5</v>
          </cell>
          <cell r="S254">
            <v>0</v>
          </cell>
          <cell r="T254">
            <v>0</v>
          </cell>
          <cell r="U254">
            <v>4</v>
          </cell>
          <cell r="V254">
            <v>5</v>
          </cell>
          <cell r="W254">
            <v>20</v>
          </cell>
          <cell r="X254">
            <v>2.4089800000000001</v>
          </cell>
          <cell r="Y254">
            <v>0</v>
          </cell>
          <cell r="Z254">
            <v>5</v>
          </cell>
          <cell r="AA254">
            <v>20</v>
          </cell>
        </row>
        <row r="255">
          <cell r="B255" t="str">
            <v>DOT071</v>
          </cell>
          <cell r="C255" t="str">
            <v>VENDA DE GASA .:. 4" (10 CENTIMETROS)</v>
          </cell>
          <cell r="D255" t="str">
            <v>Rollo</v>
          </cell>
          <cell r="E255">
            <v>124</v>
          </cell>
          <cell r="F255">
            <v>645.71999999520006</v>
          </cell>
          <cell r="H255">
            <v>120</v>
          </cell>
          <cell r="J255">
            <v>660</v>
          </cell>
          <cell r="M255">
            <v>0</v>
          </cell>
          <cell r="N255">
            <v>0</v>
          </cell>
          <cell r="P255">
            <v>181</v>
          </cell>
          <cell r="R255">
            <v>959.219967</v>
          </cell>
          <cell r="S255">
            <v>0</v>
          </cell>
          <cell r="T255">
            <v>0</v>
          </cell>
          <cell r="U255">
            <v>63</v>
          </cell>
          <cell r="V255">
            <v>5.5</v>
          </cell>
          <cell r="W255">
            <v>346.5</v>
          </cell>
          <cell r="X255">
            <v>2.4089800000000001</v>
          </cell>
          <cell r="Y255">
            <v>0</v>
          </cell>
          <cell r="Z255">
            <v>5.5</v>
          </cell>
          <cell r="AA255">
            <v>346.5</v>
          </cell>
        </row>
        <row r="256">
          <cell r="B256" t="str">
            <v>DOT072</v>
          </cell>
          <cell r="C256" t="str">
            <v>VENDA DE GASA .:. 1.5"</v>
          </cell>
          <cell r="D256" t="str">
            <v>Rollo</v>
          </cell>
          <cell r="E256">
            <v>19</v>
          </cell>
          <cell r="F256">
            <v>47.869999999800001</v>
          </cell>
          <cell r="H256">
            <v>30</v>
          </cell>
          <cell r="J256">
            <v>99</v>
          </cell>
          <cell r="M256">
            <v>0</v>
          </cell>
          <cell r="N256">
            <v>0</v>
          </cell>
          <cell r="P256">
            <v>41</v>
          </cell>
          <cell r="R256">
            <v>120.46999700000001</v>
          </cell>
          <cell r="S256">
            <v>0</v>
          </cell>
          <cell r="T256">
            <v>0</v>
          </cell>
          <cell r="U256">
            <v>8</v>
          </cell>
          <cell r="V256">
            <v>3.3</v>
          </cell>
          <cell r="W256">
            <v>26.4</v>
          </cell>
          <cell r="X256">
            <v>2.4089800000000001</v>
          </cell>
          <cell r="Y256">
            <v>0</v>
          </cell>
          <cell r="Z256">
            <v>3.3</v>
          </cell>
          <cell r="AA256">
            <v>26.4</v>
          </cell>
        </row>
        <row r="257">
          <cell r="B257" t="str">
            <v>DOT073</v>
          </cell>
          <cell r="C257" t="str">
            <v>VENDA DE GASA .:. 6"</v>
          </cell>
          <cell r="D257" t="str">
            <v>Rollo</v>
          </cell>
          <cell r="E257">
            <v>51</v>
          </cell>
          <cell r="F257">
            <v>408.15999999989998</v>
          </cell>
          <cell r="H257">
            <v>0</v>
          </cell>
          <cell r="J257">
            <v>0</v>
          </cell>
          <cell r="M257">
            <v>0</v>
          </cell>
          <cell r="N257">
            <v>0</v>
          </cell>
          <cell r="P257">
            <v>33</v>
          </cell>
          <cell r="R257">
            <v>264.103523</v>
          </cell>
          <cell r="S257">
            <v>0</v>
          </cell>
          <cell r="T257">
            <v>0</v>
          </cell>
          <cell r="U257">
            <v>18</v>
          </cell>
          <cell r="V257">
            <v>8.0031370000000006</v>
          </cell>
          <cell r="W257">
            <v>144.056466</v>
          </cell>
          <cell r="X257">
            <v>2.4089800000000001</v>
          </cell>
          <cell r="Y257">
            <v>0</v>
          </cell>
          <cell r="Z257">
            <v>8.0031370000000006</v>
          </cell>
          <cell r="AA257">
            <v>144.056466</v>
          </cell>
        </row>
        <row r="258">
          <cell r="B258" t="str">
            <v>DOT074</v>
          </cell>
          <cell r="C258" t="str">
            <v>VENDA DE YESO .:. 6" (15 CENTIMETROS)</v>
          </cell>
          <cell r="D258" t="str">
            <v>Rollo</v>
          </cell>
          <cell r="E258">
            <v>25</v>
          </cell>
          <cell r="F258">
            <v>324.75</v>
          </cell>
          <cell r="H258">
            <v>30</v>
          </cell>
          <cell r="J258">
            <v>389.7</v>
          </cell>
          <cell r="M258">
            <v>0</v>
          </cell>
          <cell r="N258">
            <v>0</v>
          </cell>
          <cell r="P258">
            <v>27</v>
          </cell>
          <cell r="R258">
            <v>350.73</v>
          </cell>
          <cell r="S258">
            <v>0</v>
          </cell>
          <cell r="T258">
            <v>0</v>
          </cell>
          <cell r="U258">
            <v>28</v>
          </cell>
          <cell r="V258">
            <v>12.99</v>
          </cell>
          <cell r="W258">
            <v>363.72</v>
          </cell>
          <cell r="X258">
            <v>2.4089800000000001</v>
          </cell>
          <cell r="Y258">
            <v>0</v>
          </cell>
          <cell r="Z258">
            <v>12.99</v>
          </cell>
          <cell r="AA258">
            <v>363.72</v>
          </cell>
        </row>
        <row r="259">
          <cell r="B259" t="str">
            <v>DOT075</v>
          </cell>
          <cell r="C259" t="str">
            <v>VENDA DE YESO .:. 4" (10 CM)</v>
          </cell>
          <cell r="D259" t="str">
            <v>Rollo</v>
          </cell>
          <cell r="E259">
            <v>22</v>
          </cell>
          <cell r="F259">
            <v>209</v>
          </cell>
          <cell r="H259">
            <v>30</v>
          </cell>
          <cell r="J259">
            <v>284.7</v>
          </cell>
          <cell r="M259">
            <v>1</v>
          </cell>
          <cell r="N259">
            <v>9.5</v>
          </cell>
          <cell r="P259">
            <v>42</v>
          </cell>
          <cell r="R259">
            <v>398.81</v>
          </cell>
          <cell r="S259">
            <v>0</v>
          </cell>
          <cell r="T259">
            <v>0</v>
          </cell>
          <cell r="U259">
            <v>11</v>
          </cell>
          <cell r="V259">
            <v>9.49</v>
          </cell>
          <cell r="W259">
            <v>104.39</v>
          </cell>
          <cell r="X259">
            <v>2.4089800000000001</v>
          </cell>
          <cell r="Y259">
            <v>0</v>
          </cell>
          <cell r="Z259">
            <v>9.49</v>
          </cell>
          <cell r="AA259">
            <v>104.39</v>
          </cell>
        </row>
        <row r="260">
          <cell r="B260" t="str">
            <v>DOT076</v>
          </cell>
          <cell r="C260" t="str">
            <v>VENDA DE YESO .:. 8" ( 20 CM)</v>
          </cell>
          <cell r="D260" t="str">
            <v>Rollo</v>
          </cell>
          <cell r="E260">
            <v>7</v>
          </cell>
          <cell r="F260">
            <v>148.42000000030001</v>
          </cell>
          <cell r="H260">
            <v>30</v>
          </cell>
          <cell r="J260">
            <v>659.7</v>
          </cell>
          <cell r="M260">
            <v>0</v>
          </cell>
          <cell r="N260">
            <v>0</v>
          </cell>
          <cell r="P260">
            <v>33</v>
          </cell>
          <cell r="R260">
            <v>720.15999899999997</v>
          </cell>
          <cell r="S260">
            <v>0</v>
          </cell>
          <cell r="T260">
            <v>0</v>
          </cell>
          <cell r="U260">
            <v>4</v>
          </cell>
          <cell r="V260">
            <v>21.99</v>
          </cell>
          <cell r="W260">
            <v>87.96</v>
          </cell>
          <cell r="X260">
            <v>2.4089800000000001</v>
          </cell>
          <cell r="Y260">
            <v>0</v>
          </cell>
          <cell r="Z260">
            <v>21.99</v>
          </cell>
          <cell r="AA260">
            <v>87.96</v>
          </cell>
        </row>
        <row r="261">
          <cell r="B261" t="str">
            <v>DOT081</v>
          </cell>
          <cell r="C261" t="str">
            <v>VENDA ELASTICA .:. 10 CM</v>
          </cell>
          <cell r="D261" t="str">
            <v>Rollo</v>
          </cell>
          <cell r="E261">
            <v>37</v>
          </cell>
          <cell r="F261">
            <v>267.76000000160002</v>
          </cell>
          <cell r="H261">
            <v>30</v>
          </cell>
          <cell r="J261">
            <v>180</v>
          </cell>
          <cell r="M261">
            <v>0</v>
          </cell>
          <cell r="N261">
            <v>0</v>
          </cell>
          <cell r="P261">
            <v>44</v>
          </cell>
          <cell r="R261">
            <v>309.75997699999999</v>
          </cell>
          <cell r="S261">
            <v>0</v>
          </cell>
          <cell r="T261">
            <v>0</v>
          </cell>
          <cell r="U261">
            <v>23</v>
          </cell>
          <cell r="V261">
            <v>6</v>
          </cell>
          <cell r="W261">
            <v>138</v>
          </cell>
          <cell r="X261">
            <v>2.4089800000000001</v>
          </cell>
          <cell r="Y261">
            <v>0</v>
          </cell>
          <cell r="Z261">
            <v>6</v>
          </cell>
          <cell r="AA261">
            <v>138</v>
          </cell>
        </row>
        <row r="262">
          <cell r="B262" t="str">
            <v>DOT082</v>
          </cell>
          <cell r="C262" t="str">
            <v>VENDA ELASTICA .:. 15 CM</v>
          </cell>
          <cell r="D262" t="str">
            <v>Rollo</v>
          </cell>
          <cell r="E262">
            <v>17</v>
          </cell>
          <cell r="F262">
            <v>164.6000000004</v>
          </cell>
          <cell r="H262">
            <v>20</v>
          </cell>
          <cell r="J262">
            <v>160</v>
          </cell>
          <cell r="M262">
            <v>0</v>
          </cell>
          <cell r="N262">
            <v>0</v>
          </cell>
          <cell r="P262">
            <v>27</v>
          </cell>
          <cell r="R262">
            <v>244.59999099999999</v>
          </cell>
          <cell r="S262">
            <v>0</v>
          </cell>
          <cell r="T262">
            <v>0</v>
          </cell>
          <cell r="U262">
            <v>10</v>
          </cell>
          <cell r="V262">
            <v>8</v>
          </cell>
          <cell r="W262">
            <v>80</v>
          </cell>
          <cell r="X262">
            <v>2.4089800000000001</v>
          </cell>
          <cell r="Y262">
            <v>0</v>
          </cell>
          <cell r="Z262">
            <v>8</v>
          </cell>
          <cell r="AA262">
            <v>80</v>
          </cell>
        </row>
        <row r="263">
          <cell r="B263" t="str">
            <v>DPF003</v>
          </cell>
          <cell r="C263" t="str">
            <v>CONDON MASCULINO .:. PIEZA</v>
          </cell>
          <cell r="D263" t="str">
            <v>Sobre estéril</v>
          </cell>
          <cell r="E263">
            <v>223</v>
          </cell>
          <cell r="F263">
            <v>314.43</v>
          </cell>
          <cell r="H263">
            <v>0</v>
          </cell>
          <cell r="J263">
            <v>0</v>
          </cell>
          <cell r="M263">
            <v>0</v>
          </cell>
          <cell r="N263">
            <v>0</v>
          </cell>
          <cell r="P263">
            <v>192</v>
          </cell>
          <cell r="R263">
            <v>270.72000000000003</v>
          </cell>
          <cell r="S263">
            <v>0</v>
          </cell>
          <cell r="T263">
            <v>0</v>
          </cell>
          <cell r="U263">
            <v>31</v>
          </cell>
          <cell r="V263">
            <v>1.41</v>
          </cell>
          <cell r="W263">
            <v>43.71</v>
          </cell>
          <cell r="X263">
            <v>2.4089800000000001</v>
          </cell>
          <cell r="Y263">
            <v>0</v>
          </cell>
          <cell r="Z263">
            <v>1.41</v>
          </cell>
          <cell r="AA263">
            <v>43.71</v>
          </cell>
        </row>
        <row r="264">
          <cell r="B264" t="str">
            <v>DPP001</v>
          </cell>
          <cell r="C264" t="str">
            <v xml:space="preserve">BARBIJO HERMETICO (RESPIRADOR) .:. CON FILTRO  N95 </v>
          </cell>
          <cell r="D264" t="str">
            <v>Pieza</v>
          </cell>
          <cell r="E264">
            <v>74</v>
          </cell>
          <cell r="F264">
            <v>4038.7200000001999</v>
          </cell>
          <cell r="H264">
            <v>100</v>
          </cell>
          <cell r="J264">
            <v>1800</v>
          </cell>
          <cell r="M264">
            <v>0</v>
          </cell>
          <cell r="N264">
            <v>0</v>
          </cell>
          <cell r="P264">
            <v>80</v>
          </cell>
          <cell r="R264">
            <v>3525.3466279999998</v>
          </cell>
          <cell r="S264">
            <v>0</v>
          </cell>
          <cell r="T264">
            <v>0</v>
          </cell>
          <cell r="U264">
            <v>94</v>
          </cell>
          <cell r="V264">
            <v>24.610354000000001</v>
          </cell>
          <cell r="W264">
            <v>2313.3732759999998</v>
          </cell>
          <cell r="X264">
            <v>2.4089800000000001</v>
          </cell>
          <cell r="Y264">
            <v>0</v>
          </cell>
          <cell r="Z264">
            <v>24.610354000000001</v>
          </cell>
          <cell r="AA264">
            <v>2313.3732759999998</v>
          </cell>
        </row>
        <row r="265">
          <cell r="B265" t="str">
            <v>DPP0011</v>
          </cell>
          <cell r="C265" t="str">
            <v>BARBIJO .:. KN95  TALLA UNICA/CLIP NASAL</v>
          </cell>
          <cell r="D265" t="str">
            <v>Pieza</v>
          </cell>
          <cell r="E265">
            <v>122</v>
          </cell>
          <cell r="F265">
            <v>319.78000000200001</v>
          </cell>
          <cell r="H265">
            <v>1015</v>
          </cell>
          <cell r="J265">
            <v>4709.5</v>
          </cell>
          <cell r="M265">
            <v>0</v>
          </cell>
          <cell r="N265">
            <v>0</v>
          </cell>
          <cell r="P265">
            <v>386</v>
          </cell>
          <cell r="R265">
            <v>1350.791976</v>
          </cell>
          <cell r="S265">
            <v>0</v>
          </cell>
          <cell r="T265">
            <v>0</v>
          </cell>
          <cell r="U265">
            <v>751</v>
          </cell>
          <cell r="V265">
            <v>4.8981190000000003</v>
          </cell>
          <cell r="W265">
            <v>3678.4873689999999</v>
          </cell>
          <cell r="X265">
            <v>2.4089800000000001</v>
          </cell>
          <cell r="Y265">
            <v>0</v>
          </cell>
          <cell r="Z265">
            <v>4.8981190000000003</v>
          </cell>
          <cell r="AA265">
            <v>3678.4873689999999</v>
          </cell>
        </row>
        <row r="266">
          <cell r="B266" t="str">
            <v>DPP0012</v>
          </cell>
          <cell r="C266" t="str">
            <v>BARBIJO NO HERMETICO .:. N95  BARBIJO SEGUN NORMA NIOSH</v>
          </cell>
          <cell r="D266" t="str">
            <v>Pieza</v>
          </cell>
          <cell r="E266">
            <v>187</v>
          </cell>
          <cell r="F266">
            <v>1402.5</v>
          </cell>
          <cell r="H266">
            <v>600</v>
          </cell>
          <cell r="J266">
            <v>4500</v>
          </cell>
          <cell r="M266">
            <v>0</v>
          </cell>
          <cell r="N266">
            <v>0</v>
          </cell>
          <cell r="P266">
            <v>180</v>
          </cell>
          <cell r="R266">
            <v>1350</v>
          </cell>
          <cell r="S266">
            <v>0</v>
          </cell>
          <cell r="T266">
            <v>0</v>
          </cell>
          <cell r="U266">
            <v>607</v>
          </cell>
          <cell r="V266">
            <v>7.5</v>
          </cell>
          <cell r="W266">
            <v>4552.5</v>
          </cell>
          <cell r="X266">
            <v>2.4089800000000001</v>
          </cell>
          <cell r="Y266">
            <v>0</v>
          </cell>
          <cell r="Z266">
            <v>7.5</v>
          </cell>
          <cell r="AA266">
            <v>4552.5</v>
          </cell>
        </row>
        <row r="267">
          <cell r="B267" t="str">
            <v>DPP003</v>
          </cell>
          <cell r="C267" t="str">
            <v>BARBIJO .:. DESCARTABLE TRIPLE CAPA CON LIGAS</v>
          </cell>
          <cell r="D267" t="str">
            <v>Caja x 50</v>
          </cell>
          <cell r="E267">
            <v>204</v>
          </cell>
          <cell r="F267">
            <v>3937.3299999996002</v>
          </cell>
          <cell r="H267">
            <v>300</v>
          </cell>
          <cell r="J267">
            <v>7200</v>
          </cell>
          <cell r="M267">
            <v>0</v>
          </cell>
          <cell r="N267">
            <v>0</v>
          </cell>
          <cell r="P267">
            <v>392</v>
          </cell>
          <cell r="R267">
            <v>8508.5029799999993</v>
          </cell>
          <cell r="S267">
            <v>0</v>
          </cell>
          <cell r="T267">
            <v>0</v>
          </cell>
          <cell r="U267">
            <v>112</v>
          </cell>
          <cell r="V267">
            <v>23.471668999999999</v>
          </cell>
          <cell r="W267">
            <v>2628.826928</v>
          </cell>
          <cell r="X267">
            <v>2.4089800000000001</v>
          </cell>
          <cell r="Y267">
            <v>0</v>
          </cell>
          <cell r="Z267">
            <v>23.471668999999999</v>
          </cell>
          <cell r="AA267">
            <v>2628.826928</v>
          </cell>
        </row>
        <row r="268">
          <cell r="B268" t="str">
            <v>DPP004</v>
          </cell>
          <cell r="C268" t="str">
            <v>BATAS .:. DESCARTABLES CON PUNO DE ALGODON  Y SCRACH PARA FIJAR</v>
          </cell>
          <cell r="D268" t="str">
            <v>Pieza</v>
          </cell>
          <cell r="E268">
            <v>0</v>
          </cell>
          <cell r="F268">
            <v>0</v>
          </cell>
          <cell r="H268">
            <v>50</v>
          </cell>
          <cell r="J268">
            <v>1250</v>
          </cell>
          <cell r="M268">
            <v>0</v>
          </cell>
          <cell r="N268">
            <v>0</v>
          </cell>
          <cell r="P268">
            <v>50</v>
          </cell>
          <cell r="R268">
            <v>1250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2.4089800000000001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DPP0051</v>
          </cell>
          <cell r="C269" t="str">
            <v xml:space="preserve">CUBRE ZAPATOS  .:. </v>
          </cell>
          <cell r="D269" t="str">
            <v>Pieza</v>
          </cell>
          <cell r="E269">
            <v>1978</v>
          </cell>
          <cell r="F269">
            <v>1754.8400000885999</v>
          </cell>
          <cell r="H269">
            <v>0</v>
          </cell>
          <cell r="J269">
            <v>0</v>
          </cell>
          <cell r="M269">
            <v>0</v>
          </cell>
          <cell r="N269">
            <v>0</v>
          </cell>
          <cell r="P269">
            <v>1200</v>
          </cell>
          <cell r="R269">
            <v>1064.614759</v>
          </cell>
          <cell r="S269">
            <v>0</v>
          </cell>
          <cell r="T269">
            <v>0</v>
          </cell>
          <cell r="U269">
            <v>778</v>
          </cell>
          <cell r="V269">
            <v>0.88717800000000002</v>
          </cell>
          <cell r="W269">
            <v>690.22448399999996</v>
          </cell>
          <cell r="X269">
            <v>2.4089800000000001</v>
          </cell>
          <cell r="Y269">
            <v>0</v>
          </cell>
          <cell r="Z269">
            <v>0.88717800000000002</v>
          </cell>
          <cell r="AA269">
            <v>690.22448399999996</v>
          </cell>
        </row>
        <row r="270">
          <cell r="B270" t="str">
            <v>DPP007</v>
          </cell>
          <cell r="C270" t="str">
            <v>GORRO DESCARTABLE .:. PARA MUJER EN PLATO</v>
          </cell>
          <cell r="D270" t="str">
            <v>Pieza</v>
          </cell>
          <cell r="E270">
            <v>788</v>
          </cell>
          <cell r="F270">
            <v>468.4499999752</v>
          </cell>
          <cell r="H270">
            <v>5700</v>
          </cell>
          <cell r="J270">
            <v>2625</v>
          </cell>
          <cell r="M270">
            <v>0</v>
          </cell>
          <cell r="N270">
            <v>0</v>
          </cell>
          <cell r="P270">
            <v>3516</v>
          </cell>
          <cell r="R270">
            <v>1804.9785670000001</v>
          </cell>
          <cell r="S270">
            <v>0</v>
          </cell>
          <cell r="T270">
            <v>0</v>
          </cell>
          <cell r="U270">
            <v>2972</v>
          </cell>
          <cell r="V270">
            <v>0.43353599999999998</v>
          </cell>
          <cell r="W270">
            <v>1288.4689920000001</v>
          </cell>
          <cell r="X270">
            <v>2.4089800000000001</v>
          </cell>
          <cell r="Y270">
            <v>0</v>
          </cell>
          <cell r="Z270">
            <v>0.43353599999999998</v>
          </cell>
          <cell r="AA270">
            <v>1288.4689920000001</v>
          </cell>
        </row>
        <row r="271">
          <cell r="B271" t="str">
            <v>DPP0082</v>
          </cell>
          <cell r="C271" t="str">
            <v>GUANTES DE NITRILO.:. M .:. MEDIANO</v>
          </cell>
          <cell r="D271" t="str">
            <v>caja por 100</v>
          </cell>
          <cell r="E271">
            <v>98</v>
          </cell>
          <cell r="F271">
            <v>11275.0399999972</v>
          </cell>
          <cell r="H271">
            <v>0</v>
          </cell>
          <cell r="J271">
            <v>0</v>
          </cell>
          <cell r="M271">
            <v>0</v>
          </cell>
          <cell r="N271">
            <v>0</v>
          </cell>
          <cell r="P271">
            <v>87</v>
          </cell>
          <cell r="R271">
            <v>10009.474276999999</v>
          </cell>
          <cell r="S271">
            <v>0</v>
          </cell>
          <cell r="T271">
            <v>0</v>
          </cell>
          <cell r="U271">
            <v>11</v>
          </cell>
          <cell r="V271">
            <v>115.051428</v>
          </cell>
          <cell r="W271">
            <v>1265.5657080000001</v>
          </cell>
          <cell r="X271">
            <v>2.4089800000000001</v>
          </cell>
          <cell r="Y271">
            <v>0</v>
          </cell>
          <cell r="Z271">
            <v>115.051428</v>
          </cell>
          <cell r="AA271">
            <v>1265.5657080000001</v>
          </cell>
        </row>
        <row r="272">
          <cell r="B272" t="str">
            <v>DPP011</v>
          </cell>
          <cell r="C272" t="str">
            <v>GUANTES DESCARTABLES .:. DE LATEX TALLA S</v>
          </cell>
          <cell r="D272" t="str">
            <v>Caja x 100</v>
          </cell>
          <cell r="E272">
            <v>89</v>
          </cell>
          <cell r="F272">
            <v>6141</v>
          </cell>
          <cell r="H272">
            <v>120</v>
          </cell>
          <cell r="J272">
            <v>4410</v>
          </cell>
          <cell r="M272">
            <v>0</v>
          </cell>
          <cell r="N272">
            <v>0</v>
          </cell>
          <cell r="P272">
            <v>146</v>
          </cell>
          <cell r="R272">
            <v>8723.9999929999994</v>
          </cell>
          <cell r="S272">
            <v>0</v>
          </cell>
          <cell r="T272">
            <v>0</v>
          </cell>
          <cell r="U272">
            <v>63</v>
          </cell>
          <cell r="V272">
            <v>29</v>
          </cell>
          <cell r="W272">
            <v>1827</v>
          </cell>
          <cell r="X272">
            <v>2.4089800000000001</v>
          </cell>
          <cell r="Y272">
            <v>0</v>
          </cell>
          <cell r="Z272">
            <v>29</v>
          </cell>
          <cell r="AA272">
            <v>1827</v>
          </cell>
        </row>
        <row r="273">
          <cell r="B273" t="str">
            <v>DPP012</v>
          </cell>
          <cell r="C273" t="str">
            <v>GUANTES DESCARTABLES .:. DE LATEX TALLA M</v>
          </cell>
          <cell r="D273" t="str">
            <v>Caja x 100</v>
          </cell>
          <cell r="E273">
            <v>75</v>
          </cell>
          <cell r="F273">
            <v>5030.22</v>
          </cell>
          <cell r="H273">
            <v>120</v>
          </cell>
          <cell r="J273">
            <v>5340</v>
          </cell>
          <cell r="M273">
            <v>0</v>
          </cell>
          <cell r="N273">
            <v>0</v>
          </cell>
          <cell r="P273">
            <v>157</v>
          </cell>
          <cell r="R273">
            <v>9086.8605050000006</v>
          </cell>
          <cell r="S273">
            <v>0</v>
          </cell>
          <cell r="T273">
            <v>0</v>
          </cell>
          <cell r="U273">
            <v>38</v>
          </cell>
          <cell r="V273">
            <v>33.772616999999997</v>
          </cell>
          <cell r="W273">
            <v>1283.3594459999999</v>
          </cell>
          <cell r="X273">
            <v>2.4089800000000001</v>
          </cell>
          <cell r="Y273">
            <v>0</v>
          </cell>
          <cell r="Z273">
            <v>33.772616999999997</v>
          </cell>
          <cell r="AA273">
            <v>1283.3594459999999</v>
          </cell>
        </row>
        <row r="274">
          <cell r="B274" t="str">
            <v>DPP014</v>
          </cell>
          <cell r="C274" t="str">
            <v>GUANTES DESCARTABLES .:. DE LATEX TALLA "XS"</v>
          </cell>
          <cell r="D274" t="str">
            <v>Caja x 100</v>
          </cell>
          <cell r="E274">
            <v>15</v>
          </cell>
          <cell r="F274">
            <v>1035</v>
          </cell>
          <cell r="H274">
            <v>40</v>
          </cell>
          <cell r="J274">
            <v>1470</v>
          </cell>
          <cell r="M274">
            <v>0</v>
          </cell>
          <cell r="N274">
            <v>0</v>
          </cell>
          <cell r="P274">
            <v>41</v>
          </cell>
          <cell r="R274">
            <v>2099</v>
          </cell>
          <cell r="S274">
            <v>0</v>
          </cell>
          <cell r="T274">
            <v>0</v>
          </cell>
          <cell r="U274">
            <v>14</v>
          </cell>
          <cell r="V274">
            <v>29</v>
          </cell>
          <cell r="W274">
            <v>406</v>
          </cell>
          <cell r="X274">
            <v>2.4089800000000001</v>
          </cell>
          <cell r="Y274">
            <v>0</v>
          </cell>
          <cell r="Z274">
            <v>29</v>
          </cell>
          <cell r="AA274">
            <v>406</v>
          </cell>
        </row>
        <row r="275">
          <cell r="B275" t="str">
            <v>DPP015</v>
          </cell>
          <cell r="C275" t="str">
            <v>LENTES DE PROTECCION .:. TRANSPARENTE</v>
          </cell>
          <cell r="D275" t="str">
            <v>Pieza</v>
          </cell>
          <cell r="E275">
            <v>31</v>
          </cell>
          <cell r="F275">
            <v>1429.8700000007</v>
          </cell>
          <cell r="H275">
            <v>30</v>
          </cell>
          <cell r="J275">
            <v>1050</v>
          </cell>
          <cell r="M275">
            <v>0</v>
          </cell>
          <cell r="N275">
            <v>0</v>
          </cell>
          <cell r="P275">
            <v>31</v>
          </cell>
          <cell r="R275">
            <v>1429.869999</v>
          </cell>
          <cell r="S275">
            <v>0</v>
          </cell>
          <cell r="T275">
            <v>0</v>
          </cell>
          <cell r="U275">
            <v>30</v>
          </cell>
          <cell r="V275">
            <v>35</v>
          </cell>
          <cell r="W275">
            <v>1050</v>
          </cell>
          <cell r="X275">
            <v>2.4089800000000001</v>
          </cell>
          <cell r="Y275">
            <v>0</v>
          </cell>
          <cell r="Z275">
            <v>35</v>
          </cell>
          <cell r="AA275">
            <v>1050</v>
          </cell>
        </row>
        <row r="276">
          <cell r="B276" t="str">
            <v>DSC012</v>
          </cell>
          <cell r="C276" t="str">
            <v>SUTURA  CAT GUT CROMADO .:. N° 0 C/AGUJA  4 CM. 1/2 CIRC.</v>
          </cell>
          <cell r="D276" t="str">
            <v>Sobre estéril</v>
          </cell>
          <cell r="E276">
            <v>58</v>
          </cell>
          <cell r="F276">
            <v>809.48999999820001</v>
          </cell>
          <cell r="H276">
            <v>0</v>
          </cell>
          <cell r="J276">
            <v>0</v>
          </cell>
          <cell r="M276">
            <v>0</v>
          </cell>
          <cell r="N276">
            <v>0</v>
          </cell>
          <cell r="P276">
            <v>6</v>
          </cell>
          <cell r="R276">
            <v>83.740343999999993</v>
          </cell>
          <cell r="S276">
            <v>0</v>
          </cell>
          <cell r="T276">
            <v>0</v>
          </cell>
          <cell r="U276">
            <v>52</v>
          </cell>
          <cell r="V276">
            <v>13.956723999999999</v>
          </cell>
          <cell r="W276">
            <v>725.74964799999998</v>
          </cell>
          <cell r="X276">
            <v>2.4089800000000001</v>
          </cell>
          <cell r="Y276">
            <v>0</v>
          </cell>
          <cell r="Z276">
            <v>13.956723999999999</v>
          </cell>
          <cell r="AA276">
            <v>725.74964799999998</v>
          </cell>
        </row>
        <row r="277">
          <cell r="B277" t="str">
            <v>DSC013</v>
          </cell>
          <cell r="C277" t="str">
            <v>SUTURA  CAT GUT CROMADO .:. N° 1 C/AGUJA  4.8 CM 1/2 CIRC.</v>
          </cell>
          <cell r="D277" t="str">
            <v>Sobre estéril</v>
          </cell>
          <cell r="E277">
            <v>13</v>
          </cell>
          <cell r="F277">
            <v>179.25000000049999</v>
          </cell>
          <cell r="H277">
            <v>20</v>
          </cell>
          <cell r="J277">
            <v>202.4</v>
          </cell>
          <cell r="M277">
            <v>0</v>
          </cell>
          <cell r="N277">
            <v>0</v>
          </cell>
          <cell r="P277">
            <v>16</v>
          </cell>
          <cell r="R277">
            <v>209.609993</v>
          </cell>
          <cell r="S277">
            <v>0</v>
          </cell>
          <cell r="T277">
            <v>0</v>
          </cell>
          <cell r="U277">
            <v>17</v>
          </cell>
          <cell r="V277">
            <v>10.119999999999999</v>
          </cell>
          <cell r="W277">
            <v>172.04</v>
          </cell>
          <cell r="X277">
            <v>2.4089800000000001</v>
          </cell>
          <cell r="Y277">
            <v>0</v>
          </cell>
          <cell r="Z277">
            <v>10.119999999999999</v>
          </cell>
          <cell r="AA277">
            <v>172.04</v>
          </cell>
        </row>
        <row r="278">
          <cell r="B278" t="str">
            <v>DSC020</v>
          </cell>
          <cell r="C278" t="str">
            <v>SUTURA CAT GUT SIMPLE .:. N° 1C/AGUJA  4.8 CM. 1/2 CIRC.</v>
          </cell>
          <cell r="D278" t="str">
            <v>Sobre estéril</v>
          </cell>
          <cell r="E278">
            <v>26</v>
          </cell>
          <cell r="F278">
            <v>409.73999999919999</v>
          </cell>
          <cell r="H278">
            <v>30</v>
          </cell>
          <cell r="J278">
            <v>480</v>
          </cell>
          <cell r="M278">
            <v>0</v>
          </cell>
          <cell r="N278">
            <v>0</v>
          </cell>
          <cell r="P278">
            <v>35</v>
          </cell>
          <cell r="R278">
            <v>555.63603999999998</v>
          </cell>
          <cell r="S278">
            <v>0</v>
          </cell>
          <cell r="T278">
            <v>0</v>
          </cell>
          <cell r="U278">
            <v>21</v>
          </cell>
          <cell r="V278">
            <v>15.909711</v>
          </cell>
          <cell r="W278">
            <v>334.10393099999999</v>
          </cell>
          <cell r="X278">
            <v>2.4089800000000001</v>
          </cell>
          <cell r="Y278">
            <v>0</v>
          </cell>
          <cell r="Z278">
            <v>15.909711</v>
          </cell>
          <cell r="AA278">
            <v>334.10393099999999</v>
          </cell>
        </row>
        <row r="279">
          <cell r="B279" t="str">
            <v>DSC021</v>
          </cell>
          <cell r="C279" t="str">
            <v>SUTURA CAT GUT SIMPLE .:. N° 2/0 C/AGUJA 1.7 CM. 3/8 DE CIRC.</v>
          </cell>
          <cell r="D279" t="str">
            <v>Sobre estéril</v>
          </cell>
          <cell r="E279">
            <v>85</v>
          </cell>
          <cell r="F279">
            <v>1516.3300000009999</v>
          </cell>
          <cell r="H279">
            <v>0</v>
          </cell>
          <cell r="J279">
            <v>0</v>
          </cell>
          <cell r="M279">
            <v>0</v>
          </cell>
          <cell r="N279">
            <v>0</v>
          </cell>
          <cell r="P279">
            <v>3</v>
          </cell>
          <cell r="R279">
            <v>53.517527999999999</v>
          </cell>
          <cell r="S279">
            <v>0</v>
          </cell>
          <cell r="T279">
            <v>0</v>
          </cell>
          <cell r="U279">
            <v>82</v>
          </cell>
          <cell r="V279">
            <v>17.839175999999998</v>
          </cell>
          <cell r="W279">
            <v>1462.8124319999999</v>
          </cell>
          <cell r="X279">
            <v>2.4089800000000001</v>
          </cell>
          <cell r="Y279">
            <v>0</v>
          </cell>
          <cell r="Z279">
            <v>17.839175999999998</v>
          </cell>
          <cell r="AA279">
            <v>1462.8124319999999</v>
          </cell>
        </row>
        <row r="280">
          <cell r="B280" t="str">
            <v>DSC023</v>
          </cell>
          <cell r="C280" t="str">
            <v>SUTURA CAT GUT SIMPLE .:. N° 3/0 C/AGUJA 2.5 CM. 1/2 CIRC.</v>
          </cell>
          <cell r="D280" t="str">
            <v>Sobre estéril</v>
          </cell>
          <cell r="E280">
            <v>32</v>
          </cell>
          <cell r="F280">
            <v>493.2</v>
          </cell>
          <cell r="H280">
            <v>0</v>
          </cell>
          <cell r="J280">
            <v>0</v>
          </cell>
          <cell r="M280">
            <v>0</v>
          </cell>
          <cell r="N280">
            <v>0</v>
          </cell>
          <cell r="P280">
            <v>4</v>
          </cell>
          <cell r="R280">
            <v>61.65</v>
          </cell>
          <cell r="S280">
            <v>0</v>
          </cell>
          <cell r="T280">
            <v>0</v>
          </cell>
          <cell r="U280">
            <v>28</v>
          </cell>
          <cell r="V280">
            <v>15.4125</v>
          </cell>
          <cell r="W280">
            <v>431.55</v>
          </cell>
          <cell r="X280">
            <v>2.4089800000000001</v>
          </cell>
          <cell r="Y280">
            <v>0</v>
          </cell>
          <cell r="Z280">
            <v>15.4125</v>
          </cell>
          <cell r="AA280">
            <v>431.55</v>
          </cell>
        </row>
        <row r="281">
          <cell r="B281" t="str">
            <v>DSC024</v>
          </cell>
          <cell r="C281" t="str">
            <v>SUTURA CAT GUT SIMPLE .:. N° 4/0 C/AGUJA 2.0 CM. 1/2 CIRC.</v>
          </cell>
          <cell r="D281" t="str">
            <v>Sobre estéril</v>
          </cell>
          <cell r="E281">
            <v>27</v>
          </cell>
          <cell r="F281">
            <v>577.85999999939997</v>
          </cell>
          <cell r="H281">
            <v>0</v>
          </cell>
          <cell r="J281">
            <v>0</v>
          </cell>
          <cell r="M281">
            <v>0</v>
          </cell>
          <cell r="N281">
            <v>0</v>
          </cell>
          <cell r="P281">
            <v>4</v>
          </cell>
          <cell r="R281">
            <v>85.608887999999993</v>
          </cell>
          <cell r="S281">
            <v>0</v>
          </cell>
          <cell r="T281">
            <v>0</v>
          </cell>
          <cell r="U281">
            <v>23</v>
          </cell>
          <cell r="V281">
            <v>21.402221999999998</v>
          </cell>
          <cell r="W281">
            <v>492.25110599999999</v>
          </cell>
          <cell r="X281">
            <v>2.4089800000000001</v>
          </cell>
          <cell r="Y281">
            <v>0</v>
          </cell>
          <cell r="Z281">
            <v>21.402221999999998</v>
          </cell>
          <cell r="AA281">
            <v>492.25110599999999</v>
          </cell>
        </row>
        <row r="282">
          <cell r="B282" t="str">
            <v>DSC025</v>
          </cell>
          <cell r="C282" t="str">
            <v>SUTURA CAT GUT SIMPLE .:. N° 5/0 C/AGUJA 1.5 CM. 1/2 CIRC.</v>
          </cell>
          <cell r="D282" t="str">
            <v>Sobre estéril</v>
          </cell>
          <cell r="E282">
            <v>66</v>
          </cell>
          <cell r="F282">
            <v>1659.0600000018001</v>
          </cell>
          <cell r="H282">
            <v>0</v>
          </cell>
          <cell r="J282">
            <v>0</v>
          </cell>
          <cell r="M282">
            <v>0</v>
          </cell>
          <cell r="N282">
            <v>0</v>
          </cell>
          <cell r="P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66</v>
          </cell>
          <cell r="V282">
            <v>25.137271999999999</v>
          </cell>
          <cell r="W282">
            <v>1659.0599520000001</v>
          </cell>
          <cell r="X282">
            <v>2.4089800000000001</v>
          </cell>
          <cell r="Y282">
            <v>0</v>
          </cell>
          <cell r="Z282">
            <v>25.137271999999999</v>
          </cell>
          <cell r="AA282">
            <v>1659.0599520000001</v>
          </cell>
        </row>
        <row r="283">
          <cell r="B283" t="str">
            <v>DSC029</v>
          </cell>
          <cell r="C283" t="str">
            <v>SUTURA DE SEDA  .:. N° 3/0 C/AGUJA 2.5 1/2 CIRC.</v>
          </cell>
          <cell r="D283" t="str">
            <v>Sobre estéril</v>
          </cell>
          <cell r="E283">
            <v>0</v>
          </cell>
          <cell r="F283">
            <v>0</v>
          </cell>
          <cell r="H283">
            <v>60</v>
          </cell>
          <cell r="J283">
            <v>390</v>
          </cell>
          <cell r="M283">
            <v>0</v>
          </cell>
          <cell r="N283">
            <v>0</v>
          </cell>
          <cell r="P283">
            <v>60</v>
          </cell>
          <cell r="R283">
            <v>390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2.4089800000000001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DSC041</v>
          </cell>
          <cell r="C284" t="str">
            <v>SUTURA NYLON .:. N° 1 C/AGUJA 4.0 CM. CUTICULAR</v>
          </cell>
          <cell r="D284" t="str">
            <v>Sobre estéril</v>
          </cell>
          <cell r="E284">
            <v>89</v>
          </cell>
          <cell r="F284">
            <v>830.03999999719997</v>
          </cell>
          <cell r="H284">
            <v>0</v>
          </cell>
          <cell r="J284">
            <v>0</v>
          </cell>
          <cell r="M284">
            <v>0</v>
          </cell>
          <cell r="N284">
            <v>0</v>
          </cell>
          <cell r="P284">
            <v>7</v>
          </cell>
          <cell r="R284">
            <v>65.284043999999994</v>
          </cell>
          <cell r="S284">
            <v>0</v>
          </cell>
          <cell r="T284">
            <v>0</v>
          </cell>
          <cell r="U284">
            <v>82</v>
          </cell>
          <cell r="V284">
            <v>9.3262920000000005</v>
          </cell>
          <cell r="W284">
            <v>764.755944</v>
          </cell>
          <cell r="X284">
            <v>2.4089800000000001</v>
          </cell>
          <cell r="Y284">
            <v>0</v>
          </cell>
          <cell r="Z284">
            <v>9.3262920000000005</v>
          </cell>
          <cell r="AA284">
            <v>764.755944</v>
          </cell>
        </row>
        <row r="285">
          <cell r="B285" t="str">
            <v>DSC042</v>
          </cell>
          <cell r="C285" t="str">
            <v>SUTURA NYLON .:. N° 2/0 C/AGUJA 3 CM. CUTICULAR</v>
          </cell>
          <cell r="D285" t="str">
            <v>Sobre estéril</v>
          </cell>
          <cell r="E285">
            <v>36</v>
          </cell>
          <cell r="F285">
            <v>305.33000000039999</v>
          </cell>
          <cell r="H285">
            <v>30</v>
          </cell>
          <cell r="J285">
            <v>255</v>
          </cell>
          <cell r="M285">
            <v>0</v>
          </cell>
          <cell r="N285">
            <v>0</v>
          </cell>
          <cell r="P285">
            <v>49</v>
          </cell>
          <cell r="R285">
            <v>415.96728100000001</v>
          </cell>
          <cell r="S285">
            <v>0</v>
          </cell>
          <cell r="T285">
            <v>0</v>
          </cell>
          <cell r="U285">
            <v>17</v>
          </cell>
          <cell r="V285">
            <v>8.4919229999999999</v>
          </cell>
          <cell r="W285">
            <v>144.36269100000001</v>
          </cell>
          <cell r="X285">
            <v>2.4089800000000001</v>
          </cell>
          <cell r="Y285">
            <v>0</v>
          </cell>
          <cell r="Z285">
            <v>8.4919229999999999</v>
          </cell>
          <cell r="AA285">
            <v>144.36269100000001</v>
          </cell>
        </row>
        <row r="286">
          <cell r="B286" t="str">
            <v>DSC043</v>
          </cell>
          <cell r="C286" t="str">
            <v>SUTURA NYLON .:. N° 3/0 C/AGUJA 2.5 CM CUTICULAR</v>
          </cell>
          <cell r="D286" t="str">
            <v>Sobre estéril</v>
          </cell>
          <cell r="E286">
            <v>61</v>
          </cell>
          <cell r="F286">
            <v>512.4</v>
          </cell>
          <cell r="H286">
            <v>200</v>
          </cell>
          <cell r="J286">
            <v>1620</v>
          </cell>
          <cell r="M286">
            <v>0</v>
          </cell>
          <cell r="N286">
            <v>0</v>
          </cell>
          <cell r="P286">
            <v>200</v>
          </cell>
          <cell r="R286">
            <v>1644.4</v>
          </cell>
          <cell r="S286">
            <v>0</v>
          </cell>
          <cell r="T286">
            <v>0</v>
          </cell>
          <cell r="U286">
            <v>61</v>
          </cell>
          <cell r="V286">
            <v>8</v>
          </cell>
          <cell r="W286">
            <v>488</v>
          </cell>
          <cell r="X286">
            <v>2.4089800000000001</v>
          </cell>
          <cell r="Y286">
            <v>0</v>
          </cell>
          <cell r="Z286">
            <v>8</v>
          </cell>
          <cell r="AA286">
            <v>488</v>
          </cell>
        </row>
        <row r="287">
          <cell r="B287" t="str">
            <v>DSC045</v>
          </cell>
          <cell r="C287" t="str">
            <v>SUTURA NYLON .:. N° 5/0 C/AGUJA 1.5 CM CUTICULAR</v>
          </cell>
          <cell r="D287" t="str">
            <v>Sobre estéril</v>
          </cell>
          <cell r="E287">
            <v>35</v>
          </cell>
          <cell r="F287">
            <v>454.40000000150002</v>
          </cell>
          <cell r="H287">
            <v>0</v>
          </cell>
          <cell r="J287">
            <v>0</v>
          </cell>
          <cell r="M287">
            <v>0</v>
          </cell>
          <cell r="N287">
            <v>0</v>
          </cell>
          <cell r="P287">
            <v>24</v>
          </cell>
          <cell r="R287">
            <v>311.58856800000001</v>
          </cell>
          <cell r="S287">
            <v>0</v>
          </cell>
          <cell r="T287">
            <v>0</v>
          </cell>
          <cell r="U287">
            <v>11</v>
          </cell>
          <cell r="V287">
            <v>12.982856999999999</v>
          </cell>
          <cell r="W287">
            <v>142.81142700000001</v>
          </cell>
          <cell r="X287">
            <v>2.4089800000000001</v>
          </cell>
          <cell r="Y287">
            <v>0</v>
          </cell>
          <cell r="Z287">
            <v>12.982856999999999</v>
          </cell>
          <cell r="AA287">
            <v>142.81142700000001</v>
          </cell>
        </row>
        <row r="288">
          <cell r="B288" t="str">
            <v>DSC054</v>
          </cell>
          <cell r="C288" t="str">
            <v>SUTURA POLIGLACTINA 910 .:. RECUBIERTA CON ESTEARATO DE CALCIO  N°1 C/AGUJA 4 CM. 1/2 CIRC.</v>
          </cell>
          <cell r="D288" t="str">
            <v>Sobre estéril</v>
          </cell>
          <cell r="E288">
            <v>45</v>
          </cell>
          <cell r="F288">
            <v>993.32000000100004</v>
          </cell>
          <cell r="H288">
            <v>60</v>
          </cell>
          <cell r="J288">
            <v>924</v>
          </cell>
          <cell r="M288">
            <v>0</v>
          </cell>
          <cell r="N288">
            <v>0</v>
          </cell>
          <cell r="P288">
            <v>66</v>
          </cell>
          <cell r="R288">
            <v>1316.7199800000001</v>
          </cell>
          <cell r="S288">
            <v>0</v>
          </cell>
          <cell r="T288">
            <v>0</v>
          </cell>
          <cell r="U288">
            <v>39</v>
          </cell>
          <cell r="V288">
            <v>15.4</v>
          </cell>
          <cell r="W288">
            <v>600.6</v>
          </cell>
          <cell r="X288">
            <v>2.4089800000000001</v>
          </cell>
          <cell r="Y288">
            <v>0</v>
          </cell>
          <cell r="Z288">
            <v>15.4</v>
          </cell>
          <cell r="AA288">
            <v>600.6</v>
          </cell>
        </row>
        <row r="289">
          <cell r="B289" t="str">
            <v>DSC056</v>
          </cell>
          <cell r="C289" t="str">
            <v>SUTURA POLIGLACTINA 910 .:. RECUBIERTA CON ESTEARATO DE CALCIO  N°3/ 0 C/AGUJA 2.5 CM. 1/2 CIRC.</v>
          </cell>
          <cell r="D289" t="str">
            <v>Sobre estéril</v>
          </cell>
          <cell r="E289">
            <v>39</v>
          </cell>
          <cell r="F289">
            <v>728.0200000008</v>
          </cell>
          <cell r="H289">
            <v>30</v>
          </cell>
          <cell r="J289">
            <v>462</v>
          </cell>
          <cell r="M289">
            <v>0</v>
          </cell>
          <cell r="N289">
            <v>0</v>
          </cell>
          <cell r="P289">
            <v>52</v>
          </cell>
          <cell r="R289">
            <v>928.21998199999996</v>
          </cell>
          <cell r="S289">
            <v>0</v>
          </cell>
          <cell r="T289">
            <v>0</v>
          </cell>
          <cell r="U289">
            <v>17</v>
          </cell>
          <cell r="V289">
            <v>15.4</v>
          </cell>
          <cell r="W289">
            <v>261.8</v>
          </cell>
          <cell r="X289">
            <v>2.4089800000000001</v>
          </cell>
          <cell r="Y289">
            <v>0</v>
          </cell>
          <cell r="Z289">
            <v>15.4</v>
          </cell>
          <cell r="AA289">
            <v>261.8</v>
          </cell>
        </row>
        <row r="290">
          <cell r="B290" t="str">
            <v>DSC057</v>
          </cell>
          <cell r="C290" t="str">
            <v>SUTURA POLIGLACTINA 910 .:. RECUBIERTA CON ESTEARATO DE CALCIO  N° 4/0 C/AGUJA 1.5 CM. 1/2 CIRC.</v>
          </cell>
          <cell r="D290" t="str">
            <v>Sobre estéril</v>
          </cell>
          <cell r="E290">
            <v>20</v>
          </cell>
          <cell r="F290">
            <v>417.2</v>
          </cell>
          <cell r="H290">
            <v>0</v>
          </cell>
          <cell r="J290">
            <v>0</v>
          </cell>
          <cell r="M290">
            <v>0</v>
          </cell>
          <cell r="N290">
            <v>0</v>
          </cell>
          <cell r="P290">
            <v>20</v>
          </cell>
          <cell r="R290">
            <v>417.2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2.4089800000000001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DSD015</v>
          </cell>
          <cell r="C291" t="str">
            <v>SONDA DE ASPIRACION .:. CON SISTEMA DE CONTROL DE FLUJO N°14</v>
          </cell>
          <cell r="D291" t="str">
            <v>Sobre estéril</v>
          </cell>
          <cell r="E291">
            <v>0</v>
          </cell>
          <cell r="F291">
            <v>0</v>
          </cell>
          <cell r="H291">
            <v>50</v>
          </cell>
          <cell r="J291">
            <v>175</v>
          </cell>
          <cell r="M291">
            <v>0</v>
          </cell>
          <cell r="N291">
            <v>0</v>
          </cell>
          <cell r="P291">
            <v>29</v>
          </cell>
          <cell r="R291">
            <v>101.5</v>
          </cell>
          <cell r="S291">
            <v>0</v>
          </cell>
          <cell r="T291">
            <v>0</v>
          </cell>
          <cell r="U291">
            <v>21</v>
          </cell>
          <cell r="V291">
            <v>3.5</v>
          </cell>
          <cell r="W291">
            <v>73.5</v>
          </cell>
          <cell r="X291">
            <v>2.4089800000000001</v>
          </cell>
          <cell r="Y291">
            <v>0</v>
          </cell>
          <cell r="Z291">
            <v>3.5</v>
          </cell>
          <cell r="AA291">
            <v>73.5</v>
          </cell>
        </row>
        <row r="292">
          <cell r="B292" t="str">
            <v>DSD016</v>
          </cell>
          <cell r="C292" t="str">
            <v>SONDA DE ASPIRACION .:. CON SISTEMA DE CONTROL DE FLUJO N°16</v>
          </cell>
          <cell r="D292" t="str">
            <v>Sobre estéril</v>
          </cell>
          <cell r="E292">
            <v>0</v>
          </cell>
          <cell r="F292">
            <v>0</v>
          </cell>
          <cell r="H292">
            <v>30</v>
          </cell>
          <cell r="J292">
            <v>105</v>
          </cell>
          <cell r="M292">
            <v>2</v>
          </cell>
          <cell r="N292">
            <v>6.2439020000000003</v>
          </cell>
          <cell r="P292">
            <v>32</v>
          </cell>
          <cell r="R292">
            <v>111.24390200000001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2.4089800000000001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DSD025</v>
          </cell>
          <cell r="C293" t="str">
            <v>SONDA FOLEY .:. SILICONIZADA 2 VIAS N° 14 CON PICO LUER</v>
          </cell>
          <cell r="D293" t="str">
            <v>Sobre estéril</v>
          </cell>
          <cell r="E293">
            <v>9</v>
          </cell>
          <cell r="F293">
            <v>77.229999999900002</v>
          </cell>
          <cell r="H293">
            <v>0</v>
          </cell>
          <cell r="J293">
            <v>0</v>
          </cell>
          <cell r="M293">
            <v>0</v>
          </cell>
          <cell r="N293">
            <v>0</v>
          </cell>
          <cell r="P293">
            <v>9</v>
          </cell>
          <cell r="R293">
            <v>77.229999000000007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2.4089800000000001</v>
          </cell>
          <cell r="Y293">
            <v>0</v>
          </cell>
          <cell r="Z293">
            <v>0</v>
          </cell>
          <cell r="AA293">
            <v>0</v>
          </cell>
        </row>
        <row r="294">
          <cell r="B294" t="str">
            <v>DSD026</v>
          </cell>
          <cell r="C294" t="str">
            <v>SONDA FOLEY .:. SILICONIZADA 2 VÍAS N° 16 CON PICO LUER</v>
          </cell>
          <cell r="D294" t="str">
            <v>Sobre estéril</v>
          </cell>
          <cell r="E294">
            <v>33</v>
          </cell>
          <cell r="F294">
            <v>230.67</v>
          </cell>
          <cell r="H294">
            <v>40</v>
          </cell>
          <cell r="J294">
            <v>272</v>
          </cell>
          <cell r="M294">
            <v>0</v>
          </cell>
          <cell r="N294">
            <v>0</v>
          </cell>
          <cell r="P294">
            <v>60</v>
          </cell>
          <cell r="R294">
            <v>413.62961899999999</v>
          </cell>
          <cell r="S294">
            <v>0</v>
          </cell>
          <cell r="T294">
            <v>0</v>
          </cell>
          <cell r="U294">
            <v>13</v>
          </cell>
          <cell r="V294">
            <v>6.849259</v>
          </cell>
          <cell r="W294">
            <v>89.040367000000003</v>
          </cell>
          <cell r="X294">
            <v>2.4089800000000001</v>
          </cell>
          <cell r="Y294">
            <v>0</v>
          </cell>
          <cell r="Z294">
            <v>6.849259</v>
          </cell>
          <cell r="AA294">
            <v>89.040367000000003</v>
          </cell>
        </row>
        <row r="295">
          <cell r="B295" t="str">
            <v>DSD027</v>
          </cell>
          <cell r="C295" t="str">
            <v>SONDA FOLEY .:. SILICONIZADA 2 VIAS N° 18 CON PICO LUER</v>
          </cell>
          <cell r="D295" t="str">
            <v>Sobre estéril</v>
          </cell>
          <cell r="E295">
            <v>14</v>
          </cell>
          <cell r="F295">
            <v>121.45</v>
          </cell>
          <cell r="H295">
            <v>20</v>
          </cell>
          <cell r="J295">
            <v>139.6</v>
          </cell>
          <cell r="M295">
            <v>0</v>
          </cell>
          <cell r="N295">
            <v>0</v>
          </cell>
          <cell r="P295">
            <v>11</v>
          </cell>
          <cell r="R295">
            <v>95.424999999999997</v>
          </cell>
          <cell r="S295">
            <v>0</v>
          </cell>
          <cell r="T295">
            <v>0</v>
          </cell>
          <cell r="U295">
            <v>23</v>
          </cell>
          <cell r="V295">
            <v>7.2010860000000001</v>
          </cell>
          <cell r="W295">
            <v>165.624978</v>
          </cell>
          <cell r="X295">
            <v>2.4089800000000001</v>
          </cell>
          <cell r="Y295">
            <v>0</v>
          </cell>
          <cell r="Z295">
            <v>7.2010860000000001</v>
          </cell>
          <cell r="AA295">
            <v>165.624978</v>
          </cell>
        </row>
        <row r="296">
          <cell r="B296" t="str">
            <v>DSD041</v>
          </cell>
          <cell r="C296" t="str">
            <v>SONDA NASOGASTRICA .:. N°16</v>
          </cell>
          <cell r="D296" t="str">
            <v>Sobre estéril</v>
          </cell>
          <cell r="E296">
            <v>34</v>
          </cell>
          <cell r="F296">
            <v>119</v>
          </cell>
          <cell r="H296">
            <v>30</v>
          </cell>
          <cell r="J296">
            <v>105</v>
          </cell>
          <cell r="M296">
            <v>0</v>
          </cell>
          <cell r="N296">
            <v>0</v>
          </cell>
          <cell r="P296">
            <v>57</v>
          </cell>
          <cell r="R296">
            <v>199.5</v>
          </cell>
          <cell r="S296">
            <v>0</v>
          </cell>
          <cell r="T296">
            <v>0</v>
          </cell>
          <cell r="U296">
            <v>7</v>
          </cell>
          <cell r="V296">
            <v>3.5</v>
          </cell>
          <cell r="W296">
            <v>24.5</v>
          </cell>
          <cell r="X296">
            <v>2.4089800000000001</v>
          </cell>
          <cell r="Y296">
            <v>0</v>
          </cell>
          <cell r="Z296">
            <v>3.5</v>
          </cell>
          <cell r="AA296">
            <v>24.5</v>
          </cell>
        </row>
        <row r="297">
          <cell r="B297" t="str">
            <v>DSG0031</v>
          </cell>
          <cell r="C297" t="str">
            <v>ALCOHOL EN GEL .:. SOLUCION ALCOHOL 70% C/GLICERINA</v>
          </cell>
          <cell r="D297" t="str">
            <v>Frasco de 5000 ml</v>
          </cell>
          <cell r="E297">
            <v>20</v>
          </cell>
          <cell r="F297">
            <v>3195.3</v>
          </cell>
          <cell r="H297">
            <v>35</v>
          </cell>
          <cell r="J297">
            <v>5320</v>
          </cell>
          <cell r="M297">
            <v>0</v>
          </cell>
          <cell r="N297">
            <v>0</v>
          </cell>
          <cell r="P297">
            <v>20</v>
          </cell>
          <cell r="R297">
            <v>3144.737208</v>
          </cell>
          <cell r="S297">
            <v>0</v>
          </cell>
          <cell r="T297">
            <v>0</v>
          </cell>
          <cell r="U297">
            <v>35</v>
          </cell>
          <cell r="V297">
            <v>153.44465099999999</v>
          </cell>
          <cell r="W297">
            <v>5370.5627850000001</v>
          </cell>
          <cell r="X297">
            <v>2.4089800000000001</v>
          </cell>
          <cell r="Y297">
            <v>0</v>
          </cell>
          <cell r="Z297">
            <v>153.44465099999999</v>
          </cell>
          <cell r="AA297">
            <v>5370.5627850000001</v>
          </cell>
        </row>
        <row r="298">
          <cell r="B298" t="str">
            <v>DSG005</v>
          </cell>
          <cell r="C298" t="str">
            <v>ALQUI DIMETIL BENZIL AMONIOCLORURO .:. SOLUCION</v>
          </cell>
          <cell r="D298" t="str">
            <v>Bidon de 5 litros</v>
          </cell>
          <cell r="E298">
            <v>1</v>
          </cell>
          <cell r="F298">
            <v>572.05999999999995</v>
          </cell>
          <cell r="H298">
            <v>4</v>
          </cell>
          <cell r="J298">
            <v>2320</v>
          </cell>
          <cell r="M298">
            <v>0</v>
          </cell>
          <cell r="N298">
            <v>0</v>
          </cell>
          <cell r="P298">
            <v>5</v>
          </cell>
          <cell r="R298">
            <v>2892.06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2.4089800000000001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DSG007</v>
          </cell>
          <cell r="C299" t="str">
            <v>DETERGENTE MULTIENZIMATICO .:. SOLUCION SIN ESPUMA DE 4 ENZIMAS</v>
          </cell>
          <cell r="D299" t="str">
            <v>Bidón</v>
          </cell>
          <cell r="E299">
            <v>3</v>
          </cell>
          <cell r="F299">
            <v>1890</v>
          </cell>
          <cell r="H299">
            <v>0</v>
          </cell>
          <cell r="J299">
            <v>0</v>
          </cell>
          <cell r="M299">
            <v>0</v>
          </cell>
          <cell r="N299">
            <v>0</v>
          </cell>
          <cell r="P299">
            <v>3</v>
          </cell>
          <cell r="R299">
            <v>1890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2.4089800000000001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DSG008</v>
          </cell>
          <cell r="C300" t="str">
            <v>GEL PARA DOOPLER .:. GEL</v>
          </cell>
          <cell r="D300" t="str">
            <v>Frasco de 5000 ml</v>
          </cell>
          <cell r="E300">
            <v>0</v>
          </cell>
          <cell r="F300">
            <v>0</v>
          </cell>
          <cell r="H300">
            <v>3</v>
          </cell>
          <cell r="J300">
            <v>480</v>
          </cell>
          <cell r="M300">
            <v>0</v>
          </cell>
          <cell r="N300">
            <v>0</v>
          </cell>
          <cell r="P300">
            <v>3</v>
          </cell>
          <cell r="R300">
            <v>480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2.4089800000000001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DTO003</v>
          </cell>
          <cell r="C301" t="str">
            <v>BIGOTERA PARA OXIGENO .:. SILICONADO (ADULTO)</v>
          </cell>
          <cell r="D301" t="str">
            <v>Pieza</v>
          </cell>
          <cell r="E301">
            <v>0</v>
          </cell>
          <cell r="F301">
            <v>0</v>
          </cell>
          <cell r="H301">
            <v>20</v>
          </cell>
          <cell r="J301">
            <v>150</v>
          </cell>
          <cell r="M301">
            <v>0</v>
          </cell>
          <cell r="N301">
            <v>0</v>
          </cell>
          <cell r="P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20</v>
          </cell>
          <cell r="V301">
            <v>7.5</v>
          </cell>
          <cell r="W301">
            <v>150</v>
          </cell>
          <cell r="X301">
            <v>2.4089800000000001</v>
          </cell>
          <cell r="Y301">
            <v>0</v>
          </cell>
          <cell r="Z301">
            <v>7.5</v>
          </cell>
          <cell r="AA301">
            <v>150</v>
          </cell>
        </row>
        <row r="302">
          <cell r="B302" t="str">
            <v>DTO006</v>
          </cell>
          <cell r="C302" t="str">
            <v>CANULA DE GUEDELL .:. ADULTO</v>
          </cell>
          <cell r="D302" t="str">
            <v>Juego x 5 piezas</v>
          </cell>
          <cell r="E302">
            <v>25</v>
          </cell>
          <cell r="F302">
            <v>125</v>
          </cell>
          <cell r="H302">
            <v>0</v>
          </cell>
          <cell r="J302">
            <v>0</v>
          </cell>
          <cell r="M302">
            <v>0</v>
          </cell>
          <cell r="N302">
            <v>0</v>
          </cell>
          <cell r="P302">
            <v>1</v>
          </cell>
          <cell r="R302">
            <v>5</v>
          </cell>
          <cell r="S302">
            <v>0</v>
          </cell>
          <cell r="T302">
            <v>0</v>
          </cell>
          <cell r="U302">
            <v>24</v>
          </cell>
          <cell r="V302">
            <v>5</v>
          </cell>
          <cell r="W302">
            <v>120</v>
          </cell>
          <cell r="X302">
            <v>2.4089800000000001</v>
          </cell>
          <cell r="Y302">
            <v>0</v>
          </cell>
          <cell r="Z302">
            <v>5</v>
          </cell>
          <cell r="AA302">
            <v>120</v>
          </cell>
        </row>
        <row r="303">
          <cell r="B303" t="str">
            <v>DTO013</v>
          </cell>
          <cell r="C303" t="str">
            <v>CANULA DE TRAQUEOSTOMIA .:. NO. 7</v>
          </cell>
          <cell r="D303" t="str">
            <v>Sobre estéril</v>
          </cell>
          <cell r="E303">
            <v>2</v>
          </cell>
          <cell r="F303">
            <v>454</v>
          </cell>
          <cell r="H303">
            <v>0</v>
          </cell>
          <cell r="J303">
            <v>0</v>
          </cell>
          <cell r="M303">
            <v>0</v>
          </cell>
          <cell r="N303">
            <v>0</v>
          </cell>
          <cell r="P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2</v>
          </cell>
          <cell r="V303">
            <v>227</v>
          </cell>
          <cell r="W303">
            <v>454</v>
          </cell>
          <cell r="X303">
            <v>2.4089800000000001</v>
          </cell>
          <cell r="Y303">
            <v>0</v>
          </cell>
          <cell r="Z303">
            <v>227</v>
          </cell>
          <cell r="AA303">
            <v>454</v>
          </cell>
        </row>
        <row r="304">
          <cell r="B304" t="str">
            <v>DTO015</v>
          </cell>
          <cell r="C304" t="str">
            <v>CANULA DE TRAQUEOSTOMIA .:. NO. 8</v>
          </cell>
          <cell r="D304" t="str">
            <v>Sobre estéril</v>
          </cell>
          <cell r="E304">
            <v>0</v>
          </cell>
          <cell r="F304">
            <v>0</v>
          </cell>
          <cell r="H304">
            <v>3</v>
          </cell>
          <cell r="J304">
            <v>681</v>
          </cell>
          <cell r="M304">
            <v>0</v>
          </cell>
          <cell r="N304">
            <v>0</v>
          </cell>
          <cell r="P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</v>
          </cell>
          <cell r="V304">
            <v>227</v>
          </cell>
          <cell r="W304">
            <v>681</v>
          </cell>
          <cell r="X304">
            <v>2.4089800000000001</v>
          </cell>
          <cell r="Y304">
            <v>0</v>
          </cell>
          <cell r="Z304">
            <v>227</v>
          </cell>
          <cell r="AA304">
            <v>681</v>
          </cell>
        </row>
        <row r="305">
          <cell r="B305" t="str">
            <v>DTO030</v>
          </cell>
          <cell r="C305" t="str">
            <v>MASCARILLA .:. PARA ADULTO CON RESERVORIO</v>
          </cell>
          <cell r="D305" t="str">
            <v>Pieza</v>
          </cell>
          <cell r="E305">
            <v>33</v>
          </cell>
          <cell r="F305">
            <v>1501.5</v>
          </cell>
          <cell r="H305">
            <v>0</v>
          </cell>
          <cell r="J305">
            <v>0</v>
          </cell>
          <cell r="M305">
            <v>0</v>
          </cell>
          <cell r="N305">
            <v>0</v>
          </cell>
          <cell r="P305">
            <v>9</v>
          </cell>
          <cell r="R305">
            <v>409.5</v>
          </cell>
          <cell r="S305">
            <v>0</v>
          </cell>
          <cell r="T305">
            <v>0</v>
          </cell>
          <cell r="U305">
            <v>24</v>
          </cell>
          <cell r="V305">
            <v>45.5</v>
          </cell>
          <cell r="W305">
            <v>1092</v>
          </cell>
          <cell r="X305">
            <v>2.4089800000000001</v>
          </cell>
          <cell r="Y305">
            <v>0</v>
          </cell>
          <cell r="Z305">
            <v>45.5</v>
          </cell>
          <cell r="AA305">
            <v>1092</v>
          </cell>
        </row>
        <row r="306">
          <cell r="B306" t="str">
            <v>DTO039</v>
          </cell>
          <cell r="C306" t="str">
            <v>SISTEMA CERRADO DE ASPIRACION TRAQUEAL .:. NO. 16</v>
          </cell>
          <cell r="D306" t="str">
            <v>Sobre estéril</v>
          </cell>
          <cell r="E306">
            <v>6</v>
          </cell>
          <cell r="F306">
            <v>870</v>
          </cell>
          <cell r="H306">
            <v>14</v>
          </cell>
          <cell r="J306">
            <v>1960</v>
          </cell>
          <cell r="M306">
            <v>0</v>
          </cell>
          <cell r="N306">
            <v>0</v>
          </cell>
          <cell r="P306">
            <v>7</v>
          </cell>
          <cell r="R306">
            <v>995.55555500000003</v>
          </cell>
          <cell r="S306">
            <v>0</v>
          </cell>
          <cell r="T306">
            <v>0</v>
          </cell>
          <cell r="U306">
            <v>13</v>
          </cell>
          <cell r="V306">
            <v>141.11111099999999</v>
          </cell>
          <cell r="W306">
            <v>1834.4444430000001</v>
          </cell>
          <cell r="X306">
            <v>2.4089800000000001</v>
          </cell>
          <cell r="Y306">
            <v>0</v>
          </cell>
          <cell r="Z306">
            <v>141.11111099999999</v>
          </cell>
          <cell r="AA306">
            <v>1834.4444430000001</v>
          </cell>
        </row>
        <row r="307">
          <cell r="B307" t="str">
            <v>DTO044</v>
          </cell>
          <cell r="C307" t="str">
            <v>TUBO CORRUGADO .:. ADULTO PARA MAQUINA DE ANESTESIA</v>
          </cell>
          <cell r="D307" t="str">
            <v>Sobre estéril</v>
          </cell>
          <cell r="E307">
            <v>1</v>
          </cell>
          <cell r="F307">
            <v>250</v>
          </cell>
          <cell r="H307">
            <v>3</v>
          </cell>
          <cell r="J307">
            <v>750</v>
          </cell>
          <cell r="M307">
            <v>0</v>
          </cell>
          <cell r="N307">
            <v>0</v>
          </cell>
          <cell r="P307">
            <v>2</v>
          </cell>
          <cell r="R307">
            <v>500</v>
          </cell>
          <cell r="S307">
            <v>0</v>
          </cell>
          <cell r="T307">
            <v>0</v>
          </cell>
          <cell r="U307">
            <v>2</v>
          </cell>
          <cell r="V307">
            <v>250</v>
          </cell>
          <cell r="W307">
            <v>500</v>
          </cell>
          <cell r="X307">
            <v>2.4089800000000001</v>
          </cell>
          <cell r="Y307">
            <v>0</v>
          </cell>
          <cell r="Z307">
            <v>250</v>
          </cell>
          <cell r="AA307">
            <v>500</v>
          </cell>
        </row>
        <row r="308">
          <cell r="B308" t="str">
            <v>DTO045</v>
          </cell>
          <cell r="C308" t="str">
            <v>TUBO ENDOTRAQUEAL .:. PREFORMADO ORAL N° 3.5 C/BALON</v>
          </cell>
          <cell r="D308" t="str">
            <v>Sobre estéril</v>
          </cell>
          <cell r="E308">
            <v>1</v>
          </cell>
          <cell r="F308">
            <v>7.52</v>
          </cell>
          <cell r="H308">
            <v>0</v>
          </cell>
          <cell r="J308">
            <v>0</v>
          </cell>
          <cell r="M308">
            <v>0</v>
          </cell>
          <cell r="N308">
            <v>0</v>
          </cell>
          <cell r="P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1</v>
          </cell>
          <cell r="V308">
            <v>7.52</v>
          </cell>
          <cell r="W308">
            <v>7.52</v>
          </cell>
          <cell r="X308">
            <v>2.4089800000000001</v>
          </cell>
          <cell r="Y308">
            <v>0</v>
          </cell>
          <cell r="Z308">
            <v>7.52</v>
          </cell>
          <cell r="AA308">
            <v>7.52</v>
          </cell>
        </row>
        <row r="309">
          <cell r="B309" t="str">
            <v>DTO051</v>
          </cell>
          <cell r="C309" t="str">
            <v>TUBO ENDOTRAQUEAL .:. PREFORMADO ORAL N°6.5 C/BALON</v>
          </cell>
          <cell r="D309" t="str">
            <v>Sobre estéril</v>
          </cell>
          <cell r="E309">
            <v>0</v>
          </cell>
          <cell r="F309">
            <v>0</v>
          </cell>
          <cell r="H309">
            <v>20</v>
          </cell>
          <cell r="J309">
            <v>200</v>
          </cell>
          <cell r="M309">
            <v>0</v>
          </cell>
          <cell r="N309">
            <v>0</v>
          </cell>
          <cell r="P309">
            <v>8</v>
          </cell>
          <cell r="R309">
            <v>80</v>
          </cell>
          <cell r="S309">
            <v>0</v>
          </cell>
          <cell r="T309">
            <v>0</v>
          </cell>
          <cell r="U309">
            <v>12</v>
          </cell>
          <cell r="V309">
            <v>10</v>
          </cell>
          <cell r="W309">
            <v>120</v>
          </cell>
          <cell r="X309">
            <v>2.4089800000000001</v>
          </cell>
          <cell r="Y309">
            <v>0</v>
          </cell>
          <cell r="Z309">
            <v>10</v>
          </cell>
          <cell r="AA309">
            <v>120</v>
          </cell>
        </row>
        <row r="310">
          <cell r="B310" t="str">
            <v>DTO052</v>
          </cell>
          <cell r="C310" t="str">
            <v>TUBO ENDOTRAQUEAL .:. PREFORMADO ORAL N° 7 C/BALON</v>
          </cell>
          <cell r="D310" t="str">
            <v>Sobre estéril</v>
          </cell>
          <cell r="E310">
            <v>0</v>
          </cell>
          <cell r="F310">
            <v>0</v>
          </cell>
          <cell r="H310">
            <v>30</v>
          </cell>
          <cell r="J310">
            <v>300</v>
          </cell>
          <cell r="M310">
            <v>0</v>
          </cell>
          <cell r="N310">
            <v>0</v>
          </cell>
          <cell r="P310">
            <v>30</v>
          </cell>
          <cell r="R310">
            <v>300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2.4089800000000001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DTO053</v>
          </cell>
          <cell r="C311" t="str">
            <v>TUBO ENDOTRAQUEAL .:. PREFORMADO ORAL N° 7.5 C/BALON</v>
          </cell>
          <cell r="D311" t="str">
            <v>Sobre estéril</v>
          </cell>
          <cell r="E311">
            <v>12</v>
          </cell>
          <cell r="F311">
            <v>96</v>
          </cell>
          <cell r="H311">
            <v>0</v>
          </cell>
          <cell r="J311">
            <v>0</v>
          </cell>
          <cell r="M311">
            <v>0</v>
          </cell>
          <cell r="N311">
            <v>0</v>
          </cell>
          <cell r="P311">
            <v>12</v>
          </cell>
          <cell r="R311">
            <v>96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2.4089800000000001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DTO054</v>
          </cell>
          <cell r="C312" t="str">
            <v>TUBO ENDOTRAQUEAL .:. PREFORMADO ORAL N° 8 C/BALON</v>
          </cell>
          <cell r="D312" t="str">
            <v>Sobre estéril</v>
          </cell>
          <cell r="E312">
            <v>12</v>
          </cell>
          <cell r="F312">
            <v>95.88</v>
          </cell>
          <cell r="H312">
            <v>0</v>
          </cell>
          <cell r="J312">
            <v>0</v>
          </cell>
          <cell r="M312">
            <v>0</v>
          </cell>
          <cell r="N312">
            <v>0</v>
          </cell>
          <cell r="P312">
            <v>9</v>
          </cell>
          <cell r="R312">
            <v>71.91</v>
          </cell>
          <cell r="S312">
            <v>0</v>
          </cell>
          <cell r="T312">
            <v>0</v>
          </cell>
          <cell r="U312">
            <v>3</v>
          </cell>
          <cell r="V312">
            <v>7.99</v>
          </cell>
          <cell r="W312">
            <v>23.97</v>
          </cell>
          <cell r="X312">
            <v>2.4089800000000001</v>
          </cell>
          <cell r="Y312">
            <v>0</v>
          </cell>
          <cell r="Z312">
            <v>7.99</v>
          </cell>
          <cell r="AA312">
            <v>23.97</v>
          </cell>
        </row>
        <row r="313">
          <cell r="B313" t="str">
            <v>DUG002</v>
          </cell>
          <cell r="C313" t="str">
            <v>ESPATULAS DE AYRE .:. BOLSA X 100</v>
          </cell>
          <cell r="D313" t="str">
            <v>Bolsa x 100 U</v>
          </cell>
          <cell r="E313">
            <v>6</v>
          </cell>
          <cell r="F313">
            <v>99.75</v>
          </cell>
          <cell r="H313">
            <v>0</v>
          </cell>
          <cell r="J313">
            <v>0</v>
          </cell>
          <cell r="M313">
            <v>0</v>
          </cell>
          <cell r="N313">
            <v>0</v>
          </cell>
          <cell r="P313">
            <v>4</v>
          </cell>
          <cell r="R313">
            <v>66.5</v>
          </cell>
          <cell r="S313">
            <v>0</v>
          </cell>
          <cell r="T313">
            <v>0</v>
          </cell>
          <cell r="U313">
            <v>2</v>
          </cell>
          <cell r="V313">
            <v>16.625</v>
          </cell>
          <cell r="W313">
            <v>33.25</v>
          </cell>
          <cell r="X313">
            <v>2.4089800000000001</v>
          </cell>
          <cell r="Y313">
            <v>0</v>
          </cell>
          <cell r="Z313">
            <v>16.625</v>
          </cell>
          <cell r="AA313">
            <v>33.25</v>
          </cell>
        </row>
        <row r="314">
          <cell r="B314" t="str">
            <v>DUTI 1208</v>
          </cell>
          <cell r="C314" t="str">
            <v>REGULADOR DE PRECISION PARA INFUSION VENOSA POR GRAVEDAD UTI .:. REGULADOR DE PRECISION PARA INFUSION VENOSA POR GRAVEDAD UTI</v>
          </cell>
          <cell r="D314" t="str">
            <v>Pieza</v>
          </cell>
          <cell r="E314">
            <v>5</v>
          </cell>
          <cell r="F314">
            <v>266.5</v>
          </cell>
          <cell r="H314">
            <v>0</v>
          </cell>
          <cell r="J314">
            <v>0</v>
          </cell>
          <cell r="M314">
            <v>2</v>
          </cell>
          <cell r="N314">
            <v>106.6</v>
          </cell>
          <cell r="P314">
            <v>5</v>
          </cell>
          <cell r="R314">
            <v>266.5</v>
          </cell>
          <cell r="S314">
            <v>2</v>
          </cell>
          <cell r="T314">
            <v>106.6</v>
          </cell>
          <cell r="U314">
            <v>0</v>
          </cell>
          <cell r="V314">
            <v>0</v>
          </cell>
          <cell r="W314">
            <v>0</v>
          </cell>
          <cell r="X314">
            <v>2.4089800000000001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EX-01-021</v>
          </cell>
          <cell r="C315" t="str">
            <v>DILTIAZEN   DILTIAZEN*   60 MG .:. 60 MG</v>
          </cell>
          <cell r="D315" t="str">
            <v>Comprimido</v>
          </cell>
          <cell r="E315">
            <v>60</v>
          </cell>
          <cell r="F315">
            <v>132</v>
          </cell>
          <cell r="H315">
            <v>480</v>
          </cell>
          <cell r="J315">
            <v>1056</v>
          </cell>
          <cell r="M315">
            <v>0</v>
          </cell>
          <cell r="N315">
            <v>0</v>
          </cell>
          <cell r="P315">
            <v>540</v>
          </cell>
          <cell r="R315">
            <v>1188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2.4089800000000001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EX-01-04</v>
          </cell>
          <cell r="C316" t="str">
            <v>TELMISARTAN + HIDROCLOROTIAZIDA TELMISARTAN + HIDROCLOROTIAZIDA 40/12.5 MG .:. 40/12.5 MG</v>
          </cell>
          <cell r="D316" t="str">
            <v>Comprimido</v>
          </cell>
          <cell r="E316">
            <v>0</v>
          </cell>
          <cell r="F316">
            <v>0</v>
          </cell>
          <cell r="H316">
            <v>120</v>
          </cell>
          <cell r="J316">
            <v>516</v>
          </cell>
          <cell r="M316">
            <v>0</v>
          </cell>
          <cell r="N316">
            <v>0</v>
          </cell>
          <cell r="P316">
            <v>120</v>
          </cell>
          <cell r="R316">
            <v>516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2.4089800000000001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EX-01-042</v>
          </cell>
          <cell r="C317" t="str">
            <v>TELMISARTAN TELMISARTAN 80MG .:. 80MG</v>
          </cell>
          <cell r="D317" t="str">
            <v>Comprimido ranurado</v>
          </cell>
          <cell r="E317">
            <v>60</v>
          </cell>
          <cell r="F317">
            <v>450.27</v>
          </cell>
          <cell r="H317">
            <v>240</v>
          </cell>
          <cell r="J317">
            <v>1572</v>
          </cell>
          <cell r="M317">
            <v>0</v>
          </cell>
          <cell r="N317">
            <v>0</v>
          </cell>
          <cell r="P317">
            <v>300</v>
          </cell>
          <cell r="R317">
            <v>2022.27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2.4089800000000001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EX-01-11</v>
          </cell>
          <cell r="C318" t="str">
            <v>RIBAROXABAN/XARELTO RIBAROXABAN/XARELTO 10 MG .:. 10 MG</v>
          </cell>
          <cell r="D318" t="str">
            <v>Comprimido</v>
          </cell>
          <cell r="E318">
            <v>0</v>
          </cell>
          <cell r="F318">
            <v>0</v>
          </cell>
          <cell r="H318">
            <v>270</v>
          </cell>
          <cell r="J318">
            <v>7220.4</v>
          </cell>
          <cell r="M318">
            <v>0</v>
          </cell>
          <cell r="N318">
            <v>0</v>
          </cell>
          <cell r="P318">
            <v>270</v>
          </cell>
          <cell r="R318">
            <v>7220.4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2.4089800000000001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EX-01-15</v>
          </cell>
          <cell r="C319" t="str">
            <v>RIBAROXABAN RIBAROXABAN 15 MG .:. 15 MG</v>
          </cell>
          <cell r="D319" t="str">
            <v>Comprimido</v>
          </cell>
          <cell r="E319">
            <v>25</v>
          </cell>
          <cell r="F319">
            <v>507.94</v>
          </cell>
          <cell r="H319">
            <v>492</v>
          </cell>
          <cell r="J319">
            <v>7760.64</v>
          </cell>
          <cell r="M319">
            <v>0</v>
          </cell>
          <cell r="N319">
            <v>0</v>
          </cell>
          <cell r="P319">
            <v>517</v>
          </cell>
          <cell r="R319">
            <v>8268.58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2.4089800000000001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EX-01-16</v>
          </cell>
          <cell r="C320" t="str">
            <v>OCTREOTIDE .:. 100 MCG/ML</v>
          </cell>
          <cell r="D320" t="str">
            <v>Inyectable</v>
          </cell>
          <cell r="E320">
            <v>0</v>
          </cell>
          <cell r="F320">
            <v>0</v>
          </cell>
          <cell r="H320">
            <v>12</v>
          </cell>
          <cell r="J320">
            <v>1320</v>
          </cell>
          <cell r="M320">
            <v>0</v>
          </cell>
          <cell r="N320">
            <v>0</v>
          </cell>
          <cell r="P320">
            <v>0</v>
          </cell>
          <cell r="R320">
            <v>0</v>
          </cell>
          <cell r="S320">
            <v>12</v>
          </cell>
          <cell r="T320">
            <v>1320</v>
          </cell>
          <cell r="U320">
            <v>0</v>
          </cell>
          <cell r="V320">
            <v>0</v>
          </cell>
          <cell r="W320">
            <v>0</v>
          </cell>
          <cell r="X320">
            <v>2.4089800000000001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EX-01-19</v>
          </cell>
          <cell r="C321" t="str">
            <v>IVABRADINA .:. 7.5 MG</v>
          </cell>
          <cell r="D321" t="str">
            <v>Comprimido</v>
          </cell>
          <cell r="E321">
            <v>0</v>
          </cell>
          <cell r="F321">
            <v>0</v>
          </cell>
          <cell r="H321">
            <v>240</v>
          </cell>
          <cell r="J321">
            <v>2064</v>
          </cell>
          <cell r="M321">
            <v>0</v>
          </cell>
          <cell r="N321">
            <v>0</v>
          </cell>
          <cell r="P321">
            <v>240</v>
          </cell>
          <cell r="R321">
            <v>2064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2.4089800000000001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G-01-01</v>
          </cell>
          <cell r="C322" t="str">
            <v>ACIDO ACETICO (ACIDO TRICLOROACETICO) .:. 0.5</v>
          </cell>
          <cell r="D322" t="str">
            <v>Solución tópica</v>
          </cell>
          <cell r="E322">
            <v>3</v>
          </cell>
          <cell r="F322">
            <v>192.96999999990001</v>
          </cell>
          <cell r="H322">
            <v>0</v>
          </cell>
          <cell r="J322">
            <v>0</v>
          </cell>
          <cell r="M322">
            <v>0</v>
          </cell>
          <cell r="N322">
            <v>0</v>
          </cell>
          <cell r="P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3</v>
          </cell>
          <cell r="V322">
            <v>64.323333000000005</v>
          </cell>
          <cell r="W322">
            <v>192.969999</v>
          </cell>
          <cell r="X322">
            <v>2.4089800000000001</v>
          </cell>
          <cell r="Y322">
            <v>0</v>
          </cell>
          <cell r="Z322">
            <v>64.323333000000005</v>
          </cell>
          <cell r="AA322">
            <v>192.969999</v>
          </cell>
        </row>
        <row r="323">
          <cell r="B323" t="str">
            <v>G-01-02</v>
          </cell>
          <cell r="C323" t="str">
            <v>CLOTRIMAZOL .:. 100 mg</v>
          </cell>
          <cell r="D323" t="str">
            <v>Ovulo</v>
          </cell>
          <cell r="E323">
            <v>105</v>
          </cell>
          <cell r="F323">
            <v>163.80000000000001</v>
          </cell>
          <cell r="H323">
            <v>500</v>
          </cell>
          <cell r="J323">
            <v>780</v>
          </cell>
          <cell r="M323">
            <v>0</v>
          </cell>
          <cell r="N323">
            <v>0</v>
          </cell>
          <cell r="P323">
            <v>569</v>
          </cell>
          <cell r="R323">
            <v>887.64</v>
          </cell>
          <cell r="S323">
            <v>0</v>
          </cell>
          <cell r="T323">
            <v>0</v>
          </cell>
          <cell r="U323">
            <v>36</v>
          </cell>
          <cell r="V323">
            <v>1.56</v>
          </cell>
          <cell r="W323">
            <v>56.16</v>
          </cell>
          <cell r="X323">
            <v>2.4089800000000001</v>
          </cell>
          <cell r="Y323">
            <v>0</v>
          </cell>
          <cell r="Z323">
            <v>1.56</v>
          </cell>
          <cell r="AA323">
            <v>56.16</v>
          </cell>
        </row>
        <row r="324">
          <cell r="B324" t="str">
            <v>G-01-03</v>
          </cell>
          <cell r="C324" t="str">
            <v>CLOTRIMAZOL .:. 0.01</v>
          </cell>
          <cell r="D324" t="str">
            <v>Crema vaginal</v>
          </cell>
          <cell r="E324">
            <v>48</v>
          </cell>
          <cell r="F324">
            <v>502.2200000016</v>
          </cell>
          <cell r="H324">
            <v>20</v>
          </cell>
          <cell r="J324">
            <v>198</v>
          </cell>
          <cell r="M324">
            <v>0</v>
          </cell>
          <cell r="N324">
            <v>0</v>
          </cell>
          <cell r="P324">
            <v>65</v>
          </cell>
          <cell r="R324">
            <v>669.99587299999996</v>
          </cell>
          <cell r="S324">
            <v>0</v>
          </cell>
          <cell r="T324">
            <v>0</v>
          </cell>
          <cell r="U324">
            <v>3</v>
          </cell>
          <cell r="V324">
            <v>10.074698</v>
          </cell>
          <cell r="W324">
            <v>30.224094000000001</v>
          </cell>
          <cell r="X324">
            <v>2.4089800000000001</v>
          </cell>
          <cell r="Y324">
            <v>0</v>
          </cell>
          <cell r="Z324">
            <v>10.074698</v>
          </cell>
          <cell r="AA324">
            <v>30.224094000000001</v>
          </cell>
        </row>
        <row r="325">
          <cell r="B325" t="str">
            <v>G-01-04</v>
          </cell>
          <cell r="C325" t="str">
            <v>METRONIDAZOL .:. 500 mg</v>
          </cell>
          <cell r="D325" t="str">
            <v>Óvulo</v>
          </cell>
          <cell r="E325">
            <v>380</v>
          </cell>
          <cell r="F325">
            <v>456</v>
          </cell>
          <cell r="H325">
            <v>1000</v>
          </cell>
          <cell r="J325">
            <v>1238</v>
          </cell>
          <cell r="M325">
            <v>0</v>
          </cell>
          <cell r="N325">
            <v>0</v>
          </cell>
          <cell r="P325">
            <v>1244</v>
          </cell>
          <cell r="R325">
            <v>1548.4799800000001</v>
          </cell>
          <cell r="S325">
            <v>0</v>
          </cell>
          <cell r="T325">
            <v>0</v>
          </cell>
          <cell r="U325">
            <v>136</v>
          </cell>
          <cell r="V325">
            <v>1.07</v>
          </cell>
          <cell r="W325">
            <v>145.52000000000001</v>
          </cell>
          <cell r="X325">
            <v>2.4089800000000001</v>
          </cell>
          <cell r="Y325">
            <v>0</v>
          </cell>
          <cell r="Z325">
            <v>1.07</v>
          </cell>
          <cell r="AA325">
            <v>145.52000000000001</v>
          </cell>
        </row>
        <row r="326">
          <cell r="B326" t="str">
            <v>G-01-05</v>
          </cell>
          <cell r="C326" t="str">
            <v>NISTATINA .:. 100.000 UI</v>
          </cell>
          <cell r="D326" t="str">
            <v>Ovulo</v>
          </cell>
          <cell r="E326">
            <v>3</v>
          </cell>
          <cell r="F326">
            <v>5.7399999999000002</v>
          </cell>
          <cell r="H326">
            <v>0</v>
          </cell>
          <cell r="J326">
            <v>0</v>
          </cell>
          <cell r="M326">
            <v>0</v>
          </cell>
          <cell r="N326">
            <v>0</v>
          </cell>
          <cell r="P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3</v>
          </cell>
          <cell r="V326">
            <v>1.913333</v>
          </cell>
          <cell r="W326">
            <v>5.7399990000000001</v>
          </cell>
          <cell r="X326">
            <v>2.4089800000000001</v>
          </cell>
          <cell r="Y326">
            <v>0</v>
          </cell>
          <cell r="Z326">
            <v>1.913333</v>
          </cell>
          <cell r="AA326">
            <v>5.7399990000000001</v>
          </cell>
        </row>
        <row r="327">
          <cell r="B327" t="str">
            <v>G-02-03</v>
          </cell>
          <cell r="C327" t="str">
            <v>ERGOMETRINA MALEATO .:. 0,2 mg</v>
          </cell>
          <cell r="D327" t="str">
            <v>Comprimido</v>
          </cell>
          <cell r="E327">
            <v>63</v>
          </cell>
          <cell r="F327">
            <v>108.3799999989</v>
          </cell>
          <cell r="H327">
            <v>0</v>
          </cell>
          <cell r="J327">
            <v>0</v>
          </cell>
          <cell r="M327">
            <v>0</v>
          </cell>
          <cell r="N327">
            <v>0</v>
          </cell>
          <cell r="P327">
            <v>33</v>
          </cell>
          <cell r="R327">
            <v>56.770473000000003</v>
          </cell>
          <cell r="S327">
            <v>0</v>
          </cell>
          <cell r="T327">
            <v>0</v>
          </cell>
          <cell r="U327">
            <v>30</v>
          </cell>
          <cell r="V327">
            <v>1.7203170000000001</v>
          </cell>
          <cell r="W327">
            <v>51.60951</v>
          </cell>
          <cell r="X327">
            <v>2.4089800000000001</v>
          </cell>
          <cell r="Y327">
            <v>0</v>
          </cell>
          <cell r="Z327">
            <v>1.7203170000000001</v>
          </cell>
          <cell r="AA327">
            <v>51.60951</v>
          </cell>
        </row>
        <row r="328">
          <cell r="B328" t="str">
            <v>G-02-04</v>
          </cell>
          <cell r="C328" t="str">
            <v>ERGOMETRINA MALEATO .:. 0,2 mg/ml</v>
          </cell>
          <cell r="D328" t="str">
            <v>Inyectable</v>
          </cell>
          <cell r="E328">
            <v>7</v>
          </cell>
          <cell r="F328">
            <v>47.310000000199999</v>
          </cell>
          <cell r="H328">
            <v>20</v>
          </cell>
          <cell r="J328">
            <v>138</v>
          </cell>
          <cell r="M328">
            <v>0</v>
          </cell>
          <cell r="N328">
            <v>0</v>
          </cell>
          <cell r="P328">
            <v>10</v>
          </cell>
          <cell r="R328">
            <v>68.009996999999998</v>
          </cell>
          <cell r="S328">
            <v>0</v>
          </cell>
          <cell r="T328">
            <v>0</v>
          </cell>
          <cell r="U328">
            <v>17</v>
          </cell>
          <cell r="V328">
            <v>6.9</v>
          </cell>
          <cell r="W328">
            <v>117.3</v>
          </cell>
          <cell r="X328">
            <v>2.4089800000000001</v>
          </cell>
          <cell r="Y328">
            <v>0</v>
          </cell>
          <cell r="Z328">
            <v>6.9</v>
          </cell>
          <cell r="AA328">
            <v>117.3</v>
          </cell>
        </row>
        <row r="329">
          <cell r="B329" t="str">
            <v>G-02-09</v>
          </cell>
          <cell r="C329" t="str">
            <v>OXITOCINA .:. 5UI/ml a 10 UI/ml</v>
          </cell>
          <cell r="D329" t="str">
            <v>Inyectable</v>
          </cell>
          <cell r="E329">
            <v>0</v>
          </cell>
          <cell r="F329">
            <v>0</v>
          </cell>
          <cell r="H329">
            <v>30</v>
          </cell>
          <cell r="J329">
            <v>79.5</v>
          </cell>
          <cell r="M329">
            <v>0</v>
          </cell>
          <cell r="N329">
            <v>0</v>
          </cell>
          <cell r="P329">
            <v>22</v>
          </cell>
          <cell r="R329">
            <v>58.3</v>
          </cell>
          <cell r="S329">
            <v>0</v>
          </cell>
          <cell r="T329">
            <v>0</v>
          </cell>
          <cell r="U329">
            <v>8</v>
          </cell>
          <cell r="V329">
            <v>2.65</v>
          </cell>
          <cell r="W329">
            <v>21.2</v>
          </cell>
          <cell r="X329">
            <v>2.4089800000000001</v>
          </cell>
          <cell r="Y329">
            <v>0</v>
          </cell>
          <cell r="Z329">
            <v>2.65</v>
          </cell>
          <cell r="AA329">
            <v>21.2</v>
          </cell>
        </row>
        <row r="330">
          <cell r="B330" t="str">
            <v>G-03-02</v>
          </cell>
          <cell r="C330" t="str">
            <v>CIPROTERONA ACETATO + ESTRADIOL VALERATO .:. 2 mg + 0,035 mg</v>
          </cell>
          <cell r="D330" t="str">
            <v>Ciclo</v>
          </cell>
          <cell r="E330">
            <v>8</v>
          </cell>
          <cell r="F330">
            <v>726.08</v>
          </cell>
          <cell r="H330">
            <v>20</v>
          </cell>
          <cell r="J330">
            <v>800</v>
          </cell>
          <cell r="M330">
            <v>0</v>
          </cell>
          <cell r="N330">
            <v>0</v>
          </cell>
          <cell r="P330">
            <v>22</v>
          </cell>
          <cell r="R330">
            <v>1286.08</v>
          </cell>
          <cell r="S330">
            <v>0</v>
          </cell>
          <cell r="T330">
            <v>0</v>
          </cell>
          <cell r="U330">
            <v>6</v>
          </cell>
          <cell r="V330">
            <v>40</v>
          </cell>
          <cell r="W330">
            <v>240</v>
          </cell>
          <cell r="X330">
            <v>2.4089800000000001</v>
          </cell>
          <cell r="Y330">
            <v>0</v>
          </cell>
          <cell r="Z330">
            <v>40</v>
          </cell>
          <cell r="AA330">
            <v>240</v>
          </cell>
        </row>
        <row r="331">
          <cell r="B331" t="str">
            <v>G-03-03</v>
          </cell>
          <cell r="C331" t="str">
            <v>CLOMIFENO CITRATO .:. 50 mg</v>
          </cell>
          <cell r="D331" t="str">
            <v>Comprimido</v>
          </cell>
          <cell r="E331">
            <v>200</v>
          </cell>
          <cell r="F331">
            <v>479.26</v>
          </cell>
          <cell r="H331">
            <v>0</v>
          </cell>
          <cell r="J331">
            <v>0</v>
          </cell>
          <cell r="M331">
            <v>0</v>
          </cell>
          <cell r="N331">
            <v>0</v>
          </cell>
          <cell r="P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200</v>
          </cell>
          <cell r="V331">
            <v>2.3963000000000001</v>
          </cell>
          <cell r="W331">
            <v>479.26</v>
          </cell>
          <cell r="X331">
            <v>2.4089800000000001</v>
          </cell>
          <cell r="Y331">
            <v>0</v>
          </cell>
          <cell r="Z331">
            <v>2.3963000000000001</v>
          </cell>
          <cell r="AA331">
            <v>479.26</v>
          </cell>
        </row>
        <row r="332">
          <cell r="B332" t="str">
            <v>G-03-09</v>
          </cell>
          <cell r="C332" t="str">
            <v>ESTROGENOS CONJUGADOS .:. 0,625 mg</v>
          </cell>
          <cell r="D332" t="str">
            <v>Crema vaginal</v>
          </cell>
          <cell r="E332">
            <v>2</v>
          </cell>
          <cell r="F332">
            <v>172.8</v>
          </cell>
          <cell r="H332">
            <v>0</v>
          </cell>
          <cell r="J332">
            <v>0</v>
          </cell>
          <cell r="M332">
            <v>0</v>
          </cell>
          <cell r="N332">
            <v>0</v>
          </cell>
          <cell r="P332">
            <v>2</v>
          </cell>
          <cell r="R332">
            <v>172.8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2.4089800000000001</v>
          </cell>
          <cell r="Y332">
            <v>0</v>
          </cell>
          <cell r="Z332">
            <v>0</v>
          </cell>
          <cell r="AA332">
            <v>0</v>
          </cell>
        </row>
        <row r="333">
          <cell r="B333" t="str">
            <v>G-03-12</v>
          </cell>
          <cell r="C333" t="str">
            <v>LEVONORGESTREL + ETINILESTRADIOL .:. 0,150 mg + 0,03 mg</v>
          </cell>
          <cell r="D333" t="str">
            <v>Caja</v>
          </cell>
          <cell r="E333">
            <v>30</v>
          </cell>
          <cell r="F333">
            <v>178.17</v>
          </cell>
          <cell r="H333">
            <v>35</v>
          </cell>
          <cell r="J333">
            <v>210</v>
          </cell>
          <cell r="M333">
            <v>0</v>
          </cell>
          <cell r="N333">
            <v>0</v>
          </cell>
          <cell r="P333">
            <v>51</v>
          </cell>
          <cell r="R333">
            <v>304.17</v>
          </cell>
          <cell r="S333">
            <v>0</v>
          </cell>
          <cell r="T333">
            <v>0</v>
          </cell>
          <cell r="U333">
            <v>14</v>
          </cell>
          <cell r="V333">
            <v>6</v>
          </cell>
          <cell r="W333">
            <v>84</v>
          </cell>
          <cell r="X333">
            <v>2.4089800000000001</v>
          </cell>
          <cell r="Y333">
            <v>0</v>
          </cell>
          <cell r="Z333">
            <v>6</v>
          </cell>
          <cell r="AA333">
            <v>84</v>
          </cell>
        </row>
        <row r="334">
          <cell r="B334" t="str">
            <v>G-03-13</v>
          </cell>
          <cell r="C334" t="str">
            <v>MEDROXIPROGESTERONA ACETATO .:. 150 mg/ml</v>
          </cell>
          <cell r="D334" t="str">
            <v>Inyectable</v>
          </cell>
          <cell r="E334">
            <v>11</v>
          </cell>
          <cell r="F334">
            <v>131.44000000010001</v>
          </cell>
          <cell r="H334">
            <v>0</v>
          </cell>
          <cell r="J334">
            <v>0</v>
          </cell>
          <cell r="M334">
            <v>6</v>
          </cell>
          <cell r="N334">
            <v>71.69</v>
          </cell>
          <cell r="P334">
            <v>6</v>
          </cell>
          <cell r="R334">
            <v>71.693782999999996</v>
          </cell>
          <cell r="S334">
            <v>6</v>
          </cell>
          <cell r="T334">
            <v>71.694545000000005</v>
          </cell>
          <cell r="U334">
            <v>5</v>
          </cell>
          <cell r="V334">
            <v>11.948333</v>
          </cell>
          <cell r="W334">
            <v>59.741664999999998</v>
          </cell>
          <cell r="X334">
            <v>2.4089800000000001</v>
          </cell>
          <cell r="Y334">
            <v>0</v>
          </cell>
          <cell r="Z334">
            <v>11.948333</v>
          </cell>
          <cell r="AA334">
            <v>59.741664999999998</v>
          </cell>
        </row>
        <row r="335">
          <cell r="B335" t="str">
            <v>G-03-18</v>
          </cell>
          <cell r="C335" t="str">
            <v>TESTOSTERONA UNDECANOATO .:. 1000 mg</v>
          </cell>
          <cell r="D335" t="str">
            <v>Inyectable</v>
          </cell>
          <cell r="E335">
            <v>0</v>
          </cell>
          <cell r="F335">
            <v>0</v>
          </cell>
          <cell r="H335">
            <v>25</v>
          </cell>
          <cell r="J335">
            <v>30411.759999999998</v>
          </cell>
          <cell r="M335">
            <v>0</v>
          </cell>
          <cell r="N335">
            <v>0</v>
          </cell>
          <cell r="P335">
            <v>23</v>
          </cell>
          <cell r="R335">
            <v>27971.759999999998</v>
          </cell>
          <cell r="S335">
            <v>0</v>
          </cell>
          <cell r="T335">
            <v>0</v>
          </cell>
          <cell r="U335">
            <v>2</v>
          </cell>
          <cell r="V335">
            <v>1220</v>
          </cell>
          <cell r="W335">
            <v>2440</v>
          </cell>
          <cell r="X335">
            <v>2.4089800000000001</v>
          </cell>
          <cell r="Y335">
            <v>0</v>
          </cell>
          <cell r="Z335">
            <v>1220</v>
          </cell>
          <cell r="AA335">
            <v>2440</v>
          </cell>
        </row>
        <row r="336">
          <cell r="B336" t="str">
            <v>G-04-01</v>
          </cell>
          <cell r="C336" t="str">
            <v>FINASTERIDA .:. 5 mg</v>
          </cell>
          <cell r="D336" t="str">
            <v>Comprimido</v>
          </cell>
          <cell r="E336">
            <v>885</v>
          </cell>
          <cell r="F336">
            <v>1421.6800000035</v>
          </cell>
          <cell r="H336">
            <v>8800</v>
          </cell>
          <cell r="J336">
            <v>18820</v>
          </cell>
          <cell r="M336">
            <v>0</v>
          </cell>
          <cell r="N336">
            <v>0</v>
          </cell>
          <cell r="P336">
            <v>7800</v>
          </cell>
          <cell r="R336">
            <v>17089.261981</v>
          </cell>
          <cell r="S336">
            <v>0</v>
          </cell>
          <cell r="T336">
            <v>0</v>
          </cell>
          <cell r="U336">
            <v>1885</v>
          </cell>
          <cell r="V336">
            <v>1.6723699999999999</v>
          </cell>
          <cell r="W336">
            <v>3152.4174499999999</v>
          </cell>
          <cell r="X336">
            <v>2.4089800000000001</v>
          </cell>
          <cell r="Y336">
            <v>0</v>
          </cell>
          <cell r="Z336">
            <v>1.6723699999999999</v>
          </cell>
          <cell r="AA336">
            <v>3152.4174499999999</v>
          </cell>
        </row>
        <row r="337">
          <cell r="B337" t="str">
            <v>H-02-01</v>
          </cell>
          <cell r="C337" t="str">
            <v>BETAMETASONA (FOSFATO) .:. 4 mg</v>
          </cell>
          <cell r="D337" t="str">
            <v>Inyectable</v>
          </cell>
          <cell r="E337">
            <v>124</v>
          </cell>
          <cell r="F337">
            <v>584.46000000319998</v>
          </cell>
          <cell r="H337">
            <v>300</v>
          </cell>
          <cell r="J337">
            <v>1650</v>
          </cell>
          <cell r="M337">
            <v>0</v>
          </cell>
          <cell r="N337">
            <v>0</v>
          </cell>
          <cell r="P337">
            <v>321</v>
          </cell>
          <cell r="R337">
            <v>1679.33537</v>
          </cell>
          <cell r="S337">
            <v>0</v>
          </cell>
          <cell r="T337">
            <v>0</v>
          </cell>
          <cell r="U337">
            <v>103</v>
          </cell>
          <cell r="V337">
            <v>5.3895580000000001</v>
          </cell>
          <cell r="W337">
            <v>555.12447399999996</v>
          </cell>
          <cell r="X337">
            <v>2.4089800000000001</v>
          </cell>
          <cell r="Y337">
            <v>0</v>
          </cell>
          <cell r="Z337">
            <v>5.3895580000000001</v>
          </cell>
          <cell r="AA337">
            <v>555.12447399999996</v>
          </cell>
        </row>
        <row r="338">
          <cell r="B338" t="str">
            <v>H-02-03</v>
          </cell>
          <cell r="C338" t="str">
            <v>DEXAMETASONA .:. 0,5 mg</v>
          </cell>
          <cell r="D338" t="str">
            <v>Comprimido</v>
          </cell>
          <cell r="E338">
            <v>305</v>
          </cell>
          <cell r="F338">
            <v>130.7600000075</v>
          </cell>
          <cell r="H338">
            <v>300</v>
          </cell>
          <cell r="J338">
            <v>126</v>
          </cell>
          <cell r="M338">
            <v>0</v>
          </cell>
          <cell r="N338">
            <v>0</v>
          </cell>
          <cell r="P338">
            <v>255</v>
          </cell>
          <cell r="R338">
            <v>108.733492</v>
          </cell>
          <cell r="S338">
            <v>0</v>
          </cell>
          <cell r="T338">
            <v>0</v>
          </cell>
          <cell r="U338">
            <v>350</v>
          </cell>
          <cell r="V338">
            <v>0.42293199999999997</v>
          </cell>
          <cell r="W338">
            <v>148.02619999999999</v>
          </cell>
          <cell r="X338">
            <v>2.4089800000000001</v>
          </cell>
          <cell r="Y338">
            <v>0</v>
          </cell>
          <cell r="Z338">
            <v>0.42293199999999997</v>
          </cell>
          <cell r="AA338">
            <v>148.02619999999999</v>
          </cell>
        </row>
        <row r="339">
          <cell r="B339" t="str">
            <v>H-02-04</v>
          </cell>
          <cell r="C339" t="str">
            <v>DEXAMETASONA .:. 4 mg/ml</v>
          </cell>
          <cell r="D339" t="str">
            <v>Inyectable</v>
          </cell>
          <cell r="E339">
            <v>1572</v>
          </cell>
          <cell r="F339">
            <v>1131.4599999684001</v>
          </cell>
          <cell r="H339">
            <v>6700</v>
          </cell>
          <cell r="J339">
            <v>5655</v>
          </cell>
          <cell r="M339">
            <v>26</v>
          </cell>
          <cell r="N339">
            <v>21.732088999999998</v>
          </cell>
          <cell r="P339">
            <v>6633</v>
          </cell>
          <cell r="R339">
            <v>5377.9124240000001</v>
          </cell>
          <cell r="S339">
            <v>0</v>
          </cell>
          <cell r="T339">
            <v>0</v>
          </cell>
          <cell r="U339">
            <v>1665</v>
          </cell>
          <cell r="V339">
            <v>0.85902500000000004</v>
          </cell>
          <cell r="W339">
            <v>1430.276625</v>
          </cell>
          <cell r="X339">
            <v>2.4089800000000001</v>
          </cell>
          <cell r="Y339">
            <v>0</v>
          </cell>
          <cell r="Z339">
            <v>0.85902500000000004</v>
          </cell>
          <cell r="AA339">
            <v>1430.276625</v>
          </cell>
        </row>
        <row r="340">
          <cell r="B340" t="str">
            <v>H-02-05</v>
          </cell>
          <cell r="C340" t="str">
            <v>HIDROCORTISONA SUCCINATO SODICO .:. 100 mg</v>
          </cell>
          <cell r="D340" t="str">
            <v>Inyectable</v>
          </cell>
          <cell r="E340">
            <v>202</v>
          </cell>
          <cell r="F340">
            <v>1343.3900000092001</v>
          </cell>
          <cell r="H340">
            <v>280</v>
          </cell>
          <cell r="J340">
            <v>1860</v>
          </cell>
          <cell r="M340">
            <v>15</v>
          </cell>
          <cell r="N340">
            <v>112.333074</v>
          </cell>
          <cell r="P340">
            <v>305</v>
          </cell>
          <cell r="R340">
            <v>2221.0088609999998</v>
          </cell>
          <cell r="S340">
            <v>0</v>
          </cell>
          <cell r="T340">
            <v>0</v>
          </cell>
          <cell r="U340">
            <v>192</v>
          </cell>
          <cell r="V340">
            <v>5.7016359999999997</v>
          </cell>
          <cell r="W340">
            <v>1094.7141119999999</v>
          </cell>
          <cell r="X340">
            <v>2.4089800000000001</v>
          </cell>
          <cell r="Y340">
            <v>0</v>
          </cell>
          <cell r="Z340">
            <v>5.7016359999999997</v>
          </cell>
          <cell r="AA340">
            <v>1094.7141119999999</v>
          </cell>
        </row>
        <row r="341">
          <cell r="B341" t="str">
            <v>H-02-06</v>
          </cell>
          <cell r="C341" t="str">
            <v>HIDROCORTISONA SUCCINATO SODICO .:. 250 mg</v>
          </cell>
          <cell r="D341" t="str">
            <v>Inyectable</v>
          </cell>
          <cell r="E341">
            <v>109</v>
          </cell>
          <cell r="F341">
            <v>2370.6800000038002</v>
          </cell>
          <cell r="H341">
            <v>130</v>
          </cell>
          <cell r="J341">
            <v>3035</v>
          </cell>
          <cell r="M341">
            <v>9</v>
          </cell>
          <cell r="N341">
            <v>225.378917</v>
          </cell>
          <cell r="P341">
            <v>200</v>
          </cell>
          <cell r="R341">
            <v>4575.8922970000003</v>
          </cell>
          <cell r="S341">
            <v>0</v>
          </cell>
          <cell r="T341">
            <v>0</v>
          </cell>
          <cell r="U341">
            <v>48</v>
          </cell>
          <cell r="V341">
            <v>21.982634999999998</v>
          </cell>
          <cell r="W341">
            <v>1055.1664800000001</v>
          </cell>
          <cell r="X341">
            <v>2.4089800000000001</v>
          </cell>
          <cell r="Y341">
            <v>0</v>
          </cell>
          <cell r="Z341">
            <v>21.982634999999998</v>
          </cell>
          <cell r="AA341">
            <v>1055.1664800000001</v>
          </cell>
        </row>
        <row r="342">
          <cell r="B342" t="str">
            <v>H-02-07</v>
          </cell>
          <cell r="C342" t="str">
            <v>METILPREDNISOLONA SUCCINATO SODICO .:. 500 mg</v>
          </cell>
          <cell r="D342" t="str">
            <v>Inyectable</v>
          </cell>
          <cell r="E342">
            <v>42</v>
          </cell>
          <cell r="F342">
            <v>3103.5000000017999</v>
          </cell>
          <cell r="H342">
            <v>0</v>
          </cell>
          <cell r="J342">
            <v>0</v>
          </cell>
          <cell r="M342">
            <v>3</v>
          </cell>
          <cell r="N342">
            <v>221.67858100000001</v>
          </cell>
          <cell r="P342">
            <v>28</v>
          </cell>
          <cell r="R342">
            <v>2068.9999990000001</v>
          </cell>
          <cell r="S342">
            <v>0</v>
          </cell>
          <cell r="T342">
            <v>0</v>
          </cell>
          <cell r="U342">
            <v>17</v>
          </cell>
          <cell r="V342">
            <v>73.892857000000006</v>
          </cell>
          <cell r="W342">
            <v>1256.1785689999999</v>
          </cell>
          <cell r="X342">
            <v>2.4089800000000001</v>
          </cell>
          <cell r="Y342">
            <v>0</v>
          </cell>
          <cell r="Z342">
            <v>73.892857000000006</v>
          </cell>
          <cell r="AA342">
            <v>1256.1785689999999</v>
          </cell>
        </row>
        <row r="343">
          <cell r="B343" t="str">
            <v>H-02-08</v>
          </cell>
          <cell r="C343" t="str">
            <v>PREDNISONA .:. 5 mg</v>
          </cell>
          <cell r="D343" t="str">
            <v>Comprimido</v>
          </cell>
          <cell r="E343">
            <v>1530</v>
          </cell>
          <cell r="F343">
            <v>459.67999993199999</v>
          </cell>
          <cell r="H343">
            <v>9000</v>
          </cell>
          <cell r="J343">
            <v>2890</v>
          </cell>
          <cell r="M343">
            <v>30</v>
          </cell>
          <cell r="N343">
            <v>9.9</v>
          </cell>
          <cell r="P343">
            <v>8737</v>
          </cell>
          <cell r="R343">
            <v>2811.8696329999998</v>
          </cell>
          <cell r="S343">
            <v>0</v>
          </cell>
          <cell r="T343">
            <v>0</v>
          </cell>
          <cell r="U343">
            <v>1823</v>
          </cell>
          <cell r="V343">
            <v>0.30044399999999999</v>
          </cell>
          <cell r="W343">
            <v>547.70941200000004</v>
          </cell>
          <cell r="X343">
            <v>2.4089800000000001</v>
          </cell>
          <cell r="Y343">
            <v>0</v>
          </cell>
          <cell r="Z343">
            <v>0.30044399999999999</v>
          </cell>
          <cell r="AA343">
            <v>547.70941200000004</v>
          </cell>
        </row>
        <row r="344">
          <cell r="B344" t="str">
            <v>H-02-09</v>
          </cell>
          <cell r="C344" t="str">
            <v>PREDNISONA .:. 20 mg</v>
          </cell>
          <cell r="D344" t="str">
            <v>Comprimido ranurado</v>
          </cell>
          <cell r="E344">
            <v>845</v>
          </cell>
          <cell r="F344">
            <v>565.79000000250005</v>
          </cell>
          <cell r="H344">
            <v>4500</v>
          </cell>
          <cell r="J344">
            <v>2170</v>
          </cell>
          <cell r="M344">
            <v>17</v>
          </cell>
          <cell r="N344">
            <v>9.7150599999999994</v>
          </cell>
          <cell r="P344">
            <v>3169</v>
          </cell>
          <cell r="R344">
            <v>1649.004917</v>
          </cell>
          <cell r="S344">
            <v>0</v>
          </cell>
          <cell r="T344">
            <v>0</v>
          </cell>
          <cell r="U344">
            <v>2193</v>
          </cell>
          <cell r="V344">
            <v>0.5</v>
          </cell>
          <cell r="W344">
            <v>1096.5</v>
          </cell>
          <cell r="X344">
            <v>2.4089800000000001</v>
          </cell>
          <cell r="Y344">
            <v>0</v>
          </cell>
          <cell r="Z344">
            <v>0.5</v>
          </cell>
          <cell r="AA344">
            <v>1096.5</v>
          </cell>
        </row>
        <row r="345">
          <cell r="B345" t="str">
            <v>H-03-01</v>
          </cell>
          <cell r="C345" t="str">
            <v>LEVOTIROXINA SODICA .:. 0,1 mg</v>
          </cell>
          <cell r="D345" t="str">
            <v>Comprimido ranurado</v>
          </cell>
          <cell r="E345">
            <v>8430</v>
          </cell>
          <cell r="F345">
            <v>4431.240000408</v>
          </cell>
          <cell r="H345">
            <v>31000</v>
          </cell>
          <cell r="J345">
            <v>16460</v>
          </cell>
          <cell r="M345">
            <v>60</v>
          </cell>
          <cell r="N345">
            <v>31.539059999999999</v>
          </cell>
          <cell r="P345">
            <v>33780</v>
          </cell>
          <cell r="R345">
            <v>18002.255834</v>
          </cell>
          <cell r="S345">
            <v>0</v>
          </cell>
          <cell r="T345">
            <v>0</v>
          </cell>
          <cell r="U345">
            <v>5710</v>
          </cell>
          <cell r="V345">
            <v>0.51147500000000001</v>
          </cell>
          <cell r="W345">
            <v>2920.52225</v>
          </cell>
          <cell r="X345">
            <v>2.4089800000000001</v>
          </cell>
          <cell r="Y345">
            <v>0</v>
          </cell>
          <cell r="Z345">
            <v>0.51147500000000001</v>
          </cell>
          <cell r="AA345">
            <v>2920.52225</v>
          </cell>
        </row>
        <row r="346">
          <cell r="B346" t="str">
            <v>H-03-02</v>
          </cell>
          <cell r="C346" t="str">
            <v>PROPILTIOURACILO .:. 50 mg</v>
          </cell>
          <cell r="D346" t="str">
            <v>Comprimido</v>
          </cell>
          <cell r="E346">
            <v>65</v>
          </cell>
          <cell r="F346">
            <v>82.049999999500002</v>
          </cell>
          <cell r="H346">
            <v>0</v>
          </cell>
          <cell r="J346">
            <v>0</v>
          </cell>
          <cell r="M346">
            <v>0</v>
          </cell>
          <cell r="N346">
            <v>0</v>
          </cell>
          <cell r="P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65</v>
          </cell>
          <cell r="V346">
            <v>1.2623070000000001</v>
          </cell>
          <cell r="W346">
            <v>82.049954999999997</v>
          </cell>
          <cell r="X346">
            <v>2.4089800000000001</v>
          </cell>
          <cell r="Y346">
            <v>0</v>
          </cell>
          <cell r="Z346">
            <v>1.2623070000000001</v>
          </cell>
          <cell r="AA346">
            <v>82.049954999999997</v>
          </cell>
        </row>
        <row r="347">
          <cell r="B347" t="str">
            <v>J-01-01</v>
          </cell>
          <cell r="C347" t="str">
            <v>ACIDO NALIDIXICO .:. 500 mg</v>
          </cell>
          <cell r="D347" t="str">
            <v>Comprimido</v>
          </cell>
          <cell r="E347">
            <v>82</v>
          </cell>
          <cell r="F347">
            <v>101.8499999974</v>
          </cell>
          <cell r="H347">
            <v>0</v>
          </cell>
          <cell r="J347">
            <v>0</v>
          </cell>
          <cell r="M347">
            <v>0</v>
          </cell>
          <cell r="N347">
            <v>0</v>
          </cell>
          <cell r="P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82</v>
          </cell>
          <cell r="V347">
            <v>1.242073</v>
          </cell>
          <cell r="W347">
            <v>101.849986</v>
          </cell>
          <cell r="X347">
            <v>2.4089800000000001</v>
          </cell>
          <cell r="Y347">
            <v>0</v>
          </cell>
          <cell r="Z347">
            <v>1.242073</v>
          </cell>
          <cell r="AA347">
            <v>101.849986</v>
          </cell>
        </row>
        <row r="348">
          <cell r="B348" t="str">
            <v>J-01-02</v>
          </cell>
          <cell r="C348" t="str">
            <v>ACIDO NALIDIXICO .:. 250 mg/5 ml</v>
          </cell>
          <cell r="D348" t="str">
            <v>Suspensión</v>
          </cell>
          <cell r="E348">
            <v>10</v>
          </cell>
          <cell r="F348">
            <v>195.37</v>
          </cell>
          <cell r="H348">
            <v>0</v>
          </cell>
          <cell r="J348">
            <v>0</v>
          </cell>
          <cell r="M348">
            <v>0</v>
          </cell>
          <cell r="N348">
            <v>0</v>
          </cell>
          <cell r="P348">
            <v>7</v>
          </cell>
          <cell r="R348">
            <v>136.75899999999999</v>
          </cell>
          <cell r="S348">
            <v>0</v>
          </cell>
          <cell r="T348">
            <v>0</v>
          </cell>
          <cell r="U348">
            <v>3</v>
          </cell>
          <cell r="V348">
            <v>19.536999999999999</v>
          </cell>
          <cell r="W348">
            <v>58.610999999999997</v>
          </cell>
          <cell r="X348">
            <v>2.4089800000000001</v>
          </cell>
          <cell r="Y348">
            <v>0</v>
          </cell>
          <cell r="Z348">
            <v>19.536999999999999</v>
          </cell>
          <cell r="AA348">
            <v>58.610999999999997</v>
          </cell>
        </row>
        <row r="349">
          <cell r="B349" t="str">
            <v>J-01-04</v>
          </cell>
          <cell r="C349" t="str">
            <v>AMIKACINA .:. 500 mg/ 2ml</v>
          </cell>
          <cell r="D349" t="str">
            <v>Inyectable</v>
          </cell>
          <cell r="E349">
            <v>61</v>
          </cell>
          <cell r="F349">
            <v>335.89999999700001</v>
          </cell>
          <cell r="H349">
            <v>460</v>
          </cell>
          <cell r="J349">
            <v>2696</v>
          </cell>
          <cell r="M349">
            <v>1</v>
          </cell>
          <cell r="N349">
            <v>5.506634</v>
          </cell>
          <cell r="P349">
            <v>289</v>
          </cell>
          <cell r="R349">
            <v>1661.280066</v>
          </cell>
          <cell r="S349">
            <v>0</v>
          </cell>
          <cell r="T349">
            <v>0</v>
          </cell>
          <cell r="U349">
            <v>233</v>
          </cell>
          <cell r="V349">
            <v>5.9061219999999999</v>
          </cell>
          <cell r="W349">
            <v>1376.126426</v>
          </cell>
          <cell r="X349">
            <v>2.4089800000000001</v>
          </cell>
          <cell r="Y349">
            <v>0</v>
          </cell>
          <cell r="Z349">
            <v>5.9061219999999999</v>
          </cell>
          <cell r="AA349">
            <v>1376.126426</v>
          </cell>
        </row>
        <row r="350">
          <cell r="B350" t="str">
            <v>J-01-05</v>
          </cell>
          <cell r="C350" t="str">
            <v>AMOXICILINA .:. 1 g</v>
          </cell>
          <cell r="D350" t="str">
            <v>Comprimido</v>
          </cell>
          <cell r="E350">
            <v>2139</v>
          </cell>
          <cell r="F350">
            <v>1801.8300000434999</v>
          </cell>
          <cell r="H350">
            <v>5000</v>
          </cell>
          <cell r="J350">
            <v>4790</v>
          </cell>
          <cell r="M350">
            <v>10</v>
          </cell>
          <cell r="N350">
            <v>8.4910800000000002</v>
          </cell>
          <cell r="P350">
            <v>5008</v>
          </cell>
          <cell r="R350">
            <v>4625.8220309999997</v>
          </cell>
          <cell r="S350">
            <v>0</v>
          </cell>
          <cell r="T350">
            <v>0</v>
          </cell>
          <cell r="U350">
            <v>2141</v>
          </cell>
          <cell r="V350">
            <v>0.92223200000000005</v>
          </cell>
          <cell r="W350">
            <v>1974.4987120000001</v>
          </cell>
          <cell r="X350">
            <v>2.4089800000000001</v>
          </cell>
          <cell r="Y350">
            <v>0</v>
          </cell>
          <cell r="Z350">
            <v>0.92223200000000005</v>
          </cell>
          <cell r="AA350">
            <v>1974.4987120000001</v>
          </cell>
        </row>
        <row r="351">
          <cell r="B351" t="str">
            <v>J-01-06</v>
          </cell>
          <cell r="C351" t="str">
            <v>AMOXICILINA .:. 500 mg</v>
          </cell>
          <cell r="D351" t="str">
            <v>Comprimido</v>
          </cell>
          <cell r="E351">
            <v>564</v>
          </cell>
          <cell r="F351">
            <v>280.63000000800002</v>
          </cell>
          <cell r="H351">
            <v>500</v>
          </cell>
          <cell r="J351">
            <v>250</v>
          </cell>
          <cell r="M351">
            <v>0</v>
          </cell>
          <cell r="N351">
            <v>0</v>
          </cell>
          <cell r="P351">
            <v>1031</v>
          </cell>
          <cell r="R351">
            <v>514.15196300000002</v>
          </cell>
          <cell r="S351">
            <v>0</v>
          </cell>
          <cell r="T351">
            <v>0</v>
          </cell>
          <cell r="U351">
            <v>33</v>
          </cell>
          <cell r="V351">
            <v>0.49933300000000003</v>
          </cell>
          <cell r="W351">
            <v>16.477989000000001</v>
          </cell>
          <cell r="X351">
            <v>2.4089800000000001</v>
          </cell>
          <cell r="Y351">
            <v>0</v>
          </cell>
          <cell r="Z351">
            <v>0.49933300000000003</v>
          </cell>
          <cell r="AA351">
            <v>16.477989000000001</v>
          </cell>
        </row>
        <row r="352">
          <cell r="B352" t="str">
            <v>J-01-09</v>
          </cell>
          <cell r="C352" t="str">
            <v>AMOXICILINA + INHIBIDOR BETALACTAMASA .:. 500 mg + Según disponibilidad</v>
          </cell>
          <cell r="D352" t="str">
            <v>Comprimido</v>
          </cell>
          <cell r="E352">
            <v>862</v>
          </cell>
          <cell r="F352">
            <v>2016.8399999774001</v>
          </cell>
          <cell r="H352">
            <v>1000</v>
          </cell>
          <cell r="J352">
            <v>2300</v>
          </cell>
          <cell r="M352">
            <v>0</v>
          </cell>
          <cell r="N352">
            <v>0</v>
          </cell>
          <cell r="P352">
            <v>1542</v>
          </cell>
          <cell r="R352">
            <v>3576.6427090000002</v>
          </cell>
          <cell r="S352">
            <v>0</v>
          </cell>
          <cell r="T352">
            <v>0</v>
          </cell>
          <cell r="U352">
            <v>320</v>
          </cell>
          <cell r="V352">
            <v>2.3131159999999999</v>
          </cell>
          <cell r="W352">
            <v>740.19712000000004</v>
          </cell>
          <cell r="X352">
            <v>2.4089800000000001</v>
          </cell>
          <cell r="Y352">
            <v>0</v>
          </cell>
          <cell r="Z352">
            <v>2.3131159999999999</v>
          </cell>
          <cell r="AA352">
            <v>740.19712000000004</v>
          </cell>
        </row>
        <row r="353">
          <cell r="B353" t="str">
            <v>J-01-10</v>
          </cell>
          <cell r="C353" t="str">
            <v>AMOXICILINA + INHIBIDOR BETALACTAMASA .:. 250 mg + Según disponibilidad</v>
          </cell>
          <cell r="D353" t="str">
            <v>Suspensión</v>
          </cell>
          <cell r="E353">
            <v>24</v>
          </cell>
          <cell r="F353">
            <v>1087.2100000007999</v>
          </cell>
          <cell r="H353">
            <v>70</v>
          </cell>
          <cell r="J353">
            <v>3398</v>
          </cell>
          <cell r="M353">
            <v>0</v>
          </cell>
          <cell r="N353">
            <v>0</v>
          </cell>
          <cell r="P353">
            <v>80</v>
          </cell>
          <cell r="R353">
            <v>3810.0453090000001</v>
          </cell>
          <cell r="S353">
            <v>0</v>
          </cell>
          <cell r="T353">
            <v>0</v>
          </cell>
          <cell r="U353">
            <v>14</v>
          </cell>
          <cell r="V353">
            <v>48.226044999999999</v>
          </cell>
          <cell r="W353">
            <v>675.16462999999999</v>
          </cell>
          <cell r="X353">
            <v>2.4089800000000001</v>
          </cell>
          <cell r="Y353">
            <v>0</v>
          </cell>
          <cell r="Z353">
            <v>48.226044999999999</v>
          </cell>
          <cell r="AA353">
            <v>675.16462999999999</v>
          </cell>
        </row>
        <row r="354">
          <cell r="B354" t="str">
            <v>J-01-12</v>
          </cell>
          <cell r="C354" t="str">
            <v>AMPICILINA .:. 1 g</v>
          </cell>
          <cell r="D354" t="str">
            <v>Inyectable</v>
          </cell>
          <cell r="E354">
            <v>163</v>
          </cell>
          <cell r="F354">
            <v>767.56999999870004</v>
          </cell>
          <cell r="H354">
            <v>0</v>
          </cell>
          <cell r="J354">
            <v>0</v>
          </cell>
          <cell r="M354">
            <v>0</v>
          </cell>
          <cell r="N354">
            <v>0</v>
          </cell>
          <cell r="P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163</v>
          </cell>
          <cell r="V354">
            <v>4.7090180000000004</v>
          </cell>
          <cell r="W354">
            <v>767.56993399999999</v>
          </cell>
          <cell r="X354">
            <v>2.4089800000000001</v>
          </cell>
          <cell r="Y354">
            <v>0</v>
          </cell>
          <cell r="Z354">
            <v>4.7090180000000004</v>
          </cell>
          <cell r="AA354">
            <v>767.56993399999999</v>
          </cell>
        </row>
        <row r="355">
          <cell r="B355" t="str">
            <v>J-01-13</v>
          </cell>
          <cell r="C355" t="str">
            <v>AZITROMICINA .:. 500 mg</v>
          </cell>
          <cell r="D355" t="str">
            <v>Comprimido</v>
          </cell>
          <cell r="E355">
            <v>924</v>
          </cell>
          <cell r="F355">
            <v>2000.5500000024001</v>
          </cell>
          <cell r="H355">
            <v>3000</v>
          </cell>
          <cell r="J355">
            <v>5700</v>
          </cell>
          <cell r="M355">
            <v>1311</v>
          </cell>
          <cell r="N355">
            <v>2488.5700000000002</v>
          </cell>
          <cell r="P355">
            <v>3016</v>
          </cell>
          <cell r="R355">
            <v>5973.3730489999998</v>
          </cell>
          <cell r="S355">
            <v>1300</v>
          </cell>
          <cell r="T355">
            <v>2471.2590140000002</v>
          </cell>
          <cell r="U355">
            <v>919</v>
          </cell>
          <cell r="V355">
            <v>1.898245</v>
          </cell>
          <cell r="W355">
            <v>1744.487155</v>
          </cell>
          <cell r="X355">
            <v>2.4089800000000001</v>
          </cell>
          <cell r="Y355">
            <v>0</v>
          </cell>
          <cell r="Z355">
            <v>1.898245</v>
          </cell>
          <cell r="AA355">
            <v>1744.487155</v>
          </cell>
        </row>
        <row r="356">
          <cell r="B356" t="str">
            <v>J-01-15</v>
          </cell>
          <cell r="C356" t="str">
            <v>BENCILPENICILINA BENZATINICA .:. 1.200.000 UI</v>
          </cell>
          <cell r="D356" t="str">
            <v>Inyectable</v>
          </cell>
          <cell r="E356">
            <v>115</v>
          </cell>
          <cell r="F356">
            <v>776.32000000549999</v>
          </cell>
          <cell r="H356">
            <v>310</v>
          </cell>
          <cell r="J356">
            <v>1635</v>
          </cell>
          <cell r="M356">
            <v>0</v>
          </cell>
          <cell r="N356">
            <v>0</v>
          </cell>
          <cell r="P356">
            <v>297</v>
          </cell>
          <cell r="R356">
            <v>1835.3198560000001</v>
          </cell>
          <cell r="S356">
            <v>0</v>
          </cell>
          <cell r="T356">
            <v>0</v>
          </cell>
          <cell r="U356">
            <v>128</v>
          </cell>
          <cell r="V356">
            <v>4.5</v>
          </cell>
          <cell r="W356">
            <v>576</v>
          </cell>
          <cell r="X356">
            <v>2.4089800000000001</v>
          </cell>
          <cell r="Y356">
            <v>0</v>
          </cell>
          <cell r="Z356">
            <v>4.5</v>
          </cell>
          <cell r="AA356">
            <v>576</v>
          </cell>
        </row>
        <row r="357">
          <cell r="B357" t="str">
            <v>J-01-16</v>
          </cell>
          <cell r="C357" t="str">
            <v>BENCILPENICILINA BENZATINICA .:. 2.400.000 UI</v>
          </cell>
          <cell r="D357" t="str">
            <v>Inyectable</v>
          </cell>
          <cell r="E357">
            <v>110</v>
          </cell>
          <cell r="F357">
            <v>1179.049999996</v>
          </cell>
          <cell r="H357">
            <v>200</v>
          </cell>
          <cell r="J357">
            <v>1622</v>
          </cell>
          <cell r="M357">
            <v>0</v>
          </cell>
          <cell r="N357">
            <v>0</v>
          </cell>
          <cell r="P357">
            <v>243</v>
          </cell>
          <cell r="R357">
            <v>2438.78656</v>
          </cell>
          <cell r="S357">
            <v>0</v>
          </cell>
          <cell r="T357">
            <v>0</v>
          </cell>
          <cell r="U357">
            <v>67</v>
          </cell>
          <cell r="V357">
            <v>5.4069149999999997</v>
          </cell>
          <cell r="W357">
            <v>362.263305</v>
          </cell>
          <cell r="X357">
            <v>2.4089800000000001</v>
          </cell>
          <cell r="Y357">
            <v>0</v>
          </cell>
          <cell r="Z357">
            <v>5.4069149999999997</v>
          </cell>
          <cell r="AA357">
            <v>362.263305</v>
          </cell>
        </row>
        <row r="358">
          <cell r="B358" t="str">
            <v>J-01-18</v>
          </cell>
          <cell r="C358" t="str">
            <v>BENCILPENICILINA PROCAINICA .:. 800.000 UI</v>
          </cell>
          <cell r="D358" t="str">
            <v>Inyectable</v>
          </cell>
          <cell r="E358">
            <v>98</v>
          </cell>
          <cell r="F358">
            <v>423.36999999839998</v>
          </cell>
          <cell r="H358">
            <v>0</v>
          </cell>
          <cell r="J358">
            <v>0</v>
          </cell>
          <cell r="M358">
            <v>0</v>
          </cell>
          <cell r="N358">
            <v>0</v>
          </cell>
          <cell r="P358">
            <v>24</v>
          </cell>
          <cell r="R358">
            <v>103.68244799999999</v>
          </cell>
          <cell r="S358">
            <v>0</v>
          </cell>
          <cell r="T358">
            <v>0</v>
          </cell>
          <cell r="U358">
            <v>74</v>
          </cell>
          <cell r="V358">
            <v>4.3201020000000003</v>
          </cell>
          <cell r="W358">
            <v>319.68754799999999</v>
          </cell>
          <cell r="X358">
            <v>2.4089800000000001</v>
          </cell>
          <cell r="Y358">
            <v>0</v>
          </cell>
          <cell r="Z358">
            <v>4.3201020000000003</v>
          </cell>
          <cell r="AA358">
            <v>319.68754799999999</v>
          </cell>
        </row>
        <row r="359">
          <cell r="B359" t="str">
            <v>J-01-21</v>
          </cell>
          <cell r="C359" t="str">
            <v>CEFAZOLINA .:. 1 g</v>
          </cell>
          <cell r="D359" t="str">
            <v>Inyectable</v>
          </cell>
          <cell r="E359">
            <v>149</v>
          </cell>
          <cell r="F359">
            <v>903.82000000469998</v>
          </cell>
          <cell r="H359">
            <v>200</v>
          </cell>
          <cell r="J359">
            <v>1200</v>
          </cell>
          <cell r="M359">
            <v>19</v>
          </cell>
          <cell r="N359">
            <v>114.367251</v>
          </cell>
          <cell r="P359">
            <v>300</v>
          </cell>
          <cell r="R359">
            <v>1808.833862</v>
          </cell>
          <cell r="S359">
            <v>0</v>
          </cell>
          <cell r="T359">
            <v>0</v>
          </cell>
          <cell r="U359">
            <v>68</v>
          </cell>
          <cell r="V359">
            <v>6.0199009999999999</v>
          </cell>
          <cell r="W359">
            <v>409.35326800000001</v>
          </cell>
          <cell r="X359">
            <v>2.4089800000000001</v>
          </cell>
          <cell r="Y359">
            <v>0</v>
          </cell>
          <cell r="Z359">
            <v>6.0199009999999999</v>
          </cell>
          <cell r="AA359">
            <v>409.35326800000001</v>
          </cell>
        </row>
        <row r="360">
          <cell r="B360" t="str">
            <v>J-01-22</v>
          </cell>
          <cell r="C360" t="str">
            <v>CEFOTAXIMA .:. 1 g</v>
          </cell>
          <cell r="D360" t="str">
            <v>Inyectable</v>
          </cell>
          <cell r="E360">
            <v>189</v>
          </cell>
          <cell r="F360">
            <v>737.38999999350006</v>
          </cell>
          <cell r="H360">
            <v>500</v>
          </cell>
          <cell r="J360">
            <v>2050</v>
          </cell>
          <cell r="M360">
            <v>10</v>
          </cell>
          <cell r="N360">
            <v>39.714163999999997</v>
          </cell>
          <cell r="P360">
            <v>648</v>
          </cell>
          <cell r="R360">
            <v>2619.2158930000001</v>
          </cell>
          <cell r="S360">
            <v>0</v>
          </cell>
          <cell r="T360">
            <v>0</v>
          </cell>
          <cell r="U360">
            <v>51</v>
          </cell>
          <cell r="V360">
            <v>4.0762400000000003</v>
          </cell>
          <cell r="W360">
            <v>207.88824</v>
          </cell>
          <cell r="X360">
            <v>2.4089800000000001</v>
          </cell>
          <cell r="Y360">
            <v>0</v>
          </cell>
          <cell r="Z360">
            <v>4.0762400000000003</v>
          </cell>
          <cell r="AA360">
            <v>207.88824</v>
          </cell>
        </row>
        <row r="361">
          <cell r="B361" t="str">
            <v>J-01-23</v>
          </cell>
          <cell r="C361" t="str">
            <v>CEFRADINA .:. 500 mg</v>
          </cell>
          <cell r="D361" t="str">
            <v>Cápsula o Comprimido</v>
          </cell>
          <cell r="E361">
            <v>257</v>
          </cell>
          <cell r="F361">
            <v>358.74000000479998</v>
          </cell>
          <cell r="H361">
            <v>500</v>
          </cell>
          <cell r="J361">
            <v>700</v>
          </cell>
          <cell r="M361">
            <v>0</v>
          </cell>
          <cell r="N361">
            <v>0</v>
          </cell>
          <cell r="P361">
            <v>659</v>
          </cell>
          <cell r="R361">
            <v>921.62133900000003</v>
          </cell>
          <cell r="S361">
            <v>0</v>
          </cell>
          <cell r="T361">
            <v>0</v>
          </cell>
          <cell r="U361">
            <v>98</v>
          </cell>
          <cell r="V361">
            <v>1.3991690000000001</v>
          </cell>
          <cell r="W361">
            <v>137.118562</v>
          </cell>
          <cell r="X361">
            <v>2.4089800000000001</v>
          </cell>
          <cell r="Y361">
            <v>0</v>
          </cell>
          <cell r="Z361">
            <v>1.3991690000000001</v>
          </cell>
          <cell r="AA361">
            <v>137.118562</v>
          </cell>
        </row>
        <row r="362">
          <cell r="B362" t="str">
            <v>J-01-24</v>
          </cell>
          <cell r="C362" t="str">
            <v>CEFRADINA .:. 250 mg/5 ml</v>
          </cell>
          <cell r="D362" t="str">
            <v>Suspensión</v>
          </cell>
          <cell r="E362">
            <v>5</v>
          </cell>
          <cell r="F362">
            <v>105.42</v>
          </cell>
          <cell r="H362">
            <v>0</v>
          </cell>
          <cell r="J362">
            <v>0</v>
          </cell>
          <cell r="M362">
            <v>0</v>
          </cell>
          <cell r="N362">
            <v>0</v>
          </cell>
          <cell r="P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5</v>
          </cell>
          <cell r="V362">
            <v>21.084</v>
          </cell>
          <cell r="W362">
            <v>105.42</v>
          </cell>
          <cell r="X362">
            <v>2.4089800000000001</v>
          </cell>
          <cell r="Y362">
            <v>0</v>
          </cell>
          <cell r="Z362">
            <v>21.084</v>
          </cell>
          <cell r="AA362">
            <v>105.42</v>
          </cell>
        </row>
        <row r="363">
          <cell r="B363" t="str">
            <v>J-01-25</v>
          </cell>
          <cell r="C363" t="str">
            <v>CEFTAZIDIMA .:. 1 g</v>
          </cell>
          <cell r="D363" t="str">
            <v>Inyectable</v>
          </cell>
          <cell r="E363">
            <v>7</v>
          </cell>
          <cell r="F363">
            <v>165.01000000030001</v>
          </cell>
          <cell r="H363">
            <v>0</v>
          </cell>
          <cell r="J363">
            <v>0</v>
          </cell>
          <cell r="M363">
            <v>0</v>
          </cell>
          <cell r="N363">
            <v>0</v>
          </cell>
          <cell r="P363">
            <v>4</v>
          </cell>
          <cell r="R363">
            <v>94.291427999999996</v>
          </cell>
          <cell r="S363">
            <v>0</v>
          </cell>
          <cell r="T363">
            <v>0</v>
          </cell>
          <cell r="U363">
            <v>3</v>
          </cell>
          <cell r="V363">
            <v>23.572856999999999</v>
          </cell>
          <cell r="W363">
            <v>70.718570999999997</v>
          </cell>
          <cell r="X363">
            <v>2.4089800000000001</v>
          </cell>
          <cell r="Y363">
            <v>0</v>
          </cell>
          <cell r="Z363">
            <v>23.572856999999999</v>
          </cell>
          <cell r="AA363">
            <v>70.718570999999997</v>
          </cell>
        </row>
        <row r="364">
          <cell r="B364" t="str">
            <v>J-01-26</v>
          </cell>
          <cell r="C364" t="str">
            <v>CEFTRIAXONA .:. 1 g</v>
          </cell>
          <cell r="D364" t="str">
            <v>Inyectable</v>
          </cell>
          <cell r="E364">
            <v>765</v>
          </cell>
          <cell r="F364">
            <v>3245.6200000184999</v>
          </cell>
          <cell r="H364">
            <v>2000</v>
          </cell>
          <cell r="J364">
            <v>8000</v>
          </cell>
          <cell r="M364">
            <v>71</v>
          </cell>
          <cell r="N364">
            <v>290.86264</v>
          </cell>
          <cell r="P364">
            <v>1459</v>
          </cell>
          <cell r="R364">
            <v>5979.8138179999996</v>
          </cell>
          <cell r="S364">
            <v>0</v>
          </cell>
          <cell r="T364">
            <v>0</v>
          </cell>
          <cell r="U364">
            <v>1377</v>
          </cell>
          <cell r="V364">
            <v>4.0353440000000003</v>
          </cell>
          <cell r="W364">
            <v>5556.6686879999997</v>
          </cell>
          <cell r="X364">
            <v>2.4089800000000001</v>
          </cell>
          <cell r="Y364">
            <v>0</v>
          </cell>
          <cell r="Z364">
            <v>4.0353440000000003</v>
          </cell>
          <cell r="AA364">
            <v>5556.6686879999997</v>
          </cell>
        </row>
        <row r="365">
          <cell r="B365" t="str">
            <v>J-01-27</v>
          </cell>
          <cell r="C365" t="str">
            <v>CIPROFLOXACINA .:. 500 mg</v>
          </cell>
          <cell r="D365" t="str">
            <v>Comprimido</v>
          </cell>
          <cell r="E365">
            <v>1173</v>
          </cell>
          <cell r="F365">
            <v>563.04</v>
          </cell>
          <cell r="H365">
            <v>4500</v>
          </cell>
          <cell r="J365">
            <v>1975</v>
          </cell>
          <cell r="M365">
            <v>0</v>
          </cell>
          <cell r="N365">
            <v>0</v>
          </cell>
          <cell r="P365">
            <v>4527</v>
          </cell>
          <cell r="R365">
            <v>2065.635417</v>
          </cell>
          <cell r="S365">
            <v>0</v>
          </cell>
          <cell r="T365">
            <v>0</v>
          </cell>
          <cell r="U365">
            <v>1146</v>
          </cell>
          <cell r="V365">
            <v>0.41221999999999998</v>
          </cell>
          <cell r="W365">
            <v>472.40411999999998</v>
          </cell>
          <cell r="X365">
            <v>2.4089800000000001</v>
          </cell>
          <cell r="Y365">
            <v>0</v>
          </cell>
          <cell r="Z365">
            <v>0.41221999999999998</v>
          </cell>
          <cell r="AA365">
            <v>472.40411999999998</v>
          </cell>
        </row>
        <row r="366">
          <cell r="B366" t="str">
            <v>J-01-28</v>
          </cell>
          <cell r="C366" t="str">
            <v>CIPROFLOXACINA .:. 200 mg</v>
          </cell>
          <cell r="D366" t="str">
            <v>Inyectable</v>
          </cell>
          <cell r="E366">
            <v>178</v>
          </cell>
          <cell r="F366">
            <v>1425.979999999</v>
          </cell>
          <cell r="H366">
            <v>300</v>
          </cell>
          <cell r="J366">
            <v>2399</v>
          </cell>
          <cell r="M366">
            <v>9</v>
          </cell>
          <cell r="N366">
            <v>72.001307999999995</v>
          </cell>
          <cell r="P366">
            <v>422</v>
          </cell>
          <cell r="R366">
            <v>3376.9812550000001</v>
          </cell>
          <cell r="S366">
            <v>0</v>
          </cell>
          <cell r="T366">
            <v>0</v>
          </cell>
          <cell r="U366">
            <v>65</v>
          </cell>
          <cell r="V366">
            <v>8</v>
          </cell>
          <cell r="W366">
            <v>520</v>
          </cell>
          <cell r="X366">
            <v>2.4089800000000001</v>
          </cell>
          <cell r="Y366">
            <v>0</v>
          </cell>
          <cell r="Z366">
            <v>8</v>
          </cell>
          <cell r="AA366">
            <v>520</v>
          </cell>
        </row>
        <row r="367">
          <cell r="B367" t="str">
            <v>J-01-29</v>
          </cell>
          <cell r="C367" t="str">
            <v>CLARITROMICINA .:. 500 mg</v>
          </cell>
          <cell r="D367" t="str">
            <v>Comprimido</v>
          </cell>
          <cell r="E367">
            <v>804</v>
          </cell>
          <cell r="F367">
            <v>2568.9999999672</v>
          </cell>
          <cell r="H367">
            <v>900</v>
          </cell>
          <cell r="J367">
            <v>2700</v>
          </cell>
          <cell r="M367">
            <v>2</v>
          </cell>
          <cell r="N367">
            <v>6.3905459999999996</v>
          </cell>
          <cell r="P367">
            <v>1484</v>
          </cell>
          <cell r="R367">
            <v>4594.8975069999997</v>
          </cell>
          <cell r="S367">
            <v>0</v>
          </cell>
          <cell r="T367">
            <v>0</v>
          </cell>
          <cell r="U367">
            <v>222</v>
          </cell>
          <cell r="V367">
            <v>3.065283</v>
          </cell>
          <cell r="W367">
            <v>680.49282600000004</v>
          </cell>
          <cell r="X367">
            <v>2.4089800000000001</v>
          </cell>
          <cell r="Y367">
            <v>0</v>
          </cell>
          <cell r="Z367">
            <v>3.065283</v>
          </cell>
          <cell r="AA367">
            <v>680.49282600000004</v>
          </cell>
        </row>
        <row r="368">
          <cell r="B368" t="str">
            <v>J-01-30</v>
          </cell>
          <cell r="C368" t="str">
            <v>CLARITROMICINA .:. 250 mg/5 ml</v>
          </cell>
          <cell r="D368" t="str">
            <v>Suspensión</v>
          </cell>
          <cell r="E368">
            <v>13</v>
          </cell>
          <cell r="F368">
            <v>669.47000000009996</v>
          </cell>
          <cell r="H368">
            <v>0</v>
          </cell>
          <cell r="J368">
            <v>0</v>
          </cell>
          <cell r="M368">
            <v>0</v>
          </cell>
          <cell r="N368">
            <v>0</v>
          </cell>
          <cell r="P368">
            <v>13</v>
          </cell>
          <cell r="R368">
            <v>669.46999600000004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2.4089800000000001</v>
          </cell>
          <cell r="Y368">
            <v>0</v>
          </cell>
          <cell r="Z368">
            <v>0</v>
          </cell>
          <cell r="AA368">
            <v>0</v>
          </cell>
        </row>
        <row r="369">
          <cell r="B369" t="str">
            <v>J-01-36</v>
          </cell>
          <cell r="C369" t="str">
            <v>CLOXACILINA .:. 1 g</v>
          </cell>
          <cell r="D369" t="str">
            <v>Inyectable</v>
          </cell>
          <cell r="E369">
            <v>68</v>
          </cell>
          <cell r="F369">
            <v>516.34999999720003</v>
          </cell>
          <cell r="H369">
            <v>0</v>
          </cell>
          <cell r="J369">
            <v>0</v>
          </cell>
          <cell r="M369">
            <v>35</v>
          </cell>
          <cell r="N369">
            <v>265.77</v>
          </cell>
          <cell r="P369">
            <v>22</v>
          </cell>
          <cell r="R369">
            <v>167.054847</v>
          </cell>
          <cell r="S369">
            <v>46</v>
          </cell>
          <cell r="T369">
            <v>349.29586999999998</v>
          </cell>
          <cell r="U369">
            <v>46</v>
          </cell>
          <cell r="V369">
            <v>7.5934080000000002</v>
          </cell>
          <cell r="W369">
            <v>349.29676799999999</v>
          </cell>
          <cell r="X369">
            <v>2.4089800000000001</v>
          </cell>
          <cell r="Y369">
            <v>0</v>
          </cell>
          <cell r="Z369">
            <v>7.5934080000000002</v>
          </cell>
          <cell r="AA369">
            <v>349.29676799999999</v>
          </cell>
        </row>
        <row r="370">
          <cell r="B370" t="str">
            <v>J-01-37</v>
          </cell>
          <cell r="C370" t="str">
            <v>COTRIMOXAZOL (SULFAMETOXAZOL + TRIMETOPRIMA) .:. 800 mg + 160 mg</v>
          </cell>
          <cell r="D370" t="str">
            <v>Comprimido</v>
          </cell>
          <cell r="E370">
            <v>458</v>
          </cell>
          <cell r="F370">
            <v>229.57999997900001</v>
          </cell>
          <cell r="H370">
            <v>1800</v>
          </cell>
          <cell r="J370">
            <v>921</v>
          </cell>
          <cell r="M370">
            <v>4</v>
          </cell>
          <cell r="N370">
            <v>2.0051000000000001</v>
          </cell>
          <cell r="P370">
            <v>1899</v>
          </cell>
          <cell r="R370">
            <v>967.76996799999995</v>
          </cell>
          <cell r="S370">
            <v>0</v>
          </cell>
          <cell r="T370">
            <v>0</v>
          </cell>
          <cell r="U370">
            <v>363</v>
          </cell>
          <cell r="V370">
            <v>0.50913200000000003</v>
          </cell>
          <cell r="W370">
            <v>184.81491600000001</v>
          </cell>
          <cell r="X370">
            <v>2.4089800000000001</v>
          </cell>
          <cell r="Y370">
            <v>0</v>
          </cell>
          <cell r="Z370">
            <v>0.50913200000000003</v>
          </cell>
          <cell r="AA370">
            <v>184.81491600000001</v>
          </cell>
        </row>
        <row r="371">
          <cell r="B371" t="str">
            <v>J-01-38</v>
          </cell>
          <cell r="C371" t="str">
            <v>COTRIMOXAZOL (SULFAMETOXAZOL + TRIMETOPRIMA) .:. 200 mg + 40 mg/5 ml</v>
          </cell>
          <cell r="D371" t="str">
            <v>Suspensión</v>
          </cell>
          <cell r="E371">
            <v>15</v>
          </cell>
          <cell r="F371">
            <v>139.8400000005</v>
          </cell>
          <cell r="H371">
            <v>50</v>
          </cell>
          <cell r="J371">
            <v>400</v>
          </cell>
          <cell r="M371">
            <v>0</v>
          </cell>
          <cell r="N371">
            <v>0</v>
          </cell>
          <cell r="P371">
            <v>37</v>
          </cell>
          <cell r="R371">
            <v>315.83999299999999</v>
          </cell>
          <cell r="S371">
            <v>0</v>
          </cell>
          <cell r="T371">
            <v>0</v>
          </cell>
          <cell r="U371">
            <v>28</v>
          </cell>
          <cell r="V371">
            <v>8</v>
          </cell>
          <cell r="W371">
            <v>224</v>
          </cell>
          <cell r="X371">
            <v>2.4089800000000001</v>
          </cell>
          <cell r="Y371">
            <v>0</v>
          </cell>
          <cell r="Z371">
            <v>8</v>
          </cell>
          <cell r="AA371">
            <v>224</v>
          </cell>
        </row>
        <row r="372">
          <cell r="B372" t="str">
            <v>J-01-41</v>
          </cell>
          <cell r="C372" t="str">
            <v>DICLOXACILINA SODICA .:. 500 mg</v>
          </cell>
          <cell r="D372" t="str">
            <v>Cápsula</v>
          </cell>
          <cell r="E372">
            <v>304</v>
          </cell>
          <cell r="F372">
            <v>246.24</v>
          </cell>
          <cell r="H372">
            <v>700</v>
          </cell>
          <cell r="J372">
            <v>600</v>
          </cell>
          <cell r="M372">
            <v>0</v>
          </cell>
          <cell r="N372">
            <v>0</v>
          </cell>
          <cell r="P372">
            <v>785</v>
          </cell>
          <cell r="R372">
            <v>649.13998500000002</v>
          </cell>
          <cell r="S372">
            <v>0</v>
          </cell>
          <cell r="T372">
            <v>0</v>
          </cell>
          <cell r="U372">
            <v>219</v>
          </cell>
          <cell r="V372">
            <v>0.9</v>
          </cell>
          <cell r="W372">
            <v>197.1</v>
          </cell>
          <cell r="X372">
            <v>2.4089800000000001</v>
          </cell>
          <cell r="Y372">
            <v>0</v>
          </cell>
          <cell r="Z372">
            <v>0.9</v>
          </cell>
          <cell r="AA372">
            <v>197.1</v>
          </cell>
        </row>
        <row r="373">
          <cell r="B373" t="str">
            <v>J-01-42</v>
          </cell>
          <cell r="C373" t="str">
            <v>DICLOXACILINA SODICA .:. 250 mg/5 ml</v>
          </cell>
          <cell r="D373" t="str">
            <v>Suspensión</v>
          </cell>
          <cell r="E373">
            <v>1</v>
          </cell>
          <cell r="F373">
            <v>20.28</v>
          </cell>
          <cell r="H373">
            <v>0</v>
          </cell>
          <cell r="J373">
            <v>0</v>
          </cell>
          <cell r="M373">
            <v>0</v>
          </cell>
          <cell r="N373">
            <v>0</v>
          </cell>
          <cell r="P373">
            <v>1</v>
          </cell>
          <cell r="R373">
            <v>20.28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2.4089800000000001</v>
          </cell>
          <cell r="Y373">
            <v>0</v>
          </cell>
          <cell r="Z373">
            <v>0</v>
          </cell>
          <cell r="AA373">
            <v>0</v>
          </cell>
        </row>
        <row r="374">
          <cell r="B374" t="str">
            <v>J-01-44</v>
          </cell>
          <cell r="C374" t="str">
            <v>DOXICICLINA .:. 100 mg</v>
          </cell>
          <cell r="D374" t="str">
            <v>Cápsula o Comprimido</v>
          </cell>
          <cell r="E374">
            <v>523</v>
          </cell>
          <cell r="F374">
            <v>259.80999997520001</v>
          </cell>
          <cell r="H374">
            <v>500</v>
          </cell>
          <cell r="J374">
            <v>200</v>
          </cell>
          <cell r="M374">
            <v>0</v>
          </cell>
          <cell r="N374">
            <v>0</v>
          </cell>
          <cell r="P374">
            <v>838</v>
          </cell>
          <cell r="R374">
            <v>377.60560900000002</v>
          </cell>
          <cell r="S374">
            <v>0</v>
          </cell>
          <cell r="T374">
            <v>0</v>
          </cell>
          <cell r="U374">
            <v>185</v>
          </cell>
          <cell r="V374">
            <v>0.44434699999999999</v>
          </cell>
          <cell r="W374">
            <v>82.204194999999999</v>
          </cell>
          <cell r="X374">
            <v>2.4089800000000001</v>
          </cell>
          <cell r="Y374">
            <v>0</v>
          </cell>
          <cell r="Z374">
            <v>0.44434699999999999</v>
          </cell>
          <cell r="AA374">
            <v>82.204194999999999</v>
          </cell>
        </row>
        <row r="375">
          <cell r="B375" t="str">
            <v>J-01-45</v>
          </cell>
          <cell r="C375" t="str">
            <v>ERITROMICINA ESTEARATO .:. 500 mg</v>
          </cell>
          <cell r="D375" t="str">
            <v>Cápsula o Comprimido</v>
          </cell>
          <cell r="E375">
            <v>777</v>
          </cell>
          <cell r="F375">
            <v>760.81000002840005</v>
          </cell>
          <cell r="H375">
            <v>0</v>
          </cell>
          <cell r="J375">
            <v>0</v>
          </cell>
          <cell r="M375">
            <v>0</v>
          </cell>
          <cell r="N375">
            <v>0</v>
          </cell>
          <cell r="P375">
            <v>275</v>
          </cell>
          <cell r="R375">
            <v>269.26993599999997</v>
          </cell>
          <cell r="S375">
            <v>0</v>
          </cell>
          <cell r="T375">
            <v>0</v>
          </cell>
          <cell r="U375">
            <v>502</v>
          </cell>
          <cell r="V375">
            <v>0.97916300000000001</v>
          </cell>
          <cell r="W375">
            <v>491.53982600000001</v>
          </cell>
          <cell r="X375">
            <v>2.4089800000000001</v>
          </cell>
          <cell r="Y375">
            <v>0</v>
          </cell>
          <cell r="Z375">
            <v>0.97916300000000001</v>
          </cell>
          <cell r="AA375">
            <v>491.53982600000001</v>
          </cell>
        </row>
        <row r="376">
          <cell r="B376" t="str">
            <v>J-01-46</v>
          </cell>
          <cell r="C376" t="str">
            <v>ERITROMICINA ETILSUCCINATO .:. 250 mg/5 ml</v>
          </cell>
          <cell r="D376" t="str">
            <v>Suspensión</v>
          </cell>
          <cell r="E376">
            <v>7</v>
          </cell>
          <cell r="F376">
            <v>100.5400000003</v>
          </cell>
          <cell r="H376">
            <v>0</v>
          </cell>
          <cell r="J376">
            <v>0</v>
          </cell>
          <cell r="M376">
            <v>0</v>
          </cell>
          <cell r="N376">
            <v>0</v>
          </cell>
          <cell r="P376">
            <v>5</v>
          </cell>
          <cell r="R376">
            <v>71.814284999999998</v>
          </cell>
          <cell r="S376">
            <v>0</v>
          </cell>
          <cell r="T376">
            <v>0</v>
          </cell>
          <cell r="U376">
            <v>2</v>
          </cell>
          <cell r="V376">
            <v>14.362857</v>
          </cell>
          <cell r="W376">
            <v>28.725714</v>
          </cell>
          <cell r="X376">
            <v>2.4089800000000001</v>
          </cell>
          <cell r="Y376">
            <v>0</v>
          </cell>
          <cell r="Z376">
            <v>14.362857</v>
          </cell>
          <cell r="AA376">
            <v>28.725714</v>
          </cell>
        </row>
        <row r="377">
          <cell r="B377" t="str">
            <v>J-01-50</v>
          </cell>
          <cell r="C377" t="str">
            <v>IMIPENEM + CILASTATINA .:. 500 mg + 500 mg</v>
          </cell>
          <cell r="D377" t="str">
            <v>Inyectable</v>
          </cell>
          <cell r="E377">
            <v>88</v>
          </cell>
          <cell r="F377">
            <v>3856.5099999976001</v>
          </cell>
          <cell r="H377">
            <v>530</v>
          </cell>
          <cell r="J377">
            <v>25810</v>
          </cell>
          <cell r="M377">
            <v>7</v>
          </cell>
          <cell r="N377">
            <v>321.39788299999998</v>
          </cell>
          <cell r="P377">
            <v>519</v>
          </cell>
          <cell r="R377">
            <v>24831.875660999998</v>
          </cell>
          <cell r="S377">
            <v>0</v>
          </cell>
          <cell r="T377">
            <v>0</v>
          </cell>
          <cell r="U377">
            <v>106</v>
          </cell>
          <cell r="V377">
            <v>48.641812999999999</v>
          </cell>
          <cell r="W377">
            <v>5156.0321780000004</v>
          </cell>
          <cell r="X377">
            <v>2.4089800000000001</v>
          </cell>
          <cell r="Y377">
            <v>0</v>
          </cell>
          <cell r="Z377">
            <v>48.641812999999999</v>
          </cell>
          <cell r="AA377">
            <v>5156.0321780000004</v>
          </cell>
        </row>
        <row r="378">
          <cell r="B378" t="str">
            <v>J-01-51</v>
          </cell>
          <cell r="C378" t="str">
            <v>NITROFURANTOINA .:. 100 mg</v>
          </cell>
          <cell r="D378" t="str">
            <v>Comprimido</v>
          </cell>
          <cell r="E378">
            <v>138</v>
          </cell>
          <cell r="F378">
            <v>67.869999999599997</v>
          </cell>
          <cell r="H378">
            <v>1300</v>
          </cell>
          <cell r="J378">
            <v>957</v>
          </cell>
          <cell r="M378">
            <v>0</v>
          </cell>
          <cell r="N378">
            <v>0</v>
          </cell>
          <cell r="P378">
            <v>915</v>
          </cell>
          <cell r="R378">
            <v>555.71689400000002</v>
          </cell>
          <cell r="S378">
            <v>0</v>
          </cell>
          <cell r="T378">
            <v>0</v>
          </cell>
          <cell r="U378">
            <v>523</v>
          </cell>
          <cell r="V378">
            <v>0.89704200000000001</v>
          </cell>
          <cell r="W378">
            <v>469.15296599999999</v>
          </cell>
          <cell r="X378">
            <v>2.4089800000000001</v>
          </cell>
          <cell r="Y378">
            <v>0</v>
          </cell>
          <cell r="Z378">
            <v>0.89704200000000001</v>
          </cell>
          <cell r="AA378">
            <v>469.15296599999999</v>
          </cell>
        </row>
        <row r="379">
          <cell r="B379" t="str">
            <v>J-01-54</v>
          </cell>
          <cell r="C379" t="str">
            <v>TETRACICLINA .:. 500 mg</v>
          </cell>
          <cell r="D379" t="str">
            <v>Cápsula o Comprimido</v>
          </cell>
          <cell r="E379">
            <v>986</v>
          </cell>
          <cell r="F379">
            <v>445.0099999944</v>
          </cell>
          <cell r="H379">
            <v>0</v>
          </cell>
          <cell r="J379">
            <v>0</v>
          </cell>
          <cell r="M379">
            <v>0</v>
          </cell>
          <cell r="N379">
            <v>0</v>
          </cell>
          <cell r="P379">
            <v>226</v>
          </cell>
          <cell r="R379">
            <v>102.000263</v>
          </cell>
          <cell r="S379">
            <v>0</v>
          </cell>
          <cell r="T379">
            <v>0</v>
          </cell>
          <cell r="U379">
            <v>760</v>
          </cell>
          <cell r="V379">
            <v>0.45132800000000001</v>
          </cell>
          <cell r="W379">
            <v>343.00927999999999</v>
          </cell>
          <cell r="X379">
            <v>2.4089800000000001</v>
          </cell>
          <cell r="Y379">
            <v>0</v>
          </cell>
          <cell r="Z379">
            <v>0.45132800000000001</v>
          </cell>
          <cell r="AA379">
            <v>343.00927999999999</v>
          </cell>
        </row>
        <row r="380">
          <cell r="B380" t="str">
            <v>J-01-55</v>
          </cell>
          <cell r="C380" t="str">
            <v>VANCOMICINA .:. 500 mg</v>
          </cell>
          <cell r="D380" t="str">
            <v>Inyectable</v>
          </cell>
          <cell r="E380">
            <v>97</v>
          </cell>
          <cell r="F380">
            <v>1249.0499999988999</v>
          </cell>
          <cell r="H380">
            <v>400</v>
          </cell>
          <cell r="J380">
            <v>6400</v>
          </cell>
          <cell r="M380">
            <v>2</v>
          </cell>
          <cell r="N380">
            <v>31.081019999999999</v>
          </cell>
          <cell r="P380">
            <v>175</v>
          </cell>
          <cell r="R380">
            <v>2645.0055539999998</v>
          </cell>
          <cell r="S380">
            <v>0</v>
          </cell>
          <cell r="T380">
            <v>0</v>
          </cell>
          <cell r="U380">
            <v>324</v>
          </cell>
          <cell r="V380">
            <v>15.540509999999999</v>
          </cell>
          <cell r="W380">
            <v>5035.1252400000003</v>
          </cell>
          <cell r="X380">
            <v>2.4089800000000001</v>
          </cell>
          <cell r="Y380">
            <v>0</v>
          </cell>
          <cell r="Z380">
            <v>15.540509999999999</v>
          </cell>
          <cell r="AA380">
            <v>5035.1252400000003</v>
          </cell>
        </row>
        <row r="381">
          <cell r="B381" t="str">
            <v>J-01-57</v>
          </cell>
          <cell r="C381" t="str">
            <v>AMOXICILINA .:. 500 mg/5 ml</v>
          </cell>
          <cell r="D381" t="str">
            <v>Suspensión</v>
          </cell>
          <cell r="E381">
            <v>27</v>
          </cell>
          <cell r="F381">
            <v>273.01000000049999</v>
          </cell>
          <cell r="H381">
            <v>300</v>
          </cell>
          <cell r="J381">
            <v>3165</v>
          </cell>
          <cell r="M381">
            <v>0</v>
          </cell>
          <cell r="N381">
            <v>0</v>
          </cell>
          <cell r="P381">
            <v>304</v>
          </cell>
          <cell r="R381">
            <v>3170.712681</v>
          </cell>
          <cell r="S381">
            <v>0</v>
          </cell>
          <cell r="T381">
            <v>0</v>
          </cell>
          <cell r="U381">
            <v>23</v>
          </cell>
          <cell r="V381">
            <v>11.621620999999999</v>
          </cell>
          <cell r="W381">
            <v>267.29728299999999</v>
          </cell>
          <cell r="X381">
            <v>2.4089800000000001</v>
          </cell>
          <cell r="Y381">
            <v>0</v>
          </cell>
          <cell r="Z381">
            <v>11.621620999999999</v>
          </cell>
          <cell r="AA381">
            <v>267.29728299999999</v>
          </cell>
        </row>
        <row r="382">
          <cell r="B382" t="str">
            <v>J-01-58</v>
          </cell>
          <cell r="C382" t="str">
            <v>CEFIXIMA .:. 400 mg</v>
          </cell>
          <cell r="D382" t="str">
            <v>Comprimido o Cápsula</v>
          </cell>
          <cell r="E382">
            <v>802</v>
          </cell>
          <cell r="F382">
            <v>2397.98</v>
          </cell>
          <cell r="H382">
            <v>1000</v>
          </cell>
          <cell r="J382">
            <v>1700</v>
          </cell>
          <cell r="M382">
            <v>0</v>
          </cell>
          <cell r="N382">
            <v>0</v>
          </cell>
          <cell r="P382">
            <v>1504</v>
          </cell>
          <cell r="R382">
            <v>3501.083877</v>
          </cell>
          <cell r="S382">
            <v>0</v>
          </cell>
          <cell r="T382">
            <v>0</v>
          </cell>
          <cell r="U382">
            <v>298</v>
          </cell>
          <cell r="V382">
            <v>2.0030060000000001</v>
          </cell>
          <cell r="W382">
            <v>596.89578800000004</v>
          </cell>
          <cell r="X382">
            <v>2.4089800000000001</v>
          </cell>
          <cell r="Y382">
            <v>0</v>
          </cell>
          <cell r="Z382">
            <v>2.0030060000000001</v>
          </cell>
          <cell r="AA382">
            <v>596.89578800000004</v>
          </cell>
        </row>
        <row r="383">
          <cell r="B383" t="str">
            <v>J-01-62</v>
          </cell>
          <cell r="C383" t="str">
            <v>AZITROMICINA .:. 200 mg/5 ml</v>
          </cell>
          <cell r="D383" t="str">
            <v>Suspensión</v>
          </cell>
          <cell r="E383">
            <v>16</v>
          </cell>
          <cell r="F383">
            <v>516.83000000000004</v>
          </cell>
          <cell r="H383">
            <v>20</v>
          </cell>
          <cell r="J383">
            <v>642.1</v>
          </cell>
          <cell r="M383">
            <v>0</v>
          </cell>
          <cell r="N383">
            <v>0</v>
          </cell>
          <cell r="P383">
            <v>36</v>
          </cell>
          <cell r="R383">
            <v>1158.93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2.4089800000000001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J-01-63</v>
          </cell>
          <cell r="C384" t="str">
            <v>CEFIXIMA .:. 100 mg/5 ml</v>
          </cell>
          <cell r="D384" t="str">
            <v>Suspensión</v>
          </cell>
          <cell r="E384">
            <v>13</v>
          </cell>
          <cell r="F384">
            <v>195</v>
          </cell>
          <cell r="H384">
            <v>30</v>
          </cell>
          <cell r="J384">
            <v>750</v>
          </cell>
          <cell r="M384">
            <v>0</v>
          </cell>
          <cell r="N384">
            <v>0</v>
          </cell>
          <cell r="P384">
            <v>35</v>
          </cell>
          <cell r="R384">
            <v>745</v>
          </cell>
          <cell r="S384">
            <v>0</v>
          </cell>
          <cell r="T384">
            <v>0</v>
          </cell>
          <cell r="U384">
            <v>8</v>
          </cell>
          <cell r="V384">
            <v>25</v>
          </cell>
          <cell r="W384">
            <v>200</v>
          </cell>
          <cell r="X384">
            <v>2.4089800000000001</v>
          </cell>
          <cell r="Y384">
            <v>0</v>
          </cell>
          <cell r="Z384">
            <v>25</v>
          </cell>
          <cell r="AA384">
            <v>200</v>
          </cell>
        </row>
        <row r="385">
          <cell r="B385" t="str">
            <v>J-01-64</v>
          </cell>
          <cell r="C385" t="str">
            <v>CLINDAMICINA .:. 600 mg</v>
          </cell>
          <cell r="D385" t="str">
            <v>Inyectable</v>
          </cell>
          <cell r="E385">
            <v>93</v>
          </cell>
          <cell r="F385">
            <v>1599.7100000001001</v>
          </cell>
          <cell r="H385">
            <v>60</v>
          </cell>
          <cell r="J385">
            <v>600</v>
          </cell>
          <cell r="M385">
            <v>31</v>
          </cell>
          <cell r="N385">
            <v>425.21891199999999</v>
          </cell>
          <cell r="P385">
            <v>184</v>
          </cell>
          <cell r="R385">
            <v>2624.9289010000002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2.4089800000000001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J-01-66</v>
          </cell>
          <cell r="C386" t="str">
            <v>LEVOFLOXACINA .:. 500 mg</v>
          </cell>
          <cell r="D386" t="str">
            <v>Comprimido</v>
          </cell>
          <cell r="E386">
            <v>267</v>
          </cell>
          <cell r="F386">
            <v>400.5</v>
          </cell>
          <cell r="H386">
            <v>1400</v>
          </cell>
          <cell r="J386">
            <v>1650</v>
          </cell>
          <cell r="M386">
            <v>9</v>
          </cell>
          <cell r="N386">
            <v>10.616697</v>
          </cell>
          <cell r="P386">
            <v>1175</v>
          </cell>
          <cell r="R386">
            <v>1465.5684120000001</v>
          </cell>
          <cell r="S386">
            <v>0</v>
          </cell>
          <cell r="T386">
            <v>0</v>
          </cell>
          <cell r="U386">
            <v>501</v>
          </cell>
          <cell r="V386">
            <v>1.1887179999999999</v>
          </cell>
          <cell r="W386">
            <v>595.54771800000003</v>
          </cell>
          <cell r="X386">
            <v>2.4089800000000001</v>
          </cell>
          <cell r="Y386">
            <v>0</v>
          </cell>
          <cell r="Z386">
            <v>1.1887179999999999</v>
          </cell>
          <cell r="AA386">
            <v>595.54771800000003</v>
          </cell>
        </row>
        <row r="387">
          <cell r="B387" t="str">
            <v>J-01-67</v>
          </cell>
          <cell r="C387" t="str">
            <v>COLISTINA .:. 100 mg</v>
          </cell>
          <cell r="D387" t="str">
            <v>Inyectable</v>
          </cell>
          <cell r="E387">
            <v>0</v>
          </cell>
          <cell r="F387">
            <v>0</v>
          </cell>
          <cell r="H387">
            <v>30</v>
          </cell>
          <cell r="J387">
            <v>2400</v>
          </cell>
          <cell r="M387">
            <v>0</v>
          </cell>
          <cell r="N387">
            <v>0</v>
          </cell>
          <cell r="P387">
            <v>28</v>
          </cell>
          <cell r="R387">
            <v>2240</v>
          </cell>
          <cell r="S387">
            <v>0</v>
          </cell>
          <cell r="T387">
            <v>0</v>
          </cell>
          <cell r="U387">
            <v>2</v>
          </cell>
          <cell r="V387">
            <v>80</v>
          </cell>
          <cell r="W387">
            <v>160</v>
          </cell>
          <cell r="X387">
            <v>2.4089800000000001</v>
          </cell>
          <cell r="Y387">
            <v>0</v>
          </cell>
          <cell r="Z387">
            <v>80</v>
          </cell>
          <cell r="AA387">
            <v>160</v>
          </cell>
        </row>
        <row r="388">
          <cell r="B388" t="str">
            <v>J-01-68</v>
          </cell>
          <cell r="C388" t="str">
            <v>LEVOFLOXACINA .:. 500mg</v>
          </cell>
          <cell r="D388" t="str">
            <v>Inyectable</v>
          </cell>
          <cell r="E388">
            <v>500</v>
          </cell>
          <cell r="F388">
            <v>20199.400000000001</v>
          </cell>
          <cell r="H388">
            <v>200</v>
          </cell>
          <cell r="J388">
            <v>9198</v>
          </cell>
          <cell r="M388">
            <v>4</v>
          </cell>
          <cell r="N388">
            <v>168.639228</v>
          </cell>
          <cell r="P388">
            <v>216</v>
          </cell>
          <cell r="R388">
            <v>8992.0529569999999</v>
          </cell>
          <cell r="S388">
            <v>0</v>
          </cell>
          <cell r="T388">
            <v>0</v>
          </cell>
          <cell r="U388">
            <v>488</v>
          </cell>
          <cell r="V388">
            <v>42.159807000000001</v>
          </cell>
          <cell r="W388">
            <v>20573.985816</v>
          </cell>
          <cell r="X388">
            <v>2.4089800000000001</v>
          </cell>
          <cell r="Y388">
            <v>0</v>
          </cell>
          <cell r="Z388">
            <v>42.159807000000001</v>
          </cell>
          <cell r="AA388">
            <v>20573.985816</v>
          </cell>
        </row>
        <row r="389">
          <cell r="B389" t="str">
            <v>J-01-69</v>
          </cell>
          <cell r="C389" t="str">
            <v>MEROPENEM .:. 500 mg</v>
          </cell>
          <cell r="D389" t="str">
            <v>Inyectable</v>
          </cell>
          <cell r="E389">
            <v>0</v>
          </cell>
          <cell r="F389">
            <v>0</v>
          </cell>
          <cell r="H389">
            <v>190</v>
          </cell>
          <cell r="J389">
            <v>10230</v>
          </cell>
          <cell r="M389">
            <v>0</v>
          </cell>
          <cell r="N389">
            <v>0</v>
          </cell>
          <cell r="P389">
            <v>143</v>
          </cell>
          <cell r="R389">
            <v>7786</v>
          </cell>
          <cell r="S389">
            <v>0</v>
          </cell>
          <cell r="T389">
            <v>0</v>
          </cell>
          <cell r="U389">
            <v>47</v>
          </cell>
          <cell r="V389">
            <v>52</v>
          </cell>
          <cell r="W389">
            <v>2444</v>
          </cell>
          <cell r="X389">
            <v>2.4089800000000001</v>
          </cell>
          <cell r="Y389">
            <v>0</v>
          </cell>
          <cell r="Z389">
            <v>52</v>
          </cell>
          <cell r="AA389">
            <v>2444</v>
          </cell>
        </row>
        <row r="390">
          <cell r="B390" t="str">
            <v>J-01-71</v>
          </cell>
          <cell r="C390" t="str">
            <v>AMOXICILINA + INHIBIDOR BETALACTAMASA .:. 875 mg + Según disponibilidad</v>
          </cell>
          <cell r="D390" t="str">
            <v>Comprimido</v>
          </cell>
          <cell r="E390">
            <v>1109</v>
          </cell>
          <cell r="F390">
            <v>5545</v>
          </cell>
          <cell r="H390">
            <v>3600</v>
          </cell>
          <cell r="J390">
            <v>15160</v>
          </cell>
          <cell r="M390">
            <v>0</v>
          </cell>
          <cell r="N390">
            <v>0</v>
          </cell>
          <cell r="P390">
            <v>4096</v>
          </cell>
          <cell r="R390">
            <v>18585.232764</v>
          </cell>
          <cell r="S390">
            <v>0</v>
          </cell>
          <cell r="T390">
            <v>0</v>
          </cell>
          <cell r="U390">
            <v>613</v>
          </cell>
          <cell r="V390">
            <v>3.458021</v>
          </cell>
          <cell r="W390">
            <v>2119.766873</v>
          </cell>
          <cell r="X390">
            <v>2.4089800000000001</v>
          </cell>
          <cell r="Y390">
            <v>0</v>
          </cell>
          <cell r="Z390">
            <v>3.458021</v>
          </cell>
          <cell r="AA390">
            <v>2119.766873</v>
          </cell>
        </row>
        <row r="391">
          <cell r="B391" t="str">
            <v>J-01-75</v>
          </cell>
          <cell r="C391" t="str">
            <v>PIPERACILINA + TAZOBACTAM .:. 4 G/500 MG</v>
          </cell>
          <cell r="D391" t="str">
            <v>Inyectable</v>
          </cell>
          <cell r="E391">
            <v>0</v>
          </cell>
          <cell r="F391">
            <v>0</v>
          </cell>
          <cell r="H391">
            <v>24</v>
          </cell>
          <cell r="J391">
            <v>2376</v>
          </cell>
          <cell r="M391">
            <v>0</v>
          </cell>
          <cell r="N391">
            <v>0</v>
          </cell>
          <cell r="P391">
            <v>24</v>
          </cell>
          <cell r="R391">
            <v>2376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2.4089800000000001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J-02-02</v>
          </cell>
          <cell r="C392" t="str">
            <v>FLUCONAZOL .:. 200 mg</v>
          </cell>
          <cell r="D392" t="str">
            <v>Inyectable</v>
          </cell>
          <cell r="E392">
            <v>12</v>
          </cell>
          <cell r="F392">
            <v>332.5100000004</v>
          </cell>
          <cell r="H392">
            <v>50</v>
          </cell>
          <cell r="J392">
            <v>1400</v>
          </cell>
          <cell r="M392">
            <v>1</v>
          </cell>
          <cell r="N392">
            <v>27.784752999999998</v>
          </cell>
          <cell r="P392">
            <v>61</v>
          </cell>
          <cell r="R392">
            <v>1704.303175</v>
          </cell>
          <cell r="S392">
            <v>0</v>
          </cell>
          <cell r="T392">
            <v>0</v>
          </cell>
          <cell r="U392">
            <v>2</v>
          </cell>
          <cell r="V392">
            <v>27.995778999999999</v>
          </cell>
          <cell r="W392">
            <v>55.991557999999998</v>
          </cell>
          <cell r="X392">
            <v>2.4089800000000001</v>
          </cell>
          <cell r="Y392">
            <v>0</v>
          </cell>
          <cell r="Z392">
            <v>27.995778999999999</v>
          </cell>
          <cell r="AA392">
            <v>55.991557999999998</v>
          </cell>
        </row>
        <row r="393">
          <cell r="B393" t="str">
            <v>J-02-08</v>
          </cell>
          <cell r="C393" t="str">
            <v>FLUCONAZOL .:. 150 mg</v>
          </cell>
          <cell r="D393" t="str">
            <v>Comprimido o Cápsula</v>
          </cell>
          <cell r="E393">
            <v>235</v>
          </cell>
          <cell r="F393">
            <v>289.90000000549998</v>
          </cell>
          <cell r="H393">
            <v>800</v>
          </cell>
          <cell r="J393">
            <v>1440</v>
          </cell>
          <cell r="M393">
            <v>0</v>
          </cell>
          <cell r="N393">
            <v>0</v>
          </cell>
          <cell r="P393">
            <v>641</v>
          </cell>
          <cell r="R393">
            <v>1027.724181</v>
          </cell>
          <cell r="S393">
            <v>0</v>
          </cell>
          <cell r="T393">
            <v>0</v>
          </cell>
          <cell r="U393">
            <v>394</v>
          </cell>
          <cell r="V393">
            <v>1.7821709999999999</v>
          </cell>
          <cell r="W393">
            <v>702.17537400000003</v>
          </cell>
          <cell r="X393">
            <v>2.4089800000000001</v>
          </cell>
          <cell r="Y393">
            <v>0</v>
          </cell>
          <cell r="Z393">
            <v>1.7821709999999999</v>
          </cell>
          <cell r="AA393">
            <v>702.17537400000003</v>
          </cell>
        </row>
        <row r="394">
          <cell r="B394" t="str">
            <v>J-05-04</v>
          </cell>
          <cell r="C394" t="str">
            <v>ACICLOVIR .:. 400 mg</v>
          </cell>
          <cell r="D394" t="str">
            <v>Comprimido</v>
          </cell>
          <cell r="E394">
            <v>296</v>
          </cell>
          <cell r="F394">
            <v>253.23999998799999</v>
          </cell>
          <cell r="H394">
            <v>2500</v>
          </cell>
          <cell r="J394">
            <v>2155</v>
          </cell>
          <cell r="M394">
            <v>0</v>
          </cell>
          <cell r="N394">
            <v>0</v>
          </cell>
          <cell r="P394">
            <v>1912</v>
          </cell>
          <cell r="R394">
            <v>1524.239994</v>
          </cell>
          <cell r="S394">
            <v>0</v>
          </cell>
          <cell r="T394">
            <v>0</v>
          </cell>
          <cell r="U394">
            <v>884</v>
          </cell>
          <cell r="V394">
            <v>1</v>
          </cell>
          <cell r="W394">
            <v>884</v>
          </cell>
          <cell r="X394">
            <v>2.4089800000000001</v>
          </cell>
          <cell r="Y394">
            <v>0</v>
          </cell>
          <cell r="Z394">
            <v>1</v>
          </cell>
          <cell r="AA394">
            <v>884</v>
          </cell>
        </row>
        <row r="395">
          <cell r="B395" t="str">
            <v>J-05-34</v>
          </cell>
          <cell r="C395" t="str">
            <v>LOPINAVIR + RITONAVIR .:. 200 mg + 50 mg</v>
          </cell>
          <cell r="D395" t="str">
            <v>Comprimido</v>
          </cell>
          <cell r="E395">
            <v>130</v>
          </cell>
          <cell r="F395">
            <v>2476.770000003</v>
          </cell>
          <cell r="H395">
            <v>0</v>
          </cell>
          <cell r="J395">
            <v>0</v>
          </cell>
          <cell r="M395">
            <v>0</v>
          </cell>
          <cell r="N395">
            <v>0</v>
          </cell>
          <cell r="P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130</v>
          </cell>
          <cell r="V395">
            <v>19.052076</v>
          </cell>
          <cell r="W395">
            <v>2476.7698799999998</v>
          </cell>
          <cell r="X395">
            <v>2.4089800000000001</v>
          </cell>
          <cell r="Y395">
            <v>0</v>
          </cell>
          <cell r="Z395">
            <v>19.052076</v>
          </cell>
          <cell r="AA395">
            <v>2476.7698799999998</v>
          </cell>
        </row>
        <row r="396">
          <cell r="B396" t="str">
            <v>J-05-36</v>
          </cell>
          <cell r="C396" t="str">
            <v>OSELTAMIVIR .:. 75 mg</v>
          </cell>
          <cell r="D396" t="str">
            <v>Cápsula</v>
          </cell>
          <cell r="E396">
            <v>162</v>
          </cell>
          <cell r="F396">
            <v>3861.9300000041999</v>
          </cell>
          <cell r="H396">
            <v>0</v>
          </cell>
          <cell r="J396">
            <v>0</v>
          </cell>
          <cell r="M396">
            <v>0</v>
          </cell>
          <cell r="N396">
            <v>0</v>
          </cell>
          <cell r="P396">
            <v>10</v>
          </cell>
          <cell r="R396">
            <v>238.39073999999999</v>
          </cell>
          <cell r="S396">
            <v>0</v>
          </cell>
          <cell r="T396">
            <v>0</v>
          </cell>
          <cell r="U396">
            <v>152</v>
          </cell>
          <cell r="V396">
            <v>23.839074</v>
          </cell>
          <cell r="W396">
            <v>3623.539248</v>
          </cell>
          <cell r="X396">
            <v>2.4089800000000001</v>
          </cell>
          <cell r="Y396">
            <v>0</v>
          </cell>
          <cell r="Z396">
            <v>23.839074</v>
          </cell>
          <cell r="AA396">
            <v>3623.539248</v>
          </cell>
        </row>
        <row r="397">
          <cell r="B397" t="str">
            <v>J-05-43</v>
          </cell>
          <cell r="C397" t="str">
            <v>ACICLOVIR .:. 800 mg</v>
          </cell>
          <cell r="D397" t="str">
            <v>Comprimido</v>
          </cell>
          <cell r="E397">
            <v>0</v>
          </cell>
          <cell r="F397">
            <v>0</v>
          </cell>
          <cell r="H397">
            <v>1100</v>
          </cell>
          <cell r="J397">
            <v>3280</v>
          </cell>
          <cell r="M397">
            <v>0</v>
          </cell>
          <cell r="N397">
            <v>0</v>
          </cell>
          <cell r="P397">
            <v>325</v>
          </cell>
          <cell r="R397">
            <v>1032.5</v>
          </cell>
          <cell r="S397">
            <v>0</v>
          </cell>
          <cell r="T397">
            <v>0</v>
          </cell>
          <cell r="U397">
            <v>775</v>
          </cell>
          <cell r="V397">
            <v>2.9</v>
          </cell>
          <cell r="W397">
            <v>2247.5</v>
          </cell>
          <cell r="X397">
            <v>2.4089800000000001</v>
          </cell>
          <cell r="Y397">
            <v>0</v>
          </cell>
          <cell r="Z397">
            <v>2.9</v>
          </cell>
          <cell r="AA397">
            <v>2247.5</v>
          </cell>
        </row>
        <row r="398">
          <cell r="B398" t="str">
            <v>J-06-02</v>
          </cell>
          <cell r="C398" t="str">
            <v>INMUNOGLOBULINA ANTI D (RH +) .:. 0,1 mg/ml o 0,2 mg/ml</v>
          </cell>
          <cell r="D398" t="str">
            <v>Inyectable</v>
          </cell>
          <cell r="E398">
            <v>0</v>
          </cell>
          <cell r="F398">
            <v>0</v>
          </cell>
          <cell r="H398">
            <v>1</v>
          </cell>
          <cell r="J398">
            <v>830.85</v>
          </cell>
          <cell r="M398">
            <v>0</v>
          </cell>
          <cell r="N398">
            <v>0</v>
          </cell>
          <cell r="P398">
            <v>1</v>
          </cell>
          <cell r="R398">
            <v>830.85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2.4089800000000001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L-01-03</v>
          </cell>
          <cell r="C399" t="str">
            <v>CAPECITABINE .:. 500 mg</v>
          </cell>
          <cell r="D399" t="str">
            <v>Comprimido</v>
          </cell>
          <cell r="E399">
            <v>0</v>
          </cell>
          <cell r="F399">
            <v>0</v>
          </cell>
          <cell r="H399">
            <v>340</v>
          </cell>
          <cell r="J399">
            <v>5744</v>
          </cell>
          <cell r="M399">
            <v>0</v>
          </cell>
          <cell r="N399">
            <v>0</v>
          </cell>
          <cell r="P399">
            <v>340</v>
          </cell>
          <cell r="R399">
            <v>5744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2.4089800000000001</v>
          </cell>
          <cell r="Y399">
            <v>0</v>
          </cell>
          <cell r="Z399">
            <v>0</v>
          </cell>
          <cell r="AA399">
            <v>0</v>
          </cell>
        </row>
        <row r="400">
          <cell r="B400" t="str">
            <v>L-01-04</v>
          </cell>
          <cell r="C400" t="str">
            <v>CARBOPLATINO .:. 450 mg</v>
          </cell>
          <cell r="D400" t="str">
            <v>Inyectable</v>
          </cell>
          <cell r="E400">
            <v>0</v>
          </cell>
          <cell r="F400">
            <v>0</v>
          </cell>
          <cell r="H400">
            <v>20</v>
          </cell>
          <cell r="J400">
            <v>8000</v>
          </cell>
          <cell r="M400">
            <v>0</v>
          </cell>
          <cell r="N400">
            <v>0</v>
          </cell>
          <cell r="P400">
            <v>20</v>
          </cell>
          <cell r="R400">
            <v>8000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2.4089800000000001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L-01-06</v>
          </cell>
          <cell r="C401" t="str">
            <v>CICLOFOSFAMIDA .:. 1 g</v>
          </cell>
          <cell r="D401" t="str">
            <v>Inyectable</v>
          </cell>
          <cell r="E401">
            <v>0</v>
          </cell>
          <cell r="F401">
            <v>0</v>
          </cell>
          <cell r="H401">
            <v>2</v>
          </cell>
          <cell r="J401">
            <v>432</v>
          </cell>
          <cell r="M401">
            <v>0</v>
          </cell>
          <cell r="N401">
            <v>0</v>
          </cell>
          <cell r="P401">
            <v>2</v>
          </cell>
          <cell r="R401">
            <v>432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2.4089800000000001</v>
          </cell>
          <cell r="Y401">
            <v>0</v>
          </cell>
          <cell r="Z401">
            <v>0</v>
          </cell>
          <cell r="AA401">
            <v>0</v>
          </cell>
        </row>
        <row r="402">
          <cell r="B402" t="str">
            <v>L-01-17</v>
          </cell>
          <cell r="C402" t="str">
            <v>FLUOROURACILO .:. 500 mg/10 ml</v>
          </cell>
          <cell r="D402" t="str">
            <v>Inyectable</v>
          </cell>
          <cell r="E402">
            <v>0</v>
          </cell>
          <cell r="F402">
            <v>0</v>
          </cell>
          <cell r="H402">
            <v>77</v>
          </cell>
          <cell r="J402">
            <v>3179</v>
          </cell>
          <cell r="M402">
            <v>0</v>
          </cell>
          <cell r="N402">
            <v>0</v>
          </cell>
          <cell r="P402">
            <v>77</v>
          </cell>
          <cell r="R402">
            <v>3179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2.4089800000000001</v>
          </cell>
          <cell r="Y402">
            <v>0</v>
          </cell>
          <cell r="Z402">
            <v>0</v>
          </cell>
          <cell r="AA402">
            <v>0</v>
          </cell>
        </row>
        <row r="403">
          <cell r="B403" t="str">
            <v>L-01-18</v>
          </cell>
          <cell r="C403" t="str">
            <v>GEMCITABINA .:. 1 g</v>
          </cell>
          <cell r="D403" t="str">
            <v>Inyectable</v>
          </cell>
          <cell r="E403">
            <v>0</v>
          </cell>
          <cell r="F403">
            <v>0</v>
          </cell>
          <cell r="H403">
            <v>16</v>
          </cell>
          <cell r="J403">
            <v>11984</v>
          </cell>
          <cell r="M403">
            <v>0</v>
          </cell>
          <cell r="N403">
            <v>0</v>
          </cell>
          <cell r="P403">
            <v>16</v>
          </cell>
          <cell r="R403">
            <v>11984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2.4089800000000001</v>
          </cell>
          <cell r="Y403">
            <v>0</v>
          </cell>
          <cell r="Z403">
            <v>0</v>
          </cell>
          <cell r="AA403">
            <v>0</v>
          </cell>
        </row>
        <row r="404">
          <cell r="B404" t="str">
            <v>L-01-21</v>
          </cell>
          <cell r="C404" t="str">
            <v>ASPARAGINASA .:. 10.000 UI</v>
          </cell>
          <cell r="D404" t="str">
            <v>Inyectable</v>
          </cell>
          <cell r="E404">
            <v>0</v>
          </cell>
          <cell r="F404">
            <v>0</v>
          </cell>
          <cell r="H404">
            <v>8</v>
          </cell>
          <cell r="J404">
            <v>11840</v>
          </cell>
          <cell r="M404">
            <v>0</v>
          </cell>
          <cell r="N404">
            <v>0</v>
          </cell>
          <cell r="P404">
            <v>8</v>
          </cell>
          <cell r="R404">
            <v>11840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2.4089800000000001</v>
          </cell>
          <cell r="Y404">
            <v>0</v>
          </cell>
          <cell r="Z404">
            <v>0</v>
          </cell>
          <cell r="AA404">
            <v>0</v>
          </cell>
        </row>
        <row r="405">
          <cell r="B405" t="str">
            <v>L-01-24</v>
          </cell>
          <cell r="C405" t="str">
            <v>METOTREXATO .:. 50 mg</v>
          </cell>
          <cell r="D405" t="str">
            <v>Inyectable</v>
          </cell>
          <cell r="E405">
            <v>29</v>
          </cell>
          <cell r="F405">
            <v>1663.1600000004</v>
          </cell>
          <cell r="H405">
            <v>50</v>
          </cell>
          <cell r="J405">
            <v>2749.5</v>
          </cell>
          <cell r="M405">
            <v>0</v>
          </cell>
          <cell r="N405">
            <v>0</v>
          </cell>
          <cell r="P405">
            <v>45</v>
          </cell>
          <cell r="R405">
            <v>2520.901695</v>
          </cell>
          <cell r="S405">
            <v>0</v>
          </cell>
          <cell r="T405">
            <v>0</v>
          </cell>
          <cell r="U405">
            <v>34</v>
          </cell>
          <cell r="V405">
            <v>55.639949999999999</v>
          </cell>
          <cell r="W405">
            <v>1891.7583</v>
          </cell>
          <cell r="X405">
            <v>2.4089800000000001</v>
          </cell>
          <cell r="Y405">
            <v>0</v>
          </cell>
          <cell r="Z405">
            <v>55.639949999999999</v>
          </cell>
          <cell r="AA405">
            <v>1891.7583</v>
          </cell>
        </row>
        <row r="406">
          <cell r="B406" t="str">
            <v>L-01-26</v>
          </cell>
          <cell r="C406" t="str">
            <v>METOTREXATO .:. 2,5 mg</v>
          </cell>
          <cell r="D406" t="str">
            <v>Comprimido</v>
          </cell>
          <cell r="E406">
            <v>939</v>
          </cell>
          <cell r="F406">
            <v>2159.0300000249999</v>
          </cell>
          <cell r="H406">
            <v>2000</v>
          </cell>
          <cell r="J406">
            <v>3900</v>
          </cell>
          <cell r="M406">
            <v>0</v>
          </cell>
          <cell r="N406">
            <v>0</v>
          </cell>
          <cell r="P406">
            <v>2695</v>
          </cell>
          <cell r="R406">
            <v>5594.5964949999998</v>
          </cell>
          <cell r="S406">
            <v>0</v>
          </cell>
          <cell r="T406">
            <v>0</v>
          </cell>
          <cell r="U406">
            <v>244</v>
          </cell>
          <cell r="V406">
            <v>1.9034150000000001</v>
          </cell>
          <cell r="W406">
            <v>464.43326000000002</v>
          </cell>
          <cell r="X406">
            <v>2.4089800000000001</v>
          </cell>
          <cell r="Y406">
            <v>0</v>
          </cell>
          <cell r="Z406">
            <v>1.9034150000000001</v>
          </cell>
          <cell r="AA406">
            <v>464.43326000000002</v>
          </cell>
        </row>
        <row r="407">
          <cell r="B407" t="str">
            <v>L-01-28</v>
          </cell>
          <cell r="C407" t="str">
            <v>PACLITAXEL .:. 30 mg/5 ml</v>
          </cell>
          <cell r="D407" t="str">
            <v>Inyectable</v>
          </cell>
          <cell r="E407">
            <v>0</v>
          </cell>
          <cell r="F407">
            <v>0</v>
          </cell>
          <cell r="H407">
            <v>26</v>
          </cell>
          <cell r="J407">
            <v>3640</v>
          </cell>
          <cell r="M407">
            <v>0</v>
          </cell>
          <cell r="N407">
            <v>0</v>
          </cell>
          <cell r="P407">
            <v>26</v>
          </cell>
          <cell r="R407">
            <v>3640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2.4089800000000001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L-01-30</v>
          </cell>
          <cell r="C408" t="str">
            <v>VINCRISTINA .:. 1 mg/ml</v>
          </cell>
          <cell r="D408" t="str">
            <v>Inyectable</v>
          </cell>
          <cell r="E408">
            <v>0</v>
          </cell>
          <cell r="F408">
            <v>0</v>
          </cell>
          <cell r="H408">
            <v>8</v>
          </cell>
          <cell r="J408">
            <v>511.2</v>
          </cell>
          <cell r="M408">
            <v>0</v>
          </cell>
          <cell r="N408">
            <v>0</v>
          </cell>
          <cell r="P408">
            <v>8</v>
          </cell>
          <cell r="R408">
            <v>511.2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2.4089800000000001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L-01-34</v>
          </cell>
          <cell r="C409" t="str">
            <v>OXALIPLATINO .:. 50 mg</v>
          </cell>
          <cell r="D409" t="str">
            <v>Inyectable</v>
          </cell>
          <cell r="E409">
            <v>0</v>
          </cell>
          <cell r="F409">
            <v>0</v>
          </cell>
          <cell r="H409">
            <v>3</v>
          </cell>
          <cell r="J409">
            <v>615</v>
          </cell>
          <cell r="M409">
            <v>0</v>
          </cell>
          <cell r="N409">
            <v>0</v>
          </cell>
          <cell r="P409">
            <v>3</v>
          </cell>
          <cell r="R409">
            <v>615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2.4089800000000001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L-01-35</v>
          </cell>
          <cell r="C410" t="str">
            <v>OXALIPLATINO .:. 100 mg</v>
          </cell>
          <cell r="D410" t="str">
            <v>Inyectable</v>
          </cell>
          <cell r="E410">
            <v>0</v>
          </cell>
          <cell r="F410">
            <v>0</v>
          </cell>
          <cell r="H410">
            <v>12</v>
          </cell>
          <cell r="J410">
            <v>3600.88</v>
          </cell>
          <cell r="M410">
            <v>0</v>
          </cell>
          <cell r="N410">
            <v>0</v>
          </cell>
          <cell r="P410">
            <v>12</v>
          </cell>
          <cell r="R410">
            <v>3600.88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2.4089800000000001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L-01-36</v>
          </cell>
          <cell r="C411" t="str">
            <v>BEVACIZUMAB .:. 25 mg/ML</v>
          </cell>
          <cell r="D411" t="str">
            <v>Inyectable</v>
          </cell>
          <cell r="E411">
            <v>0</v>
          </cell>
          <cell r="F411">
            <v>0</v>
          </cell>
          <cell r="H411">
            <v>20</v>
          </cell>
          <cell r="J411">
            <v>24960</v>
          </cell>
          <cell r="M411">
            <v>0</v>
          </cell>
          <cell r="N411">
            <v>0</v>
          </cell>
          <cell r="P411">
            <v>20</v>
          </cell>
          <cell r="R411">
            <v>24960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2.4089800000000001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L-01-38</v>
          </cell>
          <cell r="C412" t="str">
            <v>DOCETAXEL .:. 40 mg/ml  (2ml)</v>
          </cell>
          <cell r="D412" t="str">
            <v>Inyectable</v>
          </cell>
          <cell r="E412">
            <v>0</v>
          </cell>
          <cell r="F412">
            <v>0</v>
          </cell>
          <cell r="H412">
            <v>28</v>
          </cell>
          <cell r="J412">
            <v>20880</v>
          </cell>
          <cell r="M412">
            <v>0</v>
          </cell>
          <cell r="N412">
            <v>0</v>
          </cell>
          <cell r="P412">
            <v>28</v>
          </cell>
          <cell r="R412">
            <v>20880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2.4089800000000001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L-01-48</v>
          </cell>
          <cell r="C413" t="str">
            <v>DOXORRUBICINA LIPOSOMAL PEGILADA .:. 20mg/10ml</v>
          </cell>
          <cell r="D413" t="str">
            <v>Inyectable</v>
          </cell>
          <cell r="E413">
            <v>0</v>
          </cell>
          <cell r="F413">
            <v>0</v>
          </cell>
          <cell r="H413">
            <v>18</v>
          </cell>
          <cell r="J413">
            <v>25200</v>
          </cell>
          <cell r="M413">
            <v>0</v>
          </cell>
          <cell r="N413">
            <v>0</v>
          </cell>
          <cell r="P413">
            <v>18</v>
          </cell>
          <cell r="R413">
            <v>25200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2.4089800000000001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L-01-52</v>
          </cell>
          <cell r="C414" t="str">
            <v>TEMOZOLOMIDA .:. 100 mg</v>
          </cell>
          <cell r="D414" t="str">
            <v>Cápsula</v>
          </cell>
          <cell r="E414">
            <v>0</v>
          </cell>
          <cell r="F414">
            <v>0</v>
          </cell>
          <cell r="H414">
            <v>40</v>
          </cell>
          <cell r="J414">
            <v>7984</v>
          </cell>
          <cell r="M414">
            <v>0</v>
          </cell>
          <cell r="N414">
            <v>0</v>
          </cell>
          <cell r="P414">
            <v>40</v>
          </cell>
          <cell r="R414">
            <v>7984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2.4089800000000001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L-01-60</v>
          </cell>
          <cell r="C415" t="str">
            <v>PACLITAXEL .:. 300 MG/50 ML</v>
          </cell>
          <cell r="D415" t="str">
            <v>Inyectable</v>
          </cell>
          <cell r="E415">
            <v>0</v>
          </cell>
          <cell r="F415">
            <v>0</v>
          </cell>
          <cell r="H415">
            <v>4</v>
          </cell>
          <cell r="J415">
            <v>2484</v>
          </cell>
          <cell r="M415">
            <v>0</v>
          </cell>
          <cell r="N415">
            <v>0</v>
          </cell>
          <cell r="P415">
            <v>4</v>
          </cell>
          <cell r="R415">
            <v>2484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2.4089800000000001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L-02-01</v>
          </cell>
          <cell r="C416" t="str">
            <v>ANASTROZOL .:. 1 mg</v>
          </cell>
          <cell r="D416" t="str">
            <v>Comprimido</v>
          </cell>
          <cell r="E416">
            <v>160</v>
          </cell>
          <cell r="F416">
            <v>1072</v>
          </cell>
          <cell r="H416">
            <v>160</v>
          </cell>
          <cell r="J416">
            <v>1072</v>
          </cell>
          <cell r="M416">
            <v>0</v>
          </cell>
          <cell r="N416">
            <v>0</v>
          </cell>
          <cell r="P416">
            <v>320</v>
          </cell>
          <cell r="R416">
            <v>2144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2.4089800000000001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L-02-03</v>
          </cell>
          <cell r="C417" t="str">
            <v>FLUTAMIDA .:. 250 mg</v>
          </cell>
          <cell r="D417" t="str">
            <v>Comprimido</v>
          </cell>
          <cell r="E417">
            <v>725</v>
          </cell>
          <cell r="F417">
            <v>2175</v>
          </cell>
          <cell r="H417">
            <v>800</v>
          </cell>
          <cell r="J417">
            <v>2400</v>
          </cell>
          <cell r="M417">
            <v>0</v>
          </cell>
          <cell r="N417">
            <v>0</v>
          </cell>
          <cell r="P417">
            <v>1350</v>
          </cell>
          <cell r="R417">
            <v>4050</v>
          </cell>
          <cell r="S417">
            <v>0</v>
          </cell>
          <cell r="T417">
            <v>0</v>
          </cell>
          <cell r="U417">
            <v>175</v>
          </cell>
          <cell r="V417">
            <v>3</v>
          </cell>
          <cell r="W417">
            <v>525</v>
          </cell>
          <cell r="X417">
            <v>2.4089800000000001</v>
          </cell>
          <cell r="Y417">
            <v>0</v>
          </cell>
          <cell r="Z417">
            <v>3</v>
          </cell>
          <cell r="AA417">
            <v>525</v>
          </cell>
        </row>
        <row r="418">
          <cell r="B418" t="str">
            <v>L-02-04</v>
          </cell>
          <cell r="C418" t="str">
            <v>LETROZOL .:. 2,5 mg</v>
          </cell>
          <cell r="D418" t="str">
            <v>Comprimido</v>
          </cell>
          <cell r="E418">
            <v>0</v>
          </cell>
          <cell r="F418">
            <v>0</v>
          </cell>
          <cell r="H418">
            <v>90</v>
          </cell>
          <cell r="J418">
            <v>574.20000000000005</v>
          </cell>
          <cell r="M418">
            <v>0</v>
          </cell>
          <cell r="N418">
            <v>0</v>
          </cell>
          <cell r="P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90</v>
          </cell>
          <cell r="V418">
            <v>6.38</v>
          </cell>
          <cell r="W418">
            <v>574.20000000000005</v>
          </cell>
          <cell r="X418">
            <v>2.4089800000000001</v>
          </cell>
          <cell r="Y418">
            <v>0</v>
          </cell>
          <cell r="Z418">
            <v>6.38</v>
          </cell>
          <cell r="AA418">
            <v>574.20000000000005</v>
          </cell>
        </row>
        <row r="419">
          <cell r="B419" t="str">
            <v>L-02-05</v>
          </cell>
          <cell r="C419" t="str">
            <v>TAMOXIFENO .:. 20 mg</v>
          </cell>
          <cell r="D419" t="str">
            <v>Comprimido</v>
          </cell>
          <cell r="E419">
            <v>310</v>
          </cell>
          <cell r="F419">
            <v>620</v>
          </cell>
          <cell r="H419">
            <v>900</v>
          </cell>
          <cell r="J419">
            <v>1800</v>
          </cell>
          <cell r="M419">
            <v>0</v>
          </cell>
          <cell r="N419">
            <v>0</v>
          </cell>
          <cell r="P419">
            <v>480</v>
          </cell>
          <cell r="R419">
            <v>960</v>
          </cell>
          <cell r="S419">
            <v>0</v>
          </cell>
          <cell r="T419">
            <v>0</v>
          </cell>
          <cell r="U419">
            <v>730</v>
          </cell>
          <cell r="V419">
            <v>2</v>
          </cell>
          <cell r="W419">
            <v>1460</v>
          </cell>
          <cell r="X419">
            <v>2.4089800000000001</v>
          </cell>
          <cell r="Y419">
            <v>0</v>
          </cell>
          <cell r="Z419">
            <v>2</v>
          </cell>
          <cell r="AA419">
            <v>1460</v>
          </cell>
        </row>
        <row r="420">
          <cell r="B420" t="str">
            <v>L-02-07</v>
          </cell>
          <cell r="C420" t="str">
            <v>TRIPTORELINA .:. 11,25 mg</v>
          </cell>
          <cell r="D420" t="str">
            <v>Inyectable</v>
          </cell>
          <cell r="E420">
            <v>0</v>
          </cell>
          <cell r="F420">
            <v>0</v>
          </cell>
          <cell r="H420">
            <v>3</v>
          </cell>
          <cell r="J420">
            <v>14100</v>
          </cell>
          <cell r="M420">
            <v>0</v>
          </cell>
          <cell r="N420">
            <v>0</v>
          </cell>
          <cell r="P420">
            <v>3</v>
          </cell>
          <cell r="R420">
            <v>14100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2.4089800000000001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L-02-08</v>
          </cell>
          <cell r="C421" t="str">
            <v>TRIPTORELINA .:. 22.5 mg</v>
          </cell>
          <cell r="D421" t="str">
            <v>Inyectable</v>
          </cell>
          <cell r="E421">
            <v>0</v>
          </cell>
          <cell r="F421">
            <v>0</v>
          </cell>
          <cell r="H421">
            <v>4</v>
          </cell>
          <cell r="J421">
            <v>36125.199999999997</v>
          </cell>
          <cell r="M421">
            <v>0</v>
          </cell>
          <cell r="N421">
            <v>0</v>
          </cell>
          <cell r="P421">
            <v>4</v>
          </cell>
          <cell r="R421">
            <v>36125.199999999997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2.4089800000000001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L-02-11</v>
          </cell>
          <cell r="C422" t="str">
            <v>ENZALUTAMIDA .:. 40 mg</v>
          </cell>
          <cell r="D422" t="str">
            <v>Cápsula</v>
          </cell>
          <cell r="E422">
            <v>0</v>
          </cell>
          <cell r="F422">
            <v>0</v>
          </cell>
          <cell r="H422">
            <v>1680</v>
          </cell>
          <cell r="J422">
            <v>258933.6</v>
          </cell>
          <cell r="M422">
            <v>0</v>
          </cell>
          <cell r="N422">
            <v>0</v>
          </cell>
          <cell r="P422">
            <v>1680</v>
          </cell>
          <cell r="R422">
            <v>258933.6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2.4089800000000001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L-03-01</v>
          </cell>
          <cell r="C423" t="str">
            <v>FILGASTRIM .:. 300 mcg/ml</v>
          </cell>
          <cell r="D423" t="str">
            <v>Inyectable</v>
          </cell>
          <cell r="E423">
            <v>0</v>
          </cell>
          <cell r="F423">
            <v>0</v>
          </cell>
          <cell r="H423">
            <v>18</v>
          </cell>
          <cell r="J423">
            <v>2350</v>
          </cell>
          <cell r="M423">
            <v>0</v>
          </cell>
          <cell r="N423">
            <v>0</v>
          </cell>
          <cell r="P423">
            <v>11</v>
          </cell>
          <cell r="R423">
            <v>1629</v>
          </cell>
          <cell r="S423">
            <v>0</v>
          </cell>
          <cell r="T423">
            <v>0</v>
          </cell>
          <cell r="U423">
            <v>7</v>
          </cell>
          <cell r="V423">
            <v>103</v>
          </cell>
          <cell r="W423">
            <v>721</v>
          </cell>
          <cell r="X423">
            <v>2.4089800000000001</v>
          </cell>
          <cell r="Y423">
            <v>0</v>
          </cell>
          <cell r="Z423">
            <v>103</v>
          </cell>
          <cell r="AA423">
            <v>721</v>
          </cell>
        </row>
        <row r="424">
          <cell r="B424" t="str">
            <v>L-04-01</v>
          </cell>
          <cell r="C424" t="str">
            <v>AZATIOPRINA .:. 50 mg</v>
          </cell>
          <cell r="D424" t="str">
            <v>Comprimido</v>
          </cell>
          <cell r="E424">
            <v>200</v>
          </cell>
          <cell r="F424">
            <v>448.83</v>
          </cell>
          <cell r="H424">
            <v>1400</v>
          </cell>
          <cell r="J424">
            <v>3760</v>
          </cell>
          <cell r="M424">
            <v>0</v>
          </cell>
          <cell r="N424">
            <v>0</v>
          </cell>
          <cell r="P424">
            <v>1345</v>
          </cell>
          <cell r="R424">
            <v>3469.1353979999999</v>
          </cell>
          <cell r="S424">
            <v>0</v>
          </cell>
          <cell r="T424">
            <v>0</v>
          </cell>
          <cell r="U424">
            <v>255</v>
          </cell>
          <cell r="V424">
            <v>2.900763</v>
          </cell>
          <cell r="W424">
            <v>739.69456500000001</v>
          </cell>
          <cell r="X424">
            <v>2.4089800000000001</v>
          </cell>
          <cell r="Y424">
            <v>0</v>
          </cell>
          <cell r="Z424">
            <v>2.900763</v>
          </cell>
          <cell r="AA424">
            <v>739.69456500000001</v>
          </cell>
        </row>
        <row r="425">
          <cell r="B425" t="str">
            <v>L-04-07</v>
          </cell>
          <cell r="C425" t="str">
            <v>MICOFENOLATO DE MOFETILO .:. 500 mg</v>
          </cell>
          <cell r="D425" t="str">
            <v>Comprimido</v>
          </cell>
          <cell r="E425">
            <v>540</v>
          </cell>
          <cell r="F425">
            <v>2160</v>
          </cell>
          <cell r="H425">
            <v>2400</v>
          </cell>
          <cell r="J425">
            <v>8100</v>
          </cell>
          <cell r="M425">
            <v>0</v>
          </cell>
          <cell r="N425">
            <v>0</v>
          </cell>
          <cell r="P425">
            <v>2896</v>
          </cell>
          <cell r="R425">
            <v>10117.846129</v>
          </cell>
          <cell r="S425">
            <v>0</v>
          </cell>
          <cell r="T425">
            <v>0</v>
          </cell>
          <cell r="U425">
            <v>44</v>
          </cell>
          <cell r="V425">
            <v>3.230769</v>
          </cell>
          <cell r="W425">
            <v>142.15383600000001</v>
          </cell>
          <cell r="X425">
            <v>2.4089800000000001</v>
          </cell>
          <cell r="Y425">
            <v>0</v>
          </cell>
          <cell r="Z425">
            <v>3.230769</v>
          </cell>
          <cell r="AA425">
            <v>142.15383600000001</v>
          </cell>
        </row>
        <row r="426">
          <cell r="B426" t="str">
            <v>L-04-10</v>
          </cell>
          <cell r="C426" t="str">
            <v>TACROLIMUS .:. 1 mg</v>
          </cell>
          <cell r="D426" t="str">
            <v>Cápsula</v>
          </cell>
          <cell r="E426">
            <v>150</v>
          </cell>
          <cell r="F426">
            <v>1260</v>
          </cell>
          <cell r="H426">
            <v>1010</v>
          </cell>
          <cell r="J426">
            <v>8564</v>
          </cell>
          <cell r="M426">
            <v>90</v>
          </cell>
          <cell r="N426">
            <v>742.59567000000004</v>
          </cell>
          <cell r="P426">
            <v>1230</v>
          </cell>
          <cell r="R426">
            <v>10401.57439</v>
          </cell>
          <cell r="S426">
            <v>0</v>
          </cell>
          <cell r="T426">
            <v>0</v>
          </cell>
          <cell r="U426">
            <v>20</v>
          </cell>
          <cell r="V426">
            <v>8.2510630000000003</v>
          </cell>
          <cell r="W426">
            <v>165.02126000000001</v>
          </cell>
          <cell r="X426">
            <v>2.4089800000000001</v>
          </cell>
          <cell r="Y426">
            <v>0</v>
          </cell>
          <cell r="Z426">
            <v>8.2510630000000003</v>
          </cell>
          <cell r="AA426">
            <v>165.02126000000001</v>
          </cell>
        </row>
        <row r="427">
          <cell r="B427" t="str">
            <v>L-04-12</v>
          </cell>
          <cell r="C427" t="str">
            <v>LEFLUNOMIDA .:. 20 mg</v>
          </cell>
          <cell r="D427" t="str">
            <v>Comprimido</v>
          </cell>
          <cell r="E427">
            <v>170</v>
          </cell>
          <cell r="F427">
            <v>850</v>
          </cell>
          <cell r="H427">
            <v>1200</v>
          </cell>
          <cell r="J427">
            <v>3780</v>
          </cell>
          <cell r="M427">
            <v>0</v>
          </cell>
          <cell r="N427">
            <v>0</v>
          </cell>
          <cell r="P427">
            <v>1305</v>
          </cell>
          <cell r="R427">
            <v>4425.25</v>
          </cell>
          <cell r="S427">
            <v>0</v>
          </cell>
          <cell r="T427">
            <v>0</v>
          </cell>
          <cell r="U427">
            <v>65</v>
          </cell>
          <cell r="V427">
            <v>3.15</v>
          </cell>
          <cell r="W427">
            <v>204.75</v>
          </cell>
          <cell r="X427">
            <v>2.4089800000000001</v>
          </cell>
          <cell r="Y427">
            <v>0</v>
          </cell>
          <cell r="Z427">
            <v>3.15</v>
          </cell>
          <cell r="AA427">
            <v>204.75</v>
          </cell>
        </row>
        <row r="428">
          <cell r="B428" t="str">
            <v>M-01-01</v>
          </cell>
          <cell r="C428" t="str">
            <v>DICLOFENACO SODICO .:. 0.01</v>
          </cell>
          <cell r="D428" t="str">
            <v>Pomada o Gel</v>
          </cell>
          <cell r="E428">
            <v>1043</v>
          </cell>
          <cell r="F428">
            <v>4098.9199999937</v>
          </cell>
          <cell r="H428">
            <v>2100</v>
          </cell>
          <cell r="J428">
            <v>22440</v>
          </cell>
          <cell r="M428">
            <v>0</v>
          </cell>
          <cell r="N428">
            <v>0</v>
          </cell>
          <cell r="P428">
            <v>2402</v>
          </cell>
          <cell r="R428">
            <v>18789.446145999998</v>
          </cell>
          <cell r="S428">
            <v>0</v>
          </cell>
          <cell r="T428">
            <v>0</v>
          </cell>
          <cell r="U428">
            <v>741</v>
          </cell>
          <cell r="V428">
            <v>10.458128</v>
          </cell>
          <cell r="W428">
            <v>7749.4728480000003</v>
          </cell>
          <cell r="X428">
            <v>2.4089800000000001</v>
          </cell>
          <cell r="Y428">
            <v>0</v>
          </cell>
          <cell r="Z428">
            <v>10.458128</v>
          </cell>
          <cell r="AA428">
            <v>7749.4728480000003</v>
          </cell>
        </row>
        <row r="429">
          <cell r="B429" t="str">
            <v>M-01-02</v>
          </cell>
          <cell r="C429" t="str">
            <v>DICLOFENACO SODICO .:. 50 mg</v>
          </cell>
          <cell r="D429" t="str">
            <v>Comprimido</v>
          </cell>
          <cell r="E429">
            <v>3275</v>
          </cell>
          <cell r="F429">
            <v>346.61999987249999</v>
          </cell>
          <cell r="H429">
            <v>9000</v>
          </cell>
          <cell r="J429">
            <v>1260</v>
          </cell>
          <cell r="M429">
            <v>0</v>
          </cell>
          <cell r="N429">
            <v>0</v>
          </cell>
          <cell r="P429">
            <v>10896</v>
          </cell>
          <cell r="R429">
            <v>1415.778973</v>
          </cell>
          <cell r="S429">
            <v>0</v>
          </cell>
          <cell r="T429">
            <v>0</v>
          </cell>
          <cell r="U429">
            <v>1379</v>
          </cell>
          <cell r="V429">
            <v>0.13839000000000001</v>
          </cell>
          <cell r="W429">
            <v>190.83981</v>
          </cell>
          <cell r="X429">
            <v>2.4089800000000001</v>
          </cell>
          <cell r="Y429">
            <v>0</v>
          </cell>
          <cell r="Z429">
            <v>0.13839000000000001</v>
          </cell>
          <cell r="AA429">
            <v>190.83981</v>
          </cell>
        </row>
        <row r="430">
          <cell r="B430" t="str">
            <v>M-01-03</v>
          </cell>
          <cell r="C430" t="str">
            <v>DICLOFENACO SODICO .:. 75 mg</v>
          </cell>
          <cell r="D430" t="str">
            <v>Inyectable</v>
          </cell>
          <cell r="E430">
            <v>1968</v>
          </cell>
          <cell r="F430">
            <v>1822.4900000591999</v>
          </cell>
          <cell r="H430">
            <v>3000</v>
          </cell>
          <cell r="J430">
            <v>3000</v>
          </cell>
          <cell r="M430">
            <v>4</v>
          </cell>
          <cell r="N430">
            <v>3.8230520000000001</v>
          </cell>
          <cell r="P430">
            <v>4119</v>
          </cell>
          <cell r="R430">
            <v>3985.7094520000001</v>
          </cell>
          <cell r="S430">
            <v>0</v>
          </cell>
          <cell r="T430">
            <v>0</v>
          </cell>
          <cell r="U430">
            <v>853</v>
          </cell>
          <cell r="V430">
            <v>0.98546500000000004</v>
          </cell>
          <cell r="W430">
            <v>840.60164499999996</v>
          </cell>
          <cell r="X430">
            <v>2.4089800000000001</v>
          </cell>
          <cell r="Y430">
            <v>0</v>
          </cell>
          <cell r="Z430">
            <v>0.98546500000000004</v>
          </cell>
          <cell r="AA430">
            <v>840.60164499999996</v>
          </cell>
        </row>
        <row r="431">
          <cell r="B431" t="str">
            <v>M-01-04</v>
          </cell>
          <cell r="C431" t="str">
            <v>IBUPROFENO .:. 100 mg/5 ml</v>
          </cell>
          <cell r="D431" t="str">
            <v>Suspensión</v>
          </cell>
          <cell r="E431">
            <v>92</v>
          </cell>
          <cell r="F431">
            <v>632.7899999988</v>
          </cell>
          <cell r="H431">
            <v>790</v>
          </cell>
          <cell r="J431">
            <v>5324</v>
          </cell>
          <cell r="M431">
            <v>0</v>
          </cell>
          <cell r="N431">
            <v>0</v>
          </cell>
          <cell r="P431">
            <v>729</v>
          </cell>
          <cell r="R431">
            <v>4902.6198670000003</v>
          </cell>
          <cell r="S431">
            <v>0</v>
          </cell>
          <cell r="T431">
            <v>0</v>
          </cell>
          <cell r="U431">
            <v>153</v>
          </cell>
          <cell r="V431">
            <v>6.89</v>
          </cell>
          <cell r="W431">
            <v>1054.17</v>
          </cell>
          <cell r="X431">
            <v>2.4089800000000001</v>
          </cell>
          <cell r="Y431">
            <v>0</v>
          </cell>
          <cell r="Z431">
            <v>6.89</v>
          </cell>
          <cell r="AA431">
            <v>1054.17</v>
          </cell>
        </row>
        <row r="432">
          <cell r="B432" t="str">
            <v>M-01-05</v>
          </cell>
          <cell r="C432" t="str">
            <v>IBUPROFENO .:. 400 mg</v>
          </cell>
          <cell r="D432" t="str">
            <v>Comprimido</v>
          </cell>
          <cell r="E432">
            <v>16600</v>
          </cell>
          <cell r="F432">
            <v>3018.1700003400001</v>
          </cell>
          <cell r="H432">
            <v>33000</v>
          </cell>
          <cell r="J432">
            <v>7750</v>
          </cell>
          <cell r="M432">
            <v>30</v>
          </cell>
          <cell r="N432">
            <v>7.2146699999999999</v>
          </cell>
          <cell r="P432">
            <v>38256</v>
          </cell>
          <cell r="R432">
            <v>8360.2418859999998</v>
          </cell>
          <cell r="S432">
            <v>0</v>
          </cell>
          <cell r="T432">
            <v>0</v>
          </cell>
          <cell r="U432">
            <v>11374</v>
          </cell>
          <cell r="V432">
            <v>0.212338</v>
          </cell>
          <cell r="W432">
            <v>2415.1324119999999</v>
          </cell>
          <cell r="X432">
            <v>2.4089800000000001</v>
          </cell>
          <cell r="Y432">
            <v>0</v>
          </cell>
          <cell r="Z432">
            <v>0.212338</v>
          </cell>
          <cell r="AA432">
            <v>2415.1324119999999</v>
          </cell>
        </row>
        <row r="433">
          <cell r="B433" t="str">
            <v>M-01-06</v>
          </cell>
          <cell r="C433" t="str">
            <v>INDOMETACINA .:. 25 mg</v>
          </cell>
          <cell r="D433" t="str">
            <v>Cápsula o Comprimido</v>
          </cell>
          <cell r="E433">
            <v>646</v>
          </cell>
          <cell r="F433">
            <v>161.5</v>
          </cell>
          <cell r="H433">
            <v>1000</v>
          </cell>
          <cell r="J433">
            <v>200</v>
          </cell>
          <cell r="M433">
            <v>0</v>
          </cell>
          <cell r="N433">
            <v>0</v>
          </cell>
          <cell r="P433">
            <v>643</v>
          </cell>
          <cell r="R433">
            <v>160.75</v>
          </cell>
          <cell r="S433">
            <v>0</v>
          </cell>
          <cell r="T433">
            <v>0</v>
          </cell>
          <cell r="U433">
            <v>1003</v>
          </cell>
          <cell r="V433">
            <v>0.20014899999999999</v>
          </cell>
          <cell r="W433">
            <v>200.749447</v>
          </cell>
          <cell r="X433">
            <v>2.4089800000000001</v>
          </cell>
          <cell r="Y433">
            <v>0</v>
          </cell>
          <cell r="Z433">
            <v>0.20014899999999999</v>
          </cell>
          <cell r="AA433">
            <v>200.749447</v>
          </cell>
        </row>
        <row r="434">
          <cell r="B434" t="str">
            <v>M-01-07</v>
          </cell>
          <cell r="C434" t="str">
            <v>INDOMETACINA .:. 100 mg</v>
          </cell>
          <cell r="D434" t="str">
            <v>Supositorio</v>
          </cell>
          <cell r="E434">
            <v>799</v>
          </cell>
          <cell r="F434">
            <v>1320.9500000124001</v>
          </cell>
          <cell r="H434">
            <v>1500</v>
          </cell>
          <cell r="J434">
            <v>2505</v>
          </cell>
          <cell r="M434">
            <v>0</v>
          </cell>
          <cell r="N434">
            <v>0</v>
          </cell>
          <cell r="P434">
            <v>1423</v>
          </cell>
          <cell r="R434">
            <v>2364.339234</v>
          </cell>
          <cell r="S434">
            <v>0</v>
          </cell>
          <cell r="T434">
            <v>0</v>
          </cell>
          <cell r="U434">
            <v>876</v>
          </cell>
          <cell r="V434">
            <v>1.6685049999999999</v>
          </cell>
          <cell r="W434">
            <v>1461.6103800000001</v>
          </cell>
          <cell r="X434">
            <v>2.4089800000000001</v>
          </cell>
          <cell r="Y434">
            <v>0</v>
          </cell>
          <cell r="Z434">
            <v>1.6685049999999999</v>
          </cell>
          <cell r="AA434">
            <v>1461.6103800000001</v>
          </cell>
        </row>
        <row r="435">
          <cell r="B435" t="str">
            <v>M-01-09</v>
          </cell>
          <cell r="C435" t="str">
            <v>KETOROLACO .:. 30 mg/ml</v>
          </cell>
          <cell r="D435" t="str">
            <v>Inyectable</v>
          </cell>
          <cell r="E435">
            <v>1162</v>
          </cell>
          <cell r="F435">
            <v>2617.5599999934002</v>
          </cell>
          <cell r="H435">
            <v>3200</v>
          </cell>
          <cell r="J435">
            <v>6720</v>
          </cell>
          <cell r="M435">
            <v>83</v>
          </cell>
          <cell r="N435">
            <v>179.79443900000001</v>
          </cell>
          <cell r="P435">
            <v>3997</v>
          </cell>
          <cell r="R435">
            <v>8572.2908270000007</v>
          </cell>
          <cell r="S435">
            <v>0</v>
          </cell>
          <cell r="T435">
            <v>0</v>
          </cell>
          <cell r="U435">
            <v>448</v>
          </cell>
          <cell r="V435">
            <v>2.109515</v>
          </cell>
          <cell r="W435">
            <v>945.06272000000001</v>
          </cell>
          <cell r="X435">
            <v>2.4089800000000001</v>
          </cell>
          <cell r="Y435">
            <v>0</v>
          </cell>
          <cell r="Z435">
            <v>2.109515</v>
          </cell>
          <cell r="AA435">
            <v>945.06272000000001</v>
          </cell>
        </row>
        <row r="436">
          <cell r="B436" t="str">
            <v>M-01-10</v>
          </cell>
          <cell r="C436" t="str">
            <v>KETOPROFENO .:. 100 mg</v>
          </cell>
          <cell r="D436" t="str">
            <v>Inyectable</v>
          </cell>
          <cell r="E436">
            <v>25</v>
          </cell>
          <cell r="F436">
            <v>250</v>
          </cell>
          <cell r="H436">
            <v>450</v>
          </cell>
          <cell r="J436">
            <v>3490</v>
          </cell>
          <cell r="M436">
            <v>21</v>
          </cell>
          <cell r="N436">
            <v>167.111796</v>
          </cell>
          <cell r="P436">
            <v>361</v>
          </cell>
          <cell r="R436">
            <v>2908.1117610000001</v>
          </cell>
          <cell r="S436">
            <v>0</v>
          </cell>
          <cell r="T436">
            <v>0</v>
          </cell>
          <cell r="U436">
            <v>135</v>
          </cell>
          <cell r="V436">
            <v>7.4</v>
          </cell>
          <cell r="W436">
            <v>999</v>
          </cell>
          <cell r="X436">
            <v>2.4089800000000001</v>
          </cell>
          <cell r="Y436">
            <v>0</v>
          </cell>
          <cell r="Z436">
            <v>7.4</v>
          </cell>
          <cell r="AA436">
            <v>999</v>
          </cell>
        </row>
        <row r="437">
          <cell r="B437" t="str">
            <v>M-01-11</v>
          </cell>
          <cell r="C437" t="str">
            <v>MELOXICAM .:. 15 mg</v>
          </cell>
          <cell r="D437" t="str">
            <v>Comprimido</v>
          </cell>
          <cell r="E437">
            <v>1951</v>
          </cell>
          <cell r="F437">
            <v>2441.2500000842001</v>
          </cell>
          <cell r="H437">
            <v>8000</v>
          </cell>
          <cell r="J437">
            <v>4000</v>
          </cell>
          <cell r="M437">
            <v>0</v>
          </cell>
          <cell r="N437">
            <v>0</v>
          </cell>
          <cell r="P437">
            <v>7813</v>
          </cell>
          <cell r="R437">
            <v>5372.2498679999999</v>
          </cell>
          <cell r="S437">
            <v>0</v>
          </cell>
          <cell r="T437">
            <v>0</v>
          </cell>
          <cell r="U437">
            <v>2138</v>
          </cell>
          <cell r="V437">
            <v>0.5</v>
          </cell>
          <cell r="W437">
            <v>1069</v>
          </cell>
          <cell r="X437">
            <v>2.4089800000000001</v>
          </cell>
          <cell r="Y437">
            <v>0</v>
          </cell>
          <cell r="Z437">
            <v>0.5</v>
          </cell>
          <cell r="AA437">
            <v>1069</v>
          </cell>
        </row>
        <row r="438">
          <cell r="B438" t="str">
            <v>M-03-01</v>
          </cell>
          <cell r="C438" t="str">
            <v>ATRACURIO BESILATO .:. 10 mg/ml</v>
          </cell>
          <cell r="D438" t="str">
            <v>Inyectable</v>
          </cell>
          <cell r="E438">
            <v>413</v>
          </cell>
          <cell r="F438">
            <v>11564</v>
          </cell>
          <cell r="H438">
            <v>0</v>
          </cell>
          <cell r="J438">
            <v>0</v>
          </cell>
          <cell r="M438">
            <v>50</v>
          </cell>
          <cell r="N438">
            <v>1400</v>
          </cell>
          <cell r="P438">
            <v>312</v>
          </cell>
          <cell r="R438">
            <v>8736</v>
          </cell>
          <cell r="S438">
            <v>0</v>
          </cell>
          <cell r="T438">
            <v>0</v>
          </cell>
          <cell r="U438">
            <v>151</v>
          </cell>
          <cell r="V438">
            <v>28</v>
          </cell>
          <cell r="W438">
            <v>4228</v>
          </cell>
          <cell r="X438">
            <v>2.4089800000000001</v>
          </cell>
          <cell r="Y438">
            <v>0</v>
          </cell>
          <cell r="Z438">
            <v>28</v>
          </cell>
          <cell r="AA438">
            <v>4228</v>
          </cell>
        </row>
        <row r="439">
          <cell r="B439" t="str">
            <v>M-04-01</v>
          </cell>
          <cell r="C439" t="str">
            <v>ALOPURINOL .:. 300 mg</v>
          </cell>
          <cell r="D439" t="str">
            <v>Comprimido</v>
          </cell>
          <cell r="E439">
            <v>2338</v>
          </cell>
          <cell r="F439">
            <v>1167.8499999907999</v>
          </cell>
          <cell r="H439">
            <v>4500</v>
          </cell>
          <cell r="J439">
            <v>2205</v>
          </cell>
          <cell r="M439">
            <v>0</v>
          </cell>
          <cell r="N439">
            <v>0</v>
          </cell>
          <cell r="P439">
            <v>5537</v>
          </cell>
          <cell r="R439">
            <v>2734.5699049999998</v>
          </cell>
          <cell r="S439">
            <v>0</v>
          </cell>
          <cell r="T439">
            <v>0</v>
          </cell>
          <cell r="U439">
            <v>1301</v>
          </cell>
          <cell r="V439">
            <v>0.49060700000000002</v>
          </cell>
          <cell r="W439">
            <v>638.27970700000003</v>
          </cell>
          <cell r="X439">
            <v>2.4089800000000001</v>
          </cell>
          <cell r="Y439">
            <v>0</v>
          </cell>
          <cell r="Z439">
            <v>0.49060700000000002</v>
          </cell>
          <cell r="AA439">
            <v>638.27970700000003</v>
          </cell>
        </row>
        <row r="440">
          <cell r="B440" t="str">
            <v>M-04-02</v>
          </cell>
          <cell r="C440" t="str">
            <v>COLCHICINA .:. 0,5 mg</v>
          </cell>
          <cell r="D440" t="str">
            <v>Comprimido</v>
          </cell>
          <cell r="E440">
            <v>768</v>
          </cell>
          <cell r="F440">
            <v>691.2</v>
          </cell>
          <cell r="H440">
            <v>500</v>
          </cell>
          <cell r="J440">
            <v>400</v>
          </cell>
          <cell r="M440">
            <v>12</v>
          </cell>
          <cell r="N440">
            <v>10.8</v>
          </cell>
          <cell r="P440">
            <v>773</v>
          </cell>
          <cell r="R440">
            <v>682.17480899999998</v>
          </cell>
          <cell r="S440">
            <v>0</v>
          </cell>
          <cell r="T440">
            <v>0</v>
          </cell>
          <cell r="U440">
            <v>507</v>
          </cell>
          <cell r="V440">
            <v>0.82805700000000004</v>
          </cell>
          <cell r="W440">
            <v>419.82489900000002</v>
          </cell>
          <cell r="X440">
            <v>2.4089800000000001</v>
          </cell>
          <cell r="Y440">
            <v>0</v>
          </cell>
          <cell r="Z440">
            <v>0.82805700000000004</v>
          </cell>
          <cell r="AA440">
            <v>419.82489900000002</v>
          </cell>
        </row>
        <row r="441">
          <cell r="B441" t="str">
            <v>M-05-03</v>
          </cell>
          <cell r="C441" t="str">
            <v>ACIDO ALENDRONICO (ALENDRONATO) .:. 70 mg</v>
          </cell>
          <cell r="D441" t="str">
            <v>Comprimido</v>
          </cell>
          <cell r="E441">
            <v>347</v>
          </cell>
          <cell r="F441">
            <v>1340.3199999853</v>
          </cell>
          <cell r="H441">
            <v>1200</v>
          </cell>
          <cell r="J441">
            <v>2400</v>
          </cell>
          <cell r="M441">
            <v>0</v>
          </cell>
          <cell r="N441">
            <v>0</v>
          </cell>
          <cell r="P441">
            <v>1479</v>
          </cell>
          <cell r="R441">
            <v>3604.3199610000001</v>
          </cell>
          <cell r="S441">
            <v>0</v>
          </cell>
          <cell r="T441">
            <v>0</v>
          </cell>
          <cell r="U441">
            <v>68</v>
          </cell>
          <cell r="V441">
            <v>2</v>
          </cell>
          <cell r="W441">
            <v>136</v>
          </cell>
          <cell r="X441">
            <v>2.4089800000000001</v>
          </cell>
          <cell r="Y441">
            <v>0</v>
          </cell>
          <cell r="Z441">
            <v>2</v>
          </cell>
          <cell r="AA441">
            <v>136</v>
          </cell>
        </row>
        <row r="442">
          <cell r="B442" t="str">
            <v>M-05-04</v>
          </cell>
          <cell r="C442" t="str">
            <v>ACIDO ZOLEDRONICO .:. 4mg</v>
          </cell>
          <cell r="D442" t="str">
            <v>Inyectable</v>
          </cell>
          <cell r="E442">
            <v>3</v>
          </cell>
          <cell r="F442">
            <v>1200</v>
          </cell>
          <cell r="H442">
            <v>20</v>
          </cell>
          <cell r="J442">
            <v>8012.8</v>
          </cell>
          <cell r="M442">
            <v>0</v>
          </cell>
          <cell r="N442">
            <v>0</v>
          </cell>
          <cell r="P442">
            <v>18</v>
          </cell>
          <cell r="R442">
            <v>7202.1333329999998</v>
          </cell>
          <cell r="S442">
            <v>0</v>
          </cell>
          <cell r="T442">
            <v>0</v>
          </cell>
          <cell r="U442">
            <v>5</v>
          </cell>
          <cell r="V442">
            <v>402.13333299999999</v>
          </cell>
          <cell r="W442">
            <v>2010.666665</v>
          </cell>
          <cell r="X442">
            <v>2.4089800000000001</v>
          </cell>
          <cell r="Y442">
            <v>0</v>
          </cell>
          <cell r="Z442">
            <v>402.13333299999999</v>
          </cell>
          <cell r="AA442">
            <v>2010.666665</v>
          </cell>
        </row>
        <row r="443">
          <cell r="B443" t="str">
            <v>N-01-02</v>
          </cell>
          <cell r="C443" t="str">
            <v>BUPIVACAINA CLORHIDRATO (PESADA) .:. 0,5%</v>
          </cell>
          <cell r="D443" t="str">
            <v>Inyectable</v>
          </cell>
          <cell r="E443">
            <v>29</v>
          </cell>
          <cell r="F443">
            <v>345.1</v>
          </cell>
          <cell r="H443">
            <v>130</v>
          </cell>
          <cell r="J443">
            <v>1477</v>
          </cell>
          <cell r="M443">
            <v>0</v>
          </cell>
          <cell r="N443">
            <v>0</v>
          </cell>
          <cell r="P443">
            <v>110</v>
          </cell>
          <cell r="R443">
            <v>1269.0876599999999</v>
          </cell>
          <cell r="S443">
            <v>0</v>
          </cell>
          <cell r="T443">
            <v>0</v>
          </cell>
          <cell r="U443">
            <v>49</v>
          </cell>
          <cell r="V443">
            <v>11.285964</v>
          </cell>
          <cell r="W443">
            <v>553.01223600000003</v>
          </cell>
          <cell r="X443">
            <v>2.4089800000000001</v>
          </cell>
          <cell r="Y443">
            <v>0</v>
          </cell>
          <cell r="Z443">
            <v>11.285964</v>
          </cell>
          <cell r="AA443">
            <v>553.01223600000003</v>
          </cell>
        </row>
        <row r="444">
          <cell r="B444" t="str">
            <v>N-01-05</v>
          </cell>
          <cell r="C444" t="str">
            <v>FENTANILO CON CONSERVANTE (10 ML) .:. 0,05 mg/ml</v>
          </cell>
          <cell r="D444" t="str">
            <v>Inyectable</v>
          </cell>
          <cell r="E444">
            <v>20</v>
          </cell>
          <cell r="F444">
            <v>650.27</v>
          </cell>
          <cell r="H444">
            <v>500</v>
          </cell>
          <cell r="J444">
            <v>17156</v>
          </cell>
          <cell r="M444">
            <v>12</v>
          </cell>
          <cell r="N444">
            <v>395.49845800000003</v>
          </cell>
          <cell r="P444">
            <v>249</v>
          </cell>
          <cell r="R444">
            <v>8673.5084889999998</v>
          </cell>
          <cell r="S444">
            <v>0</v>
          </cell>
          <cell r="T444">
            <v>0</v>
          </cell>
          <cell r="U444">
            <v>283</v>
          </cell>
          <cell r="V444">
            <v>33.668762000000001</v>
          </cell>
          <cell r="W444">
            <v>9528.2596460000004</v>
          </cell>
          <cell r="X444">
            <v>2.4089800000000001</v>
          </cell>
          <cell r="Y444">
            <v>0</v>
          </cell>
          <cell r="Z444">
            <v>33.668762000000001</v>
          </cell>
          <cell r="AA444">
            <v>9528.2596460000004</v>
          </cell>
        </row>
        <row r="445">
          <cell r="B445" t="str">
            <v>N-01-09</v>
          </cell>
          <cell r="C445" t="str">
            <v>LIDOCAINA CLORHIDRATO .:. 0.02</v>
          </cell>
          <cell r="D445" t="str">
            <v>Caja x 50</v>
          </cell>
          <cell r="E445">
            <v>0</v>
          </cell>
          <cell r="F445">
            <v>0</v>
          </cell>
          <cell r="H445">
            <v>1</v>
          </cell>
          <cell r="J445">
            <v>175</v>
          </cell>
          <cell r="M445">
            <v>0</v>
          </cell>
          <cell r="N445">
            <v>0</v>
          </cell>
          <cell r="P445">
            <v>1</v>
          </cell>
          <cell r="R445">
            <v>175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2.4089800000000001</v>
          </cell>
          <cell r="Y445">
            <v>0</v>
          </cell>
          <cell r="Z445">
            <v>0</v>
          </cell>
          <cell r="AA445">
            <v>0</v>
          </cell>
        </row>
        <row r="446">
          <cell r="B446" t="str">
            <v>N-01-11</v>
          </cell>
          <cell r="C446" t="str">
            <v>LIDOCAINA CLORHIDRATO + EPINEFRINA .:. 2% 1 : 200.000</v>
          </cell>
          <cell r="D446" t="str">
            <v>Cartucho dental</v>
          </cell>
          <cell r="E446">
            <v>0</v>
          </cell>
          <cell r="F446">
            <v>0</v>
          </cell>
          <cell r="H446">
            <v>506</v>
          </cell>
          <cell r="J446">
            <v>2384</v>
          </cell>
          <cell r="M446">
            <v>0</v>
          </cell>
          <cell r="N446">
            <v>0</v>
          </cell>
          <cell r="P446">
            <v>506</v>
          </cell>
          <cell r="R446">
            <v>2384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2.4089800000000001</v>
          </cell>
          <cell r="Y446">
            <v>0</v>
          </cell>
          <cell r="Z446">
            <v>0</v>
          </cell>
          <cell r="AA446">
            <v>0</v>
          </cell>
        </row>
        <row r="447">
          <cell r="B447" t="str">
            <v>N-01-12</v>
          </cell>
          <cell r="C447" t="str">
            <v>LIDOCAINA CLORHIDRATO SIN CONSERVANTE .:. 0.02</v>
          </cell>
          <cell r="D447" t="str">
            <v>Inyectable</v>
          </cell>
          <cell r="E447">
            <v>41</v>
          </cell>
          <cell r="F447">
            <v>426.86999999860001</v>
          </cell>
          <cell r="H447">
            <v>230</v>
          </cell>
          <cell r="J447">
            <v>1880</v>
          </cell>
          <cell r="M447">
            <v>0</v>
          </cell>
          <cell r="N447">
            <v>0</v>
          </cell>
          <cell r="P447">
            <v>225</v>
          </cell>
          <cell r="R447">
            <v>1915.8699340000001</v>
          </cell>
          <cell r="S447">
            <v>0</v>
          </cell>
          <cell r="T447">
            <v>0</v>
          </cell>
          <cell r="U447">
            <v>46</v>
          </cell>
          <cell r="V447">
            <v>8.5</v>
          </cell>
          <cell r="W447">
            <v>391</v>
          </cell>
          <cell r="X447">
            <v>2.4089800000000001</v>
          </cell>
          <cell r="Y447">
            <v>0</v>
          </cell>
          <cell r="Z447">
            <v>8.5</v>
          </cell>
          <cell r="AA447">
            <v>391</v>
          </cell>
        </row>
        <row r="448">
          <cell r="B448" t="str">
            <v>N-01-13</v>
          </cell>
          <cell r="C448" t="str">
            <v>PROPOFOL .:. 10 mg/ml</v>
          </cell>
          <cell r="D448" t="str">
            <v>Inyectable</v>
          </cell>
          <cell r="E448">
            <v>165</v>
          </cell>
          <cell r="F448">
            <v>5346.2199999944996</v>
          </cell>
          <cell r="H448">
            <v>280</v>
          </cell>
          <cell r="J448">
            <v>6518.7</v>
          </cell>
          <cell r="M448">
            <v>3</v>
          </cell>
          <cell r="N448">
            <v>97.203998999999996</v>
          </cell>
          <cell r="P448">
            <v>381</v>
          </cell>
          <cell r="R448">
            <v>10689.793946</v>
          </cell>
          <cell r="S448">
            <v>0</v>
          </cell>
          <cell r="T448">
            <v>0</v>
          </cell>
          <cell r="U448">
            <v>67</v>
          </cell>
          <cell r="V448">
            <v>18.989999999999998</v>
          </cell>
          <cell r="W448">
            <v>1272.33</v>
          </cell>
          <cell r="X448">
            <v>2.4089800000000001</v>
          </cell>
          <cell r="Y448">
            <v>0</v>
          </cell>
          <cell r="Z448">
            <v>18.989999999999998</v>
          </cell>
          <cell r="AA448">
            <v>1272.33</v>
          </cell>
        </row>
        <row r="449">
          <cell r="B449" t="str">
            <v>N-01-15</v>
          </cell>
          <cell r="C449" t="str">
            <v>TIOPENTAL SODICO .:. 1 g</v>
          </cell>
          <cell r="D449" t="str">
            <v>Inyectable</v>
          </cell>
          <cell r="E449">
            <v>54</v>
          </cell>
          <cell r="F449">
            <v>1350</v>
          </cell>
          <cell r="H449">
            <v>0</v>
          </cell>
          <cell r="J449">
            <v>0</v>
          </cell>
          <cell r="M449">
            <v>54</v>
          </cell>
          <cell r="N449">
            <v>1350</v>
          </cell>
          <cell r="P449">
            <v>0</v>
          </cell>
          <cell r="R449">
            <v>0</v>
          </cell>
          <cell r="S449">
            <v>54</v>
          </cell>
          <cell r="T449">
            <v>1350</v>
          </cell>
          <cell r="U449">
            <v>54</v>
          </cell>
          <cell r="V449">
            <v>25</v>
          </cell>
          <cell r="W449">
            <v>1350</v>
          </cell>
          <cell r="X449">
            <v>2.4089800000000001</v>
          </cell>
          <cell r="Y449">
            <v>0</v>
          </cell>
          <cell r="Z449">
            <v>25</v>
          </cell>
          <cell r="AA449">
            <v>1350</v>
          </cell>
        </row>
        <row r="450">
          <cell r="B450" t="str">
            <v>N-01-16</v>
          </cell>
          <cell r="C450" t="str">
            <v>REMIFENTANILO .:. 5 mg</v>
          </cell>
          <cell r="D450" t="str">
            <v>Inyectable</v>
          </cell>
          <cell r="E450">
            <v>0</v>
          </cell>
          <cell r="F450">
            <v>0</v>
          </cell>
          <cell r="H450">
            <v>20</v>
          </cell>
          <cell r="J450">
            <v>2500</v>
          </cell>
          <cell r="M450">
            <v>0</v>
          </cell>
          <cell r="N450">
            <v>0</v>
          </cell>
          <cell r="P450">
            <v>19</v>
          </cell>
          <cell r="R450">
            <v>2375</v>
          </cell>
          <cell r="S450">
            <v>0</v>
          </cell>
          <cell r="T450">
            <v>0</v>
          </cell>
          <cell r="U450">
            <v>1</v>
          </cell>
          <cell r="V450">
            <v>125</v>
          </cell>
          <cell r="W450">
            <v>125</v>
          </cell>
          <cell r="X450">
            <v>2.4089800000000001</v>
          </cell>
          <cell r="Y450">
            <v>0</v>
          </cell>
          <cell r="Z450">
            <v>125</v>
          </cell>
          <cell r="AA450">
            <v>125</v>
          </cell>
        </row>
        <row r="451">
          <cell r="B451" t="str">
            <v>N-02-03</v>
          </cell>
          <cell r="C451" t="str">
            <v>ERGOTAMINA TARTRATO + CAFEINA .:. 1 mg + 100 mg</v>
          </cell>
          <cell r="D451" t="str">
            <v>Comprimido</v>
          </cell>
          <cell r="E451">
            <v>571</v>
          </cell>
          <cell r="F451">
            <v>945.96000001239997</v>
          </cell>
          <cell r="H451">
            <v>1500</v>
          </cell>
          <cell r="J451">
            <v>2250</v>
          </cell>
          <cell r="M451">
            <v>0</v>
          </cell>
          <cell r="N451">
            <v>0</v>
          </cell>
          <cell r="P451">
            <v>2071</v>
          </cell>
          <cell r="R451">
            <v>3195.9599429999998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2.4089800000000001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N-02-05</v>
          </cell>
          <cell r="C452" t="str">
            <v>METAMIZOL (DIPIRONA) .:. 1 g</v>
          </cell>
          <cell r="D452" t="str">
            <v>Inyectable</v>
          </cell>
          <cell r="E452">
            <v>859</v>
          </cell>
          <cell r="F452">
            <v>852.50000000030002</v>
          </cell>
          <cell r="H452">
            <v>5500</v>
          </cell>
          <cell r="J452">
            <v>9080</v>
          </cell>
          <cell r="M452">
            <v>126</v>
          </cell>
          <cell r="N452">
            <v>185.72247999999999</v>
          </cell>
          <cell r="P452">
            <v>4621</v>
          </cell>
          <cell r="R452">
            <v>6768.755298</v>
          </cell>
          <cell r="S452">
            <v>0</v>
          </cell>
          <cell r="T452">
            <v>0</v>
          </cell>
          <cell r="U452">
            <v>1864</v>
          </cell>
          <cell r="V452">
            <v>1.796923</v>
          </cell>
          <cell r="W452">
            <v>3349.4644720000001</v>
          </cell>
          <cell r="X452">
            <v>2.4089800000000001</v>
          </cell>
          <cell r="Y452">
            <v>0</v>
          </cell>
          <cell r="Z452">
            <v>1.796923</v>
          </cell>
          <cell r="AA452">
            <v>3349.4644720000001</v>
          </cell>
        </row>
        <row r="453">
          <cell r="B453" t="str">
            <v>N-02-07</v>
          </cell>
          <cell r="C453" t="str">
            <v>MORFINA (CON Y SIN CONSERVANTE) .:. 10 mg/ml</v>
          </cell>
          <cell r="D453" t="str">
            <v>Inyectable</v>
          </cell>
          <cell r="E453">
            <v>140</v>
          </cell>
          <cell r="F453">
            <v>1680</v>
          </cell>
          <cell r="H453">
            <v>0</v>
          </cell>
          <cell r="J453">
            <v>0</v>
          </cell>
          <cell r="M453">
            <v>11</v>
          </cell>
          <cell r="N453">
            <v>132.00010499999999</v>
          </cell>
          <cell r="P453">
            <v>148</v>
          </cell>
          <cell r="R453">
            <v>1776.0000849999999</v>
          </cell>
          <cell r="S453">
            <v>0</v>
          </cell>
          <cell r="T453">
            <v>0</v>
          </cell>
          <cell r="U453">
            <v>3</v>
          </cell>
          <cell r="V453">
            <v>12</v>
          </cell>
          <cell r="W453">
            <v>36</v>
          </cell>
          <cell r="X453">
            <v>2.4089800000000001</v>
          </cell>
          <cell r="Y453">
            <v>0</v>
          </cell>
          <cell r="Z453">
            <v>12</v>
          </cell>
          <cell r="AA453">
            <v>36</v>
          </cell>
        </row>
        <row r="454">
          <cell r="B454" t="str">
            <v>N-02-08</v>
          </cell>
          <cell r="C454" t="str">
            <v>PARACETAMOL (ACETAMINOFENO) .:. 500 mg</v>
          </cell>
          <cell r="D454" t="str">
            <v>Comprimido</v>
          </cell>
          <cell r="E454">
            <v>6262</v>
          </cell>
          <cell r="F454">
            <v>589.2299998748</v>
          </cell>
          <cell r="H454">
            <v>15000</v>
          </cell>
          <cell r="J454">
            <v>1350</v>
          </cell>
          <cell r="M454">
            <v>10</v>
          </cell>
          <cell r="N454">
            <v>0.93886000000000003</v>
          </cell>
          <cell r="P454">
            <v>13768</v>
          </cell>
          <cell r="R454">
            <v>1260.9396670000001</v>
          </cell>
          <cell r="S454">
            <v>0</v>
          </cell>
          <cell r="T454">
            <v>0</v>
          </cell>
          <cell r="U454">
            <v>7504</v>
          </cell>
          <cell r="V454">
            <v>9.0514999999999998E-2</v>
          </cell>
          <cell r="W454">
            <v>679.22456</v>
          </cell>
          <cell r="X454">
            <v>2.4089800000000001</v>
          </cell>
          <cell r="Y454">
            <v>0</v>
          </cell>
          <cell r="Z454">
            <v>9.0514999999999998E-2</v>
          </cell>
          <cell r="AA454">
            <v>679.22456</v>
          </cell>
        </row>
        <row r="455">
          <cell r="B455" t="str">
            <v>N-02-09</v>
          </cell>
          <cell r="C455" t="str">
            <v>PARACETAMOL (ACETAMINOFENO) .:. 125 mg/5 ml o 120 mg/5 ml</v>
          </cell>
          <cell r="D455" t="str">
            <v>Jarabe</v>
          </cell>
          <cell r="E455">
            <v>127</v>
          </cell>
          <cell r="F455">
            <v>637.81000000610004</v>
          </cell>
          <cell r="H455">
            <v>50</v>
          </cell>
          <cell r="J455">
            <v>325</v>
          </cell>
          <cell r="M455">
            <v>0</v>
          </cell>
          <cell r="N455">
            <v>0</v>
          </cell>
          <cell r="P455">
            <v>127</v>
          </cell>
          <cell r="R455">
            <v>637.80988400000001</v>
          </cell>
          <cell r="S455">
            <v>0</v>
          </cell>
          <cell r="T455">
            <v>0</v>
          </cell>
          <cell r="U455">
            <v>50</v>
          </cell>
          <cell r="V455">
            <v>6.5</v>
          </cell>
          <cell r="W455">
            <v>325</v>
          </cell>
          <cell r="X455">
            <v>2.4089800000000001</v>
          </cell>
          <cell r="Y455">
            <v>0</v>
          </cell>
          <cell r="Z455">
            <v>6.5</v>
          </cell>
          <cell r="AA455">
            <v>325</v>
          </cell>
        </row>
        <row r="456">
          <cell r="B456" t="str">
            <v>N-02-10</v>
          </cell>
          <cell r="C456" t="str">
            <v>PARACETAMOL (ACETAMINOFENO) .:. 100 mg/ml</v>
          </cell>
          <cell r="D456" t="str">
            <v>Gotas</v>
          </cell>
          <cell r="E456">
            <v>0</v>
          </cell>
          <cell r="F456">
            <v>0</v>
          </cell>
          <cell r="H456">
            <v>80</v>
          </cell>
          <cell r="J456">
            <v>435</v>
          </cell>
          <cell r="M456">
            <v>0</v>
          </cell>
          <cell r="N456">
            <v>0</v>
          </cell>
          <cell r="P456">
            <v>47</v>
          </cell>
          <cell r="R456">
            <v>253.5</v>
          </cell>
          <cell r="S456">
            <v>0</v>
          </cell>
          <cell r="T456">
            <v>0</v>
          </cell>
          <cell r="U456">
            <v>33</v>
          </cell>
          <cell r="V456">
            <v>5.5</v>
          </cell>
          <cell r="W456">
            <v>181.5</v>
          </cell>
          <cell r="X456">
            <v>2.4089800000000001</v>
          </cell>
          <cell r="Y456">
            <v>0</v>
          </cell>
          <cell r="Z456">
            <v>5.5</v>
          </cell>
          <cell r="AA456">
            <v>181.5</v>
          </cell>
        </row>
        <row r="457">
          <cell r="B457" t="str">
            <v>N-02-11</v>
          </cell>
          <cell r="C457" t="str">
            <v>PARACETAMOL (ACETAMINOFENO) .:. 100 mg</v>
          </cell>
          <cell r="D457" t="str">
            <v>Supositorio</v>
          </cell>
          <cell r="E457">
            <v>70</v>
          </cell>
          <cell r="F457">
            <v>114.680000001</v>
          </cell>
          <cell r="H457">
            <v>0</v>
          </cell>
          <cell r="J457">
            <v>0</v>
          </cell>
          <cell r="M457">
            <v>18</v>
          </cell>
          <cell r="N457">
            <v>29.49</v>
          </cell>
          <cell r="P457">
            <v>26</v>
          </cell>
          <cell r="R457">
            <v>42.595655000000001</v>
          </cell>
          <cell r="S457">
            <v>18</v>
          </cell>
          <cell r="T457">
            <v>29.489142000000001</v>
          </cell>
          <cell r="U457">
            <v>44</v>
          </cell>
          <cell r="V457">
            <v>1.6383000000000001</v>
          </cell>
          <cell r="W457">
            <v>72.0852</v>
          </cell>
          <cell r="X457">
            <v>2.4089800000000001</v>
          </cell>
          <cell r="Y457">
            <v>0</v>
          </cell>
          <cell r="Z457">
            <v>1.6383000000000001</v>
          </cell>
          <cell r="AA457">
            <v>72.0852</v>
          </cell>
        </row>
        <row r="458">
          <cell r="B458" t="str">
            <v>N-02-14</v>
          </cell>
          <cell r="C458" t="str">
            <v>TRAMADOL .:. 100 mg/2 ml</v>
          </cell>
          <cell r="D458" t="str">
            <v>Inyectable</v>
          </cell>
          <cell r="E458">
            <v>123</v>
          </cell>
          <cell r="F458">
            <v>615.00999999839996</v>
          </cell>
          <cell r="H458">
            <v>700</v>
          </cell>
          <cell r="J458">
            <v>3493</v>
          </cell>
          <cell r="M458">
            <v>139</v>
          </cell>
          <cell r="N458">
            <v>694.83096799999998</v>
          </cell>
          <cell r="P458">
            <v>702</v>
          </cell>
          <cell r="R458">
            <v>3505.4409030000002</v>
          </cell>
          <cell r="S458">
            <v>0</v>
          </cell>
          <cell r="T458">
            <v>0</v>
          </cell>
          <cell r="U458">
            <v>260</v>
          </cell>
          <cell r="V458">
            <v>4.99</v>
          </cell>
          <cell r="W458">
            <v>1297.4000000000001</v>
          </cell>
          <cell r="X458">
            <v>2.4089800000000001</v>
          </cell>
          <cell r="Y458">
            <v>0</v>
          </cell>
          <cell r="Z458">
            <v>4.99</v>
          </cell>
          <cell r="AA458">
            <v>1297.4000000000001</v>
          </cell>
        </row>
        <row r="459">
          <cell r="B459" t="str">
            <v>N-02-15</v>
          </cell>
          <cell r="C459" t="str">
            <v>TRAMADOL .:. 50 mg</v>
          </cell>
          <cell r="D459" t="str">
            <v>Comprimido</v>
          </cell>
          <cell r="E459">
            <v>1300</v>
          </cell>
          <cell r="F459">
            <v>2460.4099999700002</v>
          </cell>
          <cell r="H459">
            <v>4500</v>
          </cell>
          <cell r="J459">
            <v>8100</v>
          </cell>
          <cell r="M459">
            <v>0</v>
          </cell>
          <cell r="N459">
            <v>0</v>
          </cell>
          <cell r="P459">
            <v>3748</v>
          </cell>
          <cell r="R459">
            <v>6864.379304</v>
          </cell>
          <cell r="S459">
            <v>0</v>
          </cell>
          <cell r="T459">
            <v>0</v>
          </cell>
          <cell r="U459">
            <v>2052</v>
          </cell>
          <cell r="V459">
            <v>1.8011839999999999</v>
          </cell>
          <cell r="W459">
            <v>3696.0295679999999</v>
          </cell>
          <cell r="X459">
            <v>2.4089800000000001</v>
          </cell>
          <cell r="Y459">
            <v>0</v>
          </cell>
          <cell r="Z459">
            <v>1.8011839999999999</v>
          </cell>
          <cell r="AA459">
            <v>3696.0295679999999</v>
          </cell>
        </row>
        <row r="460">
          <cell r="B460" t="str">
            <v>N-02-17</v>
          </cell>
          <cell r="C460" t="str">
            <v>TRAMADOL .:. 100 mg/ml</v>
          </cell>
          <cell r="D460" t="str">
            <v>Solución p/ gotas orales</v>
          </cell>
          <cell r="E460">
            <v>31</v>
          </cell>
          <cell r="F460">
            <v>1440.1900000005</v>
          </cell>
          <cell r="H460">
            <v>160</v>
          </cell>
          <cell r="J460">
            <v>9440</v>
          </cell>
          <cell r="M460">
            <v>0</v>
          </cell>
          <cell r="N460">
            <v>0</v>
          </cell>
          <cell r="P460">
            <v>143</v>
          </cell>
          <cell r="R460">
            <v>8648.9013520000008</v>
          </cell>
          <cell r="S460">
            <v>0</v>
          </cell>
          <cell r="T460">
            <v>0</v>
          </cell>
          <cell r="U460">
            <v>48</v>
          </cell>
          <cell r="V460">
            <v>46.485177999999998</v>
          </cell>
          <cell r="W460">
            <v>2231.288544</v>
          </cell>
          <cell r="X460">
            <v>2.4089800000000001</v>
          </cell>
          <cell r="Y460">
            <v>0</v>
          </cell>
          <cell r="Z460">
            <v>46.485177999999998</v>
          </cell>
          <cell r="AA460">
            <v>2231.288544</v>
          </cell>
        </row>
        <row r="461">
          <cell r="B461" t="str">
            <v>N-03-03</v>
          </cell>
          <cell r="C461" t="str">
            <v>ACIDO VALPROICO O VALPROATO SODICO .:. 500 mg</v>
          </cell>
          <cell r="D461" t="str">
            <v>Cápsula o Comprimido</v>
          </cell>
          <cell r="E461">
            <v>2140</v>
          </cell>
          <cell r="F461">
            <v>9737</v>
          </cell>
          <cell r="H461">
            <v>11480</v>
          </cell>
          <cell r="J461">
            <v>45231.199999999997</v>
          </cell>
          <cell r="M461">
            <v>0</v>
          </cell>
          <cell r="N461">
            <v>0</v>
          </cell>
          <cell r="P461">
            <v>7730</v>
          </cell>
          <cell r="R461">
            <v>31761.599999999999</v>
          </cell>
          <cell r="S461">
            <v>0</v>
          </cell>
          <cell r="T461">
            <v>0</v>
          </cell>
          <cell r="U461">
            <v>5890</v>
          </cell>
          <cell r="V461">
            <v>3.94</v>
          </cell>
          <cell r="W461">
            <v>23206.6</v>
          </cell>
          <cell r="X461">
            <v>2.4089800000000001</v>
          </cell>
          <cell r="Y461">
            <v>0</v>
          </cell>
          <cell r="Z461">
            <v>3.94</v>
          </cell>
          <cell r="AA461">
            <v>23206.6</v>
          </cell>
        </row>
        <row r="462">
          <cell r="B462" t="str">
            <v>N-03-04</v>
          </cell>
          <cell r="C462" t="str">
            <v>CARBAMAZEPINA .:. 200 mg</v>
          </cell>
          <cell r="D462" t="str">
            <v>Comprimido</v>
          </cell>
          <cell r="E462">
            <v>1301</v>
          </cell>
          <cell r="F462">
            <v>469.4400000407</v>
          </cell>
          <cell r="H462">
            <v>4000</v>
          </cell>
          <cell r="J462">
            <v>1200</v>
          </cell>
          <cell r="M462">
            <v>0</v>
          </cell>
          <cell r="N462">
            <v>0</v>
          </cell>
          <cell r="P462">
            <v>2924</v>
          </cell>
          <cell r="R462">
            <v>953.95793100000003</v>
          </cell>
          <cell r="S462">
            <v>0</v>
          </cell>
          <cell r="T462">
            <v>0</v>
          </cell>
          <cell r="U462">
            <v>2377</v>
          </cell>
          <cell r="V462">
            <v>0.30100199999999999</v>
          </cell>
          <cell r="W462">
            <v>715.48175400000002</v>
          </cell>
          <cell r="X462">
            <v>2.4089800000000001</v>
          </cell>
          <cell r="Y462">
            <v>0</v>
          </cell>
          <cell r="Z462">
            <v>0.30100199999999999</v>
          </cell>
          <cell r="AA462">
            <v>715.48175400000002</v>
          </cell>
        </row>
        <row r="463">
          <cell r="B463" t="str">
            <v>N-03-06</v>
          </cell>
          <cell r="C463" t="str">
            <v>CLONAZEPAM .:. 2 mg</v>
          </cell>
          <cell r="D463" t="str">
            <v>Comprimido ranurado</v>
          </cell>
          <cell r="E463">
            <v>2990</v>
          </cell>
          <cell r="F463">
            <v>2026.879999924</v>
          </cell>
          <cell r="H463">
            <v>5000</v>
          </cell>
          <cell r="J463">
            <v>3000</v>
          </cell>
          <cell r="M463">
            <v>0</v>
          </cell>
          <cell r="N463">
            <v>0</v>
          </cell>
          <cell r="P463">
            <v>6561</v>
          </cell>
          <cell r="R463">
            <v>4149.2749949999998</v>
          </cell>
          <cell r="S463">
            <v>0</v>
          </cell>
          <cell r="T463">
            <v>0</v>
          </cell>
          <cell r="U463">
            <v>1429</v>
          </cell>
          <cell r="V463">
            <v>0.61413899999999999</v>
          </cell>
          <cell r="W463">
            <v>877.60463100000004</v>
          </cell>
          <cell r="X463">
            <v>2.4089800000000001</v>
          </cell>
          <cell r="Y463">
            <v>0</v>
          </cell>
          <cell r="Z463">
            <v>0.61413899999999999</v>
          </cell>
          <cell r="AA463">
            <v>877.60463100000004</v>
          </cell>
        </row>
        <row r="464">
          <cell r="B464" t="str">
            <v>N-03-07</v>
          </cell>
          <cell r="C464" t="str">
            <v>FENITOINA .:. 50 mg/ml</v>
          </cell>
          <cell r="D464" t="str">
            <v>Inyectable</v>
          </cell>
          <cell r="E464">
            <v>60</v>
          </cell>
          <cell r="F464">
            <v>720</v>
          </cell>
          <cell r="H464">
            <v>60</v>
          </cell>
          <cell r="J464">
            <v>648</v>
          </cell>
          <cell r="M464">
            <v>1</v>
          </cell>
          <cell r="N464">
            <v>12</v>
          </cell>
          <cell r="P464">
            <v>62</v>
          </cell>
          <cell r="R464">
            <v>742.8</v>
          </cell>
          <cell r="S464">
            <v>0</v>
          </cell>
          <cell r="T464">
            <v>0</v>
          </cell>
          <cell r="U464">
            <v>59</v>
          </cell>
          <cell r="V464">
            <v>10.8</v>
          </cell>
          <cell r="W464">
            <v>637.20000000000005</v>
          </cell>
          <cell r="X464">
            <v>2.4089800000000001</v>
          </cell>
          <cell r="Y464">
            <v>0</v>
          </cell>
          <cell r="Z464">
            <v>10.8</v>
          </cell>
          <cell r="AA464">
            <v>637.20000000000005</v>
          </cell>
        </row>
        <row r="465">
          <cell r="B465" t="str">
            <v>N-03-08</v>
          </cell>
          <cell r="C465" t="str">
            <v>FENITOINA .:. 100 mg</v>
          </cell>
          <cell r="D465" t="str">
            <v>Cápsula o Comprimido</v>
          </cell>
          <cell r="E465">
            <v>1140</v>
          </cell>
          <cell r="F465">
            <v>534.19999996800004</v>
          </cell>
          <cell r="H465">
            <v>2800</v>
          </cell>
          <cell r="J465">
            <v>1260</v>
          </cell>
          <cell r="M465">
            <v>0</v>
          </cell>
          <cell r="N465">
            <v>0</v>
          </cell>
          <cell r="P465">
            <v>3702</v>
          </cell>
          <cell r="R465">
            <v>1686.8118179999999</v>
          </cell>
          <cell r="S465">
            <v>0</v>
          </cell>
          <cell r="T465">
            <v>0</v>
          </cell>
          <cell r="U465">
            <v>238</v>
          </cell>
          <cell r="V465">
            <v>0.45121</v>
          </cell>
          <cell r="W465">
            <v>107.38798</v>
          </cell>
          <cell r="X465">
            <v>2.4089800000000001</v>
          </cell>
          <cell r="Y465">
            <v>0</v>
          </cell>
          <cell r="Z465">
            <v>0.45121</v>
          </cell>
          <cell r="AA465">
            <v>107.38798</v>
          </cell>
        </row>
        <row r="466">
          <cell r="B466" t="str">
            <v>N-03-12</v>
          </cell>
          <cell r="C466" t="str">
            <v>CLONAZEPAM .:. 2,5 mg/ml</v>
          </cell>
          <cell r="D466" t="str">
            <v>Solución oral</v>
          </cell>
          <cell r="E466">
            <v>79</v>
          </cell>
          <cell r="F466">
            <v>5533.6699999998</v>
          </cell>
          <cell r="H466">
            <v>190</v>
          </cell>
          <cell r="J466">
            <v>11860</v>
          </cell>
          <cell r="M466">
            <v>0</v>
          </cell>
          <cell r="N466">
            <v>0</v>
          </cell>
          <cell r="P466">
            <v>226</v>
          </cell>
          <cell r="R466">
            <v>14727.669953000001</v>
          </cell>
          <cell r="S466">
            <v>0</v>
          </cell>
          <cell r="T466">
            <v>0</v>
          </cell>
          <cell r="U466">
            <v>43</v>
          </cell>
          <cell r="V466">
            <v>62</v>
          </cell>
          <cell r="W466">
            <v>2666</v>
          </cell>
          <cell r="X466">
            <v>2.4089800000000001</v>
          </cell>
          <cell r="Y466">
            <v>0</v>
          </cell>
          <cell r="Z466">
            <v>62</v>
          </cell>
          <cell r="AA466">
            <v>2666</v>
          </cell>
        </row>
        <row r="467">
          <cell r="B467" t="str">
            <v>N-03-17</v>
          </cell>
          <cell r="C467" t="str">
            <v>LAMOTRIGINA .:. 100 mg</v>
          </cell>
          <cell r="D467" t="str">
            <v>Comprimido o Cápsula</v>
          </cell>
          <cell r="E467">
            <v>0</v>
          </cell>
          <cell r="F467">
            <v>0</v>
          </cell>
          <cell r="H467">
            <v>800</v>
          </cell>
          <cell r="J467">
            <v>6912</v>
          </cell>
          <cell r="M467">
            <v>0</v>
          </cell>
          <cell r="N467">
            <v>0</v>
          </cell>
          <cell r="P467">
            <v>800</v>
          </cell>
          <cell r="R467">
            <v>6912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2.4089800000000001</v>
          </cell>
          <cell r="Y467">
            <v>0</v>
          </cell>
          <cell r="Z467">
            <v>0</v>
          </cell>
          <cell r="AA467">
            <v>0</v>
          </cell>
        </row>
        <row r="468">
          <cell r="B468" t="str">
            <v>N-03-20</v>
          </cell>
          <cell r="C468" t="str">
            <v>PREGABALINA 75 MG .:. 75 MG</v>
          </cell>
          <cell r="D468" t="str">
            <v>Cápsula</v>
          </cell>
          <cell r="E468">
            <v>210</v>
          </cell>
          <cell r="F468">
            <v>1659</v>
          </cell>
          <cell r="H468">
            <v>5700</v>
          </cell>
          <cell r="J468">
            <v>23940</v>
          </cell>
          <cell r="M468">
            <v>0</v>
          </cell>
          <cell r="N468">
            <v>0</v>
          </cell>
          <cell r="P468">
            <v>4840</v>
          </cell>
          <cell r="R468">
            <v>22175</v>
          </cell>
          <cell r="S468">
            <v>0</v>
          </cell>
          <cell r="T468">
            <v>0</v>
          </cell>
          <cell r="U468">
            <v>1070</v>
          </cell>
          <cell r="V468">
            <v>3.2</v>
          </cell>
          <cell r="W468">
            <v>3424</v>
          </cell>
          <cell r="X468">
            <v>2.4089800000000001</v>
          </cell>
          <cell r="Y468">
            <v>0</v>
          </cell>
          <cell r="Z468">
            <v>3.2</v>
          </cell>
          <cell r="AA468">
            <v>3424</v>
          </cell>
        </row>
        <row r="469">
          <cell r="B469" t="str">
            <v>N-03-21</v>
          </cell>
          <cell r="C469" t="str">
            <v>PREGABALINA .:. 150 MG.</v>
          </cell>
          <cell r="D469" t="str">
            <v>Cápsula</v>
          </cell>
          <cell r="E469">
            <v>2992</v>
          </cell>
          <cell r="F469">
            <v>20891.299999891198</v>
          </cell>
          <cell r="H469">
            <v>8300</v>
          </cell>
          <cell r="J469">
            <v>38020</v>
          </cell>
          <cell r="M469">
            <v>0</v>
          </cell>
          <cell r="N469">
            <v>0</v>
          </cell>
          <cell r="P469">
            <v>9077</v>
          </cell>
          <cell r="R469">
            <v>50884.221164000002</v>
          </cell>
          <cell r="S469">
            <v>0</v>
          </cell>
          <cell r="T469">
            <v>0</v>
          </cell>
          <cell r="U469">
            <v>2215</v>
          </cell>
          <cell r="V469">
            <v>3.6239629999999998</v>
          </cell>
          <cell r="W469">
            <v>8027.0780450000002</v>
          </cell>
          <cell r="X469">
            <v>2.4089800000000001</v>
          </cell>
          <cell r="Y469">
            <v>0</v>
          </cell>
          <cell r="Z469">
            <v>3.6239629999999998</v>
          </cell>
          <cell r="AA469">
            <v>8027.0780450000002</v>
          </cell>
        </row>
        <row r="470">
          <cell r="B470" t="str">
            <v>N-03-22</v>
          </cell>
          <cell r="C470" t="str">
            <v>ACIDO VALPROICO Ò VALPROATO SODICO .:. 200/MG/ML</v>
          </cell>
          <cell r="D470" t="str">
            <v>Jarabe o Solución oral</v>
          </cell>
          <cell r="E470">
            <v>37</v>
          </cell>
          <cell r="F470">
            <v>2980.72</v>
          </cell>
          <cell r="H470">
            <v>40</v>
          </cell>
          <cell r="J470">
            <v>3962.4</v>
          </cell>
          <cell r="M470">
            <v>0</v>
          </cell>
          <cell r="N470">
            <v>0</v>
          </cell>
          <cell r="P470">
            <v>50</v>
          </cell>
          <cell r="R470">
            <v>4465.2727189999996</v>
          </cell>
          <cell r="S470">
            <v>0</v>
          </cell>
          <cell r="T470">
            <v>0</v>
          </cell>
          <cell r="U470">
            <v>27</v>
          </cell>
          <cell r="V470">
            <v>91.772120999999999</v>
          </cell>
          <cell r="W470">
            <v>2477.8472670000001</v>
          </cell>
          <cell r="X470">
            <v>2.4089800000000001</v>
          </cell>
          <cell r="Y470">
            <v>0</v>
          </cell>
          <cell r="Z470">
            <v>91.772120999999999</v>
          </cell>
          <cell r="AA470">
            <v>2477.8472670000001</v>
          </cell>
        </row>
        <row r="471">
          <cell r="B471" t="str">
            <v>N-04-01</v>
          </cell>
          <cell r="C471" t="str">
            <v>BIPERIDENO CLORHIDRATO .:. 4 mg</v>
          </cell>
          <cell r="D471" t="str">
            <v>Comprimido</v>
          </cell>
          <cell r="E471">
            <v>180</v>
          </cell>
          <cell r="F471">
            <v>482.4</v>
          </cell>
          <cell r="H471">
            <v>2000</v>
          </cell>
          <cell r="J471">
            <v>6788</v>
          </cell>
          <cell r="M471">
            <v>0</v>
          </cell>
          <cell r="N471">
            <v>0</v>
          </cell>
          <cell r="P471">
            <v>1615</v>
          </cell>
          <cell r="R471">
            <v>5205.4696089999998</v>
          </cell>
          <cell r="S471">
            <v>0</v>
          </cell>
          <cell r="T471">
            <v>0</v>
          </cell>
          <cell r="U471">
            <v>565</v>
          </cell>
          <cell r="V471">
            <v>3.654744</v>
          </cell>
          <cell r="W471">
            <v>2064.9303599999998</v>
          </cell>
          <cell r="X471">
            <v>2.4089800000000001</v>
          </cell>
          <cell r="Y471">
            <v>0</v>
          </cell>
          <cell r="Z471">
            <v>3.654744</v>
          </cell>
          <cell r="AA471">
            <v>2064.9303599999998</v>
          </cell>
        </row>
        <row r="472">
          <cell r="B472" t="str">
            <v>N-04-02</v>
          </cell>
          <cell r="C472" t="str">
            <v>LEVODOPA + CARBIDOPA .:. 250 mg + 25 mg</v>
          </cell>
          <cell r="D472" t="str">
            <v>Comprimido</v>
          </cell>
          <cell r="E472">
            <v>1800</v>
          </cell>
          <cell r="F472">
            <v>5400</v>
          </cell>
          <cell r="H472">
            <v>3000</v>
          </cell>
          <cell r="J472">
            <v>10200</v>
          </cell>
          <cell r="M472">
            <v>0</v>
          </cell>
          <cell r="N472">
            <v>0</v>
          </cell>
          <cell r="P472">
            <v>3775</v>
          </cell>
          <cell r="R472">
            <v>12131.4</v>
          </cell>
          <cell r="S472">
            <v>0</v>
          </cell>
          <cell r="T472">
            <v>0</v>
          </cell>
          <cell r="U472">
            <v>1025</v>
          </cell>
          <cell r="V472">
            <v>3.3839999999999999</v>
          </cell>
          <cell r="W472">
            <v>3468.6</v>
          </cell>
          <cell r="X472">
            <v>2.4089800000000001</v>
          </cell>
          <cell r="Y472">
            <v>0</v>
          </cell>
          <cell r="Z472">
            <v>3.3839999999999999</v>
          </cell>
          <cell r="AA472">
            <v>3468.6</v>
          </cell>
        </row>
        <row r="473">
          <cell r="B473" t="str">
            <v>N-05-01</v>
          </cell>
          <cell r="C473" t="str">
            <v>ALPRAZOLAM .:. 0,5 mg</v>
          </cell>
          <cell r="D473" t="str">
            <v>Comprimido ranurado</v>
          </cell>
          <cell r="E473">
            <v>7318</v>
          </cell>
          <cell r="F473">
            <v>2488.3300002552</v>
          </cell>
          <cell r="H473">
            <v>16000</v>
          </cell>
          <cell r="J473">
            <v>8000</v>
          </cell>
          <cell r="M473">
            <v>3</v>
          </cell>
          <cell r="N473">
            <v>1.4595149999999999</v>
          </cell>
          <cell r="P473">
            <v>19001</v>
          </cell>
          <cell r="R473">
            <v>8388.0837069999998</v>
          </cell>
          <cell r="S473">
            <v>0</v>
          </cell>
          <cell r="T473">
            <v>0</v>
          </cell>
          <cell r="U473">
            <v>4320</v>
          </cell>
          <cell r="V473">
            <v>0.48650500000000002</v>
          </cell>
          <cell r="W473">
            <v>2101.7015999999999</v>
          </cell>
          <cell r="X473">
            <v>2.4089800000000001</v>
          </cell>
          <cell r="Y473">
            <v>0</v>
          </cell>
          <cell r="Z473">
            <v>0.48650500000000002</v>
          </cell>
          <cell r="AA473">
            <v>2101.7015999999999</v>
          </cell>
        </row>
        <row r="474">
          <cell r="B474" t="str">
            <v>N-05-05</v>
          </cell>
          <cell r="C474" t="str">
            <v>DIAZEPAM .:. 10 mg</v>
          </cell>
          <cell r="D474" t="str">
            <v>Inyectable</v>
          </cell>
          <cell r="E474">
            <v>46</v>
          </cell>
          <cell r="F474">
            <v>320.62</v>
          </cell>
          <cell r="H474">
            <v>50</v>
          </cell>
          <cell r="J474">
            <v>225</v>
          </cell>
          <cell r="M474">
            <v>1</v>
          </cell>
          <cell r="N474">
            <v>6.97</v>
          </cell>
          <cell r="P474">
            <v>60</v>
          </cell>
          <cell r="R474">
            <v>386.09</v>
          </cell>
          <cell r="S474">
            <v>0</v>
          </cell>
          <cell r="T474">
            <v>0</v>
          </cell>
          <cell r="U474">
            <v>37</v>
          </cell>
          <cell r="V474">
            <v>4.5</v>
          </cell>
          <cell r="W474">
            <v>166.5</v>
          </cell>
          <cell r="X474">
            <v>2.4089800000000001</v>
          </cell>
          <cell r="Y474">
            <v>0</v>
          </cell>
          <cell r="Z474">
            <v>4.5</v>
          </cell>
          <cell r="AA474">
            <v>166.5</v>
          </cell>
        </row>
        <row r="475">
          <cell r="B475" t="str">
            <v>N-05-11</v>
          </cell>
          <cell r="C475" t="str">
            <v>MIDAZOLAM .:. 15 mg/3 ml</v>
          </cell>
          <cell r="D475" t="str">
            <v>Inyectable</v>
          </cell>
          <cell r="E475">
            <v>849</v>
          </cell>
          <cell r="F475">
            <v>15467.279999959501</v>
          </cell>
          <cell r="H475">
            <v>0</v>
          </cell>
          <cell r="J475">
            <v>0</v>
          </cell>
          <cell r="M475">
            <v>51</v>
          </cell>
          <cell r="N475">
            <v>929.12964399999998</v>
          </cell>
          <cell r="P475">
            <v>397</v>
          </cell>
          <cell r="R475">
            <v>7232.638438</v>
          </cell>
          <cell r="S475">
            <v>0</v>
          </cell>
          <cell r="T475">
            <v>0</v>
          </cell>
          <cell r="U475">
            <v>503</v>
          </cell>
          <cell r="V475">
            <v>18.218232</v>
          </cell>
          <cell r="W475">
            <v>9163.7706959999996</v>
          </cell>
          <cell r="X475">
            <v>2.4089800000000001</v>
          </cell>
          <cell r="Y475">
            <v>0</v>
          </cell>
          <cell r="Z475">
            <v>18.218232</v>
          </cell>
          <cell r="AA475">
            <v>9163.7706959999996</v>
          </cell>
        </row>
        <row r="476">
          <cell r="B476" t="str">
            <v>N-05-18</v>
          </cell>
          <cell r="C476" t="str">
            <v>QUETIAPINA .:. 100 mg</v>
          </cell>
          <cell r="D476" t="str">
            <v>Comprimido</v>
          </cell>
          <cell r="E476">
            <v>19</v>
          </cell>
          <cell r="F476">
            <v>202.35</v>
          </cell>
          <cell r="H476">
            <v>900</v>
          </cell>
          <cell r="J476">
            <v>6320</v>
          </cell>
          <cell r="M476">
            <v>0</v>
          </cell>
          <cell r="N476">
            <v>0</v>
          </cell>
          <cell r="P476">
            <v>499</v>
          </cell>
          <cell r="R476">
            <v>4506.3500000000004</v>
          </cell>
          <cell r="S476">
            <v>0</v>
          </cell>
          <cell r="T476">
            <v>0</v>
          </cell>
          <cell r="U476">
            <v>420</v>
          </cell>
          <cell r="V476">
            <v>4.8</v>
          </cell>
          <cell r="W476">
            <v>2016</v>
          </cell>
          <cell r="X476">
            <v>2.4089800000000001</v>
          </cell>
          <cell r="Y476">
            <v>0</v>
          </cell>
          <cell r="Z476">
            <v>4.8</v>
          </cell>
          <cell r="AA476">
            <v>2016</v>
          </cell>
        </row>
        <row r="477">
          <cell r="B477" t="str">
            <v>N-06-01</v>
          </cell>
          <cell r="C477" t="str">
            <v>AMITRIPTILINA .:. 25 mg</v>
          </cell>
          <cell r="D477" t="str">
            <v>Comprimido ranurado</v>
          </cell>
          <cell r="E477">
            <v>1589</v>
          </cell>
          <cell r="F477">
            <v>640.2800000254</v>
          </cell>
          <cell r="H477">
            <v>2100</v>
          </cell>
          <cell r="J477">
            <v>840</v>
          </cell>
          <cell r="M477">
            <v>0</v>
          </cell>
          <cell r="N477">
            <v>0</v>
          </cell>
          <cell r="P477">
            <v>2594</v>
          </cell>
          <cell r="R477">
            <v>1042.2799669999999</v>
          </cell>
          <cell r="S477">
            <v>0</v>
          </cell>
          <cell r="T477">
            <v>0</v>
          </cell>
          <cell r="U477">
            <v>1095</v>
          </cell>
          <cell r="V477">
            <v>0.4</v>
          </cell>
          <cell r="W477">
            <v>438</v>
          </cell>
          <cell r="X477">
            <v>2.4089800000000001</v>
          </cell>
          <cell r="Y477">
            <v>0</v>
          </cell>
          <cell r="Z477">
            <v>0.4</v>
          </cell>
          <cell r="AA477">
            <v>438</v>
          </cell>
        </row>
        <row r="478">
          <cell r="B478" t="str">
            <v>N-06-04</v>
          </cell>
          <cell r="C478" t="str">
            <v>FLUOXETINA .:. 20 mg</v>
          </cell>
          <cell r="D478" t="str">
            <v>Cápsula o Comprimido</v>
          </cell>
          <cell r="E478">
            <v>3162</v>
          </cell>
          <cell r="F478">
            <v>1253.950000155</v>
          </cell>
          <cell r="H478">
            <v>7000</v>
          </cell>
          <cell r="J478">
            <v>2800</v>
          </cell>
          <cell r="M478">
            <v>0</v>
          </cell>
          <cell r="N478">
            <v>0</v>
          </cell>
          <cell r="P478">
            <v>9757</v>
          </cell>
          <cell r="R478">
            <v>3892.0017630000002</v>
          </cell>
          <cell r="S478">
            <v>0</v>
          </cell>
          <cell r="T478">
            <v>0</v>
          </cell>
          <cell r="U478">
            <v>405</v>
          </cell>
          <cell r="V478">
            <v>0.39987099999999998</v>
          </cell>
          <cell r="W478">
            <v>161.947755</v>
          </cell>
          <cell r="X478">
            <v>2.4089800000000001</v>
          </cell>
          <cell r="Y478">
            <v>0</v>
          </cell>
          <cell r="Z478">
            <v>0.39987099999999998</v>
          </cell>
          <cell r="AA478">
            <v>161.947755</v>
          </cell>
        </row>
        <row r="479">
          <cell r="B479" t="str">
            <v>N-06-08</v>
          </cell>
          <cell r="C479" t="str">
            <v>DULOXETINA .:. 30mg</v>
          </cell>
          <cell r="D479" t="str">
            <v>Cápsula</v>
          </cell>
          <cell r="E479">
            <v>740</v>
          </cell>
          <cell r="F479">
            <v>3319.4999999920001</v>
          </cell>
          <cell r="H479">
            <v>3300</v>
          </cell>
          <cell r="J479">
            <v>15637</v>
          </cell>
          <cell r="M479">
            <v>0</v>
          </cell>
          <cell r="N479">
            <v>0</v>
          </cell>
          <cell r="P479">
            <v>1975</v>
          </cell>
          <cell r="R479">
            <v>9143.659549</v>
          </cell>
          <cell r="S479">
            <v>0</v>
          </cell>
          <cell r="T479">
            <v>0</v>
          </cell>
          <cell r="U479">
            <v>2065</v>
          </cell>
          <cell r="V479">
            <v>4.7519799999999996</v>
          </cell>
          <cell r="W479">
            <v>9812.8387000000002</v>
          </cell>
          <cell r="X479">
            <v>2.4089800000000001</v>
          </cell>
          <cell r="Y479">
            <v>0</v>
          </cell>
          <cell r="Z479">
            <v>4.7519799999999996</v>
          </cell>
          <cell r="AA479">
            <v>9812.8387000000002</v>
          </cell>
        </row>
        <row r="480">
          <cell r="B480" t="str">
            <v>N-07-01</v>
          </cell>
          <cell r="C480" t="str">
            <v>DIMENHIDRINATO .:. 50 mg</v>
          </cell>
          <cell r="D480" t="str">
            <v>Comprimido</v>
          </cell>
          <cell r="E480">
            <v>1107</v>
          </cell>
          <cell r="F480">
            <v>496.58000001750003</v>
          </cell>
          <cell r="H480">
            <v>2000</v>
          </cell>
          <cell r="J480">
            <v>800</v>
          </cell>
          <cell r="M480">
            <v>0</v>
          </cell>
          <cell r="N480">
            <v>0</v>
          </cell>
          <cell r="P480">
            <v>1657</v>
          </cell>
          <cell r="R480">
            <v>699.38173200000006</v>
          </cell>
          <cell r="S480">
            <v>0</v>
          </cell>
          <cell r="T480">
            <v>0</v>
          </cell>
          <cell r="U480">
            <v>1450</v>
          </cell>
          <cell r="V480">
            <v>0.41186</v>
          </cell>
          <cell r="W480">
            <v>597.197</v>
          </cell>
          <cell r="X480">
            <v>2.4089800000000001</v>
          </cell>
          <cell r="Y480">
            <v>0</v>
          </cell>
          <cell r="Z480">
            <v>0.41186</v>
          </cell>
          <cell r="AA480">
            <v>597.197</v>
          </cell>
        </row>
        <row r="481">
          <cell r="B481" t="str">
            <v>N-07-05</v>
          </cell>
          <cell r="C481" t="str">
            <v>NEOSTIGMINA .:. 0,5 mg/ml</v>
          </cell>
          <cell r="D481" t="str">
            <v>Inyectable</v>
          </cell>
          <cell r="E481">
            <v>93</v>
          </cell>
          <cell r="F481">
            <v>451.98</v>
          </cell>
          <cell r="H481">
            <v>100</v>
          </cell>
          <cell r="J481">
            <v>420</v>
          </cell>
          <cell r="M481">
            <v>0</v>
          </cell>
          <cell r="N481">
            <v>0</v>
          </cell>
          <cell r="P481">
            <v>89</v>
          </cell>
          <cell r="R481">
            <v>427.28336100000001</v>
          </cell>
          <cell r="S481">
            <v>0</v>
          </cell>
          <cell r="T481">
            <v>0</v>
          </cell>
          <cell r="U481">
            <v>104</v>
          </cell>
          <cell r="V481">
            <v>4.2759289999999996</v>
          </cell>
          <cell r="W481">
            <v>444.69661600000001</v>
          </cell>
          <cell r="X481">
            <v>2.4089800000000001</v>
          </cell>
          <cell r="Y481">
            <v>0</v>
          </cell>
          <cell r="Z481">
            <v>4.2759289999999996</v>
          </cell>
          <cell r="AA481">
            <v>444.69661600000001</v>
          </cell>
        </row>
        <row r="482">
          <cell r="B482" t="str">
            <v>N-07-06</v>
          </cell>
          <cell r="C482" t="str">
            <v>PIRIDOSTIGMINA .:. 60 mg</v>
          </cell>
          <cell r="D482" t="str">
            <v>Comprimido</v>
          </cell>
          <cell r="E482">
            <v>0</v>
          </cell>
          <cell r="F482">
            <v>0</v>
          </cell>
          <cell r="H482">
            <v>1500</v>
          </cell>
          <cell r="J482">
            <v>4035</v>
          </cell>
          <cell r="M482">
            <v>0</v>
          </cell>
          <cell r="N482">
            <v>0</v>
          </cell>
          <cell r="P482">
            <v>1500</v>
          </cell>
          <cell r="R482">
            <v>4035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2.4089800000000001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N-07-08</v>
          </cell>
          <cell r="C483" t="str">
            <v>FLUNARIZINA .:. 10 mg</v>
          </cell>
          <cell r="D483" t="str">
            <v>Comprimido</v>
          </cell>
          <cell r="E483">
            <v>834</v>
          </cell>
          <cell r="F483">
            <v>292.00000001939998</v>
          </cell>
          <cell r="H483">
            <v>5600</v>
          </cell>
          <cell r="J483">
            <v>8800</v>
          </cell>
          <cell r="M483">
            <v>0</v>
          </cell>
          <cell r="N483">
            <v>0</v>
          </cell>
          <cell r="P483">
            <v>4844</v>
          </cell>
          <cell r="R483">
            <v>5673.4999360000002</v>
          </cell>
          <cell r="S483">
            <v>0</v>
          </cell>
          <cell r="T483">
            <v>0</v>
          </cell>
          <cell r="U483">
            <v>1590</v>
          </cell>
          <cell r="V483">
            <v>2.15</v>
          </cell>
          <cell r="W483">
            <v>3418.5</v>
          </cell>
          <cell r="X483">
            <v>2.4089800000000001</v>
          </cell>
          <cell r="Y483">
            <v>0</v>
          </cell>
          <cell r="Z483">
            <v>2.15</v>
          </cell>
          <cell r="AA483">
            <v>3418.5</v>
          </cell>
        </row>
        <row r="484">
          <cell r="B484" t="str">
            <v>P-01-06</v>
          </cell>
          <cell r="C484" t="str">
            <v>METRONIDAZOL .:. 250 mg/5 ml</v>
          </cell>
          <cell r="D484" t="str">
            <v>Suspensión</v>
          </cell>
          <cell r="E484">
            <v>2</v>
          </cell>
          <cell r="F484">
            <v>25.16</v>
          </cell>
          <cell r="H484">
            <v>0</v>
          </cell>
          <cell r="J484">
            <v>0</v>
          </cell>
          <cell r="M484">
            <v>0</v>
          </cell>
          <cell r="N484">
            <v>0</v>
          </cell>
          <cell r="P484">
            <v>2</v>
          </cell>
          <cell r="R484">
            <v>25.16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2.4089800000000001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P-01-07</v>
          </cell>
          <cell r="C485" t="str">
            <v>METRONIDAZOL .:. 500 mg</v>
          </cell>
          <cell r="D485" t="str">
            <v>Inyectable</v>
          </cell>
          <cell r="E485">
            <v>145</v>
          </cell>
          <cell r="F485">
            <v>1286.869999994</v>
          </cell>
          <cell r="H485">
            <v>400</v>
          </cell>
          <cell r="J485">
            <v>3460</v>
          </cell>
          <cell r="M485">
            <v>17</v>
          </cell>
          <cell r="N485">
            <v>149.09151</v>
          </cell>
          <cell r="P485">
            <v>448</v>
          </cell>
          <cell r="R485">
            <v>3926.9614620000002</v>
          </cell>
          <cell r="S485">
            <v>0</v>
          </cell>
          <cell r="T485">
            <v>0</v>
          </cell>
          <cell r="U485">
            <v>114</v>
          </cell>
          <cell r="V485">
            <v>8.5</v>
          </cell>
          <cell r="W485">
            <v>969</v>
          </cell>
          <cell r="X485">
            <v>2.4089800000000001</v>
          </cell>
          <cell r="Y485">
            <v>0</v>
          </cell>
          <cell r="Z485">
            <v>8.5</v>
          </cell>
          <cell r="AA485">
            <v>969</v>
          </cell>
        </row>
        <row r="486">
          <cell r="B486" t="str">
            <v>P-01-09</v>
          </cell>
          <cell r="C486" t="str">
            <v>METRONIDAZOL .:. 500 mg</v>
          </cell>
          <cell r="D486" t="str">
            <v>Comprimido</v>
          </cell>
          <cell r="E486">
            <v>344</v>
          </cell>
          <cell r="F486">
            <v>115.4799999936</v>
          </cell>
          <cell r="H486">
            <v>1200</v>
          </cell>
          <cell r="J486">
            <v>360</v>
          </cell>
          <cell r="M486">
            <v>0</v>
          </cell>
          <cell r="N486">
            <v>0</v>
          </cell>
          <cell r="P486">
            <v>1279</v>
          </cell>
          <cell r="R486">
            <v>394.21561300000002</v>
          </cell>
          <cell r="S486">
            <v>0</v>
          </cell>
          <cell r="T486">
            <v>0</v>
          </cell>
          <cell r="U486">
            <v>265</v>
          </cell>
          <cell r="V486">
            <v>0.30665700000000001</v>
          </cell>
          <cell r="W486">
            <v>81.264105000000001</v>
          </cell>
          <cell r="X486">
            <v>2.4089800000000001</v>
          </cell>
          <cell r="Y486">
            <v>0</v>
          </cell>
          <cell r="Z486">
            <v>0.30665700000000001</v>
          </cell>
          <cell r="AA486">
            <v>81.264105000000001</v>
          </cell>
        </row>
        <row r="487">
          <cell r="B487" t="str">
            <v>P-01-11</v>
          </cell>
          <cell r="C487" t="str">
            <v>NITAZOXANIDA .:. 500 mg</v>
          </cell>
          <cell r="D487" t="str">
            <v>Comprimido</v>
          </cell>
          <cell r="E487">
            <v>0</v>
          </cell>
          <cell r="F487">
            <v>0</v>
          </cell>
          <cell r="H487">
            <v>300</v>
          </cell>
          <cell r="J487">
            <v>900</v>
          </cell>
          <cell r="M487">
            <v>0</v>
          </cell>
          <cell r="N487">
            <v>0</v>
          </cell>
          <cell r="P487">
            <v>212</v>
          </cell>
          <cell r="R487">
            <v>636</v>
          </cell>
          <cell r="S487">
            <v>0</v>
          </cell>
          <cell r="T487">
            <v>0</v>
          </cell>
          <cell r="U487">
            <v>88</v>
          </cell>
          <cell r="V487">
            <v>3</v>
          </cell>
          <cell r="W487">
            <v>264</v>
          </cell>
          <cell r="X487">
            <v>2.4089800000000001</v>
          </cell>
          <cell r="Y487">
            <v>0</v>
          </cell>
          <cell r="Z487">
            <v>3</v>
          </cell>
          <cell r="AA487">
            <v>264</v>
          </cell>
        </row>
        <row r="488">
          <cell r="B488" t="str">
            <v>P-01-27</v>
          </cell>
          <cell r="C488" t="str">
            <v>HIDROXICLOROQUINA SULFATO .:. 200 mg</v>
          </cell>
          <cell r="D488" t="str">
            <v>Comprimido</v>
          </cell>
          <cell r="E488">
            <v>335</v>
          </cell>
          <cell r="F488">
            <v>1148.2500000005</v>
          </cell>
          <cell r="H488">
            <v>2000</v>
          </cell>
          <cell r="J488">
            <v>7000</v>
          </cell>
          <cell r="M488">
            <v>0</v>
          </cell>
          <cell r="N488">
            <v>0</v>
          </cell>
          <cell r="P488">
            <v>1215</v>
          </cell>
          <cell r="R488">
            <v>4228.2499969999999</v>
          </cell>
          <cell r="S488">
            <v>0</v>
          </cell>
          <cell r="T488">
            <v>0</v>
          </cell>
          <cell r="U488">
            <v>1120</v>
          </cell>
          <cell r="V488">
            <v>3.5</v>
          </cell>
          <cell r="W488">
            <v>3920</v>
          </cell>
          <cell r="X488">
            <v>2.4089800000000001</v>
          </cell>
          <cell r="Y488">
            <v>0</v>
          </cell>
          <cell r="Z488">
            <v>3.5</v>
          </cell>
          <cell r="AA488">
            <v>3920</v>
          </cell>
        </row>
        <row r="489">
          <cell r="B489" t="str">
            <v>P-02-01</v>
          </cell>
          <cell r="C489" t="str">
            <v>ALBENDAZOL .:. 200 mg</v>
          </cell>
          <cell r="D489" t="str">
            <v>Comprimido</v>
          </cell>
          <cell r="E489">
            <v>541</v>
          </cell>
          <cell r="F489">
            <v>649.78999999300004</v>
          </cell>
          <cell r="H489">
            <v>0</v>
          </cell>
          <cell r="J489">
            <v>0</v>
          </cell>
          <cell r="M489">
            <v>0</v>
          </cell>
          <cell r="N489">
            <v>0</v>
          </cell>
          <cell r="P489">
            <v>126</v>
          </cell>
          <cell r="R489">
            <v>151.337401</v>
          </cell>
          <cell r="S489">
            <v>0</v>
          </cell>
          <cell r="T489">
            <v>0</v>
          </cell>
          <cell r="U489">
            <v>415</v>
          </cell>
          <cell r="V489">
            <v>1.20109</v>
          </cell>
          <cell r="W489">
            <v>498.45235000000002</v>
          </cell>
          <cell r="X489">
            <v>2.4089800000000001</v>
          </cell>
          <cell r="Y489">
            <v>0</v>
          </cell>
          <cell r="Z489">
            <v>1.20109</v>
          </cell>
          <cell r="AA489">
            <v>498.45235000000002</v>
          </cell>
        </row>
        <row r="490">
          <cell r="B490" t="str">
            <v>P-02-02</v>
          </cell>
          <cell r="C490" t="str">
            <v>ALBENDAZOL .:. 200 mg/5 ml</v>
          </cell>
          <cell r="D490" t="str">
            <v>Suspensión</v>
          </cell>
          <cell r="E490">
            <v>1</v>
          </cell>
          <cell r="F490">
            <v>9.84</v>
          </cell>
          <cell r="H490">
            <v>25</v>
          </cell>
          <cell r="J490">
            <v>245</v>
          </cell>
          <cell r="M490">
            <v>0</v>
          </cell>
          <cell r="N490">
            <v>0</v>
          </cell>
          <cell r="P490">
            <v>16</v>
          </cell>
          <cell r="R490">
            <v>156.84</v>
          </cell>
          <cell r="S490">
            <v>0</v>
          </cell>
          <cell r="T490">
            <v>0</v>
          </cell>
          <cell r="U490">
            <v>10</v>
          </cell>
          <cell r="V490">
            <v>9.8000000000000007</v>
          </cell>
          <cell r="W490">
            <v>98</v>
          </cell>
          <cell r="X490">
            <v>2.4089800000000001</v>
          </cell>
          <cell r="Y490">
            <v>0</v>
          </cell>
          <cell r="Z490">
            <v>9.8000000000000007</v>
          </cell>
          <cell r="AA490">
            <v>98</v>
          </cell>
        </row>
        <row r="491">
          <cell r="B491" t="str">
            <v>P-02-03</v>
          </cell>
          <cell r="C491" t="str">
            <v>MEBENDAZOL .:. 100 mg</v>
          </cell>
          <cell r="D491" t="str">
            <v>Comprimido</v>
          </cell>
          <cell r="E491">
            <v>98</v>
          </cell>
          <cell r="F491">
            <v>20.190000003600002</v>
          </cell>
          <cell r="H491">
            <v>0</v>
          </cell>
          <cell r="J491">
            <v>0</v>
          </cell>
          <cell r="M491">
            <v>0</v>
          </cell>
          <cell r="N491">
            <v>0</v>
          </cell>
          <cell r="P491">
            <v>36</v>
          </cell>
          <cell r="R491">
            <v>7.4167319999999997</v>
          </cell>
          <cell r="S491">
            <v>0</v>
          </cell>
          <cell r="T491">
            <v>0</v>
          </cell>
          <cell r="U491">
            <v>62</v>
          </cell>
          <cell r="V491">
            <v>0.20602000000000001</v>
          </cell>
          <cell r="W491">
            <v>12.773239999999999</v>
          </cell>
          <cell r="X491">
            <v>2.4089800000000001</v>
          </cell>
          <cell r="Y491">
            <v>0</v>
          </cell>
          <cell r="Z491">
            <v>0.20602000000000001</v>
          </cell>
          <cell r="AA491">
            <v>12.773239999999999</v>
          </cell>
        </row>
        <row r="492">
          <cell r="B492" t="str">
            <v>P-02-05</v>
          </cell>
          <cell r="C492" t="str">
            <v>MEBENDAZOL .:. 500 mg</v>
          </cell>
          <cell r="D492" t="str">
            <v>Comprimido</v>
          </cell>
          <cell r="E492">
            <v>252</v>
          </cell>
          <cell r="F492">
            <v>494.32000000319999</v>
          </cell>
          <cell r="H492">
            <v>0</v>
          </cell>
          <cell r="J492">
            <v>0</v>
          </cell>
          <cell r="M492">
            <v>0</v>
          </cell>
          <cell r="N492">
            <v>0</v>
          </cell>
          <cell r="P492">
            <v>2</v>
          </cell>
          <cell r="R492">
            <v>3.9231739999999999</v>
          </cell>
          <cell r="S492">
            <v>0</v>
          </cell>
          <cell r="T492">
            <v>0</v>
          </cell>
          <cell r="U492">
            <v>250</v>
          </cell>
          <cell r="V492">
            <v>1.961587</v>
          </cell>
          <cell r="W492">
            <v>490.39675</v>
          </cell>
          <cell r="X492">
            <v>2.4089800000000001</v>
          </cell>
          <cell r="Y492">
            <v>0</v>
          </cell>
          <cell r="Z492">
            <v>1.961587</v>
          </cell>
          <cell r="AA492">
            <v>490.39675</v>
          </cell>
        </row>
        <row r="493">
          <cell r="B493" t="str">
            <v>P-02-08</v>
          </cell>
          <cell r="C493" t="str">
            <v>PIRANTEL PAMOATO .:. 250 mg/5 ml</v>
          </cell>
          <cell r="D493" t="str">
            <v>Suspensión</v>
          </cell>
          <cell r="E493">
            <v>3</v>
          </cell>
          <cell r="F493">
            <v>37.359999999899998</v>
          </cell>
          <cell r="H493">
            <v>0</v>
          </cell>
          <cell r="J493">
            <v>0</v>
          </cell>
          <cell r="M493">
            <v>0</v>
          </cell>
          <cell r="N493">
            <v>0</v>
          </cell>
          <cell r="P493">
            <v>3</v>
          </cell>
          <cell r="R493">
            <v>37.359999000000002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2.4089800000000001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P-02-14</v>
          </cell>
          <cell r="C494" t="str">
            <v>IVERMECTINA .:. 6 MG</v>
          </cell>
          <cell r="D494" t="str">
            <v>Comprimido</v>
          </cell>
          <cell r="E494">
            <v>1613</v>
          </cell>
          <cell r="F494">
            <v>7258.5</v>
          </cell>
          <cell r="H494">
            <v>0</v>
          </cell>
          <cell r="J494">
            <v>0</v>
          </cell>
          <cell r="M494">
            <v>0</v>
          </cell>
          <cell r="N494">
            <v>0</v>
          </cell>
          <cell r="P494">
            <v>497</v>
          </cell>
          <cell r="R494">
            <v>2236.5</v>
          </cell>
          <cell r="S494">
            <v>0</v>
          </cell>
          <cell r="T494">
            <v>0</v>
          </cell>
          <cell r="U494">
            <v>1116</v>
          </cell>
          <cell r="V494">
            <v>4.5</v>
          </cell>
          <cell r="W494">
            <v>5022</v>
          </cell>
          <cell r="X494">
            <v>2.4089800000000001</v>
          </cell>
          <cell r="Y494">
            <v>0</v>
          </cell>
          <cell r="Z494">
            <v>4.5</v>
          </cell>
          <cell r="AA494">
            <v>5022</v>
          </cell>
        </row>
        <row r="495">
          <cell r="B495" t="str">
            <v>P-03-01</v>
          </cell>
          <cell r="C495" t="str">
            <v>BENZOATO DE BENCILO .:. 20% o 25%</v>
          </cell>
          <cell r="D495" t="str">
            <v>Solución o Loción</v>
          </cell>
          <cell r="E495">
            <v>4</v>
          </cell>
          <cell r="F495">
            <v>31.2</v>
          </cell>
          <cell r="H495">
            <v>15</v>
          </cell>
          <cell r="J495">
            <v>140.25</v>
          </cell>
          <cell r="M495">
            <v>0</v>
          </cell>
          <cell r="N495">
            <v>0</v>
          </cell>
          <cell r="P495">
            <v>11</v>
          </cell>
          <cell r="R495">
            <v>96.65</v>
          </cell>
          <cell r="S495">
            <v>0</v>
          </cell>
          <cell r="T495">
            <v>0</v>
          </cell>
          <cell r="U495">
            <v>8</v>
          </cell>
          <cell r="V495">
            <v>9.35</v>
          </cell>
          <cell r="W495">
            <v>74.8</v>
          </cell>
          <cell r="X495">
            <v>2.4089800000000001</v>
          </cell>
          <cell r="Y495">
            <v>0</v>
          </cell>
          <cell r="Z495">
            <v>9.35</v>
          </cell>
          <cell r="AA495">
            <v>74.8</v>
          </cell>
        </row>
        <row r="496">
          <cell r="B496" t="str">
            <v>QU-01-15</v>
          </cell>
          <cell r="C496" t="str">
            <v>SONDA DE INTUBACION  K-14 SONDA DE INTUBACION  K-14  .:. s/d</v>
          </cell>
          <cell r="D496" t="str">
            <v>Pieza</v>
          </cell>
          <cell r="E496">
            <v>6</v>
          </cell>
          <cell r="F496">
            <v>21.84</v>
          </cell>
          <cell r="H496">
            <v>0</v>
          </cell>
          <cell r="J496">
            <v>0</v>
          </cell>
          <cell r="M496">
            <v>0</v>
          </cell>
          <cell r="N496">
            <v>0</v>
          </cell>
          <cell r="P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6</v>
          </cell>
          <cell r="V496">
            <v>3.64</v>
          </cell>
          <cell r="W496">
            <v>21.84</v>
          </cell>
          <cell r="X496">
            <v>2.4089800000000001</v>
          </cell>
          <cell r="Y496">
            <v>0</v>
          </cell>
          <cell r="Z496">
            <v>3.64</v>
          </cell>
          <cell r="AA496">
            <v>21.84</v>
          </cell>
        </row>
        <row r="497">
          <cell r="B497" t="str">
            <v>QU-01-18</v>
          </cell>
          <cell r="C497" t="str">
            <v>SONDA DE ALIMENTACION  K-35 SONDA DE ALIMENTACION  K-35  .:. s/d</v>
          </cell>
          <cell r="D497" t="str">
            <v>Unidad</v>
          </cell>
          <cell r="E497">
            <v>5</v>
          </cell>
          <cell r="F497">
            <v>135.16999999999999</v>
          </cell>
          <cell r="H497">
            <v>0</v>
          </cell>
          <cell r="J497">
            <v>0</v>
          </cell>
          <cell r="M497">
            <v>0</v>
          </cell>
          <cell r="N497">
            <v>0</v>
          </cell>
          <cell r="P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5</v>
          </cell>
          <cell r="V497">
            <v>27.033999999999999</v>
          </cell>
          <cell r="W497">
            <v>135.16999999999999</v>
          </cell>
          <cell r="X497">
            <v>2.4089800000000001</v>
          </cell>
          <cell r="Y497">
            <v>0</v>
          </cell>
          <cell r="Z497">
            <v>27.033999999999999</v>
          </cell>
          <cell r="AA497">
            <v>135.16999999999999</v>
          </cell>
        </row>
        <row r="498">
          <cell r="B498" t="str">
            <v>QU-01-27</v>
          </cell>
          <cell r="C498" t="str">
            <v>MALLA SUB-URETRAL DE POLIPROPILENO TOT 1,70X30 MALLA SUB-URETRAL DE POLIPROPILENO TOT 1,70X30  .:. s/d</v>
          </cell>
          <cell r="D498" t="str">
            <v>Pieza</v>
          </cell>
          <cell r="E498">
            <v>1</v>
          </cell>
          <cell r="F498">
            <v>688.79</v>
          </cell>
          <cell r="H498">
            <v>0</v>
          </cell>
          <cell r="J498">
            <v>0</v>
          </cell>
          <cell r="M498">
            <v>0</v>
          </cell>
          <cell r="N498">
            <v>0</v>
          </cell>
          <cell r="P498">
            <v>1</v>
          </cell>
          <cell r="R498">
            <v>688.79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2.4089800000000001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R-03-01</v>
          </cell>
          <cell r="C499" t="str">
            <v>AMINOFILINA .:. 250mg/10ml</v>
          </cell>
          <cell r="D499" t="str">
            <v>Inyectable</v>
          </cell>
          <cell r="E499">
            <v>11</v>
          </cell>
          <cell r="F499">
            <v>57.1900000001</v>
          </cell>
          <cell r="H499">
            <v>0</v>
          </cell>
          <cell r="J499">
            <v>0</v>
          </cell>
          <cell r="M499">
            <v>0</v>
          </cell>
          <cell r="N499">
            <v>0</v>
          </cell>
          <cell r="P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11</v>
          </cell>
          <cell r="V499">
            <v>5.19909</v>
          </cell>
          <cell r="W499">
            <v>57.189990000000002</v>
          </cell>
          <cell r="X499">
            <v>2.4089800000000001</v>
          </cell>
          <cell r="Y499">
            <v>0</v>
          </cell>
          <cell r="Z499">
            <v>5.19909</v>
          </cell>
          <cell r="AA499">
            <v>57.189990000000002</v>
          </cell>
        </row>
        <row r="500">
          <cell r="B500" t="str">
            <v>R-03-03</v>
          </cell>
          <cell r="C500" t="str">
            <v>BECLOMETASONA DIPROPIONATO .:. 50 mcg/inhalación</v>
          </cell>
          <cell r="D500" t="str">
            <v>Aerosol</v>
          </cell>
          <cell r="E500">
            <v>53</v>
          </cell>
          <cell r="F500">
            <v>2336.9999999977999</v>
          </cell>
          <cell r="H500">
            <v>20</v>
          </cell>
          <cell r="J500">
            <v>798</v>
          </cell>
          <cell r="M500">
            <v>24</v>
          </cell>
          <cell r="N500">
            <v>1058.26</v>
          </cell>
          <cell r="P500">
            <v>54</v>
          </cell>
          <cell r="R500">
            <v>2354.1269849999999</v>
          </cell>
          <cell r="S500">
            <v>24</v>
          </cell>
          <cell r="T500">
            <v>1058.26415</v>
          </cell>
          <cell r="U500">
            <v>19</v>
          </cell>
          <cell r="V500">
            <v>41.09836</v>
          </cell>
          <cell r="W500">
            <v>780.86883999999998</v>
          </cell>
          <cell r="X500">
            <v>2.4089800000000001</v>
          </cell>
          <cell r="Y500">
            <v>0</v>
          </cell>
          <cell r="Z500">
            <v>41.09836</v>
          </cell>
          <cell r="AA500">
            <v>780.86883999999998</v>
          </cell>
        </row>
        <row r="501">
          <cell r="B501" t="str">
            <v>R-03-04</v>
          </cell>
          <cell r="C501" t="str">
            <v>SALBUTAMOL .:. 5 mg/ml</v>
          </cell>
          <cell r="D501" t="str">
            <v>Solución para nebulización</v>
          </cell>
          <cell r="E501">
            <v>0</v>
          </cell>
          <cell r="F501">
            <v>0</v>
          </cell>
          <cell r="H501">
            <v>10</v>
          </cell>
          <cell r="J501">
            <v>240</v>
          </cell>
          <cell r="M501">
            <v>0</v>
          </cell>
          <cell r="N501">
            <v>0</v>
          </cell>
          <cell r="P501">
            <v>10</v>
          </cell>
          <cell r="R501">
            <v>240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2.4089800000000001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R-03-06</v>
          </cell>
          <cell r="C502" t="str">
            <v>SALBUTAMOL .:. 0,1 mg/inhalación</v>
          </cell>
          <cell r="D502" t="str">
            <v>Aerosol</v>
          </cell>
          <cell r="E502">
            <v>46</v>
          </cell>
          <cell r="F502">
            <v>910.8</v>
          </cell>
          <cell r="H502">
            <v>124</v>
          </cell>
          <cell r="J502">
            <v>2184</v>
          </cell>
          <cell r="M502">
            <v>0</v>
          </cell>
          <cell r="N502">
            <v>0</v>
          </cell>
          <cell r="P502">
            <v>154</v>
          </cell>
          <cell r="R502">
            <v>2838.8</v>
          </cell>
          <cell r="S502">
            <v>0</v>
          </cell>
          <cell r="T502">
            <v>0</v>
          </cell>
          <cell r="U502">
            <v>16</v>
          </cell>
          <cell r="V502">
            <v>16</v>
          </cell>
          <cell r="W502">
            <v>256</v>
          </cell>
          <cell r="X502">
            <v>2.4089800000000001</v>
          </cell>
          <cell r="Y502">
            <v>0</v>
          </cell>
          <cell r="Z502">
            <v>16</v>
          </cell>
          <cell r="AA502">
            <v>256</v>
          </cell>
        </row>
        <row r="503">
          <cell r="B503" t="str">
            <v>R-03-11</v>
          </cell>
          <cell r="C503" t="str">
            <v>SALMETEROL + FLUTICASONA .:. 25 mcg + 125 mcg</v>
          </cell>
          <cell r="D503" t="str">
            <v>Aerosol</v>
          </cell>
          <cell r="E503">
            <v>115</v>
          </cell>
          <cell r="F503">
            <v>8515.9700000025005</v>
          </cell>
          <cell r="H503">
            <v>200</v>
          </cell>
          <cell r="J503">
            <v>15400</v>
          </cell>
          <cell r="M503">
            <v>2</v>
          </cell>
          <cell r="N503">
            <v>148.113235</v>
          </cell>
          <cell r="P503">
            <v>226</v>
          </cell>
          <cell r="R503">
            <v>17072.267938000001</v>
          </cell>
          <cell r="S503">
            <v>0</v>
          </cell>
          <cell r="T503">
            <v>0</v>
          </cell>
          <cell r="U503">
            <v>91</v>
          </cell>
          <cell r="V503">
            <v>76.833133000000004</v>
          </cell>
          <cell r="W503">
            <v>6991.8151029999999</v>
          </cell>
          <cell r="X503">
            <v>2.4089800000000001</v>
          </cell>
          <cell r="Y503">
            <v>0</v>
          </cell>
          <cell r="Z503">
            <v>76.833133000000004</v>
          </cell>
          <cell r="AA503">
            <v>6991.8151029999999</v>
          </cell>
        </row>
        <row r="504">
          <cell r="B504" t="str">
            <v>R-03-13</v>
          </cell>
          <cell r="C504" t="str">
            <v>MONTELUKAST .:. 10mg</v>
          </cell>
          <cell r="D504" t="str">
            <v>Comprimido o Cápsula</v>
          </cell>
          <cell r="E504">
            <v>770</v>
          </cell>
          <cell r="F504">
            <v>2098.8699999959999</v>
          </cell>
          <cell r="H504">
            <v>510</v>
          </cell>
          <cell r="J504">
            <v>1275</v>
          </cell>
          <cell r="M504">
            <v>463</v>
          </cell>
          <cell r="N504">
            <v>1263.99</v>
          </cell>
          <cell r="P504">
            <v>975</v>
          </cell>
          <cell r="R504">
            <v>2613.3121780000001</v>
          </cell>
          <cell r="S504">
            <v>463</v>
          </cell>
          <cell r="T504">
            <v>1262.0478049999999</v>
          </cell>
          <cell r="U504">
            <v>305</v>
          </cell>
          <cell r="V504">
            <v>2.5</v>
          </cell>
          <cell r="W504">
            <v>762.5</v>
          </cell>
          <cell r="X504">
            <v>2.4089800000000001</v>
          </cell>
          <cell r="Y504">
            <v>0</v>
          </cell>
          <cell r="Z504">
            <v>2.5</v>
          </cell>
          <cell r="AA504">
            <v>762.5</v>
          </cell>
        </row>
        <row r="505">
          <cell r="B505" t="str">
            <v>R-05-01</v>
          </cell>
          <cell r="C505" t="str">
            <v>ANTIGRIPAL (PARACETAMOL + ANTIHISTAMINICO + VASOCONSTRICTOR CON O SIN CAFEINA) .:. Según disponibilidad</v>
          </cell>
          <cell r="D505" t="str">
            <v>Comprimido</v>
          </cell>
          <cell r="E505">
            <v>2897</v>
          </cell>
          <cell r="F505">
            <v>835.53999986309998</v>
          </cell>
          <cell r="H505">
            <v>18000</v>
          </cell>
          <cell r="J505">
            <v>4620</v>
          </cell>
          <cell r="M505">
            <v>0</v>
          </cell>
          <cell r="N505">
            <v>0</v>
          </cell>
          <cell r="P505">
            <v>15423</v>
          </cell>
          <cell r="R505">
            <v>4278.7321009999996</v>
          </cell>
          <cell r="S505">
            <v>0</v>
          </cell>
          <cell r="T505">
            <v>0</v>
          </cell>
          <cell r="U505">
            <v>5474</v>
          </cell>
          <cell r="V505">
            <v>0.21498100000000001</v>
          </cell>
          <cell r="W505">
            <v>1176.8059940000001</v>
          </cell>
          <cell r="X505">
            <v>2.4089800000000001</v>
          </cell>
          <cell r="Y505">
            <v>0</v>
          </cell>
          <cell r="Z505">
            <v>0.21498100000000001</v>
          </cell>
          <cell r="AA505">
            <v>1176.8059940000001</v>
          </cell>
        </row>
        <row r="506">
          <cell r="B506" t="str">
            <v>R-05-02</v>
          </cell>
          <cell r="C506" t="str">
            <v>CODEINA .:. 10 mg/5 ml</v>
          </cell>
          <cell r="D506" t="str">
            <v>Jarabe</v>
          </cell>
          <cell r="E506">
            <v>79</v>
          </cell>
          <cell r="F506">
            <v>1114.0699999973001</v>
          </cell>
          <cell r="H506">
            <v>450</v>
          </cell>
          <cell r="J506">
            <v>6800</v>
          </cell>
          <cell r="M506">
            <v>0</v>
          </cell>
          <cell r="N506">
            <v>0</v>
          </cell>
          <cell r="P506">
            <v>474</v>
          </cell>
          <cell r="R506">
            <v>7181.2710800000004</v>
          </cell>
          <cell r="S506">
            <v>0</v>
          </cell>
          <cell r="T506">
            <v>0</v>
          </cell>
          <cell r="U506">
            <v>55</v>
          </cell>
          <cell r="V506">
            <v>13.32361</v>
          </cell>
          <cell r="W506">
            <v>732.79854999999998</v>
          </cell>
          <cell r="X506">
            <v>2.4089800000000001</v>
          </cell>
          <cell r="Y506">
            <v>0</v>
          </cell>
          <cell r="Z506">
            <v>13.32361</v>
          </cell>
          <cell r="AA506">
            <v>732.79854999999998</v>
          </cell>
        </row>
        <row r="507">
          <cell r="B507" t="str">
            <v>R-05-03</v>
          </cell>
          <cell r="C507" t="str">
            <v>DEXTROMETORFANO BROMHIDRATO .:. 10 mg/5 ml</v>
          </cell>
          <cell r="D507" t="str">
            <v>Jarabe</v>
          </cell>
          <cell r="E507">
            <v>218</v>
          </cell>
          <cell r="F507">
            <v>1383.710000004</v>
          </cell>
          <cell r="H507">
            <v>1600</v>
          </cell>
          <cell r="J507">
            <v>10750</v>
          </cell>
          <cell r="M507">
            <v>10</v>
          </cell>
          <cell r="N507">
            <v>63.472850000000001</v>
          </cell>
          <cell r="P507">
            <v>1435</v>
          </cell>
          <cell r="R507">
            <v>9718.3290340000003</v>
          </cell>
          <cell r="S507">
            <v>0</v>
          </cell>
          <cell r="T507">
            <v>0</v>
          </cell>
          <cell r="U507">
            <v>393</v>
          </cell>
          <cell r="V507">
            <v>6.3075130000000001</v>
          </cell>
          <cell r="W507">
            <v>2478.852609</v>
          </cell>
          <cell r="X507">
            <v>2.4089800000000001</v>
          </cell>
          <cell r="Y507">
            <v>0</v>
          </cell>
          <cell r="Z507">
            <v>6.3075130000000001</v>
          </cell>
          <cell r="AA507">
            <v>2478.852609</v>
          </cell>
        </row>
        <row r="508">
          <cell r="B508" t="str">
            <v>R-06-01</v>
          </cell>
          <cell r="C508" t="str">
            <v>CLORFENAMINA (CLORFENIRAMINA) .:. 4 mg</v>
          </cell>
          <cell r="D508" t="str">
            <v>Comprimido</v>
          </cell>
          <cell r="E508">
            <v>209</v>
          </cell>
          <cell r="F508">
            <v>44.430000008900002</v>
          </cell>
          <cell r="H508">
            <v>980</v>
          </cell>
          <cell r="J508">
            <v>235.2</v>
          </cell>
          <cell r="M508">
            <v>0</v>
          </cell>
          <cell r="N508">
            <v>0</v>
          </cell>
          <cell r="P508">
            <v>906</v>
          </cell>
          <cell r="R508">
            <v>211.709948</v>
          </cell>
          <cell r="S508">
            <v>0</v>
          </cell>
          <cell r="T508">
            <v>0</v>
          </cell>
          <cell r="U508">
            <v>283</v>
          </cell>
          <cell r="V508">
            <v>0.24</v>
          </cell>
          <cell r="W508">
            <v>67.92</v>
          </cell>
          <cell r="X508">
            <v>2.4089800000000001</v>
          </cell>
          <cell r="Y508">
            <v>0</v>
          </cell>
          <cell r="Z508">
            <v>0.24</v>
          </cell>
          <cell r="AA508">
            <v>67.92</v>
          </cell>
        </row>
        <row r="509">
          <cell r="B509" t="str">
            <v>R-06-02</v>
          </cell>
          <cell r="C509" t="str">
            <v>CLORFENAMINA (CLORFENIRAMINA) .:. 2 mg/5 ml</v>
          </cell>
          <cell r="D509" t="str">
            <v>Jarabe</v>
          </cell>
          <cell r="E509">
            <v>15</v>
          </cell>
          <cell r="F509">
            <v>117.58999999949999</v>
          </cell>
          <cell r="H509">
            <v>40</v>
          </cell>
          <cell r="J509">
            <v>293.60000000000002</v>
          </cell>
          <cell r="M509">
            <v>0</v>
          </cell>
          <cell r="N509">
            <v>0</v>
          </cell>
          <cell r="P509">
            <v>44</v>
          </cell>
          <cell r="R509">
            <v>344.30999500000001</v>
          </cell>
          <cell r="S509">
            <v>0</v>
          </cell>
          <cell r="T509">
            <v>0</v>
          </cell>
          <cell r="U509">
            <v>11</v>
          </cell>
          <cell r="V509">
            <v>6.08</v>
          </cell>
          <cell r="W509">
            <v>66.88</v>
          </cell>
          <cell r="X509">
            <v>2.4089800000000001</v>
          </cell>
          <cell r="Y509">
            <v>0</v>
          </cell>
          <cell r="Z509">
            <v>6.08</v>
          </cell>
          <cell r="AA509">
            <v>66.88</v>
          </cell>
        </row>
        <row r="510">
          <cell r="B510" t="str">
            <v>R-06-03</v>
          </cell>
          <cell r="C510" t="str">
            <v>CLORFENAMINA (CLORFENIRAMINA) .:. 10 mg/ml</v>
          </cell>
          <cell r="D510" t="str">
            <v>Inyectable</v>
          </cell>
          <cell r="E510">
            <v>195</v>
          </cell>
          <cell r="F510">
            <v>311.53999999199999</v>
          </cell>
          <cell r="H510">
            <v>400</v>
          </cell>
          <cell r="J510">
            <v>796</v>
          </cell>
          <cell r="M510">
            <v>16</v>
          </cell>
          <cell r="N510">
            <v>29.339907</v>
          </cell>
          <cell r="P510">
            <v>426</v>
          </cell>
          <cell r="R510">
            <v>777.78322500000002</v>
          </cell>
          <cell r="S510">
            <v>0</v>
          </cell>
          <cell r="T510">
            <v>0</v>
          </cell>
          <cell r="U510">
            <v>185</v>
          </cell>
          <cell r="V510">
            <v>1.9410620000000001</v>
          </cell>
          <cell r="W510">
            <v>359.09647000000001</v>
          </cell>
          <cell r="X510">
            <v>2.4089800000000001</v>
          </cell>
          <cell r="Y510">
            <v>0</v>
          </cell>
          <cell r="Z510">
            <v>1.9410620000000001</v>
          </cell>
          <cell r="AA510">
            <v>359.09647000000001</v>
          </cell>
        </row>
        <row r="511">
          <cell r="B511" t="str">
            <v>R-06-04</v>
          </cell>
          <cell r="C511" t="str">
            <v>KETOTIFENO .:. 1 mg</v>
          </cell>
          <cell r="D511" t="str">
            <v>Comprimido</v>
          </cell>
          <cell r="E511">
            <v>225</v>
          </cell>
          <cell r="F511">
            <v>675</v>
          </cell>
          <cell r="H511">
            <v>0</v>
          </cell>
          <cell r="J511">
            <v>0</v>
          </cell>
          <cell r="M511">
            <v>0</v>
          </cell>
          <cell r="N511">
            <v>0</v>
          </cell>
          <cell r="P511">
            <v>160</v>
          </cell>
          <cell r="R511">
            <v>480</v>
          </cell>
          <cell r="S511">
            <v>0</v>
          </cell>
          <cell r="T511">
            <v>0</v>
          </cell>
          <cell r="U511">
            <v>65</v>
          </cell>
          <cell r="V511">
            <v>3</v>
          </cell>
          <cell r="W511">
            <v>195</v>
          </cell>
          <cell r="X511">
            <v>2.4089800000000001</v>
          </cell>
          <cell r="Y511">
            <v>0</v>
          </cell>
          <cell r="Z511">
            <v>3</v>
          </cell>
          <cell r="AA511">
            <v>195</v>
          </cell>
        </row>
        <row r="512">
          <cell r="B512" t="str">
            <v>R-06-07</v>
          </cell>
          <cell r="C512" t="str">
            <v>CETIRIZINA .:. 10 mg</v>
          </cell>
          <cell r="D512" t="str">
            <v>Cápsula o Comprimido</v>
          </cell>
          <cell r="E512">
            <v>1373</v>
          </cell>
          <cell r="F512">
            <v>583.63000003770003</v>
          </cell>
          <cell r="H512">
            <v>5000</v>
          </cell>
          <cell r="J512">
            <v>2000</v>
          </cell>
          <cell r="M512">
            <v>20</v>
          </cell>
          <cell r="N512">
            <v>8</v>
          </cell>
          <cell r="P512">
            <v>5573</v>
          </cell>
          <cell r="R512">
            <v>2263.629927</v>
          </cell>
          <cell r="S512">
            <v>0</v>
          </cell>
          <cell r="T512">
            <v>0</v>
          </cell>
          <cell r="U512">
            <v>820</v>
          </cell>
          <cell r="V512">
            <v>0.4</v>
          </cell>
          <cell r="W512">
            <v>328</v>
          </cell>
          <cell r="X512">
            <v>2.4089800000000001</v>
          </cell>
          <cell r="Y512">
            <v>0</v>
          </cell>
          <cell r="Z512">
            <v>0.4</v>
          </cell>
          <cell r="AA512">
            <v>328</v>
          </cell>
        </row>
        <row r="513">
          <cell r="B513" t="str">
            <v>R-06-08</v>
          </cell>
          <cell r="C513" t="str">
            <v>CETIRIZINA .:. 5 mg/5 ml</v>
          </cell>
          <cell r="D513" t="str">
            <v>Jarabe</v>
          </cell>
          <cell r="E513">
            <v>24</v>
          </cell>
          <cell r="F513">
            <v>255.84</v>
          </cell>
          <cell r="H513">
            <v>50</v>
          </cell>
          <cell r="J513">
            <v>520</v>
          </cell>
          <cell r="M513">
            <v>0</v>
          </cell>
          <cell r="N513">
            <v>0</v>
          </cell>
          <cell r="P513">
            <v>55</v>
          </cell>
          <cell r="R513">
            <v>576.82853499999999</v>
          </cell>
          <cell r="S513">
            <v>0</v>
          </cell>
          <cell r="T513">
            <v>0</v>
          </cell>
          <cell r="U513">
            <v>19</v>
          </cell>
          <cell r="V513">
            <v>10.474285</v>
          </cell>
          <cell r="W513">
            <v>199.011415</v>
          </cell>
          <cell r="X513">
            <v>2.4089800000000001</v>
          </cell>
          <cell r="Y513">
            <v>0</v>
          </cell>
          <cell r="Z513">
            <v>10.474285</v>
          </cell>
          <cell r="AA513">
            <v>199.011415</v>
          </cell>
        </row>
        <row r="514">
          <cell r="B514" t="str">
            <v>S-01-04</v>
          </cell>
          <cell r="C514" t="str">
            <v>CIPROFLOXACINA .:. 0,3%</v>
          </cell>
          <cell r="D514" t="str">
            <v>Solución oftálmica</v>
          </cell>
          <cell r="E514">
            <v>0</v>
          </cell>
          <cell r="F514">
            <v>0</v>
          </cell>
          <cell r="H514">
            <v>30</v>
          </cell>
          <cell r="J514">
            <v>1020</v>
          </cell>
          <cell r="M514">
            <v>0</v>
          </cell>
          <cell r="N514">
            <v>0</v>
          </cell>
          <cell r="P514">
            <v>30</v>
          </cell>
          <cell r="R514">
            <v>1020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2.4089800000000001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S-01-05</v>
          </cell>
          <cell r="C515" t="str">
            <v>CLORANFENICOL .:. 0,5%</v>
          </cell>
          <cell r="D515" t="str">
            <v>Solución oftálmica</v>
          </cell>
          <cell r="E515">
            <v>10</v>
          </cell>
          <cell r="F515">
            <v>93.4</v>
          </cell>
          <cell r="H515">
            <v>0</v>
          </cell>
          <cell r="J515">
            <v>0</v>
          </cell>
          <cell r="M515">
            <v>0</v>
          </cell>
          <cell r="N515">
            <v>0</v>
          </cell>
          <cell r="P515">
            <v>10</v>
          </cell>
          <cell r="R515">
            <v>93.4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2.4089800000000001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S-01-06</v>
          </cell>
          <cell r="C516" t="str">
            <v>CLORANFENICOL .:. 0.01</v>
          </cell>
          <cell r="D516" t="str">
            <v>Ungüento oftálmico</v>
          </cell>
          <cell r="E516">
            <v>9</v>
          </cell>
          <cell r="F516">
            <v>177.3</v>
          </cell>
          <cell r="H516">
            <v>0</v>
          </cell>
          <cell r="J516">
            <v>0</v>
          </cell>
          <cell r="M516">
            <v>0</v>
          </cell>
          <cell r="N516">
            <v>0</v>
          </cell>
          <cell r="P516">
            <v>5</v>
          </cell>
          <cell r="R516">
            <v>98.5</v>
          </cell>
          <cell r="S516">
            <v>0</v>
          </cell>
          <cell r="T516">
            <v>0</v>
          </cell>
          <cell r="U516">
            <v>4</v>
          </cell>
          <cell r="V516">
            <v>19.7</v>
          </cell>
          <cell r="W516">
            <v>78.8</v>
          </cell>
          <cell r="X516">
            <v>2.4089800000000001</v>
          </cell>
          <cell r="Y516">
            <v>0</v>
          </cell>
          <cell r="Z516">
            <v>19.7</v>
          </cell>
          <cell r="AA516">
            <v>78.8</v>
          </cell>
        </row>
        <row r="517">
          <cell r="B517" t="str">
            <v>S-01-09</v>
          </cell>
          <cell r="C517" t="str">
            <v>DEXAMETASONA .:. 0,1%</v>
          </cell>
          <cell r="D517" t="str">
            <v>Solución oftálmica</v>
          </cell>
          <cell r="E517">
            <v>71</v>
          </cell>
          <cell r="F517">
            <v>603.5</v>
          </cell>
          <cell r="H517">
            <v>200</v>
          </cell>
          <cell r="J517">
            <v>1560</v>
          </cell>
          <cell r="M517">
            <v>0</v>
          </cell>
          <cell r="N517">
            <v>0</v>
          </cell>
          <cell r="P517">
            <v>187</v>
          </cell>
          <cell r="R517">
            <v>1508.3</v>
          </cell>
          <cell r="S517">
            <v>0</v>
          </cell>
          <cell r="T517">
            <v>0</v>
          </cell>
          <cell r="U517">
            <v>84</v>
          </cell>
          <cell r="V517">
            <v>7.8</v>
          </cell>
          <cell r="W517">
            <v>655.20000000000005</v>
          </cell>
          <cell r="X517">
            <v>2.4089800000000001</v>
          </cell>
          <cell r="Y517">
            <v>0</v>
          </cell>
          <cell r="Z517">
            <v>7.8</v>
          </cell>
          <cell r="AA517">
            <v>655.20000000000005</v>
          </cell>
        </row>
        <row r="518">
          <cell r="B518" t="str">
            <v>S-01-12</v>
          </cell>
          <cell r="C518" t="str">
            <v>DORZOLAMIDA .:. 0.02</v>
          </cell>
          <cell r="D518" t="str">
            <v>Solución oftálmica</v>
          </cell>
          <cell r="E518">
            <v>20</v>
          </cell>
          <cell r="F518">
            <v>974</v>
          </cell>
          <cell r="H518">
            <v>150</v>
          </cell>
          <cell r="J518">
            <v>7498.5</v>
          </cell>
          <cell r="M518">
            <v>0</v>
          </cell>
          <cell r="N518">
            <v>0</v>
          </cell>
          <cell r="P518">
            <v>134</v>
          </cell>
          <cell r="R518">
            <v>6672.86</v>
          </cell>
          <cell r="S518">
            <v>0</v>
          </cell>
          <cell r="T518">
            <v>0</v>
          </cell>
          <cell r="U518">
            <v>36</v>
          </cell>
          <cell r="V518">
            <v>49.99</v>
          </cell>
          <cell r="W518">
            <v>1799.64</v>
          </cell>
          <cell r="X518">
            <v>2.4089800000000001</v>
          </cell>
          <cell r="Y518">
            <v>0</v>
          </cell>
          <cell r="Z518">
            <v>49.99</v>
          </cell>
          <cell r="AA518">
            <v>1799.64</v>
          </cell>
        </row>
        <row r="519">
          <cell r="B519" t="str">
            <v>S-01-15</v>
          </cell>
          <cell r="C519" t="str">
            <v>GENTAMICINA .:. 0,3%</v>
          </cell>
          <cell r="D519" t="str">
            <v>Ungüento oftálmico</v>
          </cell>
          <cell r="E519">
            <v>9</v>
          </cell>
          <cell r="F519">
            <v>171</v>
          </cell>
          <cell r="H519">
            <v>0</v>
          </cell>
          <cell r="J519">
            <v>0</v>
          </cell>
          <cell r="M519">
            <v>0</v>
          </cell>
          <cell r="N519">
            <v>0</v>
          </cell>
          <cell r="P519">
            <v>7</v>
          </cell>
          <cell r="R519">
            <v>133</v>
          </cell>
          <cell r="S519">
            <v>0</v>
          </cell>
          <cell r="T519">
            <v>0</v>
          </cell>
          <cell r="U519">
            <v>2</v>
          </cell>
          <cell r="V519">
            <v>19</v>
          </cell>
          <cell r="W519">
            <v>38</v>
          </cell>
          <cell r="X519">
            <v>2.4089800000000001</v>
          </cell>
          <cell r="Y519">
            <v>0</v>
          </cell>
          <cell r="Z519">
            <v>19</v>
          </cell>
          <cell r="AA519">
            <v>38</v>
          </cell>
        </row>
        <row r="520">
          <cell r="B520" t="str">
            <v>S-01-16</v>
          </cell>
          <cell r="C520" t="str">
            <v>GENTAMICINA .:. 0,3%</v>
          </cell>
          <cell r="D520" t="str">
            <v>Solución oftálmica</v>
          </cell>
          <cell r="E520">
            <v>11</v>
          </cell>
          <cell r="F520">
            <v>88</v>
          </cell>
          <cell r="H520">
            <v>130</v>
          </cell>
          <cell r="J520">
            <v>1430</v>
          </cell>
          <cell r="M520">
            <v>0</v>
          </cell>
          <cell r="N520">
            <v>0</v>
          </cell>
          <cell r="P520">
            <v>133</v>
          </cell>
          <cell r="R520">
            <v>1430</v>
          </cell>
          <cell r="S520">
            <v>0</v>
          </cell>
          <cell r="T520">
            <v>0</v>
          </cell>
          <cell r="U520">
            <v>8</v>
          </cell>
          <cell r="V520">
            <v>11</v>
          </cell>
          <cell r="W520">
            <v>88</v>
          </cell>
          <cell r="X520">
            <v>2.4089800000000001</v>
          </cell>
          <cell r="Y520">
            <v>0</v>
          </cell>
          <cell r="Z520">
            <v>11</v>
          </cell>
          <cell r="AA520">
            <v>88</v>
          </cell>
        </row>
        <row r="521">
          <cell r="B521" t="str">
            <v>S-01-18</v>
          </cell>
          <cell r="C521" t="str">
            <v>LAGRIMAS ARTIFICIALES .:. 0,3% o 1%</v>
          </cell>
          <cell r="D521" t="str">
            <v>Solución oftálmica</v>
          </cell>
          <cell r="E521">
            <v>305</v>
          </cell>
          <cell r="F521">
            <v>6679.5</v>
          </cell>
          <cell r="H521">
            <v>900</v>
          </cell>
          <cell r="J521">
            <v>15810</v>
          </cell>
          <cell r="M521">
            <v>0</v>
          </cell>
          <cell r="N521">
            <v>0</v>
          </cell>
          <cell r="P521">
            <v>1059</v>
          </cell>
          <cell r="R521">
            <v>20207.452764000001</v>
          </cell>
          <cell r="S521">
            <v>0</v>
          </cell>
          <cell r="T521">
            <v>0</v>
          </cell>
          <cell r="U521">
            <v>146</v>
          </cell>
          <cell r="V521">
            <v>15.630458000000001</v>
          </cell>
          <cell r="W521">
            <v>2282.0468679999999</v>
          </cell>
          <cell r="X521">
            <v>2.4089800000000001</v>
          </cell>
          <cell r="Y521">
            <v>0</v>
          </cell>
          <cell r="Z521">
            <v>15.630458000000001</v>
          </cell>
          <cell r="AA521">
            <v>2282.0468679999999</v>
          </cell>
        </row>
        <row r="522">
          <cell r="B522" t="str">
            <v>S-01-19</v>
          </cell>
          <cell r="C522" t="str">
            <v>NAFAZOLINA CLORHIDRATO .:. 0,1%</v>
          </cell>
          <cell r="D522" t="str">
            <v>Solución oftálmica</v>
          </cell>
          <cell r="E522">
            <v>0</v>
          </cell>
          <cell r="F522">
            <v>0</v>
          </cell>
          <cell r="H522">
            <v>50</v>
          </cell>
          <cell r="J522">
            <v>1095</v>
          </cell>
          <cell r="M522">
            <v>0</v>
          </cell>
          <cell r="N522">
            <v>0</v>
          </cell>
          <cell r="P522">
            <v>50</v>
          </cell>
          <cell r="R522">
            <v>1095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2.4089800000000001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S-01-22</v>
          </cell>
          <cell r="C523" t="str">
            <v>TIMOLOL MALEATO .:. 0,5%</v>
          </cell>
          <cell r="D523" t="str">
            <v>Solución oftálmica</v>
          </cell>
          <cell r="E523">
            <v>123</v>
          </cell>
          <cell r="F523">
            <v>2001.9299999955001</v>
          </cell>
          <cell r="H523">
            <v>300</v>
          </cell>
          <cell r="J523">
            <v>6330</v>
          </cell>
          <cell r="M523">
            <v>0</v>
          </cell>
          <cell r="N523">
            <v>0</v>
          </cell>
          <cell r="P523">
            <v>349</v>
          </cell>
          <cell r="R523">
            <v>6803.9635779999999</v>
          </cell>
          <cell r="S523">
            <v>0</v>
          </cell>
          <cell r="T523">
            <v>0</v>
          </cell>
          <cell r="U523">
            <v>74</v>
          </cell>
          <cell r="V523">
            <v>20.648191000000001</v>
          </cell>
          <cell r="W523">
            <v>1527.966134</v>
          </cell>
          <cell r="X523">
            <v>2.4089800000000001</v>
          </cell>
          <cell r="Y523">
            <v>0</v>
          </cell>
          <cell r="Z523">
            <v>20.648191000000001</v>
          </cell>
          <cell r="AA523">
            <v>1527.966134</v>
          </cell>
        </row>
        <row r="524">
          <cell r="B524" t="str">
            <v>S-01-24</v>
          </cell>
          <cell r="C524" t="str">
            <v>CORTICOIDE  (DEXAMETASONA) + ANTIINFECCIOSO (CIPROFLOXACINO) DE ACCION TOPICA .:. Según disponibilidad</v>
          </cell>
          <cell r="D524" t="str">
            <v>Solución oftálmica</v>
          </cell>
          <cell r="E524">
            <v>0</v>
          </cell>
          <cell r="F524">
            <v>0</v>
          </cell>
          <cell r="H524">
            <v>54</v>
          </cell>
          <cell r="J524">
            <v>1290.24</v>
          </cell>
          <cell r="M524">
            <v>0</v>
          </cell>
          <cell r="N524">
            <v>0</v>
          </cell>
          <cell r="P524">
            <v>48</v>
          </cell>
          <cell r="R524">
            <v>1155.18</v>
          </cell>
          <cell r="S524">
            <v>0</v>
          </cell>
          <cell r="T524">
            <v>0</v>
          </cell>
          <cell r="U524">
            <v>6</v>
          </cell>
          <cell r="V524">
            <v>22.51</v>
          </cell>
          <cell r="W524">
            <v>135.06</v>
          </cell>
          <cell r="X524">
            <v>2.4089800000000001</v>
          </cell>
          <cell r="Y524">
            <v>0</v>
          </cell>
          <cell r="Z524">
            <v>22.51</v>
          </cell>
          <cell r="AA524">
            <v>135.06</v>
          </cell>
        </row>
        <row r="525">
          <cell r="B525" t="str">
            <v>S-01-25</v>
          </cell>
          <cell r="C525" t="str">
            <v>CORTICOIDE + ANTIINFECCIOSO DE ACCION TOPICA .:. Según disponibilidad</v>
          </cell>
          <cell r="D525" t="str">
            <v>Ungüento oftálmico</v>
          </cell>
          <cell r="E525">
            <v>0</v>
          </cell>
          <cell r="F525">
            <v>0</v>
          </cell>
          <cell r="H525">
            <v>15</v>
          </cell>
          <cell r="J525">
            <v>585</v>
          </cell>
          <cell r="M525">
            <v>0</v>
          </cell>
          <cell r="N525">
            <v>0</v>
          </cell>
          <cell r="P525">
            <v>15</v>
          </cell>
          <cell r="R525">
            <v>585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2.4089800000000001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S-01-26</v>
          </cell>
          <cell r="C526" t="str">
            <v>LAGRIMAS ARTIFICIALES .:. 0,3% o 1%</v>
          </cell>
          <cell r="D526" t="str">
            <v>Gel</v>
          </cell>
          <cell r="E526">
            <v>12</v>
          </cell>
          <cell r="F526">
            <v>573.24</v>
          </cell>
          <cell r="H526">
            <v>20</v>
          </cell>
          <cell r="J526">
            <v>955.2</v>
          </cell>
          <cell r="M526">
            <v>0</v>
          </cell>
          <cell r="N526">
            <v>0</v>
          </cell>
          <cell r="P526">
            <v>18</v>
          </cell>
          <cell r="R526">
            <v>859.76768400000003</v>
          </cell>
          <cell r="S526">
            <v>0</v>
          </cell>
          <cell r="T526">
            <v>0</v>
          </cell>
          <cell r="U526">
            <v>14</v>
          </cell>
          <cell r="V526">
            <v>47.762307</v>
          </cell>
          <cell r="W526">
            <v>668.67229799999996</v>
          </cell>
          <cell r="X526">
            <v>2.4089800000000001</v>
          </cell>
          <cell r="Y526">
            <v>0</v>
          </cell>
          <cell r="Z526">
            <v>47.762307</v>
          </cell>
          <cell r="AA526">
            <v>668.67229799999996</v>
          </cell>
        </row>
        <row r="527">
          <cell r="B527" t="str">
            <v>S-01-27</v>
          </cell>
          <cell r="C527" t="str">
            <v>LATANOPROST .:. 50 mcg/ml</v>
          </cell>
          <cell r="D527" t="str">
            <v>Solución oftálmica</v>
          </cell>
          <cell r="E527">
            <v>30</v>
          </cell>
          <cell r="F527">
            <v>2541</v>
          </cell>
          <cell r="H527">
            <v>180</v>
          </cell>
          <cell r="J527">
            <v>15765</v>
          </cell>
          <cell r="M527">
            <v>0</v>
          </cell>
          <cell r="N527">
            <v>0</v>
          </cell>
          <cell r="P527">
            <v>198</v>
          </cell>
          <cell r="R527">
            <v>17246.785692000001</v>
          </cell>
          <cell r="S527">
            <v>0</v>
          </cell>
          <cell r="T527">
            <v>0</v>
          </cell>
          <cell r="U527">
            <v>12</v>
          </cell>
          <cell r="V527">
            <v>88.267857000000006</v>
          </cell>
          <cell r="W527">
            <v>1059.2142839999999</v>
          </cell>
          <cell r="X527">
            <v>2.4089800000000001</v>
          </cell>
          <cell r="Y527">
            <v>0</v>
          </cell>
          <cell r="Z527">
            <v>88.267857000000006</v>
          </cell>
          <cell r="AA527">
            <v>1059.2142839999999</v>
          </cell>
        </row>
        <row r="528">
          <cell r="B528" t="str">
            <v>S-02-01</v>
          </cell>
          <cell r="C528" t="str">
            <v>GLICERINA + CARBONATO DE SODIO .:. Según disponibilidad</v>
          </cell>
          <cell r="D528" t="str">
            <v>Gotas óticas</v>
          </cell>
          <cell r="E528">
            <v>8</v>
          </cell>
          <cell r="F528">
            <v>202.64</v>
          </cell>
          <cell r="H528">
            <v>40</v>
          </cell>
          <cell r="J528">
            <v>996</v>
          </cell>
          <cell r="M528">
            <v>0</v>
          </cell>
          <cell r="N528">
            <v>0</v>
          </cell>
          <cell r="P528">
            <v>24</v>
          </cell>
          <cell r="R528">
            <v>601.04</v>
          </cell>
          <cell r="S528">
            <v>0</v>
          </cell>
          <cell r="T528">
            <v>0</v>
          </cell>
          <cell r="U528">
            <v>24</v>
          </cell>
          <cell r="V528">
            <v>24.9</v>
          </cell>
          <cell r="W528">
            <v>597.6</v>
          </cell>
          <cell r="X528">
            <v>2.4089800000000001</v>
          </cell>
          <cell r="Y528">
            <v>0</v>
          </cell>
          <cell r="Z528">
            <v>24.9</v>
          </cell>
          <cell r="AA528">
            <v>597.6</v>
          </cell>
        </row>
        <row r="529">
          <cell r="B529" t="str">
            <v>V-03-01</v>
          </cell>
          <cell r="C529" t="str">
            <v>ACETIL CISTEINA .:. 0.1</v>
          </cell>
          <cell r="D529" t="str">
            <v>Inyectable</v>
          </cell>
          <cell r="E529">
            <v>1062</v>
          </cell>
          <cell r="F529">
            <v>10519.940000046599</v>
          </cell>
          <cell r="H529">
            <v>2600</v>
          </cell>
          <cell r="J529">
            <v>25887</v>
          </cell>
          <cell r="M529">
            <v>54</v>
          </cell>
          <cell r="N529">
            <v>537.04058599999996</v>
          </cell>
          <cell r="P529">
            <v>3391</v>
          </cell>
          <cell r="R529">
            <v>33715.793151999998</v>
          </cell>
          <cell r="S529">
            <v>0</v>
          </cell>
          <cell r="T529">
            <v>0</v>
          </cell>
          <cell r="U529">
            <v>325</v>
          </cell>
          <cell r="V529">
            <v>9.9328830000000004</v>
          </cell>
          <cell r="W529">
            <v>3228.1869750000001</v>
          </cell>
          <cell r="X529">
            <v>2.4089800000000001</v>
          </cell>
          <cell r="Y529">
            <v>0</v>
          </cell>
          <cell r="Z529">
            <v>9.9328830000000004</v>
          </cell>
          <cell r="AA529">
            <v>3228.1869750000001</v>
          </cell>
        </row>
        <row r="530">
          <cell r="B530" t="str">
            <v>V-03-07</v>
          </cell>
          <cell r="C530" t="str">
            <v>LEUCOVORINA .:. 50 mg</v>
          </cell>
          <cell r="D530" t="str">
            <v>Inyectable</v>
          </cell>
          <cell r="E530">
            <v>0</v>
          </cell>
          <cell r="F530">
            <v>0</v>
          </cell>
          <cell r="H530">
            <v>105</v>
          </cell>
          <cell r="J530">
            <v>4260</v>
          </cell>
          <cell r="M530">
            <v>0</v>
          </cell>
          <cell r="N530">
            <v>0</v>
          </cell>
          <cell r="P530">
            <v>105</v>
          </cell>
          <cell r="R530">
            <v>4260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2.4089800000000001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V-06-01</v>
          </cell>
          <cell r="C531" t="str">
            <v>PROTEINAS PARA ALIMENTACION ENTERAL (ALIMENTO) .:. Según disponibilidad</v>
          </cell>
          <cell r="D531" t="str">
            <v>Polvo</v>
          </cell>
          <cell r="E531">
            <v>97</v>
          </cell>
          <cell r="F531">
            <v>9675.75</v>
          </cell>
          <cell r="H531">
            <v>0</v>
          </cell>
          <cell r="J531">
            <v>0</v>
          </cell>
          <cell r="M531">
            <v>0</v>
          </cell>
          <cell r="N531">
            <v>0</v>
          </cell>
          <cell r="P531">
            <v>39</v>
          </cell>
          <cell r="R531">
            <v>3890.25</v>
          </cell>
          <cell r="S531">
            <v>0</v>
          </cell>
          <cell r="T531">
            <v>0</v>
          </cell>
          <cell r="U531">
            <v>58</v>
          </cell>
          <cell r="V531">
            <v>99.75</v>
          </cell>
          <cell r="W531">
            <v>5785.5</v>
          </cell>
          <cell r="X531">
            <v>2.4089800000000001</v>
          </cell>
          <cell r="Y531">
            <v>0</v>
          </cell>
          <cell r="Z531">
            <v>99.75</v>
          </cell>
          <cell r="AA531">
            <v>5785.5</v>
          </cell>
        </row>
        <row r="532">
          <cell r="B532" t="str">
            <v>V-06-04</v>
          </cell>
          <cell r="C532" t="str">
            <v>COMPLEMENTO NUTRICIONAL (CARMELO) .:. Según concentración</v>
          </cell>
          <cell r="D532" t="str">
            <v>Polvo</v>
          </cell>
          <cell r="E532">
            <v>128</v>
          </cell>
          <cell r="F532">
            <v>6835.2</v>
          </cell>
          <cell r="H532">
            <v>300</v>
          </cell>
          <cell r="J532">
            <v>16197</v>
          </cell>
          <cell r="M532">
            <v>0</v>
          </cell>
          <cell r="N532">
            <v>0</v>
          </cell>
          <cell r="P532">
            <v>323</v>
          </cell>
          <cell r="R532">
            <v>17363.455644999998</v>
          </cell>
          <cell r="S532">
            <v>0</v>
          </cell>
          <cell r="T532">
            <v>0</v>
          </cell>
          <cell r="U532">
            <v>105</v>
          </cell>
          <cell r="V532">
            <v>53.988039000000001</v>
          </cell>
          <cell r="W532">
            <v>5668.744095</v>
          </cell>
          <cell r="X532">
            <v>2.4089800000000001</v>
          </cell>
          <cell r="Y532">
            <v>0</v>
          </cell>
          <cell r="Z532">
            <v>53.988039000000001</v>
          </cell>
          <cell r="AA532">
            <v>5668.744095</v>
          </cell>
        </row>
        <row r="533">
          <cell r="B533" t="str">
            <v>V-06-05</v>
          </cell>
          <cell r="C533" t="str">
            <v>COMPLEMENTO NUTRICIONAL .:. Según concentración</v>
          </cell>
          <cell r="D533" t="str">
            <v>Polvo</v>
          </cell>
          <cell r="E533">
            <v>24</v>
          </cell>
          <cell r="F533">
            <v>3941.8000000008001</v>
          </cell>
          <cell r="H533">
            <v>100</v>
          </cell>
          <cell r="J533">
            <v>16399</v>
          </cell>
          <cell r="M533">
            <v>0</v>
          </cell>
          <cell r="N533">
            <v>0</v>
          </cell>
          <cell r="P533">
            <v>121</v>
          </cell>
          <cell r="R533">
            <v>19848.829984</v>
          </cell>
          <cell r="S533">
            <v>0</v>
          </cell>
          <cell r="T533">
            <v>0</v>
          </cell>
          <cell r="U533">
            <v>3</v>
          </cell>
          <cell r="V533">
            <v>163.99</v>
          </cell>
          <cell r="W533">
            <v>491.97</v>
          </cell>
          <cell r="X533">
            <v>2.4089800000000001</v>
          </cell>
          <cell r="Y533">
            <v>0</v>
          </cell>
          <cell r="Z533">
            <v>163.99</v>
          </cell>
          <cell r="AA533">
            <v>491.97</v>
          </cell>
        </row>
        <row r="534">
          <cell r="B534" t="str">
            <v>V-06-06</v>
          </cell>
          <cell r="C534" t="str">
            <v>COMPLEMENTO NUTRICIONAL (DIABETICO) .:. Según concentración</v>
          </cell>
          <cell r="D534" t="str">
            <v>Polvo</v>
          </cell>
          <cell r="E534">
            <v>13</v>
          </cell>
          <cell r="F534">
            <v>1092</v>
          </cell>
          <cell r="H534">
            <v>30</v>
          </cell>
          <cell r="J534">
            <v>2549.6999999999998</v>
          </cell>
          <cell r="M534">
            <v>0</v>
          </cell>
          <cell r="N534">
            <v>0</v>
          </cell>
          <cell r="P534">
            <v>43</v>
          </cell>
          <cell r="R534">
            <v>3641.6999860000001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2.4089800000000001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V-08-02</v>
          </cell>
          <cell r="C535" t="str">
            <v>CONTRASTE IODADO .:. Según disponibilidad (50 ml)</v>
          </cell>
          <cell r="D535" t="str">
            <v>Inyectable</v>
          </cell>
          <cell r="E535">
            <v>20</v>
          </cell>
          <cell r="F535">
            <v>5800</v>
          </cell>
          <cell r="H535">
            <v>20</v>
          </cell>
          <cell r="J535">
            <v>6097.4</v>
          </cell>
          <cell r="M535">
            <v>1</v>
          </cell>
          <cell r="N535">
            <v>290</v>
          </cell>
          <cell r="P535">
            <v>25</v>
          </cell>
          <cell r="R535">
            <v>7309.48</v>
          </cell>
          <cell r="S535">
            <v>0</v>
          </cell>
          <cell r="T535">
            <v>0</v>
          </cell>
          <cell r="U535">
            <v>16</v>
          </cell>
          <cell r="V535">
            <v>304.87</v>
          </cell>
          <cell r="W535">
            <v>4877.92</v>
          </cell>
          <cell r="X535">
            <v>2.4089800000000001</v>
          </cell>
          <cell r="Y535">
            <v>0</v>
          </cell>
          <cell r="Z535">
            <v>304.87</v>
          </cell>
          <cell r="AA535">
            <v>4877.92</v>
          </cell>
        </row>
        <row r="536">
          <cell r="B536" t="str">
            <v>V-08-03</v>
          </cell>
          <cell r="C536" t="str">
            <v>CONTRASTE IODADO .:. Según disponibilidad (100 ml o 200 ml)</v>
          </cell>
          <cell r="D536" t="str">
            <v>Inyectable</v>
          </cell>
          <cell r="E536">
            <v>19</v>
          </cell>
          <cell r="F536">
            <v>9500</v>
          </cell>
          <cell r="H536">
            <v>0</v>
          </cell>
          <cell r="J536">
            <v>0</v>
          </cell>
          <cell r="M536">
            <v>0</v>
          </cell>
          <cell r="N536">
            <v>0</v>
          </cell>
          <cell r="P536">
            <v>19</v>
          </cell>
          <cell r="R536">
            <v>9500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2.4089800000000001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V-08-05</v>
          </cell>
          <cell r="C537" t="str">
            <v>GADOPENTATO DE DIMEGLUMINA .:. 469 mg/ml</v>
          </cell>
          <cell r="D537" t="str">
            <v>Inyectable</v>
          </cell>
          <cell r="E537">
            <v>17</v>
          </cell>
          <cell r="F537">
            <v>7140</v>
          </cell>
          <cell r="H537">
            <v>10</v>
          </cell>
          <cell r="J537">
            <v>4499.8999999999996</v>
          </cell>
          <cell r="M537">
            <v>1</v>
          </cell>
          <cell r="N537">
            <v>420</v>
          </cell>
          <cell r="P537">
            <v>24</v>
          </cell>
          <cell r="R537">
            <v>10259.94</v>
          </cell>
          <cell r="S537">
            <v>0</v>
          </cell>
          <cell r="T537">
            <v>0</v>
          </cell>
          <cell r="U537">
            <v>4</v>
          </cell>
          <cell r="V537">
            <v>449.99</v>
          </cell>
          <cell r="W537">
            <v>1799.96</v>
          </cell>
          <cell r="X537">
            <v>2.4089800000000001</v>
          </cell>
          <cell r="Y537">
            <v>0</v>
          </cell>
          <cell r="Z537">
            <v>449.99</v>
          </cell>
          <cell r="AA537">
            <v>1799.96</v>
          </cell>
        </row>
        <row r="538">
          <cell r="B538" t="str">
            <v>V-08-06</v>
          </cell>
          <cell r="C538" t="str">
            <v>MEGLUMINA DIATRIZOATO .:. 70% o 76% (20 ml)</v>
          </cell>
          <cell r="D538" t="str">
            <v>Inyectable</v>
          </cell>
          <cell r="E538">
            <v>30</v>
          </cell>
          <cell r="F538">
            <v>3902.4200000010001</v>
          </cell>
          <cell r="H538">
            <v>0</v>
          </cell>
          <cell r="J538">
            <v>0</v>
          </cell>
          <cell r="M538">
            <v>0</v>
          </cell>
          <cell r="N538">
            <v>0</v>
          </cell>
          <cell r="P538">
            <v>8</v>
          </cell>
          <cell r="R538">
            <v>1040.6453280000001</v>
          </cell>
          <cell r="S538">
            <v>0</v>
          </cell>
          <cell r="T538">
            <v>0</v>
          </cell>
          <cell r="U538">
            <v>22</v>
          </cell>
          <cell r="V538">
            <v>130.08066600000001</v>
          </cell>
          <cell r="W538">
            <v>2861.7746520000001</v>
          </cell>
          <cell r="X538">
            <v>2.4089800000000001</v>
          </cell>
          <cell r="Y538">
            <v>0</v>
          </cell>
          <cell r="Z538">
            <v>130.08066600000001</v>
          </cell>
          <cell r="AA538">
            <v>2861.7746520000001</v>
          </cell>
        </row>
        <row r="539">
          <cell r="B539" t="str">
            <v>V-08-07</v>
          </cell>
          <cell r="C539" t="str">
            <v>MEGLUMINA DIATRIZOATO .:. 70% o 76% (50 ml)</v>
          </cell>
          <cell r="D539" t="str">
            <v>Inyectable</v>
          </cell>
          <cell r="E539">
            <v>17</v>
          </cell>
          <cell r="F539">
            <v>2720</v>
          </cell>
          <cell r="H539">
            <v>55</v>
          </cell>
          <cell r="J539">
            <v>8736</v>
          </cell>
          <cell r="M539">
            <v>1</v>
          </cell>
          <cell r="N539">
            <v>160</v>
          </cell>
          <cell r="P539">
            <v>59</v>
          </cell>
          <cell r="R539">
            <v>9420.7999999999993</v>
          </cell>
          <cell r="S539">
            <v>0</v>
          </cell>
          <cell r="T539">
            <v>0</v>
          </cell>
          <cell r="U539">
            <v>14</v>
          </cell>
          <cell r="V539">
            <v>156.80000000000001</v>
          </cell>
          <cell r="W539">
            <v>2195.1999999999998</v>
          </cell>
          <cell r="X539">
            <v>2.4089800000000001</v>
          </cell>
          <cell r="Y539">
            <v>0</v>
          </cell>
          <cell r="Z539">
            <v>156.80000000000001</v>
          </cell>
          <cell r="AA539">
            <v>2195.1999999999998</v>
          </cell>
        </row>
        <row r="540">
          <cell r="B540" t="str">
            <v>V-08-08</v>
          </cell>
          <cell r="C540" t="str">
            <v>SULFATO DE BARIO .:. Según disponibilidad</v>
          </cell>
          <cell r="D540" t="str">
            <v>Suspensión</v>
          </cell>
          <cell r="E540">
            <v>11</v>
          </cell>
          <cell r="F540">
            <v>2577.6000000003</v>
          </cell>
          <cell r="H540">
            <v>0</v>
          </cell>
          <cell r="J540">
            <v>0</v>
          </cell>
          <cell r="M540">
            <v>0</v>
          </cell>
          <cell r="N540">
            <v>0</v>
          </cell>
          <cell r="P540">
            <v>8</v>
          </cell>
          <cell r="R540">
            <v>1874.6181759999999</v>
          </cell>
          <cell r="S540">
            <v>0</v>
          </cell>
          <cell r="T540">
            <v>0</v>
          </cell>
          <cell r="U540">
            <v>3</v>
          </cell>
          <cell r="V540">
            <v>234.32727199999999</v>
          </cell>
          <cell r="W540">
            <v>702.98181599999998</v>
          </cell>
          <cell r="X540">
            <v>2.4089800000000001</v>
          </cell>
          <cell r="Y540">
            <v>0</v>
          </cell>
          <cell r="Z540">
            <v>234.32727199999999</v>
          </cell>
          <cell r="AA540">
            <v>702.98181599999998</v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>TOTAL:</v>
          </cell>
          <cell r="H541" t="str">
            <v/>
          </cell>
          <cell r="J541" t="str">
            <v>TOTAL:</v>
          </cell>
          <cell r="M541" t="str">
            <v/>
          </cell>
          <cell r="N541" t="str">
            <v>TOTAL:</v>
          </cell>
          <cell r="P541" t="str">
            <v/>
          </cell>
          <cell r="R541" t="str">
            <v>TOTAL:</v>
          </cell>
          <cell r="S541" t="str">
            <v/>
          </cell>
          <cell r="T541" t="str">
            <v>TOTAL:</v>
          </cell>
          <cell r="U541" t="str">
            <v/>
          </cell>
          <cell r="V541" t="str">
            <v/>
          </cell>
          <cell r="W541" t="str">
            <v>TOTAL:</v>
          </cell>
          <cell r="X541" t="str">
            <v/>
          </cell>
          <cell r="Y541" t="str">
            <v>TOTAL:</v>
          </cell>
          <cell r="Z541" t="str">
            <v/>
          </cell>
          <cell r="AA541" t="str">
            <v>TOTAL:</v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>
            <v>728344.91000148875</v>
          </cell>
          <cell r="H542" t="str">
            <v/>
          </cell>
          <cell r="J542">
            <v>2181871.08</v>
          </cell>
          <cell r="M542" t="str">
            <v/>
          </cell>
          <cell r="N542">
            <v>28877.900522</v>
          </cell>
          <cell r="P542" t="str">
            <v/>
          </cell>
          <cell r="R542">
            <v>2365921.4826639998</v>
          </cell>
          <cell r="S542" t="str">
            <v/>
          </cell>
          <cell r="T542">
            <v>10653.976723</v>
          </cell>
          <cell r="U542" t="str">
            <v/>
          </cell>
          <cell r="V542" t="str">
            <v/>
          </cell>
          <cell r="W542">
            <v>562601.78661399998</v>
          </cell>
          <cell r="X542" t="str">
            <v/>
          </cell>
          <cell r="Y542">
            <v>0</v>
          </cell>
          <cell r="Z542" t="str">
            <v/>
          </cell>
          <cell r="AA542">
            <v>562601.78661399998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0">
          <cell r="B10" t="str">
            <v>Codigo</v>
          </cell>
          <cell r="C10" t="str">
            <v>Detalle</v>
          </cell>
          <cell r="D10" t="str">
            <v>Unidad</v>
          </cell>
          <cell r="E10" t="str">
            <v>Cant. Inicial</v>
          </cell>
          <cell r="F10" t="str">
            <v>Importe Inicial</v>
          </cell>
          <cell r="H10" t="str">
            <v>Cant. Entrada</v>
          </cell>
          <cell r="J10" t="str">
            <v>Imp. Entrada</v>
          </cell>
          <cell r="M10" t="str">
            <v>Cant. Ajuste(+)</v>
          </cell>
          <cell r="N10" t="str">
            <v>Imp. Ajuste(+)</v>
          </cell>
          <cell r="P10" t="str">
            <v>Cant. Salida</v>
          </cell>
          <cell r="R10" t="str">
            <v>Imp. Salida</v>
          </cell>
          <cell r="S10" t="str">
            <v>Cant. Ajuste(-)</v>
          </cell>
          <cell r="T10" t="str">
            <v>Imp. Ajuste(-)</v>
          </cell>
          <cell r="U10" t="str">
            <v>Cant. Saldo</v>
          </cell>
          <cell r="V10" t="str">
            <v>Imp/Unit Saldo</v>
          </cell>
          <cell r="W10" t="str">
            <v>Importe Total Saldo</v>
          </cell>
          <cell r="X10" t="str">
            <v>Ult. Tipo Camb</v>
          </cell>
          <cell r="Y10" t="str">
            <v>Ajuste</v>
          </cell>
          <cell r="Z10" t="str">
            <v>Costo Actualizado</v>
          </cell>
          <cell r="AA10" t="str">
            <v>Total Actualizado</v>
          </cell>
        </row>
        <row r="11">
          <cell r="B11" t="str">
            <v>A-02-01</v>
          </cell>
          <cell r="C11" t="str">
            <v>HIDROXIDO DE ALUMINIO Y MAGNESIO .:. 1 : 1</v>
          </cell>
          <cell r="D11" t="str">
            <v>Suspensión</v>
          </cell>
          <cell r="E11">
            <v>259</v>
          </cell>
          <cell r="F11">
            <v>2072</v>
          </cell>
          <cell r="H11">
            <v>800</v>
          </cell>
          <cell r="J11">
            <v>6080</v>
          </cell>
          <cell r="M11">
            <v>0</v>
          </cell>
          <cell r="N11">
            <v>0</v>
          </cell>
          <cell r="P11">
            <v>980</v>
          </cell>
          <cell r="R11">
            <v>7550.2754491276</v>
          </cell>
          <cell r="S11">
            <v>0</v>
          </cell>
          <cell r="T11">
            <v>0</v>
          </cell>
          <cell r="U11">
            <v>79</v>
          </cell>
          <cell r="V11">
            <v>7.6167664670999997</v>
          </cell>
          <cell r="W11">
            <v>601.7245509009</v>
          </cell>
          <cell r="X11">
            <v>2.47444</v>
          </cell>
          <cell r="Y11">
            <v>0</v>
          </cell>
          <cell r="Z11">
            <v>7.6167664670999997</v>
          </cell>
          <cell r="AA11">
            <v>601.7245509009</v>
          </cell>
        </row>
        <row r="12">
          <cell r="B12" t="str">
            <v>A-02-02</v>
          </cell>
          <cell r="C12" t="str">
            <v>OMEPRAZOL .:. 20 mg</v>
          </cell>
          <cell r="D12" t="str">
            <v>Cápsula</v>
          </cell>
          <cell r="E12">
            <v>17098</v>
          </cell>
          <cell r="F12">
            <v>4647.4415760000002</v>
          </cell>
          <cell r="H12">
            <v>41300</v>
          </cell>
          <cell r="J12">
            <v>7321</v>
          </cell>
          <cell r="M12">
            <v>0</v>
          </cell>
          <cell r="N12">
            <v>0</v>
          </cell>
          <cell r="P12">
            <v>52020</v>
          </cell>
          <cell r="R12">
            <v>10819.3206710628</v>
          </cell>
          <cell r="S12">
            <v>0</v>
          </cell>
          <cell r="T12">
            <v>0</v>
          </cell>
          <cell r="U12">
            <v>6378</v>
          </cell>
          <cell r="V12">
            <v>0.180169474</v>
          </cell>
          <cell r="W12">
            <v>1149.120905172</v>
          </cell>
          <cell r="X12">
            <v>2.47444</v>
          </cell>
          <cell r="Y12">
            <v>0</v>
          </cell>
          <cell r="Z12">
            <v>0.180169474</v>
          </cell>
          <cell r="AA12">
            <v>1149.120905172</v>
          </cell>
        </row>
        <row r="13">
          <cell r="B13" t="str">
            <v>A-02-03</v>
          </cell>
          <cell r="C13" t="str">
            <v>RANITIDINA .:. 150 mg</v>
          </cell>
          <cell r="D13" t="str">
            <v>Comprimido</v>
          </cell>
          <cell r="E13">
            <v>1037</v>
          </cell>
          <cell r="F13">
            <v>380.06464799999998</v>
          </cell>
          <cell r="H13">
            <v>1500</v>
          </cell>
          <cell r="J13">
            <v>360</v>
          </cell>
          <cell r="M13">
            <v>0</v>
          </cell>
          <cell r="N13">
            <v>0</v>
          </cell>
          <cell r="P13">
            <v>1577</v>
          </cell>
          <cell r="R13">
            <v>504.47209067659998</v>
          </cell>
          <cell r="S13">
            <v>0</v>
          </cell>
          <cell r="T13">
            <v>0</v>
          </cell>
          <cell r="U13">
            <v>960</v>
          </cell>
          <cell r="V13">
            <v>0.24540891379999999</v>
          </cell>
          <cell r="W13">
            <v>235.59255724799999</v>
          </cell>
          <cell r="X13">
            <v>2.47444</v>
          </cell>
          <cell r="Y13">
            <v>0</v>
          </cell>
          <cell r="Z13">
            <v>0.24540891379999999</v>
          </cell>
          <cell r="AA13">
            <v>235.59255724799999</v>
          </cell>
        </row>
        <row r="14">
          <cell r="B14" t="str">
            <v>A-02-04</v>
          </cell>
          <cell r="C14" t="str">
            <v>RANITIDINA .:. 50 mg</v>
          </cell>
          <cell r="D14" t="str">
            <v>Inyectable</v>
          </cell>
          <cell r="E14">
            <v>221</v>
          </cell>
          <cell r="F14">
            <v>264.65192000000002</v>
          </cell>
          <cell r="H14">
            <v>270</v>
          </cell>
          <cell r="J14">
            <v>259.2</v>
          </cell>
          <cell r="M14">
            <v>10</v>
          </cell>
          <cell r="N14">
            <v>11.736796999999999</v>
          </cell>
          <cell r="P14">
            <v>372</v>
          </cell>
          <cell r="R14">
            <v>411.63734778529999</v>
          </cell>
          <cell r="S14">
            <v>0</v>
          </cell>
          <cell r="T14">
            <v>0</v>
          </cell>
          <cell r="U14">
            <v>129</v>
          </cell>
          <cell r="V14">
            <v>0.96086332730000001</v>
          </cell>
          <cell r="W14">
            <v>123.95136922170001</v>
          </cell>
          <cell r="X14">
            <v>2.47444</v>
          </cell>
          <cell r="Y14">
            <v>0</v>
          </cell>
          <cell r="Z14">
            <v>0.96086332730000001</v>
          </cell>
          <cell r="AA14">
            <v>123.95136922170001</v>
          </cell>
        </row>
        <row r="15">
          <cell r="B15" t="str">
            <v>A-02-05</v>
          </cell>
          <cell r="C15" t="str">
            <v>OMEPRAZOL .:. 40 mg/ml</v>
          </cell>
          <cell r="D15" t="str">
            <v>Inyectable</v>
          </cell>
          <cell r="E15">
            <v>484</v>
          </cell>
          <cell r="F15">
            <v>3343.1472359999998</v>
          </cell>
          <cell r="H15">
            <v>3200</v>
          </cell>
          <cell r="J15">
            <v>13990</v>
          </cell>
          <cell r="M15">
            <v>120</v>
          </cell>
          <cell r="N15">
            <v>592.27790200000004</v>
          </cell>
          <cell r="P15">
            <v>2807</v>
          </cell>
          <cell r="R15">
            <v>13530.502496417201</v>
          </cell>
          <cell r="S15">
            <v>0</v>
          </cell>
          <cell r="T15">
            <v>0</v>
          </cell>
          <cell r="U15">
            <v>997</v>
          </cell>
          <cell r="V15">
            <v>4.4081470825000002</v>
          </cell>
          <cell r="W15">
            <v>4394.9226412525004</v>
          </cell>
          <cell r="X15">
            <v>2.47444</v>
          </cell>
          <cell r="Y15">
            <v>0</v>
          </cell>
          <cell r="Z15">
            <v>4.4081470825000002</v>
          </cell>
          <cell r="AA15">
            <v>4394.9226412525004</v>
          </cell>
        </row>
        <row r="16">
          <cell r="B16" t="str">
            <v>A-03-01</v>
          </cell>
          <cell r="C16" t="str">
            <v>ATROPINA SULFATO .:. 1 mg/ml</v>
          </cell>
          <cell r="D16" t="str">
            <v>Inyectable</v>
          </cell>
          <cell r="E16">
            <v>65</v>
          </cell>
          <cell r="F16">
            <v>154.70545999999999</v>
          </cell>
          <cell r="H16">
            <v>0</v>
          </cell>
          <cell r="J16">
            <v>0</v>
          </cell>
          <cell r="M16">
            <v>30</v>
          </cell>
          <cell r="N16">
            <v>71.400000000000006</v>
          </cell>
          <cell r="P16">
            <v>49</v>
          </cell>
          <cell r="R16">
            <v>116.62294</v>
          </cell>
          <cell r="S16">
            <v>30</v>
          </cell>
          <cell r="T16">
            <v>71.402519999999996</v>
          </cell>
          <cell r="U16">
            <v>16</v>
          </cell>
          <cell r="V16">
            <v>2.38</v>
          </cell>
          <cell r="W16">
            <v>38.08</v>
          </cell>
          <cell r="X16">
            <v>2.47444</v>
          </cell>
          <cell r="Y16">
            <v>0</v>
          </cell>
          <cell r="Z16">
            <v>2.38</v>
          </cell>
          <cell r="AA16">
            <v>38.08</v>
          </cell>
        </row>
        <row r="17">
          <cell r="B17" t="str">
            <v>A-03-02</v>
          </cell>
          <cell r="C17" t="str">
            <v>BUTILBROMURO DE HIOSCINA (BUTILESCOPOLAMINA) .:. 10 mg</v>
          </cell>
          <cell r="D17" t="str">
            <v>Comprimido</v>
          </cell>
          <cell r="E17">
            <v>317</v>
          </cell>
          <cell r="F17">
            <v>410.14220799999998</v>
          </cell>
          <cell r="H17">
            <v>700</v>
          </cell>
          <cell r="J17">
            <v>1330</v>
          </cell>
          <cell r="M17">
            <v>0</v>
          </cell>
          <cell r="N17">
            <v>0</v>
          </cell>
          <cell r="P17">
            <v>584</v>
          </cell>
          <cell r="R17">
            <v>917.44220800000005</v>
          </cell>
          <cell r="S17">
            <v>0</v>
          </cell>
          <cell r="T17">
            <v>0</v>
          </cell>
          <cell r="U17">
            <v>433</v>
          </cell>
          <cell r="V17">
            <v>1.9</v>
          </cell>
          <cell r="W17">
            <v>822.7</v>
          </cell>
          <cell r="X17">
            <v>2.47444</v>
          </cell>
          <cell r="Y17">
            <v>0</v>
          </cell>
          <cell r="Z17">
            <v>1.9</v>
          </cell>
          <cell r="AA17">
            <v>822.7</v>
          </cell>
        </row>
        <row r="18">
          <cell r="B18" t="str">
            <v>A-03-04</v>
          </cell>
          <cell r="C18" t="str">
            <v>BUTILBROMURO DE HIOSCINA (BUTILESCOPOLAMINA) .:. 20 mg/ml</v>
          </cell>
          <cell r="D18" t="str">
            <v>Inyectable</v>
          </cell>
          <cell r="E18">
            <v>244</v>
          </cell>
          <cell r="F18">
            <v>1025.1811279999999</v>
          </cell>
          <cell r="H18">
            <v>400</v>
          </cell>
          <cell r="J18">
            <v>1396</v>
          </cell>
          <cell r="M18">
            <v>28</v>
          </cell>
          <cell r="N18">
            <v>108.156232</v>
          </cell>
          <cell r="P18">
            <v>478</v>
          </cell>
          <cell r="R18">
            <v>1829.2701966285999</v>
          </cell>
          <cell r="S18">
            <v>0</v>
          </cell>
          <cell r="T18">
            <v>0</v>
          </cell>
          <cell r="U18">
            <v>194</v>
          </cell>
          <cell r="V18">
            <v>3.6085936255000002</v>
          </cell>
          <cell r="W18">
            <v>700.06716334700002</v>
          </cell>
          <cell r="X18">
            <v>2.47444</v>
          </cell>
          <cell r="Y18">
            <v>0</v>
          </cell>
          <cell r="Z18">
            <v>3.6085936255000002</v>
          </cell>
          <cell r="AA18">
            <v>700.06716334700002</v>
          </cell>
        </row>
        <row r="19">
          <cell r="B19" t="str">
            <v>A-03-06</v>
          </cell>
          <cell r="C19" t="str">
            <v>DOMPERIDONA .:. 10 mg</v>
          </cell>
          <cell r="D19" t="str">
            <v>Comprimido</v>
          </cell>
          <cell r="E19">
            <v>13135</v>
          </cell>
          <cell r="F19">
            <v>4465.8999999999996</v>
          </cell>
          <cell r="H19">
            <v>18000</v>
          </cell>
          <cell r="J19">
            <v>1800</v>
          </cell>
          <cell r="M19">
            <v>9</v>
          </cell>
          <cell r="N19">
            <v>1.4741550000000001</v>
          </cell>
          <cell r="P19">
            <v>25698</v>
          </cell>
          <cell r="R19">
            <v>5375.3425951751997</v>
          </cell>
          <cell r="S19">
            <v>0</v>
          </cell>
          <cell r="T19">
            <v>0</v>
          </cell>
          <cell r="U19">
            <v>5446</v>
          </cell>
          <cell r="V19">
            <v>0.16379573280000001</v>
          </cell>
          <cell r="W19">
            <v>892.03156082880002</v>
          </cell>
          <cell r="X19">
            <v>2.47444</v>
          </cell>
          <cell r="Y19">
            <v>0</v>
          </cell>
          <cell r="Z19">
            <v>0.16379573280000001</v>
          </cell>
          <cell r="AA19">
            <v>892.03156082880002</v>
          </cell>
        </row>
        <row r="20">
          <cell r="B20" t="str">
            <v>A-03-07</v>
          </cell>
          <cell r="C20" t="str">
            <v>METOCLOPRAMIDA .:. 10 mg</v>
          </cell>
          <cell r="D20" t="str">
            <v>Comprimido</v>
          </cell>
          <cell r="E20">
            <v>1377</v>
          </cell>
          <cell r="F20">
            <v>324.70486199999999</v>
          </cell>
          <cell r="H20">
            <v>1000</v>
          </cell>
          <cell r="J20">
            <v>170</v>
          </cell>
          <cell r="M20">
            <v>322</v>
          </cell>
          <cell r="N20">
            <v>76.539558999999997</v>
          </cell>
          <cell r="P20">
            <v>1297</v>
          </cell>
          <cell r="R20">
            <v>298.31423340359999</v>
          </cell>
          <cell r="S20">
            <v>309</v>
          </cell>
          <cell r="T20">
            <v>72.864053999999996</v>
          </cell>
          <cell r="U20">
            <v>1093</v>
          </cell>
          <cell r="V20">
            <v>0.18304312319999999</v>
          </cell>
          <cell r="W20">
            <v>200.06613365760001</v>
          </cell>
          <cell r="X20">
            <v>2.47444</v>
          </cell>
          <cell r="Y20">
            <v>0</v>
          </cell>
          <cell r="Z20">
            <v>0.18304312319999999</v>
          </cell>
          <cell r="AA20">
            <v>200.06613365760001</v>
          </cell>
        </row>
        <row r="21">
          <cell r="B21" t="str">
            <v>A-03-08</v>
          </cell>
          <cell r="C21" t="str">
            <v>METOCLOPRAMIDA .:. 10 mg/2ml</v>
          </cell>
          <cell r="D21" t="str">
            <v>Inyectable</v>
          </cell>
          <cell r="E21">
            <v>338</v>
          </cell>
          <cell r="F21">
            <v>325.75256999999999</v>
          </cell>
          <cell r="H21">
            <v>1450</v>
          </cell>
          <cell r="J21">
            <v>3300</v>
          </cell>
          <cell r="M21">
            <v>125</v>
          </cell>
          <cell r="N21">
            <v>258.01173599999998</v>
          </cell>
          <cell r="P21">
            <v>1670</v>
          </cell>
          <cell r="R21">
            <v>3497.1379166685001</v>
          </cell>
          <cell r="S21">
            <v>0</v>
          </cell>
          <cell r="T21">
            <v>0</v>
          </cell>
          <cell r="U21">
            <v>243</v>
          </cell>
          <cell r="V21">
            <v>1.5910550998999999</v>
          </cell>
          <cell r="W21">
            <v>386.62638927569998</v>
          </cell>
          <cell r="X21">
            <v>2.47444</v>
          </cell>
          <cell r="Y21">
            <v>0</v>
          </cell>
          <cell r="Z21">
            <v>1.5910550998999999</v>
          </cell>
          <cell r="AA21">
            <v>386.62638927569998</v>
          </cell>
        </row>
        <row r="22">
          <cell r="B22" t="str">
            <v>A-03-09</v>
          </cell>
          <cell r="C22" t="str">
            <v>METOCLOPRAMIDA .:. 0,35% o 0,5%</v>
          </cell>
          <cell r="D22" t="str">
            <v>Solución oral gotas</v>
          </cell>
          <cell r="E22">
            <v>7</v>
          </cell>
          <cell r="F22">
            <v>42</v>
          </cell>
          <cell r="H22">
            <v>110</v>
          </cell>
          <cell r="J22">
            <v>722</v>
          </cell>
          <cell r="M22">
            <v>0</v>
          </cell>
          <cell r="N22">
            <v>0</v>
          </cell>
          <cell r="P22">
            <v>62</v>
          </cell>
          <cell r="R22">
            <v>379</v>
          </cell>
          <cell r="S22">
            <v>0</v>
          </cell>
          <cell r="T22">
            <v>0</v>
          </cell>
          <cell r="U22">
            <v>55</v>
          </cell>
          <cell r="V22">
            <v>7</v>
          </cell>
          <cell r="W22">
            <v>385</v>
          </cell>
          <cell r="X22">
            <v>2.47444</v>
          </cell>
          <cell r="Y22">
            <v>0</v>
          </cell>
          <cell r="Z22">
            <v>7</v>
          </cell>
          <cell r="AA22">
            <v>385</v>
          </cell>
        </row>
        <row r="23">
          <cell r="B23" t="str">
            <v>A-03-10</v>
          </cell>
          <cell r="C23" t="str">
            <v>PROPINOXATO .:. 10 mg</v>
          </cell>
          <cell r="D23" t="str">
            <v>Comprimido</v>
          </cell>
          <cell r="E23">
            <v>1353</v>
          </cell>
          <cell r="F23">
            <v>2044.4492969999999</v>
          </cell>
          <cell r="H23">
            <v>800</v>
          </cell>
          <cell r="J23">
            <v>1403</v>
          </cell>
          <cell r="M23">
            <v>0</v>
          </cell>
          <cell r="N23">
            <v>0</v>
          </cell>
          <cell r="P23">
            <v>1700</v>
          </cell>
          <cell r="R23">
            <v>2586.7492969944001</v>
          </cell>
          <cell r="S23">
            <v>0</v>
          </cell>
          <cell r="T23">
            <v>0</v>
          </cell>
          <cell r="U23">
            <v>453</v>
          </cell>
          <cell r="V23">
            <v>1.9</v>
          </cell>
          <cell r="W23">
            <v>860.7</v>
          </cell>
          <cell r="X23">
            <v>2.47444</v>
          </cell>
          <cell r="Y23">
            <v>0</v>
          </cell>
          <cell r="Z23">
            <v>1.9</v>
          </cell>
          <cell r="AA23">
            <v>860.7</v>
          </cell>
        </row>
        <row r="24">
          <cell r="B24" t="str">
            <v>A-03-11</v>
          </cell>
          <cell r="C24" t="str">
            <v>PROPINOXATO .:. 5 mg/ml</v>
          </cell>
          <cell r="D24" t="str">
            <v>Inyectable</v>
          </cell>
          <cell r="E24">
            <v>70</v>
          </cell>
          <cell r="F24">
            <v>342.99838999999997</v>
          </cell>
          <cell r="H24">
            <v>500</v>
          </cell>
          <cell r="J24">
            <v>3060</v>
          </cell>
          <cell r="M24">
            <v>4</v>
          </cell>
          <cell r="N24">
            <v>24.786552</v>
          </cell>
          <cell r="P24">
            <v>476</v>
          </cell>
          <cell r="R24">
            <v>2820.5143552933</v>
          </cell>
          <cell r="S24">
            <v>0</v>
          </cell>
          <cell r="T24">
            <v>0</v>
          </cell>
          <cell r="U24">
            <v>98</v>
          </cell>
          <cell r="V24">
            <v>6.1966386399999998</v>
          </cell>
          <cell r="W24">
            <v>607.27058671999998</v>
          </cell>
          <cell r="X24">
            <v>2.47444</v>
          </cell>
          <cell r="Y24">
            <v>0</v>
          </cell>
          <cell r="Z24">
            <v>6.1966386399999998</v>
          </cell>
          <cell r="AA24">
            <v>607.27058671999998</v>
          </cell>
        </row>
        <row r="25">
          <cell r="B25" t="str">
            <v>A-03-12</v>
          </cell>
          <cell r="C25" t="str">
            <v>SIMETICONA .:. 3% o 4%</v>
          </cell>
          <cell r="D25" t="str">
            <v>Suspensión</v>
          </cell>
          <cell r="E25">
            <v>27</v>
          </cell>
          <cell r="F25">
            <v>432</v>
          </cell>
          <cell r="H25">
            <v>140</v>
          </cell>
          <cell r="J25">
            <v>2240</v>
          </cell>
          <cell r="M25">
            <v>0</v>
          </cell>
          <cell r="N25">
            <v>0</v>
          </cell>
          <cell r="P25">
            <v>136</v>
          </cell>
          <cell r="R25">
            <v>2176</v>
          </cell>
          <cell r="S25">
            <v>0</v>
          </cell>
          <cell r="T25">
            <v>0</v>
          </cell>
          <cell r="U25">
            <v>31</v>
          </cell>
          <cell r="V25">
            <v>16</v>
          </cell>
          <cell r="W25">
            <v>496</v>
          </cell>
          <cell r="X25">
            <v>2.47444</v>
          </cell>
          <cell r="Y25">
            <v>0</v>
          </cell>
          <cell r="Z25">
            <v>16</v>
          </cell>
          <cell r="AA25">
            <v>496</v>
          </cell>
        </row>
        <row r="26">
          <cell r="B26" t="str">
            <v>A-03-13</v>
          </cell>
          <cell r="C26" t="str">
            <v>SIMETICONA .:. 100 mg</v>
          </cell>
          <cell r="D26" t="str">
            <v>Comprimido</v>
          </cell>
          <cell r="E26">
            <v>4308</v>
          </cell>
          <cell r="F26">
            <v>4932.2378159999998</v>
          </cell>
          <cell r="H26">
            <v>27000</v>
          </cell>
          <cell r="J26">
            <v>31050</v>
          </cell>
          <cell r="M26">
            <v>0</v>
          </cell>
          <cell r="N26">
            <v>0</v>
          </cell>
          <cell r="P26">
            <v>19582</v>
          </cell>
          <cell r="R26">
            <v>22497.337815999999</v>
          </cell>
          <cell r="S26">
            <v>0</v>
          </cell>
          <cell r="T26">
            <v>0</v>
          </cell>
          <cell r="U26">
            <v>11726</v>
          </cell>
          <cell r="V26">
            <v>1.1499999999999999</v>
          </cell>
          <cell r="W26">
            <v>13484.9</v>
          </cell>
          <cell r="X26">
            <v>2.47444</v>
          </cell>
          <cell r="Y26">
            <v>0</v>
          </cell>
          <cell r="Z26">
            <v>1.1499999999999999</v>
          </cell>
          <cell r="AA26">
            <v>13484.9</v>
          </cell>
        </row>
        <row r="27">
          <cell r="B27" t="str">
            <v>A-04-01</v>
          </cell>
          <cell r="C27" t="str">
            <v>ONDANSETRON .:. 8 mg</v>
          </cell>
          <cell r="D27" t="str">
            <v>Inyectable</v>
          </cell>
          <cell r="E27">
            <v>146</v>
          </cell>
          <cell r="F27">
            <v>584</v>
          </cell>
          <cell r="H27">
            <v>450</v>
          </cell>
          <cell r="J27">
            <v>2880</v>
          </cell>
          <cell r="M27">
            <v>23</v>
          </cell>
          <cell r="N27">
            <v>145.98387099999999</v>
          </cell>
          <cell r="P27">
            <v>572</v>
          </cell>
          <cell r="R27">
            <v>3309.6799774246001</v>
          </cell>
          <cell r="S27">
            <v>0</v>
          </cell>
          <cell r="T27">
            <v>0</v>
          </cell>
          <cell r="U27">
            <v>47</v>
          </cell>
          <cell r="V27">
            <v>6.3894445444999999</v>
          </cell>
          <cell r="W27">
            <v>300.30389359150001</v>
          </cell>
          <cell r="X27">
            <v>2.47444</v>
          </cell>
          <cell r="Y27">
            <v>0</v>
          </cell>
          <cell r="Z27">
            <v>6.3894445444999999</v>
          </cell>
          <cell r="AA27">
            <v>300.30389359150001</v>
          </cell>
        </row>
        <row r="28">
          <cell r="B28" t="str">
            <v>A-04-02</v>
          </cell>
          <cell r="C28" t="str">
            <v>ONDANSETRON .:. 8 mg</v>
          </cell>
          <cell r="D28" t="str">
            <v>Comprimido</v>
          </cell>
          <cell r="E28">
            <v>258</v>
          </cell>
          <cell r="F28">
            <v>1780.2</v>
          </cell>
          <cell r="H28">
            <v>0</v>
          </cell>
          <cell r="J28">
            <v>0</v>
          </cell>
          <cell r="M28">
            <v>101</v>
          </cell>
          <cell r="N28">
            <v>696.9</v>
          </cell>
          <cell r="P28">
            <v>157</v>
          </cell>
          <cell r="R28">
            <v>1083.3</v>
          </cell>
          <cell r="S28">
            <v>101</v>
          </cell>
          <cell r="T28">
            <v>696.9</v>
          </cell>
          <cell r="U28">
            <v>101</v>
          </cell>
          <cell r="V28">
            <v>6.9</v>
          </cell>
          <cell r="W28">
            <v>696.9</v>
          </cell>
          <cell r="X28">
            <v>2.47444</v>
          </cell>
          <cell r="Y28">
            <v>0</v>
          </cell>
          <cell r="Z28">
            <v>6.9</v>
          </cell>
          <cell r="AA28">
            <v>696.9</v>
          </cell>
        </row>
        <row r="29">
          <cell r="B29" t="str">
            <v>A-05-01</v>
          </cell>
          <cell r="C29" t="str">
            <v xml:space="preserve">ACIDO URSODEOXICOLICO  250 MG .:. 250 MG. </v>
          </cell>
          <cell r="D29" t="str">
            <v>Comprimido o Cápsula</v>
          </cell>
          <cell r="E29">
            <v>395</v>
          </cell>
          <cell r="F29">
            <v>3318</v>
          </cell>
          <cell r="H29">
            <v>3400</v>
          </cell>
          <cell r="J29">
            <v>31052</v>
          </cell>
          <cell r="M29">
            <v>0</v>
          </cell>
          <cell r="N29">
            <v>0</v>
          </cell>
          <cell r="P29">
            <v>3185</v>
          </cell>
          <cell r="R29">
            <v>28886.1</v>
          </cell>
          <cell r="S29">
            <v>0</v>
          </cell>
          <cell r="T29">
            <v>0</v>
          </cell>
          <cell r="U29">
            <v>610</v>
          </cell>
          <cell r="V29">
            <v>8.99</v>
          </cell>
          <cell r="W29">
            <v>5483.9</v>
          </cell>
          <cell r="X29">
            <v>2.47444</v>
          </cell>
          <cell r="Y29">
            <v>0</v>
          </cell>
          <cell r="Z29">
            <v>8.99</v>
          </cell>
          <cell r="AA29">
            <v>5483.9</v>
          </cell>
        </row>
        <row r="30">
          <cell r="B30" t="str">
            <v>A-06-01</v>
          </cell>
          <cell r="C30" t="str">
            <v>ACEITE MINERAL .:. 0.4</v>
          </cell>
          <cell r="D30" t="str">
            <v>Emulsión oral</v>
          </cell>
          <cell r="E30">
            <v>96</v>
          </cell>
          <cell r="F30">
            <v>1296</v>
          </cell>
          <cell r="H30">
            <v>180</v>
          </cell>
          <cell r="J30">
            <v>2338.1999999999998</v>
          </cell>
          <cell r="M30">
            <v>0</v>
          </cell>
          <cell r="N30">
            <v>0</v>
          </cell>
          <cell r="P30">
            <v>162</v>
          </cell>
          <cell r="R30">
            <v>2152.0760869549999</v>
          </cell>
          <cell r="S30">
            <v>0</v>
          </cell>
          <cell r="T30">
            <v>0</v>
          </cell>
          <cell r="U30">
            <v>114</v>
          </cell>
          <cell r="V30">
            <v>13.0010869565</v>
          </cell>
          <cell r="W30">
            <v>1482.1239130409999</v>
          </cell>
          <cell r="X30">
            <v>2.47444</v>
          </cell>
          <cell r="Y30">
            <v>0</v>
          </cell>
          <cell r="Z30">
            <v>13.0010869565</v>
          </cell>
          <cell r="AA30">
            <v>1482.1239130409999</v>
          </cell>
        </row>
        <row r="31">
          <cell r="B31" t="str">
            <v>A-06-02</v>
          </cell>
          <cell r="C31" t="str">
            <v>BISACODILO .:. 5 mg</v>
          </cell>
          <cell r="D31" t="str">
            <v>Comprimido</v>
          </cell>
          <cell r="E31">
            <v>118</v>
          </cell>
          <cell r="F31">
            <v>41.3</v>
          </cell>
          <cell r="H31">
            <v>400</v>
          </cell>
          <cell r="J31">
            <v>388</v>
          </cell>
          <cell r="M31">
            <v>0</v>
          </cell>
          <cell r="N31">
            <v>0</v>
          </cell>
          <cell r="P31">
            <v>276</v>
          </cell>
          <cell r="R31">
            <v>194.56</v>
          </cell>
          <cell r="S31">
            <v>0</v>
          </cell>
          <cell r="T31">
            <v>0</v>
          </cell>
          <cell r="U31">
            <v>242</v>
          </cell>
          <cell r="V31">
            <v>0.97</v>
          </cell>
          <cell r="W31">
            <v>234.74</v>
          </cell>
          <cell r="X31">
            <v>2.47444</v>
          </cell>
          <cell r="Y31">
            <v>0</v>
          </cell>
          <cell r="Z31">
            <v>0.97</v>
          </cell>
          <cell r="AA31">
            <v>234.74</v>
          </cell>
        </row>
        <row r="32">
          <cell r="B32" t="str">
            <v>A-06-04</v>
          </cell>
          <cell r="C32" t="str">
            <v>FIBRA NATURAL .:. Según disponibilidad</v>
          </cell>
          <cell r="D32" t="str">
            <v>Polvo o granulado</v>
          </cell>
          <cell r="E32">
            <v>2106</v>
          </cell>
          <cell r="F32">
            <v>6949.8</v>
          </cell>
          <cell r="H32">
            <v>5000</v>
          </cell>
          <cell r="J32">
            <v>14500</v>
          </cell>
          <cell r="M32">
            <v>0</v>
          </cell>
          <cell r="N32">
            <v>0</v>
          </cell>
          <cell r="P32">
            <v>5913</v>
          </cell>
          <cell r="R32">
            <v>17908.785183314601</v>
          </cell>
          <cell r="S32">
            <v>0</v>
          </cell>
          <cell r="T32">
            <v>0</v>
          </cell>
          <cell r="U32">
            <v>1193</v>
          </cell>
          <cell r="V32">
            <v>2.9681599469000002</v>
          </cell>
          <cell r="W32">
            <v>3541.0148166517001</v>
          </cell>
          <cell r="X32">
            <v>2.47444</v>
          </cell>
          <cell r="Y32">
            <v>0</v>
          </cell>
          <cell r="Z32">
            <v>2.9681599469000002</v>
          </cell>
          <cell r="AA32">
            <v>3541.0148166517001</v>
          </cell>
        </row>
        <row r="33">
          <cell r="B33" t="str">
            <v>A-06-05</v>
          </cell>
          <cell r="C33" t="str">
            <v>GLICEROL (GLICERINA) .:. 2 g a 4 g (adulto)</v>
          </cell>
          <cell r="D33" t="str">
            <v>Supositorio</v>
          </cell>
          <cell r="E33">
            <v>147</v>
          </cell>
          <cell r="F33">
            <v>307.05595199999999</v>
          </cell>
          <cell r="H33">
            <v>0</v>
          </cell>
          <cell r="J33">
            <v>0</v>
          </cell>
          <cell r="M33">
            <v>6</v>
          </cell>
          <cell r="N33">
            <v>12.53</v>
          </cell>
          <cell r="P33">
            <v>55</v>
          </cell>
          <cell r="R33">
            <v>114.8844975088</v>
          </cell>
          <cell r="S33">
            <v>16</v>
          </cell>
          <cell r="T33">
            <v>33.420782791999997</v>
          </cell>
          <cell r="U33">
            <v>82</v>
          </cell>
          <cell r="V33">
            <v>2.0887886791999999</v>
          </cell>
          <cell r="W33">
            <v>171.28067169440001</v>
          </cell>
          <cell r="X33">
            <v>2.47444</v>
          </cell>
          <cell r="Y33">
            <v>0</v>
          </cell>
          <cell r="Z33">
            <v>2.0887886791999999</v>
          </cell>
          <cell r="AA33">
            <v>171.28067169440001</v>
          </cell>
        </row>
        <row r="34">
          <cell r="B34" t="str">
            <v>A-06-06</v>
          </cell>
          <cell r="C34" t="str">
            <v>GLICEROL (GLICERINA) .:. 1 g a 1,80 g (infantil)</v>
          </cell>
          <cell r="D34" t="str">
            <v>Supositorio</v>
          </cell>
          <cell r="E34">
            <v>31</v>
          </cell>
          <cell r="F34">
            <v>47.856250000000003</v>
          </cell>
          <cell r="H34">
            <v>0</v>
          </cell>
          <cell r="J34">
            <v>0</v>
          </cell>
          <cell r="M34">
            <v>0</v>
          </cell>
          <cell r="N34">
            <v>0</v>
          </cell>
          <cell r="P34">
            <v>9</v>
          </cell>
          <cell r="R34">
            <v>13.893750000000001</v>
          </cell>
          <cell r="S34">
            <v>0</v>
          </cell>
          <cell r="T34">
            <v>0</v>
          </cell>
          <cell r="U34">
            <v>22</v>
          </cell>
          <cell r="V34">
            <v>1.54375</v>
          </cell>
          <cell r="W34">
            <v>33.962499999999999</v>
          </cell>
          <cell r="X34">
            <v>2.47444</v>
          </cell>
          <cell r="Y34">
            <v>0</v>
          </cell>
          <cell r="Z34">
            <v>1.54375</v>
          </cell>
          <cell r="AA34">
            <v>33.962499999999999</v>
          </cell>
        </row>
        <row r="35">
          <cell r="B35" t="str">
            <v>A-06-07</v>
          </cell>
          <cell r="C35" t="str">
            <v>LACTULOSA .:. 65% hasta 66.7%</v>
          </cell>
          <cell r="D35" t="str">
            <v>Solución oral</v>
          </cell>
          <cell r="E35">
            <v>54</v>
          </cell>
          <cell r="F35">
            <v>2086.4077200000002</v>
          </cell>
          <cell r="H35">
            <v>360</v>
          </cell>
          <cell r="J35">
            <v>14397</v>
          </cell>
          <cell r="M35">
            <v>0</v>
          </cell>
          <cell r="N35">
            <v>0</v>
          </cell>
          <cell r="P35">
            <v>377</v>
          </cell>
          <cell r="R35">
            <v>15003.744083633699</v>
          </cell>
          <cell r="S35">
            <v>0</v>
          </cell>
          <cell r="T35">
            <v>0</v>
          </cell>
          <cell r="U35">
            <v>37</v>
          </cell>
          <cell r="V35">
            <v>39.990909090899997</v>
          </cell>
          <cell r="W35">
            <v>1479.6636363632999</v>
          </cell>
          <cell r="X35">
            <v>2.47444</v>
          </cell>
          <cell r="Y35">
            <v>0</v>
          </cell>
          <cell r="Z35">
            <v>39.990909090899997</v>
          </cell>
          <cell r="AA35">
            <v>1479.6636363632999</v>
          </cell>
        </row>
        <row r="36">
          <cell r="B36" t="str">
            <v>A-07-02</v>
          </cell>
          <cell r="C36" t="str">
            <v>LOPERAMIDA .:. 2 mg</v>
          </cell>
          <cell r="D36" t="str">
            <v>Cápsula o Comprimido</v>
          </cell>
          <cell r="E36">
            <v>395</v>
          </cell>
          <cell r="F36">
            <v>158</v>
          </cell>
          <cell r="H36">
            <v>100</v>
          </cell>
          <cell r="J36">
            <v>40</v>
          </cell>
          <cell r="M36">
            <v>0</v>
          </cell>
          <cell r="N36">
            <v>0</v>
          </cell>
          <cell r="P36">
            <v>495</v>
          </cell>
          <cell r="R36">
            <v>198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2.47444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A-07-04</v>
          </cell>
          <cell r="C37" t="str">
            <v>NISTATINA .:. 500.000 UI/5 ml</v>
          </cell>
          <cell r="D37" t="str">
            <v>Suspensión</v>
          </cell>
          <cell r="E37">
            <v>8</v>
          </cell>
          <cell r="F37">
            <v>96</v>
          </cell>
          <cell r="H37">
            <v>100</v>
          </cell>
          <cell r="J37">
            <v>1287.5</v>
          </cell>
          <cell r="M37">
            <v>1</v>
          </cell>
          <cell r="N37">
            <v>13.232393999999999</v>
          </cell>
          <cell r="P37">
            <v>77</v>
          </cell>
          <cell r="R37">
            <v>973.29577445040002</v>
          </cell>
          <cell r="S37">
            <v>0</v>
          </cell>
          <cell r="T37">
            <v>0</v>
          </cell>
          <cell r="U37">
            <v>32</v>
          </cell>
          <cell r="V37">
            <v>13.232394361000001</v>
          </cell>
          <cell r="W37">
            <v>423.43661955200002</v>
          </cell>
          <cell r="X37">
            <v>2.47444</v>
          </cell>
          <cell r="Y37">
            <v>0</v>
          </cell>
          <cell r="Z37">
            <v>13.232394361000001</v>
          </cell>
          <cell r="AA37">
            <v>423.43661955200002</v>
          </cell>
        </row>
        <row r="38">
          <cell r="B38" t="str">
            <v>A-07-06</v>
          </cell>
          <cell r="C38" t="str">
            <v>SALES DE REHIDRATACION ORAL (SRO) BAJA OSMOLARIDAD .:. Según concentración eestándar</v>
          </cell>
          <cell r="D38" t="str">
            <v>Sobres</v>
          </cell>
          <cell r="E38">
            <v>506</v>
          </cell>
          <cell r="F38">
            <v>514.01352199999997</v>
          </cell>
          <cell r="H38">
            <v>1000</v>
          </cell>
          <cell r="J38">
            <v>1190</v>
          </cell>
          <cell r="M38">
            <v>0</v>
          </cell>
          <cell r="N38">
            <v>0</v>
          </cell>
          <cell r="P38">
            <v>826</v>
          </cell>
          <cell r="R38">
            <v>894.81352200000003</v>
          </cell>
          <cell r="S38">
            <v>0</v>
          </cell>
          <cell r="T38">
            <v>0</v>
          </cell>
          <cell r="U38">
            <v>680</v>
          </cell>
          <cell r="V38">
            <v>1.19</v>
          </cell>
          <cell r="W38">
            <v>809.2</v>
          </cell>
          <cell r="X38">
            <v>2.47444</v>
          </cell>
          <cell r="Y38">
            <v>0</v>
          </cell>
          <cell r="Z38">
            <v>1.19</v>
          </cell>
          <cell r="AA38">
            <v>809.2</v>
          </cell>
        </row>
        <row r="39">
          <cell r="B39" t="str">
            <v>A-07-07</v>
          </cell>
          <cell r="C39" t="str">
            <v>MESALAZINA .:. 500 mg</v>
          </cell>
          <cell r="D39" t="str">
            <v>Comprimido</v>
          </cell>
          <cell r="E39">
            <v>450</v>
          </cell>
          <cell r="F39">
            <v>2520</v>
          </cell>
          <cell r="H39">
            <v>2000</v>
          </cell>
          <cell r="J39">
            <v>16000</v>
          </cell>
          <cell r="M39">
            <v>0</v>
          </cell>
          <cell r="N39">
            <v>0</v>
          </cell>
          <cell r="P39">
            <v>2259</v>
          </cell>
          <cell r="R39">
            <v>16992</v>
          </cell>
          <cell r="S39">
            <v>0</v>
          </cell>
          <cell r="T39">
            <v>0</v>
          </cell>
          <cell r="U39">
            <v>191</v>
          </cell>
          <cell r="V39">
            <v>8</v>
          </cell>
          <cell r="W39">
            <v>1528</v>
          </cell>
          <cell r="X39">
            <v>2.47444</v>
          </cell>
          <cell r="Y39">
            <v>0</v>
          </cell>
          <cell r="Z39">
            <v>8</v>
          </cell>
          <cell r="AA39">
            <v>1528</v>
          </cell>
        </row>
        <row r="40">
          <cell r="B40" t="str">
            <v>A-09-01</v>
          </cell>
          <cell r="C40" t="str">
            <v>ENZIMAS PANCREATICAS (LIPASA, PROTEASA Y AMILASA EN COMBINACION) .:. Según disponibilidad</v>
          </cell>
          <cell r="D40" t="str">
            <v>Comprimido</v>
          </cell>
          <cell r="E40">
            <v>1754</v>
          </cell>
          <cell r="F40">
            <v>1490.9</v>
          </cell>
          <cell r="H40">
            <v>7500</v>
          </cell>
          <cell r="J40">
            <v>7875</v>
          </cell>
          <cell r="M40">
            <v>0</v>
          </cell>
          <cell r="N40">
            <v>0</v>
          </cell>
          <cell r="P40">
            <v>7654</v>
          </cell>
          <cell r="R40">
            <v>7874.2363148351997</v>
          </cell>
          <cell r="S40">
            <v>0</v>
          </cell>
          <cell r="T40">
            <v>0</v>
          </cell>
          <cell r="U40">
            <v>1600</v>
          </cell>
          <cell r="V40">
            <v>0.93228980319999999</v>
          </cell>
          <cell r="W40">
            <v>1491.6636851200001</v>
          </cell>
          <cell r="X40">
            <v>2.47444</v>
          </cell>
          <cell r="Y40">
            <v>0</v>
          </cell>
          <cell r="Z40">
            <v>0.93228980319999999</v>
          </cell>
          <cell r="AA40">
            <v>1491.6636851200001</v>
          </cell>
        </row>
        <row r="41">
          <cell r="B41" t="str">
            <v>A-10-01</v>
          </cell>
          <cell r="C41" t="str">
            <v>GLIBENCLAMIDA .:. 5 mg</v>
          </cell>
          <cell r="D41" t="str">
            <v>Comprimido</v>
          </cell>
          <cell r="E41">
            <v>1907</v>
          </cell>
          <cell r="F41">
            <v>183.25507200000001</v>
          </cell>
          <cell r="H41">
            <v>17000</v>
          </cell>
          <cell r="J41">
            <v>910</v>
          </cell>
          <cell r="M41">
            <v>29</v>
          </cell>
          <cell r="N41">
            <v>2.7867839999999999</v>
          </cell>
          <cell r="P41">
            <v>15931</v>
          </cell>
          <cell r="R41">
            <v>940.31624596899997</v>
          </cell>
          <cell r="S41">
            <v>0</v>
          </cell>
          <cell r="T41">
            <v>0</v>
          </cell>
          <cell r="U41">
            <v>3005</v>
          </cell>
          <cell r="V41">
            <v>5.1822166599999997E-2</v>
          </cell>
          <cell r="W41">
            <v>155.725610633</v>
          </cell>
          <cell r="X41">
            <v>2.47444</v>
          </cell>
          <cell r="Y41">
            <v>0</v>
          </cell>
          <cell r="Z41">
            <v>5.1822166599999997E-2</v>
          </cell>
          <cell r="AA41">
            <v>155.725610633</v>
          </cell>
        </row>
        <row r="42">
          <cell r="B42" t="str">
            <v>A-10-02</v>
          </cell>
          <cell r="C42" t="str">
            <v>INSULINA RECOMBINANTE HUMANA NPH .:. 100 UI/ml</v>
          </cell>
          <cell r="D42" t="str">
            <v>Inyectable</v>
          </cell>
          <cell r="E42">
            <v>87</v>
          </cell>
          <cell r="F42">
            <v>4470.173796</v>
          </cell>
          <cell r="H42">
            <v>270</v>
          </cell>
          <cell r="J42">
            <v>17764</v>
          </cell>
          <cell r="M42">
            <v>0</v>
          </cell>
          <cell r="N42">
            <v>0</v>
          </cell>
          <cell r="P42">
            <v>295</v>
          </cell>
          <cell r="R42">
            <v>18452.173795999999</v>
          </cell>
          <cell r="S42">
            <v>0</v>
          </cell>
          <cell r="T42">
            <v>0</v>
          </cell>
          <cell r="U42">
            <v>62</v>
          </cell>
          <cell r="V42">
            <v>61</v>
          </cell>
          <cell r="W42">
            <v>3782</v>
          </cell>
          <cell r="X42">
            <v>2.47444</v>
          </cell>
          <cell r="Y42">
            <v>0</v>
          </cell>
          <cell r="Z42">
            <v>61</v>
          </cell>
          <cell r="AA42">
            <v>3782</v>
          </cell>
        </row>
        <row r="43">
          <cell r="B43" t="str">
            <v>A-10-03</v>
          </cell>
          <cell r="C43" t="str">
            <v>INSULINA ZINC CRISTALINA  RECOMBINANTE HUMANA .:. 100 UI/ml</v>
          </cell>
          <cell r="D43" t="str">
            <v>Inyectable</v>
          </cell>
          <cell r="E43">
            <v>35</v>
          </cell>
          <cell r="F43">
            <v>2454.9</v>
          </cell>
          <cell r="H43">
            <v>62</v>
          </cell>
          <cell r="J43">
            <v>5225.18</v>
          </cell>
          <cell r="M43">
            <v>0</v>
          </cell>
          <cell r="N43">
            <v>0</v>
          </cell>
          <cell r="P43">
            <v>69</v>
          </cell>
          <cell r="R43">
            <v>5315.83</v>
          </cell>
          <cell r="S43">
            <v>0</v>
          </cell>
          <cell r="T43">
            <v>0</v>
          </cell>
          <cell r="U43">
            <v>28</v>
          </cell>
          <cell r="V43">
            <v>84.4375</v>
          </cell>
          <cell r="W43">
            <v>2364.25</v>
          </cell>
          <cell r="X43">
            <v>2.47444</v>
          </cell>
          <cell r="Y43">
            <v>0</v>
          </cell>
          <cell r="Z43">
            <v>84.4375</v>
          </cell>
          <cell r="AA43">
            <v>2364.25</v>
          </cell>
        </row>
        <row r="44">
          <cell r="B44" t="str">
            <v>A-10-04</v>
          </cell>
          <cell r="C44" t="str">
            <v>METFORMINA .:. 850 mg</v>
          </cell>
          <cell r="D44" t="str">
            <v>Comprimido</v>
          </cell>
          <cell r="E44">
            <v>21952</v>
          </cell>
          <cell r="F44">
            <v>6735.4443520000004</v>
          </cell>
          <cell r="H44">
            <v>80000</v>
          </cell>
          <cell r="J44">
            <v>20420</v>
          </cell>
          <cell r="M44">
            <v>0</v>
          </cell>
          <cell r="N44">
            <v>0</v>
          </cell>
          <cell r="P44">
            <v>83532</v>
          </cell>
          <cell r="R44">
            <v>23103.0443533162</v>
          </cell>
          <cell r="S44">
            <v>0</v>
          </cell>
          <cell r="T44">
            <v>0</v>
          </cell>
          <cell r="U44">
            <v>18420</v>
          </cell>
          <cell r="V44">
            <v>0.22</v>
          </cell>
          <cell r="W44">
            <v>4052.4</v>
          </cell>
          <cell r="X44">
            <v>2.47444</v>
          </cell>
          <cell r="Y44">
            <v>0</v>
          </cell>
          <cell r="Z44">
            <v>0.22</v>
          </cell>
          <cell r="AA44">
            <v>4052.4</v>
          </cell>
        </row>
        <row r="45">
          <cell r="B45" t="str">
            <v>A-10-05</v>
          </cell>
          <cell r="C45" t="str">
            <v>INSULINA GLARGINA .:. 100 U.I / ml</v>
          </cell>
          <cell r="D45" t="str">
            <v>Inyectable</v>
          </cell>
          <cell r="E45">
            <v>17</v>
          </cell>
          <cell r="F45">
            <v>4079.66</v>
          </cell>
          <cell r="H45">
            <v>140</v>
          </cell>
          <cell r="J45">
            <v>33422.65</v>
          </cell>
          <cell r="M45">
            <v>0</v>
          </cell>
          <cell r="N45">
            <v>0</v>
          </cell>
          <cell r="P45">
            <v>145</v>
          </cell>
          <cell r="R45">
            <v>34655.3904230724</v>
          </cell>
          <cell r="S45">
            <v>0</v>
          </cell>
          <cell r="T45">
            <v>0</v>
          </cell>
          <cell r="U45">
            <v>12</v>
          </cell>
          <cell r="V45">
            <v>237.2432980769</v>
          </cell>
          <cell r="W45">
            <v>2846.9195769227999</v>
          </cell>
          <cell r="X45">
            <v>2.47444</v>
          </cell>
          <cell r="Y45">
            <v>0</v>
          </cell>
          <cell r="Z45">
            <v>237.2432980769</v>
          </cell>
          <cell r="AA45">
            <v>2846.9195769227999</v>
          </cell>
        </row>
        <row r="46">
          <cell r="B46" t="str">
            <v>A-10-07</v>
          </cell>
          <cell r="C46" t="str">
            <v>METFORMINA .:. 500 mg</v>
          </cell>
          <cell r="D46" t="str">
            <v>Comprimido</v>
          </cell>
          <cell r="E46">
            <v>710</v>
          </cell>
          <cell r="F46">
            <v>482.8</v>
          </cell>
          <cell r="H46">
            <v>2000</v>
          </cell>
          <cell r="J46">
            <v>1360</v>
          </cell>
          <cell r="M46">
            <v>0</v>
          </cell>
          <cell r="N46">
            <v>0</v>
          </cell>
          <cell r="P46">
            <v>2710</v>
          </cell>
          <cell r="R46">
            <v>1842.8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2.47444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A-11-02</v>
          </cell>
          <cell r="C47" t="str">
            <v>ACIDO ASCORBICO (VITAMINA C) .:. 500 mg/ml (2 ml)</v>
          </cell>
          <cell r="D47" t="str">
            <v>Inyectable</v>
          </cell>
          <cell r="E47">
            <v>1569</v>
          </cell>
          <cell r="F47">
            <v>3894.2517240000002</v>
          </cell>
          <cell r="H47">
            <v>0</v>
          </cell>
          <cell r="J47">
            <v>0</v>
          </cell>
          <cell r="M47">
            <v>252</v>
          </cell>
          <cell r="N47">
            <v>625.45986000000005</v>
          </cell>
          <cell r="P47">
            <v>1514</v>
          </cell>
          <cell r="R47">
            <v>3757.7400991193999</v>
          </cell>
          <cell r="S47">
            <v>217</v>
          </cell>
          <cell r="T47">
            <v>538.59313199999997</v>
          </cell>
          <cell r="U47">
            <v>90</v>
          </cell>
          <cell r="V47">
            <v>2.4819816985999998</v>
          </cell>
          <cell r="W47">
            <v>223.378352874</v>
          </cell>
          <cell r="X47">
            <v>2.47444</v>
          </cell>
          <cell r="Y47">
            <v>0</v>
          </cell>
          <cell r="Z47">
            <v>2.4819816985999998</v>
          </cell>
          <cell r="AA47">
            <v>223.378352874</v>
          </cell>
        </row>
        <row r="48">
          <cell r="B48" t="str">
            <v>A-11-03</v>
          </cell>
          <cell r="C48" t="str">
            <v>ACIDO ASCORBICO (VITAMINA C) .:. Según disponibilidad</v>
          </cell>
          <cell r="D48" t="str">
            <v>Solución oral gotas</v>
          </cell>
          <cell r="E48">
            <v>10</v>
          </cell>
          <cell r="F48">
            <v>147.65217000000001</v>
          </cell>
          <cell r="H48">
            <v>20</v>
          </cell>
          <cell r="J48">
            <v>309.60000000000002</v>
          </cell>
          <cell r="M48">
            <v>0</v>
          </cell>
          <cell r="N48">
            <v>0</v>
          </cell>
          <cell r="P48">
            <v>22</v>
          </cell>
          <cell r="R48">
            <v>333.41217</v>
          </cell>
          <cell r="S48">
            <v>0</v>
          </cell>
          <cell r="T48">
            <v>0</v>
          </cell>
          <cell r="U48">
            <v>8</v>
          </cell>
          <cell r="V48">
            <v>15.48</v>
          </cell>
          <cell r="W48">
            <v>123.84</v>
          </cell>
          <cell r="X48">
            <v>2.47444</v>
          </cell>
          <cell r="Y48">
            <v>0</v>
          </cell>
          <cell r="Z48">
            <v>15.48</v>
          </cell>
          <cell r="AA48">
            <v>123.84</v>
          </cell>
        </row>
        <row r="49">
          <cell r="B49" t="str">
            <v>A-11-04</v>
          </cell>
          <cell r="C49" t="str">
            <v>CIANOCOBALAMINA (VITAMINA B12) .:. 1 mg/ml</v>
          </cell>
          <cell r="D49" t="str">
            <v>Inyectable</v>
          </cell>
          <cell r="E49">
            <v>282</v>
          </cell>
          <cell r="F49">
            <v>1356.8238240000001</v>
          </cell>
          <cell r="H49">
            <v>1400</v>
          </cell>
          <cell r="J49">
            <v>6300</v>
          </cell>
          <cell r="M49">
            <v>0</v>
          </cell>
          <cell r="N49">
            <v>0</v>
          </cell>
          <cell r="P49">
            <v>1132</v>
          </cell>
          <cell r="R49">
            <v>5174.4478029762004</v>
          </cell>
          <cell r="S49">
            <v>0</v>
          </cell>
          <cell r="T49">
            <v>0</v>
          </cell>
          <cell r="U49">
            <v>550</v>
          </cell>
          <cell r="V49">
            <v>4.5134109473999997</v>
          </cell>
          <cell r="W49">
            <v>2482.3760210700002</v>
          </cell>
          <cell r="X49">
            <v>2.47444</v>
          </cell>
          <cell r="Y49">
            <v>0</v>
          </cell>
          <cell r="Z49">
            <v>4.5134109473999997</v>
          </cell>
          <cell r="AA49">
            <v>2482.3760210700002</v>
          </cell>
        </row>
        <row r="50">
          <cell r="B50" t="str">
            <v>A-11-06</v>
          </cell>
          <cell r="C50" t="str">
            <v>COMPLEJO  B (B1 + B6 + B12) .:. Según concentración eestándar</v>
          </cell>
          <cell r="D50" t="str">
            <v>Comprimido</v>
          </cell>
          <cell r="E50">
            <v>5911</v>
          </cell>
          <cell r="F50">
            <v>868.14856999999995</v>
          </cell>
          <cell r="H50">
            <v>11000</v>
          </cell>
          <cell r="J50">
            <v>1430</v>
          </cell>
          <cell r="M50">
            <v>0</v>
          </cell>
          <cell r="N50">
            <v>0</v>
          </cell>
          <cell r="P50">
            <v>14399</v>
          </cell>
          <cell r="R50">
            <v>1971.5885699999999</v>
          </cell>
          <cell r="S50">
            <v>0</v>
          </cell>
          <cell r="T50">
            <v>0</v>
          </cell>
          <cell r="U50">
            <v>2512</v>
          </cell>
          <cell r="V50">
            <v>0.13</v>
          </cell>
          <cell r="W50">
            <v>326.56</v>
          </cell>
          <cell r="X50">
            <v>2.47444</v>
          </cell>
          <cell r="Y50">
            <v>0</v>
          </cell>
          <cell r="Z50">
            <v>0.13</v>
          </cell>
          <cell r="AA50">
            <v>326.56</v>
          </cell>
        </row>
        <row r="51">
          <cell r="B51" t="str">
            <v>A-11-07</v>
          </cell>
          <cell r="C51" t="str">
            <v>COMPLEJO  B (B1 + B6 + B12) .:. Según concentración eestándar</v>
          </cell>
          <cell r="D51" t="str">
            <v>Inyectable</v>
          </cell>
          <cell r="E51">
            <v>1274</v>
          </cell>
          <cell r="F51">
            <v>1653.1092759999999</v>
          </cell>
          <cell r="H51">
            <v>2200</v>
          </cell>
          <cell r="J51">
            <v>3080</v>
          </cell>
          <cell r="M51">
            <v>45</v>
          </cell>
          <cell r="N51">
            <v>60.622653999999997</v>
          </cell>
          <cell r="P51">
            <v>2591</v>
          </cell>
          <cell r="R51">
            <v>3515.6133652859999</v>
          </cell>
          <cell r="S51">
            <v>0</v>
          </cell>
          <cell r="T51">
            <v>0</v>
          </cell>
          <cell r="U51">
            <v>928</v>
          </cell>
          <cell r="V51">
            <v>1.3772829360000001</v>
          </cell>
          <cell r="W51">
            <v>1278.118564608</v>
          </cell>
          <cell r="X51">
            <v>2.47444</v>
          </cell>
          <cell r="Y51">
            <v>0</v>
          </cell>
          <cell r="Z51">
            <v>1.3772829360000001</v>
          </cell>
          <cell r="AA51">
            <v>1278.118564608</v>
          </cell>
        </row>
        <row r="52">
          <cell r="B52" t="str">
            <v>A-11-09</v>
          </cell>
          <cell r="C52" t="str">
            <v>MULTIVITAMINAS .:. Según concentración estándar</v>
          </cell>
          <cell r="D52" t="str">
            <v>Comprimido</v>
          </cell>
          <cell r="E52">
            <v>17243</v>
          </cell>
          <cell r="F52">
            <v>5635.3572599999998</v>
          </cell>
          <cell r="H52">
            <v>0</v>
          </cell>
          <cell r="J52">
            <v>0</v>
          </cell>
          <cell r="M52">
            <v>0</v>
          </cell>
          <cell r="N52">
            <v>0</v>
          </cell>
          <cell r="P52">
            <v>14046</v>
          </cell>
          <cell r="R52">
            <v>4590.5137199999999</v>
          </cell>
          <cell r="S52">
            <v>0</v>
          </cell>
          <cell r="T52">
            <v>0</v>
          </cell>
          <cell r="U52">
            <v>3197</v>
          </cell>
          <cell r="V52">
            <v>0.32682</v>
          </cell>
          <cell r="W52">
            <v>1044.8435400000001</v>
          </cell>
          <cell r="X52">
            <v>2.47444</v>
          </cell>
          <cell r="Y52">
            <v>0</v>
          </cell>
          <cell r="Z52">
            <v>0.32682</v>
          </cell>
          <cell r="AA52">
            <v>1044.8435400000001</v>
          </cell>
        </row>
        <row r="53">
          <cell r="B53" t="str">
            <v>A-11-10</v>
          </cell>
          <cell r="C53" t="str">
            <v>MULTIVITAMINAS .:. Según concentración estándar</v>
          </cell>
          <cell r="D53" t="str">
            <v>Jarabe</v>
          </cell>
          <cell r="E53">
            <v>1</v>
          </cell>
          <cell r="F53">
            <v>20.43</v>
          </cell>
          <cell r="H53">
            <v>70</v>
          </cell>
          <cell r="J53">
            <v>1050</v>
          </cell>
          <cell r="M53">
            <v>0</v>
          </cell>
          <cell r="N53">
            <v>0</v>
          </cell>
          <cell r="P53">
            <v>23</v>
          </cell>
          <cell r="R53">
            <v>350.43</v>
          </cell>
          <cell r="S53">
            <v>0</v>
          </cell>
          <cell r="T53">
            <v>0</v>
          </cell>
          <cell r="U53">
            <v>48</v>
          </cell>
          <cell r="V53">
            <v>15</v>
          </cell>
          <cell r="W53">
            <v>720</v>
          </cell>
          <cell r="X53">
            <v>2.47444</v>
          </cell>
          <cell r="Y53">
            <v>0</v>
          </cell>
          <cell r="Z53">
            <v>15</v>
          </cell>
          <cell r="AA53">
            <v>720</v>
          </cell>
        </row>
        <row r="54">
          <cell r="B54" t="str">
            <v>A-11-13</v>
          </cell>
          <cell r="C54" t="str">
            <v>RETINOL (VITAMINA A) .:. 10.000 UI</v>
          </cell>
          <cell r="D54" t="str">
            <v>Cápsula o Perla</v>
          </cell>
          <cell r="E54">
            <v>229</v>
          </cell>
          <cell r="F54">
            <v>128.23038199999999</v>
          </cell>
          <cell r="H54">
            <v>100</v>
          </cell>
          <cell r="J54">
            <v>56</v>
          </cell>
          <cell r="M54">
            <v>74</v>
          </cell>
          <cell r="N54">
            <v>41.44</v>
          </cell>
          <cell r="P54">
            <v>317</v>
          </cell>
          <cell r="R54">
            <v>177.51182697280001</v>
          </cell>
          <cell r="S54">
            <v>74</v>
          </cell>
          <cell r="T54">
            <v>41.438678204600002</v>
          </cell>
          <cell r="U54">
            <v>12</v>
          </cell>
          <cell r="V54">
            <v>0.55998973439999999</v>
          </cell>
          <cell r="W54">
            <v>6.7198768127999999</v>
          </cell>
          <cell r="X54">
            <v>2.47444</v>
          </cell>
          <cell r="Y54">
            <v>0</v>
          </cell>
          <cell r="Z54">
            <v>0.55998973439999999</v>
          </cell>
          <cell r="AA54">
            <v>6.7198768127999999</v>
          </cell>
        </row>
        <row r="55">
          <cell r="B55" t="str">
            <v>A-11-17</v>
          </cell>
          <cell r="C55" t="str">
            <v>TIAMINA (VITAMINA B 1) .:. 300 mg</v>
          </cell>
          <cell r="D55" t="str">
            <v>Comprimido</v>
          </cell>
          <cell r="E55">
            <v>589</v>
          </cell>
          <cell r="F55">
            <v>642.01</v>
          </cell>
          <cell r="H55">
            <v>0</v>
          </cell>
          <cell r="J55">
            <v>0</v>
          </cell>
          <cell r="M55">
            <v>0</v>
          </cell>
          <cell r="N55">
            <v>0</v>
          </cell>
          <cell r="P55">
            <v>589</v>
          </cell>
          <cell r="R55">
            <v>642.01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2.47444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A-11-18</v>
          </cell>
          <cell r="C56" t="str">
            <v>TIAMINA (VITAMINA B 1) .:. 100 mg/ml</v>
          </cell>
          <cell r="D56" t="str">
            <v>Inyectable</v>
          </cell>
          <cell r="E56">
            <v>97</v>
          </cell>
          <cell r="F56">
            <v>294.88</v>
          </cell>
          <cell r="H56">
            <v>152</v>
          </cell>
          <cell r="J56">
            <v>462.08</v>
          </cell>
          <cell r="M56">
            <v>12</v>
          </cell>
          <cell r="N56">
            <v>36.479999999999997</v>
          </cell>
          <cell r="P56">
            <v>172</v>
          </cell>
          <cell r="R56">
            <v>522.88</v>
          </cell>
          <cell r="S56">
            <v>0</v>
          </cell>
          <cell r="T56">
            <v>0</v>
          </cell>
          <cell r="U56">
            <v>89</v>
          </cell>
          <cell r="V56">
            <v>3.04</v>
          </cell>
          <cell r="W56">
            <v>270.56</v>
          </cell>
          <cell r="X56">
            <v>2.47444</v>
          </cell>
          <cell r="Y56">
            <v>0</v>
          </cell>
          <cell r="Z56">
            <v>3.04</v>
          </cell>
          <cell r="AA56">
            <v>270.56</v>
          </cell>
        </row>
        <row r="57">
          <cell r="B57" t="str">
            <v>A-11-19</v>
          </cell>
          <cell r="C57" t="str">
            <v>TOCOFEROL (VITAMINA E) .:. 1.000 UI</v>
          </cell>
          <cell r="D57" t="str">
            <v>Cápsula blanda</v>
          </cell>
          <cell r="E57">
            <v>3197</v>
          </cell>
          <cell r="F57">
            <v>4637.1302109999997</v>
          </cell>
          <cell r="H57">
            <v>20500</v>
          </cell>
          <cell r="J57">
            <v>29920</v>
          </cell>
          <cell r="M57">
            <v>0</v>
          </cell>
          <cell r="N57">
            <v>0</v>
          </cell>
          <cell r="P57">
            <v>19997</v>
          </cell>
          <cell r="R57">
            <v>29228.020329036</v>
          </cell>
          <cell r="S57">
            <v>0</v>
          </cell>
          <cell r="T57">
            <v>0</v>
          </cell>
          <cell r="U57">
            <v>3700</v>
          </cell>
          <cell r="V57">
            <v>1.4402999681999999</v>
          </cell>
          <cell r="W57">
            <v>5329.1098823399998</v>
          </cell>
          <cell r="X57">
            <v>2.47444</v>
          </cell>
          <cell r="Y57">
            <v>0</v>
          </cell>
          <cell r="Z57">
            <v>1.4402999681999999</v>
          </cell>
          <cell r="AA57">
            <v>5329.1098823399998</v>
          </cell>
        </row>
        <row r="58">
          <cell r="B58" t="str">
            <v>A-12-01</v>
          </cell>
          <cell r="C58" t="str">
            <v>CALCIO (CARBONATO O CITRATO) .:. 500 mg (ión calcio)</v>
          </cell>
          <cell r="D58" t="str">
            <v>Comprimido</v>
          </cell>
          <cell r="E58">
            <v>0</v>
          </cell>
          <cell r="F58">
            <v>0</v>
          </cell>
          <cell r="H58">
            <v>3800</v>
          </cell>
          <cell r="J58">
            <v>2212</v>
          </cell>
          <cell r="M58">
            <v>0</v>
          </cell>
          <cell r="N58">
            <v>0</v>
          </cell>
          <cell r="P58">
            <v>3421</v>
          </cell>
          <cell r="R58">
            <v>2005.8823075538</v>
          </cell>
          <cell r="S58">
            <v>0</v>
          </cell>
          <cell r="T58">
            <v>0</v>
          </cell>
          <cell r="U58">
            <v>379</v>
          </cell>
          <cell r="V58">
            <v>0.54384615380000001</v>
          </cell>
          <cell r="W58">
            <v>206.11769229020001</v>
          </cell>
          <cell r="X58">
            <v>2.47444</v>
          </cell>
          <cell r="Y58">
            <v>0</v>
          </cell>
          <cell r="Z58">
            <v>0.54384615380000001</v>
          </cell>
          <cell r="AA58">
            <v>206.11769229020001</v>
          </cell>
        </row>
        <row r="59">
          <cell r="B59" t="str">
            <v>A-12-02</v>
          </cell>
          <cell r="C59" t="str">
            <v>CALCIO + VITAMINA D .:. 500 mg (ión calcio); Según disponibilidad</v>
          </cell>
          <cell r="D59" t="str">
            <v>Comprimido o Cápsula</v>
          </cell>
          <cell r="E59">
            <v>5241</v>
          </cell>
          <cell r="F59">
            <v>2830.14</v>
          </cell>
          <cell r="H59">
            <v>27700</v>
          </cell>
          <cell r="J59">
            <v>11075</v>
          </cell>
          <cell r="M59">
            <v>0</v>
          </cell>
          <cell r="N59">
            <v>0</v>
          </cell>
          <cell r="P59">
            <v>26631</v>
          </cell>
          <cell r="R59">
            <v>11443.9784845637</v>
          </cell>
          <cell r="S59">
            <v>0</v>
          </cell>
          <cell r="T59">
            <v>0</v>
          </cell>
          <cell r="U59">
            <v>6310</v>
          </cell>
          <cell r="V59">
            <v>0.39004144470000002</v>
          </cell>
          <cell r="W59">
            <v>2461.161516057</v>
          </cell>
          <cell r="X59">
            <v>2.47444</v>
          </cell>
          <cell r="Y59">
            <v>0</v>
          </cell>
          <cell r="Z59">
            <v>0.39004144470000002</v>
          </cell>
          <cell r="AA59">
            <v>2461.161516057</v>
          </cell>
        </row>
        <row r="60">
          <cell r="B60" t="str">
            <v>A-12-03</v>
          </cell>
          <cell r="C60" t="str">
            <v>CLORURO DE POTASIO .:. 1,3 mEq/ml</v>
          </cell>
          <cell r="D60" t="str">
            <v>Solución oral</v>
          </cell>
          <cell r="E60">
            <v>0</v>
          </cell>
          <cell r="F60">
            <v>0</v>
          </cell>
          <cell r="H60">
            <v>0</v>
          </cell>
          <cell r="J60">
            <v>0</v>
          </cell>
          <cell r="M60">
            <v>1</v>
          </cell>
          <cell r="N60">
            <v>26.02</v>
          </cell>
          <cell r="P60">
            <v>0</v>
          </cell>
          <cell r="R60">
            <v>0</v>
          </cell>
          <cell r="S60">
            <v>0</v>
          </cell>
          <cell r="T60">
            <v>0</v>
          </cell>
          <cell r="U60">
            <v>1</v>
          </cell>
          <cell r="V60">
            <v>26.02</v>
          </cell>
          <cell r="W60">
            <v>26.02</v>
          </cell>
          <cell r="X60">
            <v>2.47444</v>
          </cell>
          <cell r="Y60">
            <v>0</v>
          </cell>
          <cell r="Z60">
            <v>26.02</v>
          </cell>
          <cell r="AA60">
            <v>26.02</v>
          </cell>
        </row>
        <row r="61">
          <cell r="B61" t="str">
            <v>A-12-05</v>
          </cell>
          <cell r="C61" t="str">
            <v>ZINC .:. 20 mg/5 ml (Como zinc elemental)</v>
          </cell>
          <cell r="D61" t="str">
            <v>Jarabe</v>
          </cell>
          <cell r="E61">
            <v>62</v>
          </cell>
          <cell r="F61">
            <v>429.66</v>
          </cell>
          <cell r="H61">
            <v>30</v>
          </cell>
          <cell r="J61">
            <v>240</v>
          </cell>
          <cell r="M61">
            <v>11</v>
          </cell>
          <cell r="N61">
            <v>76.23</v>
          </cell>
          <cell r="P61">
            <v>67</v>
          </cell>
          <cell r="R61">
            <v>469.66</v>
          </cell>
          <cell r="S61">
            <v>11</v>
          </cell>
          <cell r="T61">
            <v>76.23</v>
          </cell>
          <cell r="U61">
            <v>25</v>
          </cell>
          <cell r="V61">
            <v>8</v>
          </cell>
          <cell r="W61">
            <v>200</v>
          </cell>
          <cell r="X61">
            <v>2.47444</v>
          </cell>
          <cell r="Y61">
            <v>0</v>
          </cell>
          <cell r="Z61">
            <v>8</v>
          </cell>
          <cell r="AA61">
            <v>200</v>
          </cell>
        </row>
        <row r="62">
          <cell r="B62" t="str">
            <v>A-12-06</v>
          </cell>
          <cell r="C62" t="str">
            <v>ZINC (COMO SULFATO) .:. 20 mg</v>
          </cell>
          <cell r="D62" t="str">
            <v>Comprimido</v>
          </cell>
          <cell r="E62">
            <v>4711</v>
          </cell>
          <cell r="F62">
            <v>1335.8228939999999</v>
          </cell>
          <cell r="H62">
            <v>1500</v>
          </cell>
          <cell r="J62">
            <v>435</v>
          </cell>
          <cell r="M62">
            <v>517</v>
          </cell>
          <cell r="N62">
            <v>146.6</v>
          </cell>
          <cell r="P62">
            <v>4881</v>
          </cell>
          <cell r="R62">
            <v>1385.1254760014001</v>
          </cell>
          <cell r="S62">
            <v>517</v>
          </cell>
          <cell r="T62">
            <v>146.597418</v>
          </cell>
          <cell r="U62">
            <v>1330</v>
          </cell>
          <cell r="V62">
            <v>0.28999999999999998</v>
          </cell>
          <cell r="W62">
            <v>385.7</v>
          </cell>
          <cell r="X62">
            <v>2.47444</v>
          </cell>
          <cell r="Y62">
            <v>0</v>
          </cell>
          <cell r="Z62">
            <v>0.28999999999999998</v>
          </cell>
          <cell r="AA62">
            <v>385.7</v>
          </cell>
        </row>
        <row r="63">
          <cell r="B63" t="str">
            <v>B-01-01</v>
          </cell>
          <cell r="C63" t="str">
            <v>ACIDO ACETIL SALICILICO .:. 100 mg</v>
          </cell>
          <cell r="D63" t="str">
            <v>Comprimido</v>
          </cell>
          <cell r="E63">
            <v>9108</v>
          </cell>
          <cell r="F63">
            <v>1525.77216</v>
          </cell>
          <cell r="H63">
            <v>34000</v>
          </cell>
          <cell r="J63">
            <v>5100</v>
          </cell>
          <cell r="M63">
            <v>0</v>
          </cell>
          <cell r="N63">
            <v>0</v>
          </cell>
          <cell r="P63">
            <v>38064</v>
          </cell>
          <cell r="R63">
            <v>5867.0860967939998</v>
          </cell>
          <cell r="S63">
            <v>0</v>
          </cell>
          <cell r="T63">
            <v>0</v>
          </cell>
          <cell r="U63">
            <v>5044</v>
          </cell>
          <cell r="V63">
            <v>0.15041357299999999</v>
          </cell>
          <cell r="W63">
            <v>758.68606221200002</v>
          </cell>
          <cell r="X63">
            <v>2.47444</v>
          </cell>
          <cell r="Y63">
            <v>0</v>
          </cell>
          <cell r="Z63">
            <v>0.15041357299999999</v>
          </cell>
          <cell r="AA63">
            <v>758.68606221200002</v>
          </cell>
        </row>
        <row r="64">
          <cell r="B64" t="str">
            <v>B-01-03</v>
          </cell>
          <cell r="C64" t="str">
            <v>HEPARINA DE BAJO PESO MOLECULAR .:. 40 M.G.</v>
          </cell>
          <cell r="D64" t="str">
            <v>Inyectable</v>
          </cell>
          <cell r="E64">
            <v>164</v>
          </cell>
          <cell r="F64">
            <v>6089.218484</v>
          </cell>
          <cell r="H64">
            <v>300</v>
          </cell>
          <cell r="J64">
            <v>11475</v>
          </cell>
          <cell r="M64">
            <v>16</v>
          </cell>
          <cell r="N64">
            <v>615.31009500000005</v>
          </cell>
          <cell r="P64">
            <v>408</v>
          </cell>
          <cell r="R64">
            <v>15551.528579005701</v>
          </cell>
          <cell r="S64">
            <v>0</v>
          </cell>
          <cell r="T64">
            <v>0</v>
          </cell>
          <cell r="U64">
            <v>72</v>
          </cell>
          <cell r="V64">
            <v>36.5</v>
          </cell>
          <cell r="W64">
            <v>2628</v>
          </cell>
          <cell r="X64">
            <v>2.47444</v>
          </cell>
          <cell r="Y64">
            <v>0</v>
          </cell>
          <cell r="Z64">
            <v>36.5</v>
          </cell>
          <cell r="AA64">
            <v>2628</v>
          </cell>
        </row>
        <row r="65">
          <cell r="B65" t="str">
            <v>B-01-031</v>
          </cell>
          <cell r="C65" t="str">
            <v>HEPARINA DE BAJO PESO MOLECULAR  60 MG .:. 60 MG</v>
          </cell>
          <cell r="D65" t="str">
            <v>Inyectable</v>
          </cell>
          <cell r="E65">
            <v>136</v>
          </cell>
          <cell r="F65">
            <v>7920.9997199999998</v>
          </cell>
          <cell r="H65">
            <v>0</v>
          </cell>
          <cell r="J65">
            <v>0</v>
          </cell>
          <cell r="M65">
            <v>44</v>
          </cell>
          <cell r="N65">
            <v>2562.6752900000001</v>
          </cell>
          <cell r="P65">
            <v>138</v>
          </cell>
          <cell r="R65">
            <v>8037.4839199992002</v>
          </cell>
          <cell r="S65">
            <v>42</v>
          </cell>
          <cell r="T65">
            <v>2446.1910899999998</v>
          </cell>
          <cell r="U65">
            <v>0</v>
          </cell>
          <cell r="V65">
            <v>0</v>
          </cell>
          <cell r="W65">
            <v>0</v>
          </cell>
          <cell r="X65">
            <v>2.47444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B-01-04</v>
          </cell>
          <cell r="C66" t="str">
            <v>HEPARINA SODICA .:. 5.000 UI/ml</v>
          </cell>
          <cell r="D66" t="str">
            <v>Inyectable</v>
          </cell>
          <cell r="E66">
            <v>11</v>
          </cell>
          <cell r="F66">
            <v>396</v>
          </cell>
          <cell r="H66">
            <v>30</v>
          </cell>
          <cell r="J66">
            <v>1020</v>
          </cell>
          <cell r="M66">
            <v>0</v>
          </cell>
          <cell r="N66">
            <v>0</v>
          </cell>
          <cell r="P66">
            <v>25</v>
          </cell>
          <cell r="R66">
            <v>872</v>
          </cell>
          <cell r="S66">
            <v>0</v>
          </cell>
          <cell r="T66">
            <v>0</v>
          </cell>
          <cell r="U66">
            <v>16</v>
          </cell>
          <cell r="V66">
            <v>34</v>
          </cell>
          <cell r="W66">
            <v>544</v>
          </cell>
          <cell r="X66">
            <v>2.47444</v>
          </cell>
          <cell r="Y66">
            <v>0</v>
          </cell>
          <cell r="Z66">
            <v>34</v>
          </cell>
          <cell r="AA66">
            <v>544</v>
          </cell>
        </row>
        <row r="67">
          <cell r="B67" t="str">
            <v>B-01-05</v>
          </cell>
          <cell r="C67" t="str">
            <v>WARFARINA .:. 5 mg</v>
          </cell>
          <cell r="D67" t="str">
            <v>Comprimido ranurado</v>
          </cell>
          <cell r="E67">
            <v>1225</v>
          </cell>
          <cell r="F67">
            <v>634.36869999999999</v>
          </cell>
          <cell r="H67">
            <v>800</v>
          </cell>
          <cell r="J67">
            <v>400</v>
          </cell>
          <cell r="M67">
            <v>19</v>
          </cell>
          <cell r="N67">
            <v>9.4995630000000002</v>
          </cell>
          <cell r="P67">
            <v>1585</v>
          </cell>
          <cell r="R67">
            <v>814.36853813499999</v>
          </cell>
          <cell r="S67">
            <v>0</v>
          </cell>
          <cell r="T67">
            <v>0</v>
          </cell>
          <cell r="U67">
            <v>459</v>
          </cell>
          <cell r="V67">
            <v>0.49999940050000002</v>
          </cell>
          <cell r="W67">
            <v>229.4997248295</v>
          </cell>
          <cell r="X67">
            <v>2.47444</v>
          </cell>
          <cell r="Y67">
            <v>0</v>
          </cell>
          <cell r="Z67">
            <v>0.49999940050000002</v>
          </cell>
          <cell r="AA67">
            <v>229.4997248295</v>
          </cell>
        </row>
        <row r="68">
          <cell r="B68" t="str">
            <v>B-01-06</v>
          </cell>
          <cell r="C68" t="str">
            <v>CLOPIDOGREL .:. 75 mg</v>
          </cell>
          <cell r="D68" t="str">
            <v>Comprimido</v>
          </cell>
          <cell r="E68">
            <v>2881</v>
          </cell>
          <cell r="F68">
            <v>4879.1838129999996</v>
          </cell>
          <cell r="H68">
            <v>10000</v>
          </cell>
          <cell r="J68">
            <v>14000</v>
          </cell>
          <cell r="M68">
            <v>1</v>
          </cell>
          <cell r="N68">
            <v>1.4135789999999999</v>
          </cell>
          <cell r="P68">
            <v>11148</v>
          </cell>
          <cell r="R68">
            <v>16429.450233687199</v>
          </cell>
          <cell r="S68">
            <v>0</v>
          </cell>
          <cell r="T68">
            <v>0</v>
          </cell>
          <cell r="U68">
            <v>1734</v>
          </cell>
          <cell r="V68">
            <v>1.4135796760999999</v>
          </cell>
          <cell r="W68">
            <v>2451.1471583573998</v>
          </cell>
          <cell r="X68">
            <v>2.47444</v>
          </cell>
          <cell r="Y68">
            <v>0</v>
          </cell>
          <cell r="Z68">
            <v>1.4135796760999999</v>
          </cell>
          <cell r="AA68">
            <v>2451.1471583573998</v>
          </cell>
        </row>
        <row r="69">
          <cell r="B69" t="str">
            <v>B-01-07</v>
          </cell>
          <cell r="C69" t="str">
            <v xml:space="preserve">RIBAROXABAN  .:. 10 MG </v>
          </cell>
          <cell r="D69" t="str">
            <v>Comprimido</v>
          </cell>
          <cell r="E69">
            <v>413</v>
          </cell>
          <cell r="F69">
            <v>2891</v>
          </cell>
          <cell r="H69">
            <v>2700</v>
          </cell>
          <cell r="J69">
            <v>17400</v>
          </cell>
          <cell r="M69">
            <v>0</v>
          </cell>
          <cell r="N69">
            <v>0</v>
          </cell>
          <cell r="P69">
            <v>2369</v>
          </cell>
          <cell r="R69">
            <v>15563.562907969999</v>
          </cell>
          <cell r="S69">
            <v>0</v>
          </cell>
          <cell r="T69">
            <v>0</v>
          </cell>
          <cell r="U69">
            <v>744</v>
          </cell>
          <cell r="V69">
            <v>6.3540821129999996</v>
          </cell>
          <cell r="W69">
            <v>4727.4370920720003</v>
          </cell>
          <cell r="X69">
            <v>2.47444</v>
          </cell>
          <cell r="Y69">
            <v>0</v>
          </cell>
          <cell r="Z69">
            <v>6.3540821129999996</v>
          </cell>
          <cell r="AA69">
            <v>4727.4370920720003</v>
          </cell>
        </row>
        <row r="70">
          <cell r="B70" t="str">
            <v>B-02-02</v>
          </cell>
          <cell r="C70" t="str">
            <v>FITOMENADIONA  (VITAMINA K1) .:. 10 mg/ml</v>
          </cell>
          <cell r="D70" t="str">
            <v>Inyectable</v>
          </cell>
          <cell r="E70">
            <v>211</v>
          </cell>
          <cell r="F70">
            <v>505.87714199999999</v>
          </cell>
          <cell r="H70">
            <v>0</v>
          </cell>
          <cell r="J70">
            <v>0</v>
          </cell>
          <cell r="M70">
            <v>7</v>
          </cell>
          <cell r="N70">
            <v>16.782654000000001</v>
          </cell>
          <cell r="P70">
            <v>192</v>
          </cell>
          <cell r="R70">
            <v>460.32422400000002</v>
          </cell>
          <cell r="S70">
            <v>0</v>
          </cell>
          <cell r="T70">
            <v>0</v>
          </cell>
          <cell r="U70">
            <v>26</v>
          </cell>
          <cell r="V70">
            <v>2.3975219999999999</v>
          </cell>
          <cell r="W70">
            <v>62.335571999999999</v>
          </cell>
          <cell r="X70">
            <v>2.47444</v>
          </cell>
          <cell r="Y70">
            <v>0</v>
          </cell>
          <cell r="Z70">
            <v>2.3975219999999999</v>
          </cell>
          <cell r="AA70">
            <v>62.335571999999999</v>
          </cell>
        </row>
        <row r="71">
          <cell r="B71" t="str">
            <v>B-02-06</v>
          </cell>
          <cell r="C71" t="str">
            <v>ACIDO TRANEXAMICO .:. 500 mg</v>
          </cell>
          <cell r="D71" t="str">
            <v>Inyectable</v>
          </cell>
          <cell r="E71">
            <v>20</v>
          </cell>
          <cell r="F71">
            <v>516.39344000000006</v>
          </cell>
          <cell r="H71">
            <v>190</v>
          </cell>
          <cell r="J71">
            <v>4838</v>
          </cell>
          <cell r="M71">
            <v>17</v>
          </cell>
          <cell r="N71">
            <v>434.42112900000001</v>
          </cell>
          <cell r="P71">
            <v>174</v>
          </cell>
          <cell r="R71">
            <v>4421.6907735958002</v>
          </cell>
          <cell r="S71">
            <v>0</v>
          </cell>
          <cell r="T71">
            <v>0</v>
          </cell>
          <cell r="U71">
            <v>53</v>
          </cell>
          <cell r="V71">
            <v>25.794788592700002</v>
          </cell>
          <cell r="W71">
            <v>1367.1237954131</v>
          </cell>
          <cell r="X71">
            <v>2.47444</v>
          </cell>
          <cell r="Y71">
            <v>0</v>
          </cell>
          <cell r="Z71">
            <v>25.794788592700002</v>
          </cell>
          <cell r="AA71">
            <v>1367.1237954131</v>
          </cell>
        </row>
        <row r="72">
          <cell r="B72" t="str">
            <v>B-03-01</v>
          </cell>
          <cell r="C72" t="str">
            <v>ACIDO FOLICO .:. 5 mg</v>
          </cell>
          <cell r="D72" t="str">
            <v>Comprimido</v>
          </cell>
          <cell r="E72">
            <v>473</v>
          </cell>
          <cell r="F72">
            <v>127.71</v>
          </cell>
          <cell r="H72">
            <v>7200</v>
          </cell>
          <cell r="J72">
            <v>1284</v>
          </cell>
          <cell r="M72">
            <v>0</v>
          </cell>
          <cell r="N72">
            <v>0</v>
          </cell>
          <cell r="P72">
            <v>5683</v>
          </cell>
          <cell r="R72">
            <v>914.21</v>
          </cell>
          <cell r="S72">
            <v>0</v>
          </cell>
          <cell r="T72">
            <v>0</v>
          </cell>
          <cell r="U72">
            <v>1990</v>
          </cell>
          <cell r="V72">
            <v>0.25</v>
          </cell>
          <cell r="W72">
            <v>497.5</v>
          </cell>
          <cell r="X72">
            <v>2.47444</v>
          </cell>
          <cell r="Y72">
            <v>0</v>
          </cell>
          <cell r="Z72">
            <v>0.25</v>
          </cell>
          <cell r="AA72">
            <v>497.5</v>
          </cell>
        </row>
        <row r="73">
          <cell r="B73" t="str">
            <v>B-03-02</v>
          </cell>
          <cell r="C73" t="str">
            <v>ERITROPOYETINA .:. 10.000 UI</v>
          </cell>
          <cell r="D73" t="str">
            <v>Inyectable</v>
          </cell>
          <cell r="E73">
            <v>4</v>
          </cell>
          <cell r="F73">
            <v>225.2</v>
          </cell>
          <cell r="H73">
            <v>120</v>
          </cell>
          <cell r="J73">
            <v>6260</v>
          </cell>
          <cell r="M73">
            <v>0</v>
          </cell>
          <cell r="N73">
            <v>0</v>
          </cell>
          <cell r="P73">
            <v>96</v>
          </cell>
          <cell r="R73">
            <v>4973.2</v>
          </cell>
          <cell r="S73">
            <v>0</v>
          </cell>
          <cell r="T73">
            <v>0</v>
          </cell>
          <cell r="U73">
            <v>28</v>
          </cell>
          <cell r="V73">
            <v>54</v>
          </cell>
          <cell r="W73">
            <v>1512</v>
          </cell>
          <cell r="X73">
            <v>2.47444</v>
          </cell>
          <cell r="Y73">
            <v>0</v>
          </cell>
          <cell r="Z73">
            <v>54</v>
          </cell>
          <cell r="AA73">
            <v>1512</v>
          </cell>
        </row>
        <row r="74">
          <cell r="B74" t="str">
            <v>B-03-04</v>
          </cell>
          <cell r="C74" t="str">
            <v>HIERRO .:. 100 mg - IM o IV</v>
          </cell>
          <cell r="D74" t="str">
            <v>Inyectable</v>
          </cell>
          <cell r="E74">
            <v>9</v>
          </cell>
          <cell r="F74">
            <v>198.98143200000001</v>
          </cell>
          <cell r="H74">
            <v>150</v>
          </cell>
          <cell r="J74">
            <v>2890</v>
          </cell>
          <cell r="M74">
            <v>2</v>
          </cell>
          <cell r="N74">
            <v>30</v>
          </cell>
          <cell r="P74">
            <v>135</v>
          </cell>
          <cell r="R74">
            <v>2474.7592097781999</v>
          </cell>
          <cell r="S74">
            <v>0</v>
          </cell>
          <cell r="T74">
            <v>0</v>
          </cell>
          <cell r="U74">
            <v>26</v>
          </cell>
          <cell r="V74">
            <v>24.777777777800001</v>
          </cell>
          <cell r="W74">
            <v>644.22222222280004</v>
          </cell>
          <cell r="X74">
            <v>2.47444</v>
          </cell>
          <cell r="Y74">
            <v>0</v>
          </cell>
          <cell r="Z74">
            <v>24.777777777800001</v>
          </cell>
          <cell r="AA74">
            <v>644.22222222280004</v>
          </cell>
        </row>
        <row r="75">
          <cell r="B75" t="str">
            <v>B-03-05</v>
          </cell>
          <cell r="C75" t="str">
            <v>MICRONUTRIENTES (VIT. C + VIT A + FE + ZN + AC. FOLICO) (CHISPITAS NUTRICIONALES) .:. Según concentración estándard</v>
          </cell>
          <cell r="D75" t="str">
            <v>Polvo</v>
          </cell>
          <cell r="E75">
            <v>300</v>
          </cell>
          <cell r="F75">
            <v>114</v>
          </cell>
          <cell r="H75">
            <v>0</v>
          </cell>
          <cell r="J75">
            <v>0</v>
          </cell>
          <cell r="M75">
            <v>0</v>
          </cell>
          <cell r="N75">
            <v>0</v>
          </cell>
          <cell r="P75">
            <v>300</v>
          </cell>
          <cell r="R75">
            <v>114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2.47444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B-03-07</v>
          </cell>
          <cell r="C76" t="str">
            <v>SULFATO FERROSO .:. 125 mg/ml</v>
          </cell>
          <cell r="D76" t="str">
            <v>Solución oral</v>
          </cell>
          <cell r="E76">
            <v>2</v>
          </cell>
          <cell r="F76">
            <v>25.72</v>
          </cell>
          <cell r="H76">
            <v>0</v>
          </cell>
          <cell r="J76">
            <v>0</v>
          </cell>
          <cell r="M76">
            <v>0</v>
          </cell>
          <cell r="N76">
            <v>0</v>
          </cell>
          <cell r="P76">
            <v>2</v>
          </cell>
          <cell r="R76">
            <v>25.72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2.47444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B-03-08</v>
          </cell>
          <cell r="C77" t="str">
            <v>SULFATO FERROSO + AC. FOLICO + VITAMINA C .:. 200 mg + 0,5 mg + 150 mg</v>
          </cell>
          <cell r="D77" t="str">
            <v>Comprimido</v>
          </cell>
          <cell r="E77">
            <v>1237</v>
          </cell>
          <cell r="F77">
            <v>211.909233</v>
          </cell>
          <cell r="H77">
            <v>3000</v>
          </cell>
          <cell r="J77">
            <v>390</v>
          </cell>
          <cell r="M77">
            <v>0</v>
          </cell>
          <cell r="N77">
            <v>0</v>
          </cell>
          <cell r="P77">
            <v>2857</v>
          </cell>
          <cell r="R77">
            <v>422.50923299999999</v>
          </cell>
          <cell r="S77">
            <v>0</v>
          </cell>
          <cell r="T77">
            <v>0</v>
          </cell>
          <cell r="U77">
            <v>1380</v>
          </cell>
          <cell r="V77">
            <v>0.13</v>
          </cell>
          <cell r="W77">
            <v>179.4</v>
          </cell>
          <cell r="X77">
            <v>2.47444</v>
          </cell>
          <cell r="Y77">
            <v>0</v>
          </cell>
          <cell r="Z77">
            <v>0.13</v>
          </cell>
          <cell r="AA77">
            <v>179.4</v>
          </cell>
        </row>
        <row r="78">
          <cell r="B78" t="str">
            <v>B-03-09</v>
          </cell>
          <cell r="C78" t="str">
            <v>SULFATO FERROSO + AC. FOLICO + VITAMINA C .:. 125 mg + 0,25 mg + 30 mg</v>
          </cell>
          <cell r="D78" t="str">
            <v>Solución oral</v>
          </cell>
          <cell r="E78">
            <v>20</v>
          </cell>
          <cell r="F78">
            <v>119.6</v>
          </cell>
          <cell r="H78">
            <v>0</v>
          </cell>
          <cell r="J78">
            <v>0</v>
          </cell>
          <cell r="M78">
            <v>0</v>
          </cell>
          <cell r="N78">
            <v>0</v>
          </cell>
          <cell r="P78">
            <v>20</v>
          </cell>
          <cell r="R78">
            <v>119.6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2.47444</v>
          </cell>
          <cell r="Y78">
            <v>0</v>
          </cell>
          <cell r="Z78">
            <v>0</v>
          </cell>
          <cell r="AA78">
            <v>0</v>
          </cell>
        </row>
        <row r="79">
          <cell r="B79" t="str">
            <v>B-05-01</v>
          </cell>
          <cell r="C79" t="str">
            <v>AGUA PARA INYECCION .:. 5 ml</v>
          </cell>
          <cell r="D79" t="str">
            <v>Inyectable</v>
          </cell>
          <cell r="E79">
            <v>2044</v>
          </cell>
          <cell r="F79">
            <v>1613.1759</v>
          </cell>
          <cell r="H79">
            <v>3000</v>
          </cell>
          <cell r="J79">
            <v>1800</v>
          </cell>
          <cell r="M79">
            <v>98</v>
          </cell>
          <cell r="N79">
            <v>72.620670000000004</v>
          </cell>
          <cell r="P79">
            <v>3537</v>
          </cell>
          <cell r="R79">
            <v>2522.3004705802</v>
          </cell>
          <cell r="S79">
            <v>0</v>
          </cell>
          <cell r="T79">
            <v>0</v>
          </cell>
          <cell r="U79">
            <v>1605</v>
          </cell>
          <cell r="V79">
            <v>0.60030909610000005</v>
          </cell>
          <cell r="W79">
            <v>963.49609924050003</v>
          </cell>
          <cell r="X79">
            <v>2.47444</v>
          </cell>
          <cell r="Y79">
            <v>0</v>
          </cell>
          <cell r="Z79">
            <v>0.60030909610000005</v>
          </cell>
          <cell r="AA79">
            <v>963.49609924050003</v>
          </cell>
        </row>
        <row r="80">
          <cell r="B80" t="str">
            <v>B-05-02</v>
          </cell>
          <cell r="C80" t="str">
            <v>ALBUMINA HUMANA .:. 0.2</v>
          </cell>
          <cell r="D80" t="str">
            <v>Inyectable</v>
          </cell>
          <cell r="E80">
            <v>17</v>
          </cell>
          <cell r="F80">
            <v>4590</v>
          </cell>
          <cell r="H80">
            <v>310</v>
          </cell>
          <cell r="J80">
            <v>85700</v>
          </cell>
          <cell r="M80">
            <v>2</v>
          </cell>
          <cell r="N80">
            <v>540</v>
          </cell>
          <cell r="P80">
            <v>249</v>
          </cell>
          <cell r="R80">
            <v>68574.262295085995</v>
          </cell>
          <cell r="S80">
            <v>0</v>
          </cell>
          <cell r="T80">
            <v>0</v>
          </cell>
          <cell r="U80">
            <v>80</v>
          </cell>
          <cell r="V80">
            <v>278.19672131150003</v>
          </cell>
          <cell r="W80">
            <v>22255.73770492</v>
          </cell>
          <cell r="X80">
            <v>2.47444</v>
          </cell>
          <cell r="Y80">
            <v>0</v>
          </cell>
          <cell r="Z80">
            <v>278.19672131150003</v>
          </cell>
          <cell r="AA80">
            <v>22255.73770492</v>
          </cell>
        </row>
        <row r="81">
          <cell r="B81" t="str">
            <v>B-05-03</v>
          </cell>
          <cell r="C81" t="str">
            <v>AMINOACIDOS .:. 0.1</v>
          </cell>
          <cell r="D81" t="str">
            <v>Solución parenteral de gran volumen</v>
          </cell>
          <cell r="E81">
            <v>23</v>
          </cell>
          <cell r="F81">
            <v>2719.4305530000001</v>
          </cell>
          <cell r="H81">
            <v>27</v>
          </cell>
          <cell r="J81">
            <v>3159</v>
          </cell>
          <cell r="M81">
            <v>7</v>
          </cell>
          <cell r="N81">
            <v>824.56249800000001</v>
          </cell>
          <cell r="P81">
            <v>52</v>
          </cell>
          <cell r="R81">
            <v>6117.9930509997002</v>
          </cell>
          <cell r="S81">
            <v>0</v>
          </cell>
          <cell r="T81">
            <v>0</v>
          </cell>
          <cell r="U81">
            <v>5</v>
          </cell>
          <cell r="V81">
            <v>117</v>
          </cell>
          <cell r="W81">
            <v>585</v>
          </cell>
          <cell r="X81">
            <v>2.47444</v>
          </cell>
          <cell r="Y81">
            <v>0</v>
          </cell>
          <cell r="Z81">
            <v>117</v>
          </cell>
          <cell r="AA81">
            <v>585</v>
          </cell>
        </row>
        <row r="82">
          <cell r="B82" t="str">
            <v>B-05-04</v>
          </cell>
          <cell r="C82" t="str">
            <v>BICARBONATO DE SODIO .:. 0.08</v>
          </cell>
          <cell r="D82" t="str">
            <v>Inyectable</v>
          </cell>
          <cell r="E82">
            <v>80</v>
          </cell>
          <cell r="F82">
            <v>640</v>
          </cell>
          <cell r="H82">
            <v>200</v>
          </cell>
          <cell r="J82">
            <v>1600</v>
          </cell>
          <cell r="M82">
            <v>10</v>
          </cell>
          <cell r="N82">
            <v>80</v>
          </cell>
          <cell r="P82">
            <v>85</v>
          </cell>
          <cell r="R82">
            <v>680</v>
          </cell>
          <cell r="S82">
            <v>0</v>
          </cell>
          <cell r="T82">
            <v>0</v>
          </cell>
          <cell r="U82">
            <v>205</v>
          </cell>
          <cell r="V82">
            <v>8</v>
          </cell>
          <cell r="W82">
            <v>1640</v>
          </cell>
          <cell r="X82">
            <v>2.47444</v>
          </cell>
          <cell r="Y82">
            <v>0</v>
          </cell>
          <cell r="Z82">
            <v>8</v>
          </cell>
          <cell r="AA82">
            <v>1640</v>
          </cell>
        </row>
        <row r="83">
          <cell r="B83" t="str">
            <v>B-05-06</v>
          </cell>
          <cell r="C83" t="str">
            <v>CLORURO DE POTASIO .:. 0.2</v>
          </cell>
          <cell r="D83" t="str">
            <v>Inyectable</v>
          </cell>
          <cell r="E83">
            <v>25</v>
          </cell>
          <cell r="F83">
            <v>62.942475000000002</v>
          </cell>
          <cell r="H83">
            <v>610</v>
          </cell>
          <cell r="J83">
            <v>1342</v>
          </cell>
          <cell r="M83">
            <v>80</v>
          </cell>
          <cell r="N83">
            <v>193.46742800000001</v>
          </cell>
          <cell r="P83">
            <v>642</v>
          </cell>
          <cell r="R83">
            <v>1437.8099030020001</v>
          </cell>
          <cell r="S83">
            <v>0</v>
          </cell>
          <cell r="T83">
            <v>0</v>
          </cell>
          <cell r="U83">
            <v>73</v>
          </cell>
          <cell r="V83">
            <v>2.2000000000000002</v>
          </cell>
          <cell r="W83">
            <v>160.6</v>
          </cell>
          <cell r="X83">
            <v>2.47444</v>
          </cell>
          <cell r="Y83">
            <v>0</v>
          </cell>
          <cell r="Z83">
            <v>2.2000000000000002</v>
          </cell>
          <cell r="AA83">
            <v>160.6</v>
          </cell>
        </row>
        <row r="84">
          <cell r="B84" t="str">
            <v>B-05-07</v>
          </cell>
          <cell r="C84" t="str">
            <v>CLORURO DE SODIO .:. 0.2</v>
          </cell>
          <cell r="D84" t="str">
            <v>Inyectable</v>
          </cell>
          <cell r="E84">
            <v>74</v>
          </cell>
          <cell r="F84">
            <v>251.63307800000001</v>
          </cell>
          <cell r="H84">
            <v>50</v>
          </cell>
          <cell r="J84">
            <v>160</v>
          </cell>
          <cell r="M84">
            <v>29</v>
          </cell>
          <cell r="N84">
            <v>97.536258000000004</v>
          </cell>
          <cell r="P84">
            <v>97</v>
          </cell>
          <cell r="R84">
            <v>324.75644703299997</v>
          </cell>
          <cell r="S84">
            <v>17</v>
          </cell>
          <cell r="T84">
            <v>57.807599000000003</v>
          </cell>
          <cell r="U84">
            <v>39</v>
          </cell>
          <cell r="V84">
            <v>3.2462894863999998</v>
          </cell>
          <cell r="W84">
            <v>126.60528996959999</v>
          </cell>
          <cell r="X84">
            <v>2.47444</v>
          </cell>
          <cell r="Y84">
            <v>0</v>
          </cell>
          <cell r="Z84">
            <v>3.2462894863999998</v>
          </cell>
          <cell r="AA84">
            <v>126.60528996959999</v>
          </cell>
        </row>
        <row r="85">
          <cell r="B85" t="str">
            <v>B-05-09</v>
          </cell>
          <cell r="C85" t="str">
            <v>EMULSION DE LIPIDOS .:. Según disponibilidad</v>
          </cell>
          <cell r="D85" t="str">
            <v>Emulsión inyectable</v>
          </cell>
          <cell r="E85">
            <v>7</v>
          </cell>
          <cell r="F85">
            <v>980</v>
          </cell>
          <cell r="H85">
            <v>10</v>
          </cell>
          <cell r="J85">
            <v>1400</v>
          </cell>
          <cell r="M85">
            <v>5</v>
          </cell>
          <cell r="N85">
            <v>700</v>
          </cell>
          <cell r="P85">
            <v>18</v>
          </cell>
          <cell r="R85">
            <v>2520</v>
          </cell>
          <cell r="S85">
            <v>0</v>
          </cell>
          <cell r="T85">
            <v>0</v>
          </cell>
          <cell r="U85">
            <v>4</v>
          </cell>
          <cell r="V85">
            <v>140</v>
          </cell>
          <cell r="W85">
            <v>560</v>
          </cell>
          <cell r="X85">
            <v>2.47444</v>
          </cell>
          <cell r="Y85">
            <v>0</v>
          </cell>
          <cell r="Z85">
            <v>140</v>
          </cell>
          <cell r="AA85">
            <v>560</v>
          </cell>
        </row>
        <row r="86">
          <cell r="B86" t="str">
            <v>B-05-10</v>
          </cell>
          <cell r="C86" t="str">
            <v>GLUCONATO CALCICO (CALCIO GLUCONATO) .:. 0.1</v>
          </cell>
          <cell r="D86" t="str">
            <v>Inyectable</v>
          </cell>
          <cell r="E86">
            <v>37</v>
          </cell>
          <cell r="F86">
            <v>111</v>
          </cell>
          <cell r="H86">
            <v>250</v>
          </cell>
          <cell r="J86">
            <v>750</v>
          </cell>
          <cell r="M86">
            <v>11</v>
          </cell>
          <cell r="N86">
            <v>33</v>
          </cell>
          <cell r="P86">
            <v>177</v>
          </cell>
          <cell r="R86">
            <v>531</v>
          </cell>
          <cell r="S86">
            <v>0</v>
          </cell>
          <cell r="T86">
            <v>0</v>
          </cell>
          <cell r="U86">
            <v>121</v>
          </cell>
          <cell r="V86">
            <v>3</v>
          </cell>
          <cell r="W86">
            <v>363</v>
          </cell>
          <cell r="X86">
            <v>2.47444</v>
          </cell>
          <cell r="Y86">
            <v>0</v>
          </cell>
          <cell r="Z86">
            <v>3</v>
          </cell>
          <cell r="AA86">
            <v>363</v>
          </cell>
        </row>
        <row r="87">
          <cell r="B87" t="str">
            <v>B-05-11</v>
          </cell>
          <cell r="C87" t="str">
            <v>OLIGOELEMENTOS PARA NUTRICION PARENTERAL .:. Según disponibilidad</v>
          </cell>
          <cell r="D87" t="str">
            <v>Solucion parenteral de gran volumen</v>
          </cell>
          <cell r="E87">
            <v>28</v>
          </cell>
          <cell r="F87">
            <v>1398.32</v>
          </cell>
          <cell r="H87">
            <v>0</v>
          </cell>
          <cell r="J87">
            <v>0</v>
          </cell>
          <cell r="M87">
            <v>1</v>
          </cell>
          <cell r="N87">
            <v>49.94</v>
          </cell>
          <cell r="P87">
            <v>13</v>
          </cell>
          <cell r="R87">
            <v>649.22</v>
          </cell>
          <cell r="S87">
            <v>0</v>
          </cell>
          <cell r="T87">
            <v>0</v>
          </cell>
          <cell r="U87">
            <v>16</v>
          </cell>
          <cell r="V87">
            <v>49.94</v>
          </cell>
          <cell r="W87">
            <v>799.04</v>
          </cell>
          <cell r="X87">
            <v>2.47444</v>
          </cell>
          <cell r="Y87">
            <v>0</v>
          </cell>
          <cell r="Z87">
            <v>49.94</v>
          </cell>
          <cell r="AA87">
            <v>799.04</v>
          </cell>
        </row>
        <row r="88">
          <cell r="B88" t="str">
            <v>B-05-15</v>
          </cell>
          <cell r="C88" t="str">
            <v>SOLUCION DE GLUCOSA .:. 5% (500 ml)</v>
          </cell>
          <cell r="D88" t="str">
            <v>Solución parenteral de gran volumen</v>
          </cell>
          <cell r="E88">
            <v>90</v>
          </cell>
          <cell r="F88">
            <v>774.70227</v>
          </cell>
          <cell r="H88">
            <v>180</v>
          </cell>
          <cell r="J88">
            <v>1546.2</v>
          </cell>
          <cell r="M88">
            <v>18</v>
          </cell>
          <cell r="N88">
            <v>154.78045900000001</v>
          </cell>
          <cell r="P88">
            <v>252</v>
          </cell>
          <cell r="R88">
            <v>2166.4367438871</v>
          </cell>
          <cell r="S88">
            <v>0</v>
          </cell>
          <cell r="T88">
            <v>0</v>
          </cell>
          <cell r="U88">
            <v>36</v>
          </cell>
          <cell r="V88">
            <v>8.5901662530999996</v>
          </cell>
          <cell r="W88">
            <v>309.24598511160002</v>
          </cell>
          <cell r="X88">
            <v>2.47444</v>
          </cell>
          <cell r="Y88">
            <v>0</v>
          </cell>
          <cell r="Z88">
            <v>8.5901662530999996</v>
          </cell>
          <cell r="AA88">
            <v>309.24598511160002</v>
          </cell>
        </row>
        <row r="89">
          <cell r="B89" t="str">
            <v>B-05-16</v>
          </cell>
          <cell r="C89" t="str">
            <v>SOLUCION DE GLUCOSA .:. 5% (1.000 ml)</v>
          </cell>
          <cell r="D89" t="str">
            <v>Solución parenteral de gran volumen</v>
          </cell>
          <cell r="E89">
            <v>238</v>
          </cell>
          <cell r="F89">
            <v>2763.6902719999998</v>
          </cell>
          <cell r="H89">
            <v>0</v>
          </cell>
          <cell r="J89">
            <v>0</v>
          </cell>
          <cell r="M89">
            <v>25</v>
          </cell>
          <cell r="N89">
            <v>290.30360000000002</v>
          </cell>
          <cell r="P89">
            <v>181</v>
          </cell>
          <cell r="R89">
            <v>2101.7980640000001</v>
          </cell>
          <cell r="S89">
            <v>0</v>
          </cell>
          <cell r="T89">
            <v>0</v>
          </cell>
          <cell r="U89">
            <v>82</v>
          </cell>
          <cell r="V89">
            <v>11.612144000000001</v>
          </cell>
          <cell r="W89">
            <v>952.19580800000006</v>
          </cell>
          <cell r="X89">
            <v>2.47444</v>
          </cell>
          <cell r="Y89">
            <v>0</v>
          </cell>
          <cell r="Z89">
            <v>11.612144000000001</v>
          </cell>
          <cell r="AA89">
            <v>952.19580800000006</v>
          </cell>
        </row>
        <row r="90">
          <cell r="B90" t="str">
            <v>B-05-17</v>
          </cell>
          <cell r="C90" t="str">
            <v>SOLUCION DE GLUCOSA .:. 10% (500 ml)</v>
          </cell>
          <cell r="D90" t="str">
            <v>Solución parenteral de gran volumen</v>
          </cell>
          <cell r="E90">
            <v>7</v>
          </cell>
          <cell r="F90">
            <v>61.739769000000003</v>
          </cell>
          <cell r="H90">
            <v>70</v>
          </cell>
          <cell r="J90">
            <v>620.9</v>
          </cell>
          <cell r="M90">
            <v>4</v>
          </cell>
          <cell r="N90">
            <v>35.429966999999998</v>
          </cell>
          <cell r="P90">
            <v>47</v>
          </cell>
          <cell r="R90">
            <v>416.48973599999999</v>
          </cell>
          <cell r="S90">
            <v>0</v>
          </cell>
          <cell r="T90">
            <v>0</v>
          </cell>
          <cell r="U90">
            <v>34</v>
          </cell>
          <cell r="V90">
            <v>8.8699999999999992</v>
          </cell>
          <cell r="W90">
            <v>301.58</v>
          </cell>
          <cell r="X90">
            <v>2.47444</v>
          </cell>
          <cell r="Y90">
            <v>0</v>
          </cell>
          <cell r="Z90">
            <v>8.8699999999999992</v>
          </cell>
          <cell r="AA90">
            <v>301.58</v>
          </cell>
        </row>
        <row r="91">
          <cell r="B91" t="str">
            <v>B-05-18</v>
          </cell>
          <cell r="C91" t="str">
            <v>SOLUCION DE GLUCOSA .:. 10% (1.000 ml)</v>
          </cell>
          <cell r="D91" t="str">
            <v>Solución parenteral de gran volumen</v>
          </cell>
          <cell r="E91">
            <v>82</v>
          </cell>
          <cell r="F91">
            <v>1025.1270999999999</v>
          </cell>
          <cell r="H91">
            <v>0</v>
          </cell>
          <cell r="J91">
            <v>0</v>
          </cell>
          <cell r="M91">
            <v>6</v>
          </cell>
          <cell r="N91">
            <v>75.009299999999996</v>
          </cell>
          <cell r="P91">
            <v>48</v>
          </cell>
          <cell r="R91">
            <v>600.07439999999997</v>
          </cell>
          <cell r="S91">
            <v>0</v>
          </cell>
          <cell r="T91">
            <v>0</v>
          </cell>
          <cell r="U91">
            <v>40</v>
          </cell>
          <cell r="V91">
            <v>12.50155</v>
          </cell>
          <cell r="W91">
            <v>500.06200000000001</v>
          </cell>
          <cell r="X91">
            <v>2.47444</v>
          </cell>
          <cell r="Y91">
            <v>0</v>
          </cell>
          <cell r="Z91">
            <v>12.50155</v>
          </cell>
          <cell r="AA91">
            <v>500.06200000000001</v>
          </cell>
        </row>
        <row r="92">
          <cell r="B92" t="str">
            <v>B-05-19</v>
          </cell>
          <cell r="C92" t="str">
            <v>SOLUCION DE GLUCOSA .:. 50% (500 ml)</v>
          </cell>
          <cell r="D92" t="str">
            <v>Solución parenteral de gran volumen</v>
          </cell>
          <cell r="E92">
            <v>20</v>
          </cell>
          <cell r="F92">
            <v>388</v>
          </cell>
          <cell r="H92">
            <v>120</v>
          </cell>
          <cell r="J92">
            <v>2328</v>
          </cell>
          <cell r="M92">
            <v>5</v>
          </cell>
          <cell r="N92">
            <v>97</v>
          </cell>
          <cell r="P92">
            <v>53</v>
          </cell>
          <cell r="R92">
            <v>1028.2</v>
          </cell>
          <cell r="S92">
            <v>0</v>
          </cell>
          <cell r="T92">
            <v>0</v>
          </cell>
          <cell r="U92">
            <v>92</v>
          </cell>
          <cell r="V92">
            <v>19.399999999999999</v>
          </cell>
          <cell r="W92">
            <v>1784.8</v>
          </cell>
          <cell r="X92">
            <v>2.47444</v>
          </cell>
          <cell r="Y92">
            <v>0</v>
          </cell>
          <cell r="Z92">
            <v>19.399999999999999</v>
          </cell>
          <cell r="AA92">
            <v>1784.8</v>
          </cell>
        </row>
        <row r="93">
          <cell r="B93" t="str">
            <v>B-05-20</v>
          </cell>
          <cell r="C93" t="str">
            <v>SOLUCION DE GLUCOSA .:. 50% (20 ml)</v>
          </cell>
          <cell r="D93" t="str">
            <v>Inyectable</v>
          </cell>
          <cell r="E93">
            <v>17</v>
          </cell>
          <cell r="F93">
            <v>114.24</v>
          </cell>
          <cell r="H93">
            <v>0</v>
          </cell>
          <cell r="J93">
            <v>0</v>
          </cell>
          <cell r="M93">
            <v>0</v>
          </cell>
          <cell r="N93">
            <v>0</v>
          </cell>
          <cell r="P93">
            <v>0</v>
          </cell>
          <cell r="R93">
            <v>0</v>
          </cell>
          <cell r="S93">
            <v>0</v>
          </cell>
          <cell r="T93">
            <v>0</v>
          </cell>
          <cell r="U93">
            <v>17</v>
          </cell>
          <cell r="V93">
            <v>6.72</v>
          </cell>
          <cell r="W93">
            <v>114.24</v>
          </cell>
          <cell r="X93">
            <v>2.47444</v>
          </cell>
          <cell r="Y93">
            <v>0</v>
          </cell>
          <cell r="Z93">
            <v>6.72</v>
          </cell>
          <cell r="AA93">
            <v>114.24</v>
          </cell>
        </row>
        <row r="94">
          <cell r="B94" t="str">
            <v>B-05-21</v>
          </cell>
          <cell r="C94" t="str">
            <v>SOLUCION DE MANITOL .:. 20% (500 ml)</v>
          </cell>
          <cell r="D94" t="str">
            <v>Solución parenteral de gran volumen</v>
          </cell>
          <cell r="E94">
            <v>11</v>
          </cell>
          <cell r="F94">
            <v>262.82413300000002</v>
          </cell>
          <cell r="H94">
            <v>60</v>
          </cell>
          <cell r="J94">
            <v>1434</v>
          </cell>
          <cell r="M94">
            <v>0</v>
          </cell>
          <cell r="N94">
            <v>0</v>
          </cell>
          <cell r="P94">
            <v>45</v>
          </cell>
          <cell r="R94">
            <v>1075.424133</v>
          </cell>
          <cell r="S94">
            <v>0</v>
          </cell>
          <cell r="T94">
            <v>0</v>
          </cell>
          <cell r="U94">
            <v>26</v>
          </cell>
          <cell r="V94">
            <v>23.9</v>
          </cell>
          <cell r="W94">
            <v>621.4</v>
          </cell>
          <cell r="X94">
            <v>2.47444</v>
          </cell>
          <cell r="Y94">
            <v>0</v>
          </cell>
          <cell r="Z94">
            <v>23.9</v>
          </cell>
          <cell r="AA94">
            <v>621.4</v>
          </cell>
        </row>
        <row r="95">
          <cell r="B95" t="str">
            <v>B-05-22</v>
          </cell>
          <cell r="C95" t="str">
            <v>SOLUCION FISIOLOGICA .:. 0,9% (500 ml)</v>
          </cell>
          <cell r="D95" t="str">
            <v>Solución parenteral de gran volumen</v>
          </cell>
          <cell r="E95">
            <v>663</v>
          </cell>
          <cell r="F95">
            <v>5195.0253419999999</v>
          </cell>
          <cell r="H95">
            <v>400</v>
          </cell>
          <cell r="J95">
            <v>3596</v>
          </cell>
          <cell r="M95">
            <v>25</v>
          </cell>
          <cell r="N95">
            <v>208.39744099999999</v>
          </cell>
          <cell r="P95">
            <v>857</v>
          </cell>
          <cell r="R95">
            <v>7069.1406241975001</v>
          </cell>
          <cell r="S95">
            <v>0</v>
          </cell>
          <cell r="T95">
            <v>0</v>
          </cell>
          <cell r="U95">
            <v>231</v>
          </cell>
          <cell r="V95">
            <v>8.3561998220000007</v>
          </cell>
          <cell r="W95">
            <v>1930.282158882</v>
          </cell>
          <cell r="X95">
            <v>2.47444</v>
          </cell>
          <cell r="Y95">
            <v>0</v>
          </cell>
          <cell r="Z95">
            <v>8.3561998220000007</v>
          </cell>
          <cell r="AA95">
            <v>1930.282158882</v>
          </cell>
        </row>
        <row r="96">
          <cell r="B96" t="str">
            <v>B-05-23</v>
          </cell>
          <cell r="C96" t="str">
            <v>SOLUCION FISIOLOGICA .:. 0,9% (1.000 ml)</v>
          </cell>
          <cell r="D96" t="str">
            <v>Solución parenteral de gran volumen</v>
          </cell>
          <cell r="E96">
            <v>433</v>
          </cell>
          <cell r="F96">
            <v>3916.5205059999998</v>
          </cell>
          <cell r="H96">
            <v>1050</v>
          </cell>
          <cell r="J96">
            <v>9670.5</v>
          </cell>
          <cell r="M96">
            <v>112</v>
          </cell>
          <cell r="N96">
            <v>1016.487533</v>
          </cell>
          <cell r="P96">
            <v>1492</v>
          </cell>
          <cell r="R96">
            <v>13611.800442031001</v>
          </cell>
          <cell r="S96">
            <v>0</v>
          </cell>
          <cell r="T96">
            <v>0</v>
          </cell>
          <cell r="U96">
            <v>103</v>
          </cell>
          <cell r="V96">
            <v>9.6282290968000002</v>
          </cell>
          <cell r="W96">
            <v>991.7075969704</v>
          </cell>
          <cell r="X96">
            <v>2.47444</v>
          </cell>
          <cell r="Y96">
            <v>0</v>
          </cell>
          <cell r="Z96">
            <v>9.6282290968000002</v>
          </cell>
          <cell r="AA96">
            <v>991.7075969704</v>
          </cell>
        </row>
        <row r="97">
          <cell r="B97" t="str">
            <v>B-05-24</v>
          </cell>
          <cell r="C97" t="str">
            <v>SOLUCION GLUCOSADA CLORURADA .:. 500 ml</v>
          </cell>
          <cell r="D97" t="str">
            <v>Solución parenteral de gran volumen</v>
          </cell>
          <cell r="E97">
            <v>2</v>
          </cell>
          <cell r="F97">
            <v>13.76</v>
          </cell>
          <cell r="H97">
            <v>0</v>
          </cell>
          <cell r="J97">
            <v>0</v>
          </cell>
          <cell r="M97">
            <v>0</v>
          </cell>
          <cell r="N97">
            <v>0</v>
          </cell>
          <cell r="P97">
            <v>2</v>
          </cell>
          <cell r="R97">
            <v>13.76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2.47444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B-05-25</v>
          </cell>
          <cell r="C98" t="str">
            <v>SOLUCION GLUCOSADA CLORURADA .:. 1.000 ml</v>
          </cell>
          <cell r="D98" t="str">
            <v>Solución parenteral de gran volumen</v>
          </cell>
          <cell r="E98">
            <v>4</v>
          </cell>
          <cell r="F98">
            <v>36.192</v>
          </cell>
          <cell r="H98">
            <v>0</v>
          </cell>
          <cell r="J98">
            <v>0</v>
          </cell>
          <cell r="M98">
            <v>0</v>
          </cell>
          <cell r="N98">
            <v>0</v>
          </cell>
          <cell r="P98">
            <v>2</v>
          </cell>
          <cell r="R98">
            <v>18.096</v>
          </cell>
          <cell r="S98">
            <v>0</v>
          </cell>
          <cell r="T98">
            <v>0</v>
          </cell>
          <cell r="U98">
            <v>2</v>
          </cell>
          <cell r="V98">
            <v>9.048</v>
          </cell>
          <cell r="W98">
            <v>18.096</v>
          </cell>
          <cell r="X98">
            <v>2.47444</v>
          </cell>
          <cell r="Y98">
            <v>0</v>
          </cell>
          <cell r="Z98">
            <v>9.048</v>
          </cell>
          <cell r="AA98">
            <v>18.096</v>
          </cell>
        </row>
        <row r="99">
          <cell r="B99" t="str">
            <v>B-05-29</v>
          </cell>
          <cell r="C99" t="str">
            <v>SOLUCION RINGER LACTATO .:. 500 ml</v>
          </cell>
          <cell r="D99" t="str">
            <v>Solución parenteral de gran volumen</v>
          </cell>
          <cell r="E99">
            <v>21</v>
          </cell>
          <cell r="F99">
            <v>168.21</v>
          </cell>
          <cell r="H99">
            <v>30</v>
          </cell>
          <cell r="J99">
            <v>240.3</v>
          </cell>
          <cell r="M99">
            <v>0</v>
          </cell>
          <cell r="N99">
            <v>0</v>
          </cell>
          <cell r="P99">
            <v>27</v>
          </cell>
          <cell r="R99">
            <v>216.27</v>
          </cell>
          <cell r="S99">
            <v>0</v>
          </cell>
          <cell r="T99">
            <v>0</v>
          </cell>
          <cell r="U99">
            <v>24</v>
          </cell>
          <cell r="V99">
            <v>8.01</v>
          </cell>
          <cell r="W99">
            <v>192.24</v>
          </cell>
          <cell r="X99">
            <v>2.47444</v>
          </cell>
          <cell r="Y99">
            <v>0</v>
          </cell>
          <cell r="Z99">
            <v>8.01</v>
          </cell>
          <cell r="AA99">
            <v>192.24</v>
          </cell>
        </row>
        <row r="100">
          <cell r="B100" t="str">
            <v>B-05-30</v>
          </cell>
          <cell r="C100" t="str">
            <v>SOLUCION RINGER LACTATO .:. 1.000 ml</v>
          </cell>
          <cell r="D100" t="str">
            <v>Solución parenteral de gran volumen</v>
          </cell>
          <cell r="E100">
            <v>102</v>
          </cell>
          <cell r="F100">
            <v>1110.7871399999999</v>
          </cell>
          <cell r="H100">
            <v>150</v>
          </cell>
          <cell r="J100">
            <v>1633.5</v>
          </cell>
          <cell r="M100">
            <v>22</v>
          </cell>
          <cell r="N100">
            <v>239.58057400000001</v>
          </cell>
          <cell r="P100">
            <v>178</v>
          </cell>
          <cell r="R100">
            <v>1938.4275869536</v>
          </cell>
          <cell r="S100">
            <v>0</v>
          </cell>
          <cell r="T100">
            <v>0</v>
          </cell>
          <cell r="U100">
            <v>96</v>
          </cell>
          <cell r="V100">
            <v>10.8900013233</v>
          </cell>
          <cell r="W100">
            <v>1045.4401270368</v>
          </cell>
          <cell r="X100">
            <v>2.47444</v>
          </cell>
          <cell r="Y100">
            <v>0</v>
          </cell>
          <cell r="Z100">
            <v>10.8900013233</v>
          </cell>
          <cell r="AA100">
            <v>1045.4401270368</v>
          </cell>
        </row>
        <row r="101">
          <cell r="B101" t="str">
            <v>B-05-31</v>
          </cell>
          <cell r="C101" t="str">
            <v>SOLUCION RINGER NORMAL .:. 500 ml</v>
          </cell>
          <cell r="D101" t="str">
            <v>Solución parenteral de gran volumen</v>
          </cell>
          <cell r="E101">
            <v>82</v>
          </cell>
          <cell r="F101">
            <v>721.6</v>
          </cell>
          <cell r="H101">
            <v>100</v>
          </cell>
          <cell r="J101">
            <v>880</v>
          </cell>
          <cell r="M101">
            <v>7</v>
          </cell>
          <cell r="N101">
            <v>61.6</v>
          </cell>
          <cell r="P101">
            <v>131</v>
          </cell>
          <cell r="R101">
            <v>1152.8</v>
          </cell>
          <cell r="S101">
            <v>0</v>
          </cell>
          <cell r="T101">
            <v>0</v>
          </cell>
          <cell r="U101">
            <v>58</v>
          </cell>
          <cell r="V101">
            <v>8.8000000000000007</v>
          </cell>
          <cell r="W101">
            <v>510.4</v>
          </cell>
          <cell r="X101">
            <v>2.47444</v>
          </cell>
          <cell r="Y101">
            <v>0</v>
          </cell>
          <cell r="Z101">
            <v>8.8000000000000007</v>
          </cell>
          <cell r="AA101">
            <v>510.4</v>
          </cell>
        </row>
        <row r="102">
          <cell r="B102" t="str">
            <v>B-05-32</v>
          </cell>
          <cell r="C102" t="str">
            <v>SOLUCION RINGER NORMAL .:. 1.000 ml</v>
          </cell>
          <cell r="D102" t="str">
            <v>Solución parenteral de gran volumen</v>
          </cell>
          <cell r="E102">
            <v>578</v>
          </cell>
          <cell r="F102">
            <v>6182.7226559999999</v>
          </cell>
          <cell r="H102">
            <v>1000</v>
          </cell>
          <cell r="J102">
            <v>10160</v>
          </cell>
          <cell r="M102">
            <v>134</v>
          </cell>
          <cell r="N102">
            <v>1385.598868</v>
          </cell>
          <cell r="P102">
            <v>1417</v>
          </cell>
          <cell r="R102">
            <v>14645.4634251321</v>
          </cell>
          <cell r="S102">
            <v>0</v>
          </cell>
          <cell r="T102">
            <v>0</v>
          </cell>
          <cell r="U102">
            <v>295</v>
          </cell>
          <cell r="V102">
            <v>10.4503664369</v>
          </cell>
          <cell r="W102">
            <v>3082.8580988855001</v>
          </cell>
          <cell r="X102">
            <v>2.47444</v>
          </cell>
          <cell r="Y102">
            <v>0</v>
          </cell>
          <cell r="Z102">
            <v>10.4503664369</v>
          </cell>
          <cell r="AA102">
            <v>3082.8580988855001</v>
          </cell>
        </row>
        <row r="103">
          <cell r="B103" t="str">
            <v>B-05-33</v>
          </cell>
          <cell r="C103" t="str">
            <v>SULFATO DE MAGNESIO .:. 0.1</v>
          </cell>
          <cell r="D103" t="str">
            <v>Inyectable</v>
          </cell>
          <cell r="E103">
            <v>133</v>
          </cell>
          <cell r="F103">
            <v>663.481672</v>
          </cell>
          <cell r="H103">
            <v>300</v>
          </cell>
          <cell r="J103">
            <v>1497</v>
          </cell>
          <cell r="M103">
            <v>19</v>
          </cell>
          <cell r="N103">
            <v>94.794533000000001</v>
          </cell>
          <cell r="P103">
            <v>423</v>
          </cell>
          <cell r="R103">
            <v>2110.5662026827999</v>
          </cell>
          <cell r="S103">
            <v>0</v>
          </cell>
          <cell r="T103">
            <v>0</v>
          </cell>
          <cell r="U103">
            <v>29</v>
          </cell>
          <cell r="V103">
            <v>4.9900000798999997</v>
          </cell>
          <cell r="W103">
            <v>144.71000231709999</v>
          </cell>
          <cell r="X103">
            <v>2.47444</v>
          </cell>
          <cell r="Y103">
            <v>0</v>
          </cell>
          <cell r="Z103">
            <v>4.9900000798999997</v>
          </cell>
          <cell r="AA103">
            <v>144.71000231709999</v>
          </cell>
        </row>
        <row r="104">
          <cell r="B104" t="str">
            <v>B-05-34</v>
          </cell>
          <cell r="C104" t="str">
            <v>SOLUCION FISIOLOGICA .:. 0.009</v>
          </cell>
          <cell r="D104" t="str">
            <v>Frasco infusor x 150 ml</v>
          </cell>
          <cell r="E104">
            <v>97</v>
          </cell>
          <cell r="F104">
            <v>708.1</v>
          </cell>
          <cell r="H104">
            <v>0</v>
          </cell>
          <cell r="J104">
            <v>0</v>
          </cell>
          <cell r="M104">
            <v>0</v>
          </cell>
          <cell r="N104">
            <v>0</v>
          </cell>
          <cell r="P104">
            <v>97</v>
          </cell>
          <cell r="R104">
            <v>708.1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2.47444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C-01-02</v>
          </cell>
          <cell r="C105" t="str">
            <v>AMIODARONA (CLORHIDRATO) .:. 200 mg</v>
          </cell>
          <cell r="D105" t="str">
            <v>Comprimido</v>
          </cell>
          <cell r="E105">
            <v>1203</v>
          </cell>
          <cell r="F105">
            <v>1415.2825829999999</v>
          </cell>
          <cell r="H105">
            <v>4300</v>
          </cell>
          <cell r="J105">
            <v>4300</v>
          </cell>
          <cell r="M105">
            <v>40</v>
          </cell>
          <cell r="N105">
            <v>47.058439999999997</v>
          </cell>
          <cell r="P105">
            <v>5521</v>
          </cell>
          <cell r="R105">
            <v>5740.341023</v>
          </cell>
          <cell r="S105">
            <v>0</v>
          </cell>
          <cell r="T105">
            <v>0</v>
          </cell>
          <cell r="U105">
            <v>22</v>
          </cell>
          <cell r="V105">
            <v>1</v>
          </cell>
          <cell r="W105">
            <v>22</v>
          </cell>
          <cell r="X105">
            <v>2.47444</v>
          </cell>
          <cell r="Y105">
            <v>0</v>
          </cell>
          <cell r="Z105">
            <v>1</v>
          </cell>
          <cell r="AA105">
            <v>22</v>
          </cell>
        </row>
        <row r="106">
          <cell r="B106" t="str">
            <v>C-01-03</v>
          </cell>
          <cell r="C106" t="str">
            <v>AMIODARONA (CLORHIDRATO) .:. 50 mg/ml</v>
          </cell>
          <cell r="D106" t="str">
            <v>Inyectable</v>
          </cell>
          <cell r="E106">
            <v>16</v>
          </cell>
          <cell r="F106">
            <v>110.4</v>
          </cell>
          <cell r="H106">
            <v>100</v>
          </cell>
          <cell r="J106">
            <v>690</v>
          </cell>
          <cell r="M106">
            <v>15</v>
          </cell>
          <cell r="N106">
            <v>103.5</v>
          </cell>
          <cell r="P106">
            <v>102</v>
          </cell>
          <cell r="R106">
            <v>703.8</v>
          </cell>
          <cell r="S106">
            <v>0</v>
          </cell>
          <cell r="T106">
            <v>0</v>
          </cell>
          <cell r="U106">
            <v>29</v>
          </cell>
          <cell r="V106">
            <v>6.9</v>
          </cell>
          <cell r="W106">
            <v>200.1</v>
          </cell>
          <cell r="X106">
            <v>2.47444</v>
          </cell>
          <cell r="Y106">
            <v>0</v>
          </cell>
          <cell r="Z106">
            <v>6.9</v>
          </cell>
          <cell r="AA106">
            <v>200.1</v>
          </cell>
        </row>
        <row r="107">
          <cell r="B107" t="str">
            <v>C-01-06</v>
          </cell>
          <cell r="C107" t="str">
            <v>DIGOXINA .:. 0,25 mg</v>
          </cell>
          <cell r="D107" t="str">
            <v>Comprimido ranurado</v>
          </cell>
          <cell r="E107">
            <v>133</v>
          </cell>
          <cell r="F107">
            <v>69.16</v>
          </cell>
          <cell r="H107">
            <v>500</v>
          </cell>
          <cell r="J107">
            <v>170</v>
          </cell>
          <cell r="M107">
            <v>0</v>
          </cell>
          <cell r="N107">
            <v>0</v>
          </cell>
          <cell r="P107">
            <v>531</v>
          </cell>
          <cell r="R107">
            <v>204.48</v>
          </cell>
          <cell r="S107">
            <v>0</v>
          </cell>
          <cell r="T107">
            <v>0</v>
          </cell>
          <cell r="U107">
            <v>102</v>
          </cell>
          <cell r="V107">
            <v>0.34</v>
          </cell>
          <cell r="W107">
            <v>34.68</v>
          </cell>
          <cell r="X107">
            <v>2.47444</v>
          </cell>
          <cell r="Y107">
            <v>0</v>
          </cell>
          <cell r="Z107">
            <v>0.34</v>
          </cell>
          <cell r="AA107">
            <v>34.68</v>
          </cell>
        </row>
        <row r="108">
          <cell r="B108" t="str">
            <v>C-01-10</v>
          </cell>
          <cell r="C108" t="str">
            <v>EPINEFRINA (ADRENALINA) .:. 1 mg/ml</v>
          </cell>
          <cell r="D108" t="str">
            <v>Inyectable</v>
          </cell>
          <cell r="E108">
            <v>1</v>
          </cell>
          <cell r="F108">
            <v>6</v>
          </cell>
          <cell r="H108">
            <v>130</v>
          </cell>
          <cell r="J108">
            <v>767</v>
          </cell>
          <cell r="M108">
            <v>15</v>
          </cell>
          <cell r="N108">
            <v>88.5</v>
          </cell>
          <cell r="P108">
            <v>116</v>
          </cell>
          <cell r="R108">
            <v>684.5</v>
          </cell>
          <cell r="S108">
            <v>15</v>
          </cell>
          <cell r="T108">
            <v>88.5</v>
          </cell>
          <cell r="U108">
            <v>15</v>
          </cell>
          <cell r="V108">
            <v>5.9</v>
          </cell>
          <cell r="W108">
            <v>88.5</v>
          </cell>
          <cell r="X108">
            <v>2.47444</v>
          </cell>
          <cell r="Y108">
            <v>0</v>
          </cell>
          <cell r="Z108">
            <v>5.9</v>
          </cell>
          <cell r="AA108">
            <v>88.5</v>
          </cell>
        </row>
        <row r="109">
          <cell r="B109" t="str">
            <v>C-01-11</v>
          </cell>
          <cell r="C109" t="str">
            <v>ISOSORBIDA MONONITRATO .:. 20 mg</v>
          </cell>
          <cell r="D109" t="str">
            <v>Comprimido</v>
          </cell>
          <cell r="E109">
            <v>440</v>
          </cell>
          <cell r="F109">
            <v>836</v>
          </cell>
          <cell r="H109">
            <v>0</v>
          </cell>
          <cell r="J109">
            <v>0</v>
          </cell>
          <cell r="M109">
            <v>0</v>
          </cell>
          <cell r="N109">
            <v>0</v>
          </cell>
          <cell r="P109">
            <v>440</v>
          </cell>
          <cell r="R109">
            <v>836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2.47444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C-01-13</v>
          </cell>
          <cell r="C110" t="str">
            <v>ETILEFRINA .:. 10 mg/ml</v>
          </cell>
          <cell r="D110" t="str">
            <v>Inyectable</v>
          </cell>
          <cell r="E110">
            <v>8</v>
          </cell>
          <cell r="F110">
            <v>110.4</v>
          </cell>
          <cell r="H110">
            <v>70</v>
          </cell>
          <cell r="J110">
            <v>966</v>
          </cell>
          <cell r="M110">
            <v>0</v>
          </cell>
          <cell r="N110">
            <v>0</v>
          </cell>
          <cell r="P110">
            <v>30</v>
          </cell>
          <cell r="R110">
            <v>414</v>
          </cell>
          <cell r="S110">
            <v>0</v>
          </cell>
          <cell r="T110">
            <v>0</v>
          </cell>
          <cell r="U110">
            <v>48</v>
          </cell>
          <cell r="V110">
            <v>13.8</v>
          </cell>
          <cell r="W110">
            <v>662.4</v>
          </cell>
          <cell r="X110">
            <v>2.47444</v>
          </cell>
          <cell r="Y110">
            <v>0</v>
          </cell>
          <cell r="Z110">
            <v>13.8</v>
          </cell>
          <cell r="AA110">
            <v>662.4</v>
          </cell>
        </row>
        <row r="111">
          <cell r="B111" t="str">
            <v>C-01-15</v>
          </cell>
          <cell r="C111" t="str">
            <v>NORADRENALINA .:. 1 mg/ml</v>
          </cell>
          <cell r="D111" t="str">
            <v>Inyectable</v>
          </cell>
          <cell r="E111">
            <v>9</v>
          </cell>
          <cell r="F111">
            <v>90</v>
          </cell>
          <cell r="H111">
            <v>300</v>
          </cell>
          <cell r="J111">
            <v>2018.4</v>
          </cell>
          <cell r="M111">
            <v>10</v>
          </cell>
          <cell r="N111">
            <v>40</v>
          </cell>
          <cell r="P111">
            <v>261</v>
          </cell>
          <cell r="R111">
            <v>1701.7495652160001</v>
          </cell>
          <cell r="S111">
            <v>0</v>
          </cell>
          <cell r="T111">
            <v>0</v>
          </cell>
          <cell r="U111">
            <v>58</v>
          </cell>
          <cell r="V111">
            <v>7.7008695651999997</v>
          </cell>
          <cell r="W111">
            <v>446.65043478159998</v>
          </cell>
          <cell r="X111">
            <v>2.47444</v>
          </cell>
          <cell r="Y111">
            <v>0</v>
          </cell>
          <cell r="Z111">
            <v>7.7008695651999997</v>
          </cell>
          <cell r="AA111">
            <v>446.65043478159998</v>
          </cell>
        </row>
        <row r="112">
          <cell r="B112" t="str">
            <v>C-02-04</v>
          </cell>
          <cell r="C112" t="str">
            <v>METILDOPA (ALFAMETILDOPA) .:. 500 mg</v>
          </cell>
          <cell r="D112" t="str">
            <v>Comprimido</v>
          </cell>
          <cell r="E112">
            <v>29</v>
          </cell>
          <cell r="F112">
            <v>33.878815000000003</v>
          </cell>
          <cell r="H112">
            <v>0</v>
          </cell>
          <cell r="J112">
            <v>0</v>
          </cell>
          <cell r="M112">
            <v>0</v>
          </cell>
          <cell r="N112">
            <v>0</v>
          </cell>
          <cell r="P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29</v>
          </cell>
          <cell r="V112">
            <v>1.1682349999999999</v>
          </cell>
          <cell r="W112">
            <v>33.878815000000003</v>
          </cell>
          <cell r="X112">
            <v>2.47444</v>
          </cell>
          <cell r="Y112">
            <v>0</v>
          </cell>
          <cell r="Z112">
            <v>1.1682349999999999</v>
          </cell>
          <cell r="AA112">
            <v>33.878815000000003</v>
          </cell>
        </row>
        <row r="113">
          <cell r="B113" t="str">
            <v>C-02-08</v>
          </cell>
          <cell r="C113" t="str">
            <v>SILDENAFILO .:. 50 mg</v>
          </cell>
          <cell r="D113" t="str">
            <v>Comprimido</v>
          </cell>
          <cell r="E113">
            <v>0</v>
          </cell>
          <cell r="F113">
            <v>0</v>
          </cell>
          <cell r="H113">
            <v>120</v>
          </cell>
          <cell r="J113">
            <v>150</v>
          </cell>
          <cell r="M113">
            <v>0</v>
          </cell>
          <cell r="N113">
            <v>0</v>
          </cell>
          <cell r="P113">
            <v>30</v>
          </cell>
          <cell r="R113">
            <v>37.5</v>
          </cell>
          <cell r="S113">
            <v>0</v>
          </cell>
          <cell r="T113">
            <v>0</v>
          </cell>
          <cell r="U113">
            <v>90</v>
          </cell>
          <cell r="V113">
            <v>1.25</v>
          </cell>
          <cell r="W113">
            <v>112.5</v>
          </cell>
          <cell r="X113">
            <v>2.47444</v>
          </cell>
          <cell r="Y113">
            <v>0</v>
          </cell>
          <cell r="Z113">
            <v>1.25</v>
          </cell>
          <cell r="AA113">
            <v>112.5</v>
          </cell>
        </row>
        <row r="114">
          <cell r="B114" t="str">
            <v>C-03-01</v>
          </cell>
          <cell r="C114" t="str">
            <v>ACETAZOLAMIDA .:. 250 mg</v>
          </cell>
          <cell r="D114" t="str">
            <v>Comprimido</v>
          </cell>
          <cell r="E114">
            <v>300</v>
          </cell>
          <cell r="F114">
            <v>361.39260000000002</v>
          </cell>
          <cell r="H114">
            <v>0</v>
          </cell>
          <cell r="J114">
            <v>0</v>
          </cell>
          <cell r="M114">
            <v>0</v>
          </cell>
          <cell r="N114">
            <v>0</v>
          </cell>
          <cell r="P114">
            <v>260</v>
          </cell>
          <cell r="R114">
            <v>313.20692000000003</v>
          </cell>
          <cell r="S114">
            <v>0</v>
          </cell>
          <cell r="T114">
            <v>0</v>
          </cell>
          <cell r="U114">
            <v>40</v>
          </cell>
          <cell r="V114">
            <v>1.204642</v>
          </cell>
          <cell r="W114">
            <v>48.185679999999998</v>
          </cell>
          <cell r="X114">
            <v>2.47444</v>
          </cell>
          <cell r="Y114">
            <v>0</v>
          </cell>
          <cell r="Z114">
            <v>1.204642</v>
          </cell>
          <cell r="AA114">
            <v>48.185679999999998</v>
          </cell>
        </row>
        <row r="115">
          <cell r="B115" t="str">
            <v>C-03-02</v>
          </cell>
          <cell r="C115" t="str">
            <v>ESPIRONOLACTONA .:. 100 mg</v>
          </cell>
          <cell r="D115" t="str">
            <v>Comprimido</v>
          </cell>
          <cell r="E115">
            <v>205</v>
          </cell>
          <cell r="F115">
            <v>242.69827000000001</v>
          </cell>
          <cell r="H115">
            <v>2300</v>
          </cell>
          <cell r="J115">
            <v>1840</v>
          </cell>
          <cell r="M115">
            <v>0</v>
          </cell>
          <cell r="N115">
            <v>0</v>
          </cell>
          <cell r="P115">
            <v>2193</v>
          </cell>
          <cell r="R115">
            <v>1831.708530783</v>
          </cell>
          <cell r="S115">
            <v>0</v>
          </cell>
          <cell r="T115">
            <v>0</v>
          </cell>
          <cell r="U115">
            <v>312</v>
          </cell>
          <cell r="V115">
            <v>0.80445429219999998</v>
          </cell>
          <cell r="W115">
            <v>250.9897391664</v>
          </cell>
          <cell r="X115">
            <v>2.47444</v>
          </cell>
          <cell r="Y115">
            <v>0</v>
          </cell>
          <cell r="Z115">
            <v>0.80445429219999998</v>
          </cell>
          <cell r="AA115">
            <v>250.9897391664</v>
          </cell>
        </row>
        <row r="116">
          <cell r="B116" t="str">
            <v>C-03-03</v>
          </cell>
          <cell r="C116" t="str">
            <v>ESPIRONOLACTONA .:. 25 mg</v>
          </cell>
          <cell r="D116" t="str">
            <v>Comprimido</v>
          </cell>
          <cell r="E116">
            <v>0</v>
          </cell>
          <cell r="F116">
            <v>0</v>
          </cell>
          <cell r="H116">
            <v>6000</v>
          </cell>
          <cell r="J116">
            <v>4680</v>
          </cell>
          <cell r="M116">
            <v>0</v>
          </cell>
          <cell r="N116">
            <v>0</v>
          </cell>
          <cell r="P116">
            <v>1128</v>
          </cell>
          <cell r="R116">
            <v>879.84</v>
          </cell>
          <cell r="S116">
            <v>0</v>
          </cell>
          <cell r="T116">
            <v>0</v>
          </cell>
          <cell r="U116">
            <v>4872</v>
          </cell>
          <cell r="V116">
            <v>0.78</v>
          </cell>
          <cell r="W116">
            <v>3800.16</v>
          </cell>
          <cell r="X116">
            <v>2.47444</v>
          </cell>
          <cell r="Y116">
            <v>0</v>
          </cell>
          <cell r="Z116">
            <v>0.78</v>
          </cell>
          <cell r="AA116">
            <v>3800.16</v>
          </cell>
        </row>
        <row r="117">
          <cell r="B117" t="str">
            <v>C-03-04</v>
          </cell>
          <cell r="C117" t="str">
            <v>FUROSEMIDA .:. 40 mg</v>
          </cell>
          <cell r="D117" t="str">
            <v>Comprimido ranurado</v>
          </cell>
          <cell r="E117">
            <v>960</v>
          </cell>
          <cell r="F117">
            <v>165.1104</v>
          </cell>
          <cell r="H117">
            <v>7200</v>
          </cell>
          <cell r="J117">
            <v>1346</v>
          </cell>
          <cell r="M117">
            <v>8</v>
          </cell>
          <cell r="N117">
            <v>1.44</v>
          </cell>
          <cell r="P117">
            <v>3276</v>
          </cell>
          <cell r="R117">
            <v>583.07039999999995</v>
          </cell>
          <cell r="S117">
            <v>0</v>
          </cell>
          <cell r="T117">
            <v>0</v>
          </cell>
          <cell r="U117">
            <v>4892</v>
          </cell>
          <cell r="V117">
            <v>0.19</v>
          </cell>
          <cell r="W117">
            <v>929.48</v>
          </cell>
          <cell r="X117">
            <v>2.47444</v>
          </cell>
          <cell r="Y117">
            <v>0</v>
          </cell>
          <cell r="Z117">
            <v>0.19</v>
          </cell>
          <cell r="AA117">
            <v>929.48</v>
          </cell>
        </row>
        <row r="118">
          <cell r="B118" t="str">
            <v>C-03-05</v>
          </cell>
          <cell r="C118" t="str">
            <v>FUROSEMIDA .:. 10 mg/ml</v>
          </cell>
          <cell r="D118" t="str">
            <v>Inyectable</v>
          </cell>
          <cell r="E118">
            <v>239</v>
          </cell>
          <cell r="F118">
            <v>427.29782299999999</v>
          </cell>
          <cell r="H118">
            <v>550</v>
          </cell>
          <cell r="J118">
            <v>990</v>
          </cell>
          <cell r="M118">
            <v>18</v>
          </cell>
          <cell r="N118">
            <v>32.326613999999999</v>
          </cell>
          <cell r="P118">
            <v>521</v>
          </cell>
          <cell r="R118">
            <v>934.83702000079995</v>
          </cell>
          <cell r="S118">
            <v>0</v>
          </cell>
          <cell r="T118">
            <v>0</v>
          </cell>
          <cell r="U118">
            <v>286</v>
          </cell>
          <cell r="V118">
            <v>1.7999560036</v>
          </cell>
          <cell r="W118">
            <v>514.78741702959996</v>
          </cell>
          <cell r="X118">
            <v>2.47444</v>
          </cell>
          <cell r="Y118">
            <v>0</v>
          </cell>
          <cell r="Z118">
            <v>1.7999560036</v>
          </cell>
          <cell r="AA118">
            <v>514.78741702959996</v>
          </cell>
        </row>
        <row r="119">
          <cell r="B119" t="str">
            <v>C-03-06</v>
          </cell>
          <cell r="C119" t="str">
            <v>HIDROCLOROTIAZIDA .:. 50 mg</v>
          </cell>
          <cell r="D119" t="str">
            <v>Comprimido ranurado</v>
          </cell>
          <cell r="E119">
            <v>538</v>
          </cell>
          <cell r="F119">
            <v>83.965121999999994</v>
          </cell>
          <cell r="H119">
            <v>5500</v>
          </cell>
          <cell r="J119">
            <v>825</v>
          </cell>
          <cell r="M119">
            <v>0</v>
          </cell>
          <cell r="N119">
            <v>0</v>
          </cell>
          <cell r="P119">
            <v>5702</v>
          </cell>
          <cell r="R119">
            <v>858.56401053620004</v>
          </cell>
          <cell r="S119">
            <v>0</v>
          </cell>
          <cell r="T119">
            <v>0</v>
          </cell>
          <cell r="U119">
            <v>336</v>
          </cell>
          <cell r="V119">
            <v>0.1500033086</v>
          </cell>
          <cell r="W119">
            <v>50.4011116896</v>
          </cell>
          <cell r="X119">
            <v>2.47444</v>
          </cell>
          <cell r="Y119">
            <v>0</v>
          </cell>
          <cell r="Z119">
            <v>0.1500033086</v>
          </cell>
          <cell r="AA119">
            <v>50.4011116896</v>
          </cell>
        </row>
        <row r="120">
          <cell r="B120" t="str">
            <v>C-03-07</v>
          </cell>
          <cell r="C120" t="str">
            <v>HIDROCLOROTIAZIDA + AMILORIDA .:. 50 mg + 5 mg</v>
          </cell>
          <cell r="D120" t="str">
            <v>Comprimido</v>
          </cell>
          <cell r="E120">
            <v>473</v>
          </cell>
          <cell r="F120">
            <v>354.421738</v>
          </cell>
          <cell r="H120">
            <v>0</v>
          </cell>
          <cell r="J120">
            <v>0</v>
          </cell>
          <cell r="M120">
            <v>0</v>
          </cell>
          <cell r="N120">
            <v>0</v>
          </cell>
          <cell r="P120">
            <v>259</v>
          </cell>
          <cell r="R120">
            <v>194.07025400000001</v>
          </cell>
          <cell r="S120">
            <v>0</v>
          </cell>
          <cell r="T120">
            <v>0</v>
          </cell>
          <cell r="U120">
            <v>214</v>
          </cell>
          <cell r="V120">
            <v>0.74930600000000003</v>
          </cell>
          <cell r="W120">
            <v>160.351484</v>
          </cell>
          <cell r="X120">
            <v>2.47444</v>
          </cell>
          <cell r="Y120">
            <v>0</v>
          </cell>
          <cell r="Z120">
            <v>0.74930600000000003</v>
          </cell>
          <cell r="AA120">
            <v>160.351484</v>
          </cell>
        </row>
        <row r="121">
          <cell r="B121" t="str">
            <v>C-05-01</v>
          </cell>
          <cell r="C121" t="str">
            <v>CORTICOIDE + ANESTESICO .:. Según disponibilidad</v>
          </cell>
          <cell r="D121" t="str">
            <v>Supositorio</v>
          </cell>
          <cell r="E121">
            <v>8</v>
          </cell>
          <cell r="F121">
            <v>24.061727999999999</v>
          </cell>
          <cell r="H121">
            <v>1200</v>
          </cell>
          <cell r="J121">
            <v>3600</v>
          </cell>
          <cell r="M121">
            <v>0</v>
          </cell>
          <cell r="N121">
            <v>0</v>
          </cell>
          <cell r="P121">
            <v>578</v>
          </cell>
          <cell r="R121">
            <v>1734.0617279999999</v>
          </cell>
          <cell r="S121">
            <v>0</v>
          </cell>
          <cell r="T121">
            <v>0</v>
          </cell>
          <cell r="U121">
            <v>630</v>
          </cell>
          <cell r="V121">
            <v>3</v>
          </cell>
          <cell r="W121">
            <v>1890</v>
          </cell>
          <cell r="X121">
            <v>2.47444</v>
          </cell>
          <cell r="Y121">
            <v>0</v>
          </cell>
          <cell r="Z121">
            <v>3</v>
          </cell>
          <cell r="AA121">
            <v>1890</v>
          </cell>
        </row>
        <row r="122">
          <cell r="B122" t="str">
            <v>C-05-02</v>
          </cell>
          <cell r="C122" t="str">
            <v>CORTICOIDE + ANESTESICO .:. Según disponibilidad</v>
          </cell>
          <cell r="D122" t="str">
            <v>Crema o Pomada</v>
          </cell>
          <cell r="E122">
            <v>24</v>
          </cell>
          <cell r="F122">
            <v>1008.96</v>
          </cell>
          <cell r="H122">
            <v>70</v>
          </cell>
          <cell r="J122">
            <v>2943.5</v>
          </cell>
          <cell r="M122">
            <v>0</v>
          </cell>
          <cell r="N122">
            <v>0</v>
          </cell>
          <cell r="P122">
            <v>71</v>
          </cell>
          <cell r="R122">
            <v>2985.31</v>
          </cell>
          <cell r="S122">
            <v>0</v>
          </cell>
          <cell r="T122">
            <v>0</v>
          </cell>
          <cell r="U122">
            <v>23</v>
          </cell>
          <cell r="V122">
            <v>42.05</v>
          </cell>
          <cell r="W122">
            <v>967.15</v>
          </cell>
          <cell r="X122">
            <v>2.47444</v>
          </cell>
          <cell r="Y122">
            <v>0</v>
          </cell>
          <cell r="Z122">
            <v>42.05</v>
          </cell>
          <cell r="AA122">
            <v>967.15</v>
          </cell>
        </row>
        <row r="123">
          <cell r="B123" t="str">
            <v>C-07-01</v>
          </cell>
          <cell r="C123" t="str">
            <v>ATENOLOL .:. 100 mg</v>
          </cell>
          <cell r="D123" t="str">
            <v>Comprimido ranurado</v>
          </cell>
          <cell r="E123">
            <v>1026</v>
          </cell>
          <cell r="F123">
            <v>276.37977599999999</v>
          </cell>
          <cell r="H123">
            <v>0</v>
          </cell>
          <cell r="J123">
            <v>0</v>
          </cell>
          <cell r="M123">
            <v>345</v>
          </cell>
          <cell r="N123">
            <v>92.93</v>
          </cell>
          <cell r="P123">
            <v>853</v>
          </cell>
          <cell r="R123">
            <v>229.77483884099999</v>
          </cell>
          <cell r="S123">
            <v>345</v>
          </cell>
          <cell r="T123">
            <v>92.934719999999999</v>
          </cell>
          <cell r="U123">
            <v>173</v>
          </cell>
          <cell r="V123">
            <v>0.269365417</v>
          </cell>
          <cell r="W123">
            <v>46.600217141000002</v>
          </cell>
          <cell r="X123">
            <v>2.47444</v>
          </cell>
          <cell r="Y123">
            <v>0</v>
          </cell>
          <cell r="Z123">
            <v>0.269365417</v>
          </cell>
          <cell r="AA123">
            <v>46.600217141000002</v>
          </cell>
        </row>
        <row r="124">
          <cell r="B124" t="str">
            <v>C-07-02</v>
          </cell>
          <cell r="C124" t="str">
            <v>PROPRANOLOL .:. 40 mg</v>
          </cell>
          <cell r="D124" t="str">
            <v>Comprimido</v>
          </cell>
          <cell r="E124">
            <v>126</v>
          </cell>
          <cell r="F124">
            <v>37.799999999999997</v>
          </cell>
          <cell r="H124">
            <v>1500</v>
          </cell>
          <cell r="J124">
            <v>442</v>
          </cell>
          <cell r="M124">
            <v>0</v>
          </cell>
          <cell r="N124">
            <v>0</v>
          </cell>
          <cell r="P124">
            <v>1081</v>
          </cell>
          <cell r="R124">
            <v>316.414335666</v>
          </cell>
          <cell r="S124">
            <v>0</v>
          </cell>
          <cell r="T124">
            <v>0</v>
          </cell>
          <cell r="U124">
            <v>545</v>
          </cell>
          <cell r="V124">
            <v>0.29979020979999998</v>
          </cell>
          <cell r="W124">
            <v>163.38566434099999</v>
          </cell>
          <cell r="X124">
            <v>2.47444</v>
          </cell>
          <cell r="Y124">
            <v>0</v>
          </cell>
          <cell r="Z124">
            <v>0.29979020979999998</v>
          </cell>
          <cell r="AA124">
            <v>163.38566434099999</v>
          </cell>
        </row>
        <row r="125">
          <cell r="B125" t="str">
            <v>C-07-04</v>
          </cell>
          <cell r="C125" t="str">
            <v>CARVEDILOL .:. 6,25 mg</v>
          </cell>
          <cell r="D125" t="str">
            <v>Comprimido</v>
          </cell>
          <cell r="E125">
            <v>3961</v>
          </cell>
          <cell r="F125">
            <v>1783.428367</v>
          </cell>
          <cell r="H125">
            <v>25000</v>
          </cell>
          <cell r="J125">
            <v>11480</v>
          </cell>
          <cell r="M125">
            <v>0</v>
          </cell>
          <cell r="N125">
            <v>0</v>
          </cell>
          <cell r="P125">
            <v>23270</v>
          </cell>
          <cell r="R125">
            <v>10758.9631360236</v>
          </cell>
          <cell r="S125">
            <v>0</v>
          </cell>
          <cell r="T125">
            <v>0</v>
          </cell>
          <cell r="U125">
            <v>5691</v>
          </cell>
          <cell r="V125">
            <v>0.44007471990000002</v>
          </cell>
          <cell r="W125">
            <v>2504.4652309509001</v>
          </cell>
          <cell r="X125">
            <v>2.47444</v>
          </cell>
          <cell r="Y125">
            <v>0</v>
          </cell>
          <cell r="Z125">
            <v>0.44007471990000002</v>
          </cell>
          <cell r="AA125">
            <v>2504.4652309509001</v>
          </cell>
        </row>
        <row r="126">
          <cell r="B126" t="str">
            <v>C-07-05</v>
          </cell>
          <cell r="C126" t="str">
            <v>CARVEDILOL .:. 12,5 mg</v>
          </cell>
          <cell r="D126" t="str">
            <v>Comprimido</v>
          </cell>
          <cell r="E126">
            <v>2453</v>
          </cell>
          <cell r="F126">
            <v>2394.1893249999998</v>
          </cell>
          <cell r="H126">
            <v>18000</v>
          </cell>
          <cell r="J126">
            <v>17840</v>
          </cell>
          <cell r="M126">
            <v>33</v>
          </cell>
          <cell r="N126">
            <v>32.799999999999997</v>
          </cell>
          <cell r="P126">
            <v>17605</v>
          </cell>
          <cell r="R126">
            <v>17443.6093246372</v>
          </cell>
          <cell r="S126">
            <v>0</v>
          </cell>
          <cell r="T126">
            <v>0</v>
          </cell>
          <cell r="U126">
            <v>2881</v>
          </cell>
          <cell r="V126">
            <v>0.98</v>
          </cell>
          <cell r="W126">
            <v>2823.38</v>
          </cell>
          <cell r="X126">
            <v>2.47444</v>
          </cell>
          <cell r="Y126">
            <v>0</v>
          </cell>
          <cell r="Z126">
            <v>0.98</v>
          </cell>
          <cell r="AA126">
            <v>2823.38</v>
          </cell>
        </row>
        <row r="127">
          <cell r="B127" t="str">
            <v>C-07-06</v>
          </cell>
          <cell r="C127" t="str">
            <v>BISOPROLOL .:. 5 mg</v>
          </cell>
          <cell r="D127" t="str">
            <v>Comprimido</v>
          </cell>
          <cell r="E127">
            <v>616</v>
          </cell>
          <cell r="F127">
            <v>1368.1421600000001</v>
          </cell>
          <cell r="H127">
            <v>7900</v>
          </cell>
          <cell r="J127">
            <v>13080</v>
          </cell>
          <cell r="M127">
            <v>0</v>
          </cell>
          <cell r="N127">
            <v>0</v>
          </cell>
          <cell r="P127">
            <v>7286</v>
          </cell>
          <cell r="R127">
            <v>13538.550037904501</v>
          </cell>
          <cell r="S127">
            <v>0</v>
          </cell>
          <cell r="T127">
            <v>0</v>
          </cell>
          <cell r="U127">
            <v>1230</v>
          </cell>
          <cell r="V127">
            <v>0.73950579039999997</v>
          </cell>
          <cell r="W127">
            <v>909.59212219200003</v>
          </cell>
          <cell r="X127">
            <v>2.47444</v>
          </cell>
          <cell r="Y127">
            <v>0</v>
          </cell>
          <cell r="Z127">
            <v>0.73950579039999997</v>
          </cell>
          <cell r="AA127">
            <v>909.59212219200003</v>
          </cell>
        </row>
        <row r="128">
          <cell r="B128" t="str">
            <v>C-08-02</v>
          </cell>
          <cell r="C128" t="str">
            <v>NIMODIPINA .:. 30 mg</v>
          </cell>
          <cell r="D128" t="str">
            <v>Comprimido</v>
          </cell>
          <cell r="E128">
            <v>3001</v>
          </cell>
          <cell r="F128">
            <v>1168.6914340000001</v>
          </cell>
          <cell r="H128">
            <v>8300</v>
          </cell>
          <cell r="J128">
            <v>2905</v>
          </cell>
          <cell r="M128">
            <v>10</v>
          </cell>
          <cell r="N128">
            <v>3.5294500000000002</v>
          </cell>
          <cell r="P128">
            <v>9819</v>
          </cell>
          <cell r="R128">
            <v>3550.6262601991998</v>
          </cell>
          <cell r="S128">
            <v>0</v>
          </cell>
          <cell r="T128">
            <v>0</v>
          </cell>
          <cell r="U128">
            <v>1492</v>
          </cell>
          <cell r="V128">
            <v>0.35294545820000001</v>
          </cell>
          <cell r="W128">
            <v>526.59462363440002</v>
          </cell>
          <cell r="X128">
            <v>2.47444</v>
          </cell>
          <cell r="Y128">
            <v>0</v>
          </cell>
          <cell r="Z128">
            <v>0.35294545820000001</v>
          </cell>
          <cell r="AA128">
            <v>526.59462363440002</v>
          </cell>
        </row>
        <row r="129">
          <cell r="B129" t="str">
            <v>C-08-04</v>
          </cell>
          <cell r="C129" t="str">
            <v>VERAPAMILO .:. 80 mg</v>
          </cell>
          <cell r="D129" t="str">
            <v>Comprimido</v>
          </cell>
          <cell r="E129">
            <v>36</v>
          </cell>
          <cell r="F129">
            <v>69.309972000000002</v>
          </cell>
          <cell r="H129">
            <v>0</v>
          </cell>
          <cell r="J129">
            <v>0</v>
          </cell>
          <cell r="M129">
            <v>0</v>
          </cell>
          <cell r="N129">
            <v>0</v>
          </cell>
          <cell r="P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36</v>
          </cell>
          <cell r="V129">
            <v>1.9252769999999999</v>
          </cell>
          <cell r="W129">
            <v>69.309972000000002</v>
          </cell>
          <cell r="X129">
            <v>2.47444</v>
          </cell>
          <cell r="Y129">
            <v>0</v>
          </cell>
          <cell r="Z129">
            <v>1.9252769999999999</v>
          </cell>
          <cell r="AA129">
            <v>69.309972000000002</v>
          </cell>
        </row>
        <row r="130">
          <cell r="B130" t="str">
            <v>C-08-07</v>
          </cell>
          <cell r="C130" t="str">
            <v>AMLODIPINA .:. 10 mg</v>
          </cell>
          <cell r="D130" t="str">
            <v>Comprimido</v>
          </cell>
          <cell r="E130">
            <v>0</v>
          </cell>
          <cell r="F130">
            <v>0</v>
          </cell>
          <cell r="H130">
            <v>23000</v>
          </cell>
          <cell r="J130">
            <v>2990</v>
          </cell>
          <cell r="M130">
            <v>5</v>
          </cell>
          <cell r="N130">
            <v>0.65</v>
          </cell>
          <cell r="P130">
            <v>20076</v>
          </cell>
          <cell r="R130">
            <v>2609.88</v>
          </cell>
          <cell r="S130">
            <v>0</v>
          </cell>
          <cell r="T130">
            <v>0</v>
          </cell>
          <cell r="U130">
            <v>2929</v>
          </cell>
          <cell r="V130">
            <v>0.13</v>
          </cell>
          <cell r="W130">
            <v>380.77</v>
          </cell>
          <cell r="X130">
            <v>2.47444</v>
          </cell>
          <cell r="Y130">
            <v>0</v>
          </cell>
          <cell r="Z130">
            <v>0.13</v>
          </cell>
          <cell r="AA130">
            <v>380.77</v>
          </cell>
        </row>
        <row r="131">
          <cell r="B131" t="str">
            <v>C-09-01</v>
          </cell>
          <cell r="C131" t="str">
            <v>ENALAPRIL MALEATO .:. 10 mg</v>
          </cell>
          <cell r="D131" t="str">
            <v>Comprimido ranurado</v>
          </cell>
          <cell r="E131">
            <v>0</v>
          </cell>
          <cell r="F131">
            <v>0</v>
          </cell>
          <cell r="H131">
            <v>9000</v>
          </cell>
          <cell r="J131">
            <v>1500</v>
          </cell>
          <cell r="M131">
            <v>0</v>
          </cell>
          <cell r="N131">
            <v>0</v>
          </cell>
          <cell r="P131">
            <v>6704</v>
          </cell>
          <cell r="R131">
            <v>1178.5324535079999</v>
          </cell>
          <cell r="S131">
            <v>0</v>
          </cell>
          <cell r="T131">
            <v>0</v>
          </cell>
          <cell r="U131">
            <v>2296</v>
          </cell>
          <cell r="V131">
            <v>0.14001199759999999</v>
          </cell>
          <cell r="W131">
            <v>321.46754648960001</v>
          </cell>
          <cell r="X131">
            <v>2.47444</v>
          </cell>
          <cell r="Y131">
            <v>0</v>
          </cell>
          <cell r="Z131">
            <v>0.14001199759999999</v>
          </cell>
          <cell r="AA131">
            <v>321.46754648960001</v>
          </cell>
        </row>
        <row r="132">
          <cell r="B132" t="str">
            <v>C-09-02</v>
          </cell>
          <cell r="C132" t="str">
            <v>LOSARTAN .:. 50 mg</v>
          </cell>
          <cell r="D132" t="str">
            <v>Comprimido</v>
          </cell>
          <cell r="E132">
            <v>37107</v>
          </cell>
          <cell r="F132">
            <v>20888.161119</v>
          </cell>
          <cell r="H132">
            <v>116500</v>
          </cell>
          <cell r="J132">
            <v>77810</v>
          </cell>
          <cell r="M132">
            <v>3</v>
          </cell>
          <cell r="N132">
            <v>1.9798500000000001</v>
          </cell>
          <cell r="P132">
            <v>139493</v>
          </cell>
          <cell r="R132">
            <v>89383.623988298801</v>
          </cell>
          <cell r="S132">
            <v>0</v>
          </cell>
          <cell r="T132">
            <v>0</v>
          </cell>
          <cell r="U132">
            <v>14117</v>
          </cell>
          <cell r="V132">
            <v>0.65995020039999996</v>
          </cell>
          <cell r="W132">
            <v>9316.5169790468008</v>
          </cell>
          <cell r="X132">
            <v>2.47444</v>
          </cell>
          <cell r="Y132">
            <v>0</v>
          </cell>
          <cell r="Z132">
            <v>0.65995020039999996</v>
          </cell>
          <cell r="AA132">
            <v>9316.5169790468008</v>
          </cell>
        </row>
        <row r="133">
          <cell r="B133" t="str">
            <v>C-10-01</v>
          </cell>
          <cell r="C133" t="str">
            <v>ATORVASTATINA .:. 10 mg</v>
          </cell>
          <cell r="D133" t="str">
            <v>Comprimido</v>
          </cell>
          <cell r="E133">
            <v>3467</v>
          </cell>
          <cell r="F133">
            <v>621.65043500000002</v>
          </cell>
          <cell r="H133">
            <v>11000</v>
          </cell>
          <cell r="J133">
            <v>1100</v>
          </cell>
          <cell r="M133">
            <v>0</v>
          </cell>
          <cell r="N133">
            <v>0</v>
          </cell>
          <cell r="P133">
            <v>13503</v>
          </cell>
          <cell r="R133">
            <v>1625.2504349999999</v>
          </cell>
          <cell r="S133">
            <v>0</v>
          </cell>
          <cell r="T133">
            <v>0</v>
          </cell>
          <cell r="U133">
            <v>964</v>
          </cell>
          <cell r="V133">
            <v>0.1</v>
          </cell>
          <cell r="W133">
            <v>96.4</v>
          </cell>
          <cell r="X133">
            <v>2.47444</v>
          </cell>
          <cell r="Y133">
            <v>0</v>
          </cell>
          <cell r="Z133">
            <v>0.1</v>
          </cell>
          <cell r="AA133">
            <v>96.4</v>
          </cell>
        </row>
        <row r="134">
          <cell r="B134" t="str">
            <v>C-10-02</v>
          </cell>
          <cell r="C134" t="str">
            <v>GENFIBROZILO .:. 600 mg</v>
          </cell>
          <cell r="D134" t="str">
            <v>Comprimido</v>
          </cell>
          <cell r="E134">
            <v>1656</v>
          </cell>
          <cell r="F134">
            <v>1552.6440720000001</v>
          </cell>
          <cell r="H134">
            <v>7500</v>
          </cell>
          <cell r="J134">
            <v>6285</v>
          </cell>
          <cell r="M134">
            <v>110</v>
          </cell>
          <cell r="N134">
            <v>88.139920000000004</v>
          </cell>
          <cell r="P134">
            <v>8155</v>
          </cell>
          <cell r="R134">
            <v>6837.8868042479999</v>
          </cell>
          <cell r="S134">
            <v>0</v>
          </cell>
          <cell r="T134">
            <v>0</v>
          </cell>
          <cell r="U134">
            <v>1111</v>
          </cell>
          <cell r="V134">
            <v>0.97920538960000003</v>
          </cell>
          <cell r="W134">
            <v>1087.8971878456</v>
          </cell>
          <cell r="X134">
            <v>2.47444</v>
          </cell>
          <cell r="Y134">
            <v>0</v>
          </cell>
          <cell r="Z134">
            <v>0.97920538960000003</v>
          </cell>
          <cell r="AA134">
            <v>1087.8971878456</v>
          </cell>
        </row>
        <row r="135">
          <cell r="B135" t="str">
            <v>C-10-03</v>
          </cell>
          <cell r="C135" t="str">
            <v>ROSUVASTATINA .:. 20 mg</v>
          </cell>
          <cell r="D135" t="str">
            <v>Comprimido</v>
          </cell>
          <cell r="E135">
            <v>0</v>
          </cell>
          <cell r="F135">
            <v>0</v>
          </cell>
          <cell r="H135">
            <v>4500</v>
          </cell>
          <cell r="J135">
            <v>12357</v>
          </cell>
          <cell r="M135">
            <v>0</v>
          </cell>
          <cell r="N135">
            <v>0</v>
          </cell>
          <cell r="P135">
            <v>4355</v>
          </cell>
          <cell r="R135">
            <v>11927.9183673875</v>
          </cell>
          <cell r="S135">
            <v>0</v>
          </cell>
          <cell r="T135">
            <v>0</v>
          </cell>
          <cell r="U135">
            <v>145</v>
          </cell>
          <cell r="V135">
            <v>2.9591836735000001</v>
          </cell>
          <cell r="W135">
            <v>429.08163265749999</v>
          </cell>
          <cell r="X135">
            <v>2.47444</v>
          </cell>
          <cell r="Y135">
            <v>0</v>
          </cell>
          <cell r="Z135">
            <v>2.9591836735000001</v>
          </cell>
          <cell r="AA135">
            <v>429.08163265749999</v>
          </cell>
        </row>
        <row r="136">
          <cell r="B136" t="str">
            <v>C-10-04</v>
          </cell>
          <cell r="C136" t="str">
            <v>FENOFIBRATO .:. 200 mg</v>
          </cell>
          <cell r="D136" t="str">
            <v>Cápsula o Comprimido</v>
          </cell>
          <cell r="E136">
            <v>1790</v>
          </cell>
          <cell r="F136">
            <v>7134.5461999999998</v>
          </cell>
          <cell r="H136">
            <v>5000</v>
          </cell>
          <cell r="J136">
            <v>19500</v>
          </cell>
          <cell r="M136">
            <v>0</v>
          </cell>
          <cell r="N136">
            <v>0</v>
          </cell>
          <cell r="P136">
            <v>6583</v>
          </cell>
          <cell r="R136">
            <v>25826.076827599401</v>
          </cell>
          <cell r="S136">
            <v>0</v>
          </cell>
          <cell r="T136">
            <v>0</v>
          </cell>
          <cell r="U136">
            <v>207</v>
          </cell>
          <cell r="V136">
            <v>3.9056491413000001</v>
          </cell>
          <cell r="W136">
            <v>808.46937224910005</v>
          </cell>
          <cell r="X136">
            <v>2.47444</v>
          </cell>
          <cell r="Y136">
            <v>0</v>
          </cell>
          <cell r="Z136">
            <v>3.9056491413000001</v>
          </cell>
          <cell r="AA136">
            <v>808.46937224910005</v>
          </cell>
        </row>
        <row r="137">
          <cell r="B137" t="str">
            <v>C-10-05</v>
          </cell>
          <cell r="C137" t="str">
            <v>ATORVASTATINA .:. 20 mg.</v>
          </cell>
          <cell r="D137" t="str">
            <v>Comprimido</v>
          </cell>
          <cell r="E137">
            <v>9234</v>
          </cell>
          <cell r="F137">
            <v>3977.5824360000001</v>
          </cell>
          <cell r="H137">
            <v>48300</v>
          </cell>
          <cell r="J137">
            <v>24600</v>
          </cell>
          <cell r="M137">
            <v>1</v>
          </cell>
          <cell r="N137">
            <v>0.5</v>
          </cell>
          <cell r="P137">
            <v>48347</v>
          </cell>
          <cell r="R137">
            <v>23982.872299240898</v>
          </cell>
          <cell r="S137">
            <v>0</v>
          </cell>
          <cell r="T137">
            <v>0</v>
          </cell>
          <cell r="U137">
            <v>9188</v>
          </cell>
          <cell r="V137">
            <v>0.50013170829999998</v>
          </cell>
          <cell r="W137">
            <v>4595.2101358604004</v>
          </cell>
          <cell r="X137">
            <v>2.47444</v>
          </cell>
          <cell r="Y137">
            <v>0</v>
          </cell>
          <cell r="Z137">
            <v>0.50013170829999998</v>
          </cell>
          <cell r="AA137">
            <v>4595.2101358604004</v>
          </cell>
        </row>
        <row r="138">
          <cell r="B138" t="str">
            <v>D-01-02</v>
          </cell>
          <cell r="C138" t="str">
            <v>BACITRACINA + NEOMICINA SULFATO .:. 500 UI + 5 mg/g</v>
          </cell>
          <cell r="D138" t="str">
            <v>Crema o Pomada</v>
          </cell>
          <cell r="E138">
            <v>82</v>
          </cell>
          <cell r="F138">
            <v>549.4</v>
          </cell>
          <cell r="H138">
            <v>0</v>
          </cell>
          <cell r="J138">
            <v>0</v>
          </cell>
          <cell r="M138">
            <v>0</v>
          </cell>
          <cell r="N138">
            <v>0</v>
          </cell>
          <cell r="P138">
            <v>68</v>
          </cell>
          <cell r="R138">
            <v>455.6</v>
          </cell>
          <cell r="S138">
            <v>0</v>
          </cell>
          <cell r="T138">
            <v>0</v>
          </cell>
          <cell r="U138">
            <v>14</v>
          </cell>
          <cell r="V138">
            <v>6.7</v>
          </cell>
          <cell r="W138">
            <v>93.8</v>
          </cell>
          <cell r="X138">
            <v>2.47444</v>
          </cell>
          <cell r="Y138">
            <v>0</v>
          </cell>
          <cell r="Z138">
            <v>6.7</v>
          </cell>
          <cell r="AA138">
            <v>93.8</v>
          </cell>
        </row>
        <row r="139">
          <cell r="B139" t="str">
            <v>D-01-03</v>
          </cell>
          <cell r="C139" t="str">
            <v>CLOTRIMAZOL .:. 0.01</v>
          </cell>
          <cell r="D139" t="str">
            <v>Crema o Pomada</v>
          </cell>
          <cell r="E139">
            <v>170</v>
          </cell>
          <cell r="F139">
            <v>595</v>
          </cell>
          <cell r="H139">
            <v>190</v>
          </cell>
          <cell r="J139">
            <v>665</v>
          </cell>
          <cell r="M139">
            <v>0</v>
          </cell>
          <cell r="N139">
            <v>0</v>
          </cell>
          <cell r="P139">
            <v>300</v>
          </cell>
          <cell r="R139">
            <v>1050</v>
          </cell>
          <cell r="S139">
            <v>0</v>
          </cell>
          <cell r="T139">
            <v>0</v>
          </cell>
          <cell r="U139">
            <v>60</v>
          </cell>
          <cell r="V139">
            <v>3.5</v>
          </cell>
          <cell r="W139">
            <v>210</v>
          </cell>
          <cell r="X139">
            <v>2.47444</v>
          </cell>
          <cell r="Y139">
            <v>0</v>
          </cell>
          <cell r="Z139">
            <v>3.5</v>
          </cell>
          <cell r="AA139">
            <v>210</v>
          </cell>
        </row>
        <row r="140">
          <cell r="B140" t="str">
            <v>D-01-06</v>
          </cell>
          <cell r="C140" t="str">
            <v>TOLNAFTATO .:. 0.01</v>
          </cell>
          <cell r="D140" t="str">
            <v>Solución</v>
          </cell>
          <cell r="E140">
            <v>13</v>
          </cell>
          <cell r="F140">
            <v>297.7</v>
          </cell>
          <cell r="H140">
            <v>40</v>
          </cell>
          <cell r="J140">
            <v>920</v>
          </cell>
          <cell r="M140">
            <v>0</v>
          </cell>
          <cell r="N140">
            <v>0</v>
          </cell>
          <cell r="P140">
            <v>42</v>
          </cell>
          <cell r="R140">
            <v>964.7</v>
          </cell>
          <cell r="S140">
            <v>0</v>
          </cell>
          <cell r="T140">
            <v>0</v>
          </cell>
          <cell r="U140">
            <v>11</v>
          </cell>
          <cell r="V140">
            <v>23</v>
          </cell>
          <cell r="W140">
            <v>253</v>
          </cell>
          <cell r="X140">
            <v>2.47444</v>
          </cell>
          <cell r="Y140">
            <v>0</v>
          </cell>
          <cell r="Z140">
            <v>23</v>
          </cell>
          <cell r="AA140">
            <v>253</v>
          </cell>
        </row>
        <row r="141">
          <cell r="B141" t="str">
            <v>D-01-07</v>
          </cell>
          <cell r="C141" t="str">
            <v>VIOLETA DE GENCIANA (CLORURO DE METILROSANILINA) .:. 0.01</v>
          </cell>
          <cell r="D141" t="str">
            <v>Solución</v>
          </cell>
          <cell r="E141">
            <v>1</v>
          </cell>
          <cell r="F141">
            <v>2.8</v>
          </cell>
          <cell r="H141">
            <v>20</v>
          </cell>
          <cell r="J141">
            <v>54</v>
          </cell>
          <cell r="M141">
            <v>0</v>
          </cell>
          <cell r="N141">
            <v>0</v>
          </cell>
          <cell r="P141">
            <v>14</v>
          </cell>
          <cell r="R141">
            <v>37.9</v>
          </cell>
          <cell r="S141">
            <v>0</v>
          </cell>
          <cell r="T141">
            <v>0</v>
          </cell>
          <cell r="U141">
            <v>7</v>
          </cell>
          <cell r="V141">
            <v>2.7</v>
          </cell>
          <cell r="W141">
            <v>18.899999999999999</v>
          </cell>
          <cell r="X141">
            <v>2.47444</v>
          </cell>
          <cell r="Y141">
            <v>0</v>
          </cell>
          <cell r="Z141">
            <v>2.7</v>
          </cell>
          <cell r="AA141">
            <v>18.899999999999999</v>
          </cell>
        </row>
        <row r="142">
          <cell r="B142" t="str">
            <v>D-02-02</v>
          </cell>
          <cell r="C142" t="str">
            <v>OXIDO DE ZINC CON O SIN ACEITE .:. Según disponibilidad</v>
          </cell>
          <cell r="D142" t="str">
            <v>Pasta o Pomada</v>
          </cell>
          <cell r="E142">
            <v>18</v>
          </cell>
          <cell r="F142">
            <v>292.5</v>
          </cell>
          <cell r="H142">
            <v>30</v>
          </cell>
          <cell r="J142">
            <v>203.7</v>
          </cell>
          <cell r="M142">
            <v>0</v>
          </cell>
          <cell r="N142">
            <v>0</v>
          </cell>
          <cell r="P142">
            <v>36</v>
          </cell>
          <cell r="R142">
            <v>414.72</v>
          </cell>
          <cell r="S142">
            <v>0</v>
          </cell>
          <cell r="T142">
            <v>0</v>
          </cell>
          <cell r="U142">
            <v>12</v>
          </cell>
          <cell r="V142">
            <v>6.79</v>
          </cell>
          <cell r="W142">
            <v>81.48</v>
          </cell>
          <cell r="X142">
            <v>2.47444</v>
          </cell>
          <cell r="Y142">
            <v>0</v>
          </cell>
          <cell r="Z142">
            <v>6.79</v>
          </cell>
          <cell r="AA142">
            <v>81.48</v>
          </cell>
        </row>
        <row r="143">
          <cell r="B143" t="str">
            <v>D-02-04</v>
          </cell>
          <cell r="C143" t="str">
            <v>VASELINA LIQUIDA .:. Según disponibilidad</v>
          </cell>
          <cell r="D143" t="str">
            <v>Solución 1 l</v>
          </cell>
          <cell r="E143">
            <v>11</v>
          </cell>
          <cell r="F143">
            <v>396</v>
          </cell>
          <cell r="H143">
            <v>20</v>
          </cell>
          <cell r="J143">
            <v>700</v>
          </cell>
          <cell r="M143">
            <v>0</v>
          </cell>
          <cell r="N143">
            <v>0</v>
          </cell>
          <cell r="P143">
            <v>29</v>
          </cell>
          <cell r="R143">
            <v>1026</v>
          </cell>
          <cell r="S143">
            <v>0</v>
          </cell>
          <cell r="T143">
            <v>0</v>
          </cell>
          <cell r="U143">
            <v>2</v>
          </cell>
          <cell r="V143">
            <v>35</v>
          </cell>
          <cell r="W143">
            <v>70</v>
          </cell>
          <cell r="X143">
            <v>2.47444</v>
          </cell>
          <cell r="Y143">
            <v>0</v>
          </cell>
          <cell r="Z143">
            <v>35</v>
          </cell>
          <cell r="AA143">
            <v>70</v>
          </cell>
        </row>
        <row r="144">
          <cell r="B144" t="str">
            <v>D-04-01</v>
          </cell>
          <cell r="C144" t="str">
            <v>LIDOCAINA .:. 0.02</v>
          </cell>
          <cell r="D144" t="str">
            <v>Gel o Jalea</v>
          </cell>
          <cell r="E144">
            <v>9</v>
          </cell>
          <cell r="F144">
            <v>134.1</v>
          </cell>
          <cell r="H144">
            <v>0</v>
          </cell>
          <cell r="J144">
            <v>0</v>
          </cell>
          <cell r="M144">
            <v>0</v>
          </cell>
          <cell r="N144">
            <v>0</v>
          </cell>
          <cell r="P144">
            <v>9</v>
          </cell>
          <cell r="R144">
            <v>134.1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2.47444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D-04-011</v>
          </cell>
          <cell r="C145" t="str">
            <v>LIDOCAINA  2%  ANESTESICO TOPICO (ODONTOLOGICO) .:. 2%</v>
          </cell>
          <cell r="D145" t="str">
            <v>Frasco</v>
          </cell>
          <cell r="E145">
            <v>0</v>
          </cell>
          <cell r="F145">
            <v>0</v>
          </cell>
          <cell r="H145">
            <v>4</v>
          </cell>
          <cell r="J145">
            <v>120</v>
          </cell>
          <cell r="M145">
            <v>0</v>
          </cell>
          <cell r="N145">
            <v>0</v>
          </cell>
          <cell r="P145">
            <v>4</v>
          </cell>
          <cell r="R145">
            <v>120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2.47444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D-06-02</v>
          </cell>
          <cell r="C146" t="str">
            <v>SULFADIAZINA DE PLATA .:. 0.01</v>
          </cell>
          <cell r="D146" t="str">
            <v>Crema o Pomada</v>
          </cell>
          <cell r="E146">
            <v>23</v>
          </cell>
          <cell r="F146">
            <v>886.680429</v>
          </cell>
          <cell r="H146">
            <v>0</v>
          </cell>
          <cell r="J146">
            <v>0</v>
          </cell>
          <cell r="M146">
            <v>0</v>
          </cell>
          <cell r="N146">
            <v>0</v>
          </cell>
          <cell r="P146">
            <v>13</v>
          </cell>
          <cell r="R146">
            <v>501.16719899999998</v>
          </cell>
          <cell r="S146">
            <v>0</v>
          </cell>
          <cell r="T146">
            <v>0</v>
          </cell>
          <cell r="U146">
            <v>10</v>
          </cell>
          <cell r="V146">
            <v>38.551322999999996</v>
          </cell>
          <cell r="W146">
            <v>385.51323000000002</v>
          </cell>
          <cell r="X146">
            <v>2.47444</v>
          </cell>
          <cell r="Y146">
            <v>0</v>
          </cell>
          <cell r="Z146">
            <v>38.551322999999996</v>
          </cell>
          <cell r="AA146">
            <v>385.51323000000002</v>
          </cell>
        </row>
        <row r="147">
          <cell r="B147" t="str">
            <v>D-06-03</v>
          </cell>
          <cell r="C147" t="str">
            <v>ACICLOVIR .:. 0.05</v>
          </cell>
          <cell r="D147" t="str">
            <v>Crema dermica</v>
          </cell>
          <cell r="E147">
            <v>15</v>
          </cell>
          <cell r="F147">
            <v>133.27096499999999</v>
          </cell>
          <cell r="H147">
            <v>95</v>
          </cell>
          <cell r="J147">
            <v>756.5</v>
          </cell>
          <cell r="M147">
            <v>0</v>
          </cell>
          <cell r="N147">
            <v>0</v>
          </cell>
          <cell r="P147">
            <v>88</v>
          </cell>
          <cell r="R147">
            <v>713.77096500000005</v>
          </cell>
          <cell r="S147">
            <v>0</v>
          </cell>
          <cell r="T147">
            <v>0</v>
          </cell>
          <cell r="U147">
            <v>22</v>
          </cell>
          <cell r="V147">
            <v>8</v>
          </cell>
          <cell r="W147">
            <v>176</v>
          </cell>
          <cell r="X147">
            <v>2.47444</v>
          </cell>
          <cell r="Y147">
            <v>0</v>
          </cell>
          <cell r="Z147">
            <v>8</v>
          </cell>
          <cell r="AA147">
            <v>176</v>
          </cell>
        </row>
        <row r="148">
          <cell r="B148" t="str">
            <v>D-07-01</v>
          </cell>
          <cell r="C148" t="str">
            <v>BETAMETASONA (VALERATO) .:. 0,1%</v>
          </cell>
          <cell r="D148" t="str">
            <v>Crema o Pomada</v>
          </cell>
          <cell r="E148">
            <v>118</v>
          </cell>
          <cell r="F148">
            <v>836.68572600000005</v>
          </cell>
          <cell r="H148">
            <v>30</v>
          </cell>
          <cell r="J148">
            <v>237</v>
          </cell>
          <cell r="M148">
            <v>0</v>
          </cell>
          <cell r="N148">
            <v>0</v>
          </cell>
          <cell r="P148">
            <v>129</v>
          </cell>
          <cell r="R148">
            <v>924.08183622599995</v>
          </cell>
          <cell r="S148">
            <v>0</v>
          </cell>
          <cell r="T148">
            <v>0</v>
          </cell>
          <cell r="U148">
            <v>19</v>
          </cell>
          <cell r="V148">
            <v>7.8738889355000001</v>
          </cell>
          <cell r="W148">
            <v>149.6038897745</v>
          </cell>
          <cell r="X148">
            <v>2.47444</v>
          </cell>
          <cell r="Y148">
            <v>0</v>
          </cell>
          <cell r="Z148">
            <v>7.8738889355000001</v>
          </cell>
          <cell r="AA148">
            <v>149.6038897745</v>
          </cell>
        </row>
        <row r="149">
          <cell r="B149" t="str">
            <v>D-07-02</v>
          </cell>
          <cell r="C149" t="str">
            <v>CLOBETASOL .:. 0,05%</v>
          </cell>
          <cell r="D149" t="str">
            <v>Crema o Pomada</v>
          </cell>
          <cell r="E149">
            <v>54</v>
          </cell>
          <cell r="F149">
            <v>648</v>
          </cell>
          <cell r="H149">
            <v>100</v>
          </cell>
          <cell r="J149">
            <v>1140</v>
          </cell>
          <cell r="M149">
            <v>0</v>
          </cell>
          <cell r="N149">
            <v>0</v>
          </cell>
          <cell r="P149">
            <v>115</v>
          </cell>
          <cell r="R149">
            <v>1343.4</v>
          </cell>
          <cell r="S149">
            <v>0</v>
          </cell>
          <cell r="T149">
            <v>0</v>
          </cell>
          <cell r="U149">
            <v>39</v>
          </cell>
          <cell r="V149">
            <v>11.4</v>
          </cell>
          <cell r="W149">
            <v>444.6</v>
          </cell>
          <cell r="X149">
            <v>2.47444</v>
          </cell>
          <cell r="Y149">
            <v>0</v>
          </cell>
          <cell r="Z149">
            <v>11.4</v>
          </cell>
          <cell r="AA149">
            <v>444.6</v>
          </cell>
        </row>
        <row r="150">
          <cell r="B150" t="str">
            <v>D-07-03</v>
          </cell>
          <cell r="C150" t="str">
            <v>CLOBETASOL .:. 0,05%</v>
          </cell>
          <cell r="D150" t="str">
            <v>Solución</v>
          </cell>
          <cell r="E150">
            <v>0</v>
          </cell>
          <cell r="F150">
            <v>0</v>
          </cell>
          <cell r="H150">
            <v>40</v>
          </cell>
          <cell r="J150">
            <v>2190</v>
          </cell>
          <cell r="M150">
            <v>0</v>
          </cell>
          <cell r="N150">
            <v>0</v>
          </cell>
          <cell r="P150">
            <v>34</v>
          </cell>
          <cell r="R150">
            <v>1863.3333333328001</v>
          </cell>
          <cell r="S150">
            <v>0</v>
          </cell>
          <cell r="T150">
            <v>0</v>
          </cell>
          <cell r="U150">
            <v>6</v>
          </cell>
          <cell r="V150">
            <v>54.444444444399998</v>
          </cell>
          <cell r="W150">
            <v>326.66666666639998</v>
          </cell>
          <cell r="X150">
            <v>2.47444</v>
          </cell>
          <cell r="Y150">
            <v>0</v>
          </cell>
          <cell r="Z150">
            <v>54.444444444399998</v>
          </cell>
          <cell r="AA150">
            <v>326.66666666639998</v>
          </cell>
        </row>
        <row r="151">
          <cell r="B151" t="str">
            <v>D-07-04</v>
          </cell>
          <cell r="C151" t="str">
            <v>HIDROCORTISONA ACETATO .:. 0.01</v>
          </cell>
          <cell r="D151" t="str">
            <v>Crema o Pomada</v>
          </cell>
          <cell r="E151">
            <v>4</v>
          </cell>
          <cell r="F151">
            <v>30</v>
          </cell>
          <cell r="H151">
            <v>130</v>
          </cell>
          <cell r="J151">
            <v>1340</v>
          </cell>
          <cell r="M151">
            <v>0</v>
          </cell>
          <cell r="N151">
            <v>0</v>
          </cell>
          <cell r="P151">
            <v>124</v>
          </cell>
          <cell r="R151">
            <v>1290</v>
          </cell>
          <cell r="S151">
            <v>0</v>
          </cell>
          <cell r="T151">
            <v>0</v>
          </cell>
          <cell r="U151">
            <v>10</v>
          </cell>
          <cell r="V151">
            <v>8</v>
          </cell>
          <cell r="W151">
            <v>80</v>
          </cell>
          <cell r="X151">
            <v>2.47444</v>
          </cell>
          <cell r="Y151">
            <v>0</v>
          </cell>
          <cell r="Z151">
            <v>8</v>
          </cell>
          <cell r="AA151">
            <v>80</v>
          </cell>
        </row>
        <row r="152">
          <cell r="B152" t="str">
            <v>D-08-01</v>
          </cell>
          <cell r="C152" t="str">
            <v>ALCOHOL ETILICO (ETANOL) .:. 70% a 95%</v>
          </cell>
          <cell r="D152" t="str">
            <v>Solución 1 l</v>
          </cell>
          <cell r="E152">
            <v>245</v>
          </cell>
          <cell r="F152">
            <v>3185.0134750000002</v>
          </cell>
          <cell r="H152">
            <v>550</v>
          </cell>
          <cell r="J152">
            <v>10994.5</v>
          </cell>
          <cell r="M152">
            <v>0</v>
          </cell>
          <cell r="N152">
            <v>0</v>
          </cell>
          <cell r="P152">
            <v>360</v>
          </cell>
          <cell r="R152">
            <v>6065.1596363985</v>
          </cell>
          <cell r="S152">
            <v>0</v>
          </cell>
          <cell r="T152">
            <v>0</v>
          </cell>
          <cell r="U152">
            <v>435</v>
          </cell>
          <cell r="V152">
            <v>18.653686985299998</v>
          </cell>
          <cell r="W152">
            <v>8114.3538386054997</v>
          </cell>
          <cell r="X152">
            <v>2.47444</v>
          </cell>
          <cell r="Y152">
            <v>0</v>
          </cell>
          <cell r="Z152">
            <v>18.653686985299998</v>
          </cell>
          <cell r="AA152">
            <v>8114.3538386054997</v>
          </cell>
        </row>
        <row r="153">
          <cell r="B153" t="str">
            <v>D-08-02</v>
          </cell>
          <cell r="C153" t="str">
            <v>CLORHEXIDINA GLUCONATO .:. Según disponibilidad</v>
          </cell>
          <cell r="D153" t="str">
            <v>Solución</v>
          </cell>
          <cell r="E153">
            <v>10</v>
          </cell>
          <cell r="F153">
            <v>1056.32575</v>
          </cell>
          <cell r="H153">
            <v>0</v>
          </cell>
          <cell r="J153">
            <v>0</v>
          </cell>
          <cell r="M153">
            <v>0</v>
          </cell>
          <cell r="N153">
            <v>0</v>
          </cell>
          <cell r="P153">
            <v>5</v>
          </cell>
          <cell r="R153">
            <v>528.16287499999999</v>
          </cell>
          <cell r="S153">
            <v>0</v>
          </cell>
          <cell r="T153">
            <v>0</v>
          </cell>
          <cell r="U153">
            <v>5</v>
          </cell>
          <cell r="V153">
            <v>105.632575</v>
          </cell>
          <cell r="W153">
            <v>528.16287499999999</v>
          </cell>
          <cell r="X153">
            <v>2.47444</v>
          </cell>
          <cell r="Y153">
            <v>0</v>
          </cell>
          <cell r="Z153">
            <v>105.632575</v>
          </cell>
          <cell r="AA153">
            <v>528.16287499999999</v>
          </cell>
        </row>
        <row r="154">
          <cell r="B154" t="str">
            <v>D-08-021</v>
          </cell>
          <cell r="C154" t="str">
            <v>CLORHEXIDINA (ODONTOLOGIA) .:. SEGUN DISPONIBILIDAD</v>
          </cell>
          <cell r="D154" t="str">
            <v>Frasco</v>
          </cell>
          <cell r="E154">
            <v>0</v>
          </cell>
          <cell r="F154">
            <v>0</v>
          </cell>
          <cell r="H154">
            <v>2</v>
          </cell>
          <cell r="J154">
            <v>220</v>
          </cell>
          <cell r="M154">
            <v>0</v>
          </cell>
          <cell r="N154">
            <v>0</v>
          </cell>
          <cell r="P154">
            <v>2</v>
          </cell>
          <cell r="R154">
            <v>220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2.47444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D-08-03</v>
          </cell>
          <cell r="C155" t="str">
            <v>ETER ALIFATICO DIETILAMINO ETANOL .:. Según disponibilidad</v>
          </cell>
          <cell r="D155" t="str">
            <v>Solución 1 l</v>
          </cell>
          <cell r="E155">
            <v>0</v>
          </cell>
          <cell r="F155">
            <v>0</v>
          </cell>
          <cell r="H155">
            <v>4</v>
          </cell>
          <cell r="J155">
            <v>2459.6799999999998</v>
          </cell>
          <cell r="M155">
            <v>0</v>
          </cell>
          <cell r="N155">
            <v>0</v>
          </cell>
          <cell r="P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4</v>
          </cell>
          <cell r="V155">
            <v>614.91999999999996</v>
          </cell>
          <cell r="W155">
            <v>2459.6799999999998</v>
          </cell>
          <cell r="X155">
            <v>2.47444</v>
          </cell>
          <cell r="Y155">
            <v>0</v>
          </cell>
          <cell r="Z155">
            <v>614.91999999999996</v>
          </cell>
          <cell r="AA155">
            <v>2459.6799999999998</v>
          </cell>
        </row>
        <row r="156">
          <cell r="B156" t="str">
            <v>D-08-08</v>
          </cell>
          <cell r="C156" t="str">
            <v>IODO POVIDONA (YODOPOVIDONA) .:. 0.1</v>
          </cell>
          <cell r="D156" t="str">
            <v>Solución</v>
          </cell>
          <cell r="E156">
            <v>2</v>
          </cell>
          <cell r="F156">
            <v>103</v>
          </cell>
          <cell r="H156">
            <v>9</v>
          </cell>
          <cell r="J156">
            <v>468</v>
          </cell>
          <cell r="M156">
            <v>0</v>
          </cell>
          <cell r="N156">
            <v>0</v>
          </cell>
          <cell r="P156">
            <v>7</v>
          </cell>
          <cell r="R156">
            <v>363</v>
          </cell>
          <cell r="S156">
            <v>0</v>
          </cell>
          <cell r="T156">
            <v>0</v>
          </cell>
          <cell r="U156">
            <v>4</v>
          </cell>
          <cell r="V156">
            <v>52</v>
          </cell>
          <cell r="W156">
            <v>208</v>
          </cell>
          <cell r="X156">
            <v>2.47444</v>
          </cell>
          <cell r="Y156">
            <v>0</v>
          </cell>
          <cell r="Z156">
            <v>52</v>
          </cell>
          <cell r="AA156">
            <v>208</v>
          </cell>
        </row>
        <row r="157">
          <cell r="B157" t="str">
            <v>D-08-10</v>
          </cell>
          <cell r="C157" t="str">
            <v>PEROXIDO DE HIDROGENO (AGUA OXIGENADA) .:. 2% o 3%</v>
          </cell>
          <cell r="D157" t="str">
            <v>Solución</v>
          </cell>
          <cell r="E157">
            <v>9</v>
          </cell>
          <cell r="F157">
            <v>118.71</v>
          </cell>
          <cell r="H157">
            <v>0</v>
          </cell>
          <cell r="J157">
            <v>0</v>
          </cell>
          <cell r="M157">
            <v>0</v>
          </cell>
          <cell r="N157">
            <v>0</v>
          </cell>
          <cell r="P157">
            <v>6</v>
          </cell>
          <cell r="R157">
            <v>79.14</v>
          </cell>
          <cell r="S157">
            <v>0</v>
          </cell>
          <cell r="T157">
            <v>0</v>
          </cell>
          <cell r="U157">
            <v>3</v>
          </cell>
          <cell r="V157">
            <v>13.19</v>
          </cell>
          <cell r="W157">
            <v>39.57</v>
          </cell>
          <cell r="X157">
            <v>2.47444</v>
          </cell>
          <cell r="Y157">
            <v>0</v>
          </cell>
          <cell r="Z157">
            <v>13.19</v>
          </cell>
          <cell r="AA157">
            <v>39.57</v>
          </cell>
        </row>
        <row r="158">
          <cell r="B158" t="str">
            <v>D-10-01</v>
          </cell>
          <cell r="C158" t="str">
            <v>ERITROMICINA .:. 2% a 4%</v>
          </cell>
          <cell r="D158" t="str">
            <v>Loción</v>
          </cell>
          <cell r="E158">
            <v>24</v>
          </cell>
          <cell r="F158">
            <v>1358.4</v>
          </cell>
          <cell r="H158">
            <v>50</v>
          </cell>
          <cell r="J158">
            <v>2826</v>
          </cell>
          <cell r="M158">
            <v>0</v>
          </cell>
          <cell r="N158">
            <v>0</v>
          </cell>
          <cell r="P158">
            <v>51</v>
          </cell>
          <cell r="R158">
            <v>2884.44</v>
          </cell>
          <cell r="S158">
            <v>0</v>
          </cell>
          <cell r="T158">
            <v>0</v>
          </cell>
          <cell r="U158">
            <v>23</v>
          </cell>
          <cell r="V158">
            <v>56.52</v>
          </cell>
          <cell r="W158">
            <v>1299.96</v>
          </cell>
          <cell r="X158">
            <v>2.47444</v>
          </cell>
          <cell r="Y158">
            <v>0</v>
          </cell>
          <cell r="Z158">
            <v>56.52</v>
          </cell>
          <cell r="AA158">
            <v>1299.96</v>
          </cell>
        </row>
        <row r="159">
          <cell r="B159" t="str">
            <v>D-10-03</v>
          </cell>
          <cell r="C159" t="str">
            <v>PEROXIDO DE BENZOILO .:. 0.05</v>
          </cell>
          <cell r="D159" t="str">
            <v>Crema, Pomada o Gel</v>
          </cell>
          <cell r="E159">
            <v>2</v>
          </cell>
          <cell r="F159">
            <v>129</v>
          </cell>
          <cell r="H159">
            <v>40</v>
          </cell>
          <cell r="J159">
            <v>2580</v>
          </cell>
          <cell r="M159">
            <v>0</v>
          </cell>
          <cell r="N159">
            <v>0</v>
          </cell>
          <cell r="P159">
            <v>21</v>
          </cell>
          <cell r="R159">
            <v>1354.5</v>
          </cell>
          <cell r="S159">
            <v>0</v>
          </cell>
          <cell r="T159">
            <v>0</v>
          </cell>
          <cell r="U159">
            <v>21</v>
          </cell>
          <cell r="V159">
            <v>64.5</v>
          </cell>
          <cell r="W159">
            <v>1354.5</v>
          </cell>
          <cell r="X159">
            <v>2.47444</v>
          </cell>
          <cell r="Y159">
            <v>0</v>
          </cell>
          <cell r="Z159">
            <v>64.5</v>
          </cell>
          <cell r="AA159">
            <v>1354.5</v>
          </cell>
        </row>
        <row r="160">
          <cell r="B160" t="str">
            <v>D-10-04</v>
          </cell>
          <cell r="C160" t="str">
            <v>RESORCINOL .:. 0.1</v>
          </cell>
          <cell r="D160" t="str">
            <v>Crema o Pomada</v>
          </cell>
          <cell r="E160">
            <v>9</v>
          </cell>
          <cell r="F160">
            <v>192.389994</v>
          </cell>
          <cell r="H160">
            <v>0</v>
          </cell>
          <cell r="J160">
            <v>0</v>
          </cell>
          <cell r="M160">
            <v>0</v>
          </cell>
          <cell r="N160">
            <v>0</v>
          </cell>
          <cell r="P160">
            <v>1</v>
          </cell>
          <cell r="R160">
            <v>21.376666</v>
          </cell>
          <cell r="S160">
            <v>0</v>
          </cell>
          <cell r="T160">
            <v>0</v>
          </cell>
          <cell r="U160">
            <v>8</v>
          </cell>
          <cell r="V160">
            <v>21.376666</v>
          </cell>
          <cell r="W160">
            <v>171.013328</v>
          </cell>
          <cell r="X160">
            <v>2.47444</v>
          </cell>
          <cell r="Y160">
            <v>0</v>
          </cell>
          <cell r="Z160">
            <v>21.376666</v>
          </cell>
          <cell r="AA160">
            <v>171.013328</v>
          </cell>
        </row>
        <row r="161">
          <cell r="B161" t="str">
            <v>DAC001</v>
          </cell>
          <cell r="C161" t="str">
            <v>AGUJA DESCARTABLE .:. 18 * 1 1/2 "</v>
          </cell>
          <cell r="D161" t="str">
            <v>Sobre estéril</v>
          </cell>
          <cell r="E161">
            <v>4</v>
          </cell>
          <cell r="F161">
            <v>0.72</v>
          </cell>
          <cell r="H161">
            <v>300</v>
          </cell>
          <cell r="J161">
            <v>64.5</v>
          </cell>
          <cell r="M161">
            <v>4</v>
          </cell>
          <cell r="N161">
            <v>0.72</v>
          </cell>
          <cell r="P161">
            <v>111</v>
          </cell>
          <cell r="R161">
            <v>23.725000000000001</v>
          </cell>
          <cell r="S161">
            <v>4</v>
          </cell>
          <cell r="T161">
            <v>0.72</v>
          </cell>
          <cell r="U161">
            <v>193</v>
          </cell>
          <cell r="V161">
            <v>0.215</v>
          </cell>
          <cell r="W161">
            <v>41.494999999999997</v>
          </cell>
          <cell r="X161">
            <v>2.47444</v>
          </cell>
          <cell r="Y161">
            <v>0</v>
          </cell>
          <cell r="Z161">
            <v>0.215</v>
          </cell>
          <cell r="AA161">
            <v>41.494999999999997</v>
          </cell>
        </row>
        <row r="162">
          <cell r="B162" t="str">
            <v>DAC007</v>
          </cell>
          <cell r="C162" t="str">
            <v>AGUJA DESCARTABLE .:. N° 25 * 5/8"</v>
          </cell>
          <cell r="D162" t="str">
            <v>Sobre estéril</v>
          </cell>
          <cell r="E162">
            <v>0</v>
          </cell>
          <cell r="F162">
            <v>0</v>
          </cell>
          <cell r="H162">
            <v>2500</v>
          </cell>
          <cell r="J162">
            <v>512.5</v>
          </cell>
          <cell r="M162">
            <v>0</v>
          </cell>
          <cell r="N162">
            <v>0</v>
          </cell>
          <cell r="P162">
            <v>1603</v>
          </cell>
          <cell r="R162">
            <v>323.3721122476</v>
          </cell>
          <cell r="S162">
            <v>0</v>
          </cell>
          <cell r="T162">
            <v>0</v>
          </cell>
          <cell r="U162">
            <v>897</v>
          </cell>
          <cell r="V162">
            <v>0.21084491380000001</v>
          </cell>
          <cell r="W162">
            <v>189.12788767859999</v>
          </cell>
          <cell r="X162">
            <v>2.47444</v>
          </cell>
          <cell r="Y162">
            <v>0</v>
          </cell>
          <cell r="Z162">
            <v>0.21084491380000001</v>
          </cell>
          <cell r="AA162">
            <v>189.12788767859999</v>
          </cell>
        </row>
        <row r="163">
          <cell r="B163" t="str">
            <v>DAC008</v>
          </cell>
          <cell r="C163" t="str">
            <v>AGUJA DESCARTABLE .:. N° 21 * 1 1/2"</v>
          </cell>
          <cell r="D163" t="str">
            <v>Sobre estéril</v>
          </cell>
          <cell r="E163">
            <v>477</v>
          </cell>
          <cell r="F163">
            <v>101.248974</v>
          </cell>
          <cell r="H163">
            <v>2200</v>
          </cell>
          <cell r="J163">
            <v>484</v>
          </cell>
          <cell r="M163">
            <v>0</v>
          </cell>
          <cell r="N163">
            <v>0</v>
          </cell>
          <cell r="P163">
            <v>2080</v>
          </cell>
          <cell r="R163">
            <v>453.908974</v>
          </cell>
          <cell r="S163">
            <v>0</v>
          </cell>
          <cell r="T163">
            <v>0</v>
          </cell>
          <cell r="U163">
            <v>597</v>
          </cell>
          <cell r="V163">
            <v>0.22</v>
          </cell>
          <cell r="W163">
            <v>131.34</v>
          </cell>
          <cell r="X163">
            <v>2.47444</v>
          </cell>
          <cell r="Y163">
            <v>0</v>
          </cell>
          <cell r="Z163">
            <v>0.22</v>
          </cell>
          <cell r="AA163">
            <v>131.34</v>
          </cell>
        </row>
        <row r="164">
          <cell r="B164" t="str">
            <v>DAC010</v>
          </cell>
          <cell r="C164" t="str">
            <v>AGUJA DESCARTABLE .:. N° 23 * 1 1/2"</v>
          </cell>
          <cell r="D164" t="str">
            <v>Sobre estéril</v>
          </cell>
          <cell r="E164">
            <v>1163</v>
          </cell>
          <cell r="F164">
            <v>245.73841100000001</v>
          </cell>
          <cell r="H164">
            <v>3000</v>
          </cell>
          <cell r="J164">
            <v>630</v>
          </cell>
          <cell r="M164">
            <v>0</v>
          </cell>
          <cell r="N164">
            <v>0</v>
          </cell>
          <cell r="P164">
            <v>2665</v>
          </cell>
          <cell r="R164">
            <v>561.158411</v>
          </cell>
          <cell r="S164">
            <v>0</v>
          </cell>
          <cell r="T164">
            <v>0</v>
          </cell>
          <cell r="U164">
            <v>1498</v>
          </cell>
          <cell r="V164">
            <v>0.21</v>
          </cell>
          <cell r="W164">
            <v>314.58</v>
          </cell>
          <cell r="X164">
            <v>2.47444</v>
          </cell>
          <cell r="Y164">
            <v>0</v>
          </cell>
          <cell r="Z164">
            <v>0.21</v>
          </cell>
          <cell r="AA164">
            <v>314.58</v>
          </cell>
        </row>
        <row r="165">
          <cell r="B165" t="str">
            <v>DAC013</v>
          </cell>
          <cell r="C165" t="str">
            <v>AGUJA PARA ANESTESIA RAQUIDEA .:. N° 25 PUNTA DE LAPIZ</v>
          </cell>
          <cell r="D165" t="str">
            <v>Sobre estéril</v>
          </cell>
          <cell r="E165">
            <v>7</v>
          </cell>
          <cell r="F165">
            <v>267.776453</v>
          </cell>
          <cell r="H165">
            <v>25</v>
          </cell>
          <cell r="J165">
            <v>950</v>
          </cell>
          <cell r="M165">
            <v>0</v>
          </cell>
          <cell r="N165">
            <v>0</v>
          </cell>
          <cell r="P165">
            <v>14</v>
          </cell>
          <cell r="R165">
            <v>533.77645299999995</v>
          </cell>
          <cell r="S165">
            <v>0</v>
          </cell>
          <cell r="T165">
            <v>0</v>
          </cell>
          <cell r="U165">
            <v>18</v>
          </cell>
          <cell r="V165">
            <v>38</v>
          </cell>
          <cell r="W165">
            <v>684</v>
          </cell>
          <cell r="X165">
            <v>2.47444</v>
          </cell>
          <cell r="Y165">
            <v>0</v>
          </cell>
          <cell r="Z165">
            <v>38</v>
          </cell>
          <cell r="AA165">
            <v>684</v>
          </cell>
        </row>
        <row r="166">
          <cell r="B166" t="str">
            <v>DAC014</v>
          </cell>
          <cell r="C166" t="str">
            <v>AGUJA PARA ANESTESIA RAQUIDEA .:. N° 27 PUNTA DE LAPIZ</v>
          </cell>
          <cell r="D166" t="str">
            <v>Sobre estéril</v>
          </cell>
          <cell r="E166">
            <v>47</v>
          </cell>
          <cell r="F166">
            <v>1880</v>
          </cell>
          <cell r="H166">
            <v>60</v>
          </cell>
          <cell r="J166">
            <v>2400</v>
          </cell>
          <cell r="M166">
            <v>1</v>
          </cell>
          <cell r="N166">
            <v>40</v>
          </cell>
          <cell r="P166">
            <v>83</v>
          </cell>
          <cell r="R166">
            <v>3320</v>
          </cell>
          <cell r="S166">
            <v>0</v>
          </cell>
          <cell r="T166">
            <v>0</v>
          </cell>
          <cell r="U166">
            <v>25</v>
          </cell>
          <cell r="V166">
            <v>40</v>
          </cell>
          <cell r="W166">
            <v>1000</v>
          </cell>
          <cell r="X166">
            <v>2.47444</v>
          </cell>
          <cell r="Y166">
            <v>0</v>
          </cell>
          <cell r="Z166">
            <v>40</v>
          </cell>
          <cell r="AA166">
            <v>1000</v>
          </cell>
        </row>
        <row r="167">
          <cell r="B167" t="str">
            <v>DAC060</v>
          </cell>
          <cell r="C167" t="str">
            <v>CATETER VENOSO CENTRAL .:. TRIPLE LUMEN SET 7F X 12" (30CM)</v>
          </cell>
          <cell r="D167" t="str">
            <v>Sobre estéril</v>
          </cell>
          <cell r="E167">
            <v>7</v>
          </cell>
          <cell r="F167">
            <v>1771.5389090000001</v>
          </cell>
          <cell r="H167">
            <v>20</v>
          </cell>
          <cell r="J167">
            <v>5260</v>
          </cell>
          <cell r="M167">
            <v>0</v>
          </cell>
          <cell r="N167">
            <v>0</v>
          </cell>
          <cell r="P167">
            <v>27</v>
          </cell>
          <cell r="R167">
            <v>7031.5389089999999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2.47444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DAC065</v>
          </cell>
          <cell r="C168" t="str">
            <v>CATETER VENOSO PERIFERICO .:. Nº  18  CON ALETAS DE FIJACION</v>
          </cell>
          <cell r="D168" t="str">
            <v>Sobre estéril</v>
          </cell>
          <cell r="E168">
            <v>53</v>
          </cell>
          <cell r="F168">
            <v>206.92737</v>
          </cell>
          <cell r="H168">
            <v>100</v>
          </cell>
          <cell r="J168">
            <v>400</v>
          </cell>
          <cell r="M168">
            <v>0</v>
          </cell>
          <cell r="N168">
            <v>0</v>
          </cell>
          <cell r="P168">
            <v>127</v>
          </cell>
          <cell r="R168">
            <v>502.92737</v>
          </cell>
          <cell r="S168">
            <v>0</v>
          </cell>
          <cell r="T168">
            <v>0</v>
          </cell>
          <cell r="U168">
            <v>26</v>
          </cell>
          <cell r="V168">
            <v>4</v>
          </cell>
          <cell r="W168">
            <v>104</v>
          </cell>
          <cell r="X168">
            <v>2.47444</v>
          </cell>
          <cell r="Y168">
            <v>0</v>
          </cell>
          <cell r="Z168">
            <v>4</v>
          </cell>
          <cell r="AA168">
            <v>104</v>
          </cell>
        </row>
        <row r="169">
          <cell r="B169" t="str">
            <v>DAC066</v>
          </cell>
          <cell r="C169" t="str">
            <v>CATETER VENOSO PERIFERICO .:. Nº 20 CON ALETAS DE FIJACION</v>
          </cell>
          <cell r="D169" t="str">
            <v>Sobre estéril</v>
          </cell>
          <cell r="E169">
            <v>92</v>
          </cell>
          <cell r="F169">
            <v>356.84960000000001</v>
          </cell>
          <cell r="H169">
            <v>500</v>
          </cell>
          <cell r="J169">
            <v>1920</v>
          </cell>
          <cell r="M169">
            <v>6</v>
          </cell>
          <cell r="N169">
            <v>23.078800000000001</v>
          </cell>
          <cell r="P169">
            <v>479</v>
          </cell>
          <cell r="R169">
            <v>1842.9684</v>
          </cell>
          <cell r="S169">
            <v>0</v>
          </cell>
          <cell r="T169">
            <v>0</v>
          </cell>
          <cell r="U169">
            <v>119</v>
          </cell>
          <cell r="V169">
            <v>3.84</v>
          </cell>
          <cell r="W169">
            <v>456.96</v>
          </cell>
          <cell r="X169">
            <v>2.47444</v>
          </cell>
          <cell r="Y169">
            <v>0</v>
          </cell>
          <cell r="Z169">
            <v>3.84</v>
          </cell>
          <cell r="AA169">
            <v>456.96</v>
          </cell>
        </row>
        <row r="170">
          <cell r="B170" t="str">
            <v>DAC067</v>
          </cell>
          <cell r="C170" t="str">
            <v>CATETER VENOSO PERIFERICO .:. Nº  22 CON ALETAS DE FIJACION</v>
          </cell>
          <cell r="D170" t="str">
            <v>Sobre estéril</v>
          </cell>
          <cell r="E170">
            <v>119</v>
          </cell>
          <cell r="F170">
            <v>458.055633</v>
          </cell>
          <cell r="H170">
            <v>1050</v>
          </cell>
          <cell r="J170">
            <v>4035</v>
          </cell>
          <cell r="M170">
            <v>14</v>
          </cell>
          <cell r="N170">
            <v>53.747405000000001</v>
          </cell>
          <cell r="P170">
            <v>1058</v>
          </cell>
          <cell r="R170">
            <v>4071.5954371590001</v>
          </cell>
          <cell r="S170">
            <v>0</v>
          </cell>
          <cell r="T170">
            <v>0</v>
          </cell>
          <cell r="U170">
            <v>125</v>
          </cell>
          <cell r="V170">
            <v>3.8016608068000002</v>
          </cell>
          <cell r="W170">
            <v>475.20760085000001</v>
          </cell>
          <cell r="X170">
            <v>2.47444</v>
          </cell>
          <cell r="Y170">
            <v>0</v>
          </cell>
          <cell r="Z170">
            <v>3.8016608068000002</v>
          </cell>
          <cell r="AA170">
            <v>475.20760085000001</v>
          </cell>
        </row>
        <row r="171">
          <cell r="B171" t="str">
            <v>DAC068</v>
          </cell>
          <cell r="C171" t="str">
            <v>CATETER VENOSO PERIFERICO .:. Nº  24 CON ALETAS DE FIJACION</v>
          </cell>
          <cell r="D171" t="str">
            <v>Sobre estéril</v>
          </cell>
          <cell r="E171">
            <v>93</v>
          </cell>
          <cell r="F171">
            <v>343.40101199999998</v>
          </cell>
          <cell r="H171">
            <v>100</v>
          </cell>
          <cell r="J171">
            <v>380</v>
          </cell>
          <cell r="M171">
            <v>3</v>
          </cell>
          <cell r="N171">
            <v>11.181836000000001</v>
          </cell>
          <cell r="P171">
            <v>124</v>
          </cell>
          <cell r="R171">
            <v>461.20831888150002</v>
          </cell>
          <cell r="S171">
            <v>0</v>
          </cell>
          <cell r="T171">
            <v>0</v>
          </cell>
          <cell r="U171">
            <v>72</v>
          </cell>
          <cell r="V171">
            <v>3.7968684599000002</v>
          </cell>
          <cell r="W171">
            <v>273.37452911280002</v>
          </cell>
          <cell r="X171">
            <v>2.47444</v>
          </cell>
          <cell r="Y171">
            <v>0</v>
          </cell>
          <cell r="Z171">
            <v>3.7968684599000002</v>
          </cell>
          <cell r="AA171">
            <v>273.37452911280002</v>
          </cell>
        </row>
        <row r="172">
          <cell r="B172" t="str">
            <v>DAC069</v>
          </cell>
          <cell r="C172" t="str">
            <v>DISPOSITIVO BIDIRECCIONAL .:. PARA TRANSFERENCIA DE MEDICAMENTOS</v>
          </cell>
          <cell r="D172" t="str">
            <v>Sobre estéril</v>
          </cell>
          <cell r="E172">
            <v>22</v>
          </cell>
          <cell r="F172">
            <v>109.149986</v>
          </cell>
          <cell r="H172">
            <v>0</v>
          </cell>
          <cell r="J172">
            <v>0</v>
          </cell>
          <cell r="M172">
            <v>0</v>
          </cell>
          <cell r="N172">
            <v>0</v>
          </cell>
          <cell r="P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22</v>
          </cell>
          <cell r="V172">
            <v>4.9613630000000004</v>
          </cell>
          <cell r="W172">
            <v>109.149986</v>
          </cell>
          <cell r="X172">
            <v>2.47444</v>
          </cell>
          <cell r="Y172">
            <v>0</v>
          </cell>
          <cell r="Z172">
            <v>4.9613630000000004</v>
          </cell>
          <cell r="AA172">
            <v>109.149986</v>
          </cell>
        </row>
        <row r="173">
          <cell r="B173" t="str">
            <v>DAC074</v>
          </cell>
          <cell r="C173" t="str">
            <v>EQUIPO DE VENOCLISIS .:. CON AGUJA Nº 21</v>
          </cell>
          <cell r="D173" t="str">
            <v>Sobre estéril</v>
          </cell>
          <cell r="E173">
            <v>506</v>
          </cell>
          <cell r="F173">
            <v>1380.067436</v>
          </cell>
          <cell r="H173">
            <v>1300</v>
          </cell>
          <cell r="J173">
            <v>3055</v>
          </cell>
          <cell r="M173">
            <v>27</v>
          </cell>
          <cell r="N173">
            <v>64.390173000000004</v>
          </cell>
          <cell r="P173">
            <v>1695</v>
          </cell>
          <cell r="R173">
            <v>4172.1647278107002</v>
          </cell>
          <cell r="S173">
            <v>0</v>
          </cell>
          <cell r="T173">
            <v>0</v>
          </cell>
          <cell r="U173">
            <v>138</v>
          </cell>
          <cell r="V173">
            <v>2.3716875450999999</v>
          </cell>
          <cell r="W173">
            <v>327.29288122380001</v>
          </cell>
          <cell r="X173">
            <v>2.47444</v>
          </cell>
          <cell r="Y173">
            <v>0</v>
          </cell>
          <cell r="Z173">
            <v>2.3716875450999999</v>
          </cell>
          <cell r="AA173">
            <v>327.29288122380001</v>
          </cell>
        </row>
        <row r="174">
          <cell r="B174" t="str">
            <v>DAC076</v>
          </cell>
          <cell r="C174" t="str">
            <v>EQUIPO VENOCLISIS .:. COLOR AMBAR</v>
          </cell>
          <cell r="D174" t="str">
            <v>Sobre estéril</v>
          </cell>
          <cell r="E174">
            <v>18</v>
          </cell>
          <cell r="F174">
            <v>412.2</v>
          </cell>
          <cell r="H174">
            <v>0</v>
          </cell>
          <cell r="J174">
            <v>0</v>
          </cell>
          <cell r="M174">
            <v>0</v>
          </cell>
          <cell r="N174">
            <v>0</v>
          </cell>
          <cell r="P174">
            <v>4</v>
          </cell>
          <cell r="R174">
            <v>91.6</v>
          </cell>
          <cell r="S174">
            <v>0</v>
          </cell>
          <cell r="T174">
            <v>0</v>
          </cell>
          <cell r="U174">
            <v>14</v>
          </cell>
          <cell r="V174">
            <v>22.9</v>
          </cell>
          <cell r="W174">
            <v>320.60000000000002</v>
          </cell>
          <cell r="X174">
            <v>2.47444</v>
          </cell>
          <cell r="Y174">
            <v>0</v>
          </cell>
          <cell r="Z174">
            <v>22.9</v>
          </cell>
          <cell r="AA174">
            <v>320.60000000000002</v>
          </cell>
        </row>
        <row r="175">
          <cell r="B175" t="str">
            <v>DAC088</v>
          </cell>
          <cell r="C175" t="str">
            <v>LLAVE DE 3 VIAS .:. CON ALARGADOR 50 CM - 10CM</v>
          </cell>
          <cell r="D175" t="str">
            <v>Sobre estéril</v>
          </cell>
          <cell r="E175">
            <v>94</v>
          </cell>
          <cell r="F175">
            <v>380.7</v>
          </cell>
          <cell r="H175">
            <v>230</v>
          </cell>
          <cell r="J175">
            <v>869.4</v>
          </cell>
          <cell r="M175">
            <v>4</v>
          </cell>
          <cell r="N175">
            <v>15.682684</v>
          </cell>
          <cell r="P175">
            <v>248</v>
          </cell>
          <cell r="R175">
            <v>962.9743210437</v>
          </cell>
          <cell r="S175">
            <v>0</v>
          </cell>
          <cell r="T175">
            <v>0</v>
          </cell>
          <cell r="U175">
            <v>80</v>
          </cell>
          <cell r="V175">
            <v>3.7851045369</v>
          </cell>
          <cell r="W175">
            <v>302.80836295199998</v>
          </cell>
          <cell r="X175">
            <v>2.47444</v>
          </cell>
          <cell r="Y175">
            <v>0</v>
          </cell>
          <cell r="Z175">
            <v>3.7851045369</v>
          </cell>
          <cell r="AA175">
            <v>302.80836295199998</v>
          </cell>
        </row>
        <row r="176">
          <cell r="B176" t="str">
            <v>DAC089</v>
          </cell>
          <cell r="C176" t="str">
            <v>LLAVE DE 3 VIAS .:. SIN ALARGADOR</v>
          </cell>
          <cell r="D176" t="str">
            <v>Sobre estéril</v>
          </cell>
          <cell r="E176">
            <v>131</v>
          </cell>
          <cell r="F176">
            <v>458.5</v>
          </cell>
          <cell r="H176">
            <v>0</v>
          </cell>
          <cell r="J176">
            <v>0</v>
          </cell>
          <cell r="M176">
            <v>2</v>
          </cell>
          <cell r="N176">
            <v>7</v>
          </cell>
          <cell r="P176">
            <v>75</v>
          </cell>
          <cell r="R176">
            <v>262.5</v>
          </cell>
          <cell r="S176">
            <v>0</v>
          </cell>
          <cell r="T176">
            <v>0</v>
          </cell>
          <cell r="U176">
            <v>58</v>
          </cell>
          <cell r="V176">
            <v>3.5</v>
          </cell>
          <cell r="W176">
            <v>203</v>
          </cell>
          <cell r="X176">
            <v>2.47444</v>
          </cell>
          <cell r="Y176">
            <v>0</v>
          </cell>
          <cell r="Z176">
            <v>3.5</v>
          </cell>
          <cell r="AA176">
            <v>203</v>
          </cell>
        </row>
        <row r="177">
          <cell r="B177" t="str">
            <v>DAC091</v>
          </cell>
          <cell r="C177" t="str">
            <v>MICROGOTERO .:. CON DEPOSITO RIGIDO 100 ML - 150ML</v>
          </cell>
          <cell r="D177" t="str">
            <v>Sobre estéril</v>
          </cell>
          <cell r="E177">
            <v>39</v>
          </cell>
          <cell r="F177">
            <v>385.353657</v>
          </cell>
          <cell r="H177">
            <v>210</v>
          </cell>
          <cell r="J177">
            <v>2312.5</v>
          </cell>
          <cell r="M177">
            <v>2</v>
          </cell>
          <cell r="N177">
            <v>23</v>
          </cell>
          <cell r="P177">
            <v>204</v>
          </cell>
          <cell r="R177">
            <v>2231.0641833168002</v>
          </cell>
          <cell r="S177">
            <v>0</v>
          </cell>
          <cell r="T177">
            <v>0</v>
          </cell>
          <cell r="U177">
            <v>47</v>
          </cell>
          <cell r="V177">
            <v>10.4210526316</v>
          </cell>
          <cell r="W177">
            <v>489.78947368519999</v>
          </cell>
          <cell r="X177">
            <v>2.47444</v>
          </cell>
          <cell r="Y177">
            <v>0</v>
          </cell>
          <cell r="Z177">
            <v>10.4210526316</v>
          </cell>
          <cell r="AA177">
            <v>489.78947368519999</v>
          </cell>
        </row>
        <row r="178">
          <cell r="B178" t="str">
            <v>DAC093</v>
          </cell>
          <cell r="C178" t="str">
            <v>TAPON HEPARINIZADO .:. PIEZA</v>
          </cell>
          <cell r="D178" t="str">
            <v>Pieza</v>
          </cell>
          <cell r="E178">
            <v>162</v>
          </cell>
          <cell r="F178">
            <v>312.10628400000002</v>
          </cell>
          <cell r="H178">
            <v>300</v>
          </cell>
          <cell r="J178">
            <v>525</v>
          </cell>
          <cell r="M178">
            <v>3</v>
          </cell>
          <cell r="N178">
            <v>5.6031639999999996</v>
          </cell>
          <cell r="P178">
            <v>233</v>
          </cell>
          <cell r="R178">
            <v>436.70944799950001</v>
          </cell>
          <cell r="S178">
            <v>0</v>
          </cell>
          <cell r="T178">
            <v>0</v>
          </cell>
          <cell r="U178">
            <v>232</v>
          </cell>
          <cell r="V178">
            <v>1.75</v>
          </cell>
          <cell r="W178">
            <v>406</v>
          </cell>
          <cell r="X178">
            <v>2.47444</v>
          </cell>
          <cell r="Y178">
            <v>0</v>
          </cell>
          <cell r="Z178">
            <v>1.75</v>
          </cell>
          <cell r="AA178">
            <v>406</v>
          </cell>
        </row>
        <row r="179">
          <cell r="B179" t="str">
            <v>DB002</v>
          </cell>
          <cell r="C179" t="str">
            <v>BOLSA COLECTORA DE ORINA .:. 2000 ML. CON VALVULA ANTIRREFLUJO</v>
          </cell>
          <cell r="D179" t="str">
            <v>Bolsa esteril</v>
          </cell>
          <cell r="E179">
            <v>29</v>
          </cell>
          <cell r="F179">
            <v>136.30000000000001</v>
          </cell>
          <cell r="H179">
            <v>130</v>
          </cell>
          <cell r="J179">
            <v>436.8</v>
          </cell>
          <cell r="M179">
            <v>10</v>
          </cell>
          <cell r="N179">
            <v>33.6</v>
          </cell>
          <cell r="P179">
            <v>112</v>
          </cell>
          <cell r="R179">
            <v>415.18</v>
          </cell>
          <cell r="S179">
            <v>7</v>
          </cell>
          <cell r="T179">
            <v>23.52</v>
          </cell>
          <cell r="U179">
            <v>50</v>
          </cell>
          <cell r="V179">
            <v>3.36</v>
          </cell>
          <cell r="W179">
            <v>168</v>
          </cell>
          <cell r="X179">
            <v>2.47444</v>
          </cell>
          <cell r="Y179">
            <v>0</v>
          </cell>
          <cell r="Z179">
            <v>3.36</v>
          </cell>
          <cell r="AA179">
            <v>168</v>
          </cell>
        </row>
        <row r="180">
          <cell r="B180" t="str">
            <v>DI005</v>
          </cell>
          <cell r="C180" t="str">
            <v>PLACA RADIOAGRAFICA .:. 35 X 43</v>
          </cell>
          <cell r="D180" t="str">
            <v>Caja</v>
          </cell>
          <cell r="E180">
            <v>0</v>
          </cell>
          <cell r="F180">
            <v>0</v>
          </cell>
          <cell r="H180">
            <v>1</v>
          </cell>
          <cell r="J180">
            <v>2700</v>
          </cell>
          <cell r="M180">
            <v>0</v>
          </cell>
          <cell r="N180">
            <v>0</v>
          </cell>
          <cell r="P180">
            <v>1</v>
          </cell>
          <cell r="R180">
            <v>2700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2.47444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DI-01-00</v>
          </cell>
          <cell r="C181" t="str">
            <v>MARCAPASO CARDIACO DEFINITIVO DOBLE CAMARA DDDR .:. PIEZAS</v>
          </cell>
          <cell r="D181" t="str">
            <v>Pieza</v>
          </cell>
          <cell r="E181">
            <v>0</v>
          </cell>
          <cell r="F181">
            <v>0</v>
          </cell>
          <cell r="H181">
            <v>4</v>
          </cell>
          <cell r="J181">
            <v>68400</v>
          </cell>
          <cell r="M181">
            <v>0</v>
          </cell>
          <cell r="N181">
            <v>0</v>
          </cell>
          <cell r="P181">
            <v>4</v>
          </cell>
          <cell r="R181">
            <v>68400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2.47444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DI-01-01</v>
          </cell>
          <cell r="C182" t="str">
            <v>GENERADOR DE  MARCAPASO  CARDIACO DOBLE CAMARA (DDDR) .:. s/d</v>
          </cell>
          <cell r="D182" t="str">
            <v>Pieza</v>
          </cell>
          <cell r="E182">
            <v>0</v>
          </cell>
          <cell r="F182">
            <v>0</v>
          </cell>
          <cell r="H182">
            <v>3</v>
          </cell>
          <cell r="J182">
            <v>27500</v>
          </cell>
          <cell r="M182">
            <v>0</v>
          </cell>
          <cell r="N182">
            <v>0</v>
          </cell>
          <cell r="P182">
            <v>3</v>
          </cell>
          <cell r="R182">
            <v>27500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2.47444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DI-01-02</v>
          </cell>
          <cell r="C183" t="str">
            <v>VALVULA PERIFERICA MECANICA MITRAL .:. PIEZA</v>
          </cell>
          <cell r="D183" t="str">
            <v>Sobre estéril</v>
          </cell>
          <cell r="E183">
            <v>0</v>
          </cell>
          <cell r="F183">
            <v>0</v>
          </cell>
          <cell r="H183">
            <v>1</v>
          </cell>
          <cell r="J183">
            <v>10475</v>
          </cell>
          <cell r="M183">
            <v>0</v>
          </cell>
          <cell r="N183">
            <v>0</v>
          </cell>
          <cell r="P183">
            <v>1</v>
          </cell>
          <cell r="R183">
            <v>10475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2.47444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DI014</v>
          </cell>
          <cell r="C184" t="str">
            <v>PLACA RADIOGRÁFICA DI-HL .:. 20 X 25</v>
          </cell>
          <cell r="D184" t="str">
            <v>Caja</v>
          </cell>
          <cell r="E184">
            <v>0</v>
          </cell>
          <cell r="F184">
            <v>0</v>
          </cell>
          <cell r="H184">
            <v>3</v>
          </cell>
          <cell r="J184">
            <v>4350</v>
          </cell>
          <cell r="M184">
            <v>0</v>
          </cell>
          <cell r="N184">
            <v>0</v>
          </cell>
          <cell r="P184">
            <v>3</v>
          </cell>
          <cell r="R184">
            <v>4350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2.47444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DJ003</v>
          </cell>
          <cell r="C185" t="str">
            <v>JERINGA DESCARTABLE .:. 3 ML CON AGUJA 21 X 1 1/2" C/ROSCA</v>
          </cell>
          <cell r="D185" t="str">
            <v>Sobre estéril</v>
          </cell>
          <cell r="E185">
            <v>0</v>
          </cell>
          <cell r="F185">
            <v>0</v>
          </cell>
          <cell r="H185">
            <v>3000</v>
          </cell>
          <cell r="J185">
            <v>1060</v>
          </cell>
          <cell r="M185">
            <v>3</v>
          </cell>
          <cell r="N185">
            <v>1.08</v>
          </cell>
          <cell r="P185">
            <v>2025</v>
          </cell>
          <cell r="R185">
            <v>724.19813521050003</v>
          </cell>
          <cell r="S185">
            <v>0</v>
          </cell>
          <cell r="T185">
            <v>0</v>
          </cell>
          <cell r="U185">
            <v>978</v>
          </cell>
          <cell r="V185">
            <v>0.34445998449999998</v>
          </cell>
          <cell r="W185">
            <v>336.88186484099998</v>
          </cell>
          <cell r="X185">
            <v>2.47444</v>
          </cell>
          <cell r="Y185">
            <v>0</v>
          </cell>
          <cell r="Z185">
            <v>0.34445998449999998</v>
          </cell>
          <cell r="AA185">
            <v>336.88186484099998</v>
          </cell>
        </row>
        <row r="186">
          <cell r="B186" t="str">
            <v>DJ004</v>
          </cell>
          <cell r="C186" t="str">
            <v>JERINGA DESCARTABLE .:. 5 ML CON AGUJA 21 X 1 1/2" C/ROSCA</v>
          </cell>
          <cell r="D186" t="str">
            <v>Sobre estéril</v>
          </cell>
          <cell r="E186">
            <v>1239</v>
          </cell>
          <cell r="F186">
            <v>452.98335600000001</v>
          </cell>
          <cell r="H186">
            <v>4000</v>
          </cell>
          <cell r="J186">
            <v>1400</v>
          </cell>
          <cell r="M186">
            <v>0</v>
          </cell>
          <cell r="N186">
            <v>0</v>
          </cell>
          <cell r="P186">
            <v>4780</v>
          </cell>
          <cell r="R186">
            <v>1692.3333560000001</v>
          </cell>
          <cell r="S186">
            <v>0</v>
          </cell>
          <cell r="T186">
            <v>0</v>
          </cell>
          <cell r="U186">
            <v>459</v>
          </cell>
          <cell r="V186">
            <v>0.35</v>
          </cell>
          <cell r="W186">
            <v>160.65</v>
          </cell>
          <cell r="X186">
            <v>2.47444</v>
          </cell>
          <cell r="Y186">
            <v>0</v>
          </cell>
          <cell r="Z186">
            <v>0.35</v>
          </cell>
          <cell r="AA186">
            <v>160.65</v>
          </cell>
        </row>
        <row r="187">
          <cell r="B187" t="str">
            <v>DJ005</v>
          </cell>
          <cell r="C187" t="str">
            <v>JERINGA DESCARTABLE .:. 10 ML CON AGUJA 21 X 1 1/2" C/ROSCA</v>
          </cell>
          <cell r="D187" t="str">
            <v>Sobre estéril</v>
          </cell>
          <cell r="E187">
            <v>2022</v>
          </cell>
          <cell r="F187">
            <v>970.612572</v>
          </cell>
          <cell r="H187">
            <v>16000</v>
          </cell>
          <cell r="J187">
            <v>6720</v>
          </cell>
          <cell r="M187">
            <v>339</v>
          </cell>
          <cell r="N187">
            <v>142.60643999999999</v>
          </cell>
          <cell r="P187">
            <v>15345</v>
          </cell>
          <cell r="R187">
            <v>6575.0897026225002</v>
          </cell>
          <cell r="S187">
            <v>0</v>
          </cell>
          <cell r="T187">
            <v>0</v>
          </cell>
          <cell r="U187">
            <v>3016</v>
          </cell>
          <cell r="V187">
            <v>0.4171516281</v>
          </cell>
          <cell r="W187">
            <v>1258.1293103496</v>
          </cell>
          <cell r="X187">
            <v>2.47444</v>
          </cell>
          <cell r="Y187">
            <v>0</v>
          </cell>
          <cell r="Z187">
            <v>0.4171516281</v>
          </cell>
          <cell r="AA187">
            <v>1258.1293103496</v>
          </cell>
        </row>
        <row r="188">
          <cell r="B188" t="str">
            <v>DJ006</v>
          </cell>
          <cell r="C188" t="str">
            <v>JERINGA DESCARTABLE .:. 20 ML CON AGUJA 21X 1 1/2" C/ ROSCA</v>
          </cell>
          <cell r="D188" t="str">
            <v>Sobre estéril</v>
          </cell>
          <cell r="E188">
            <v>1835</v>
          </cell>
          <cell r="F188">
            <v>1468.34131</v>
          </cell>
          <cell r="H188">
            <v>2500</v>
          </cell>
          <cell r="J188">
            <v>1750</v>
          </cell>
          <cell r="M188">
            <v>142</v>
          </cell>
          <cell r="N188">
            <v>104.755048</v>
          </cell>
          <cell r="P188">
            <v>4060</v>
          </cell>
          <cell r="R188">
            <v>3019.8419504117001</v>
          </cell>
          <cell r="S188">
            <v>0</v>
          </cell>
          <cell r="T188">
            <v>0</v>
          </cell>
          <cell r="U188">
            <v>417</v>
          </cell>
          <cell r="V188">
            <v>0.72722879650000005</v>
          </cell>
          <cell r="W188">
            <v>303.2544081405</v>
          </cell>
          <cell r="X188">
            <v>2.47444</v>
          </cell>
          <cell r="Y188">
            <v>0</v>
          </cell>
          <cell r="Z188">
            <v>0.72722879650000005</v>
          </cell>
          <cell r="AA188">
            <v>303.2544081405</v>
          </cell>
        </row>
        <row r="189">
          <cell r="B189" t="str">
            <v>DJ007</v>
          </cell>
          <cell r="C189" t="str">
            <v>JERINGA DESCARTABLE 50 ML LUER .:. 50 ML LUER</v>
          </cell>
          <cell r="D189" t="str">
            <v>Sobre estéril</v>
          </cell>
          <cell r="E189">
            <v>24</v>
          </cell>
          <cell r="F189">
            <v>60.082152000000001</v>
          </cell>
          <cell r="H189">
            <v>200</v>
          </cell>
          <cell r="J189">
            <v>409</v>
          </cell>
          <cell r="M189">
            <v>2</v>
          </cell>
          <cell r="N189">
            <v>5.0068460000000004</v>
          </cell>
          <cell r="P189">
            <v>167</v>
          </cell>
          <cell r="R189">
            <v>368.47899799999999</v>
          </cell>
          <cell r="S189">
            <v>0</v>
          </cell>
          <cell r="T189">
            <v>0</v>
          </cell>
          <cell r="U189">
            <v>59</v>
          </cell>
          <cell r="V189">
            <v>1.79</v>
          </cell>
          <cell r="W189">
            <v>105.61</v>
          </cell>
          <cell r="X189">
            <v>2.47444</v>
          </cell>
          <cell r="Y189">
            <v>0</v>
          </cell>
          <cell r="Z189">
            <v>1.79</v>
          </cell>
          <cell r="AA189">
            <v>105.61</v>
          </cell>
        </row>
        <row r="190">
          <cell r="B190" t="str">
            <v>DJ009</v>
          </cell>
          <cell r="C190" t="str">
            <v>JERINGA INSULINA DESCARTABLE .:. 1 ML C/AGUJA DESMONTABLE N° 28</v>
          </cell>
          <cell r="D190" t="str">
            <v>Sobre estéril</v>
          </cell>
          <cell r="E190">
            <v>75</v>
          </cell>
          <cell r="F190">
            <v>37.253100000000003</v>
          </cell>
          <cell r="H190">
            <v>620</v>
          </cell>
          <cell r="J190">
            <v>372</v>
          </cell>
          <cell r="M190">
            <v>39</v>
          </cell>
          <cell r="N190">
            <v>22.367080000000001</v>
          </cell>
          <cell r="P190">
            <v>534</v>
          </cell>
          <cell r="R190">
            <v>311.62018</v>
          </cell>
          <cell r="S190">
            <v>0</v>
          </cell>
          <cell r="T190">
            <v>0</v>
          </cell>
          <cell r="U190">
            <v>200</v>
          </cell>
          <cell r="V190">
            <v>0.6</v>
          </cell>
          <cell r="W190">
            <v>120</v>
          </cell>
          <cell r="X190">
            <v>2.47444</v>
          </cell>
          <cell r="Y190">
            <v>0</v>
          </cell>
          <cell r="Z190">
            <v>0.6</v>
          </cell>
          <cell r="AA190">
            <v>120</v>
          </cell>
        </row>
        <row r="191">
          <cell r="B191" t="str">
            <v>DL315</v>
          </cell>
          <cell r="C191" t="str">
            <v>PORTA OBJETOS  ESMERILADO .:. POR 50 PIEZAS O  MAS CON BORDE ESMERILADO</v>
          </cell>
          <cell r="D191" t="str">
            <v>Caja</v>
          </cell>
          <cell r="E191">
            <v>14</v>
          </cell>
          <cell r="F191">
            <v>211.65666200000001</v>
          </cell>
          <cell r="H191">
            <v>0</v>
          </cell>
          <cell r="J191">
            <v>0</v>
          </cell>
          <cell r="M191">
            <v>0</v>
          </cell>
          <cell r="N191">
            <v>0</v>
          </cell>
          <cell r="P191">
            <v>13</v>
          </cell>
          <cell r="R191">
            <v>196.538329</v>
          </cell>
          <cell r="S191">
            <v>0</v>
          </cell>
          <cell r="T191">
            <v>0</v>
          </cell>
          <cell r="U191">
            <v>1</v>
          </cell>
          <cell r="V191">
            <v>15.118333</v>
          </cell>
          <cell r="W191">
            <v>15.118333</v>
          </cell>
          <cell r="X191">
            <v>2.47444</v>
          </cell>
          <cell r="Y191">
            <v>0</v>
          </cell>
          <cell r="Z191">
            <v>15.118333</v>
          </cell>
          <cell r="AA191">
            <v>15.118333</v>
          </cell>
        </row>
        <row r="192">
          <cell r="B192" t="str">
            <v>DL366</v>
          </cell>
          <cell r="C192" t="str">
            <v>TIRAS REACTIVAS PARAGLUCOMETRO .:. CAJA POR 50 TIRAS BUENA REPRODUCIBILIDAD REPETITIVIDAD TENGA ESTABILIDAD EXACTITUD APTA PARA USO A DIFERENTES ALTURAS, HASTA 4000 M. DE ALTURA SOBRE EL NIVEL DE MAR (PRESENTAR CERTIFICADO DE CALIBRACION DE ALTURA DE LA FABRICA DE ORIGEN).</v>
          </cell>
          <cell r="D192" t="str">
            <v>Caja</v>
          </cell>
          <cell r="E192">
            <v>1</v>
          </cell>
          <cell r="F192">
            <v>300</v>
          </cell>
          <cell r="H192">
            <v>0</v>
          </cell>
          <cell r="J192">
            <v>0</v>
          </cell>
          <cell r="M192">
            <v>0</v>
          </cell>
          <cell r="N192">
            <v>0</v>
          </cell>
          <cell r="P192">
            <v>1</v>
          </cell>
          <cell r="R192">
            <v>300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2.47444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DL3661</v>
          </cell>
          <cell r="C193" t="str">
            <v>TIRAS REACTIVAS PARA GLUCOMETRO .:. TIRAS DE BUENA REPRODUCIBILIDAD REPETITIVIDAD TENGA ESTABILIDAD EXACTITUD APTA PARA USO A DIFERENTES ALTURAS, HASTA 4000 M. DE ALTURA SOBRE EL NIVEL DE MAR (PRESENTAR CERTIFICADO DE CALIBRACION DE ALTURA DE LA FABRICA DE ORIGEN).</v>
          </cell>
          <cell r="D193" t="str">
            <v>Pieza</v>
          </cell>
          <cell r="E193">
            <v>427</v>
          </cell>
          <cell r="F193">
            <v>2490.4228440000002</v>
          </cell>
          <cell r="H193">
            <v>150</v>
          </cell>
          <cell r="J193">
            <v>870</v>
          </cell>
          <cell r="M193">
            <v>0</v>
          </cell>
          <cell r="N193">
            <v>0</v>
          </cell>
          <cell r="P193">
            <v>485</v>
          </cell>
          <cell r="R193">
            <v>2826.708296928</v>
          </cell>
          <cell r="S193">
            <v>0</v>
          </cell>
          <cell r="T193">
            <v>0</v>
          </cell>
          <cell r="U193">
            <v>92</v>
          </cell>
          <cell r="V193">
            <v>5.8012450769999999</v>
          </cell>
          <cell r="W193">
            <v>533.71454708399995</v>
          </cell>
          <cell r="X193">
            <v>2.47444</v>
          </cell>
          <cell r="Y193">
            <v>0</v>
          </cell>
          <cell r="Z193">
            <v>5.8012450769999999</v>
          </cell>
          <cell r="AA193">
            <v>533.71454708399995</v>
          </cell>
        </row>
        <row r="194">
          <cell r="B194" t="str">
            <v>DMQ005</v>
          </cell>
          <cell r="C194" t="str">
            <v>CAMPO QUIRURGICO .:. DESCARTABLE</v>
          </cell>
          <cell r="D194" t="str">
            <v>Sobre estéril</v>
          </cell>
          <cell r="E194">
            <v>602</v>
          </cell>
          <cell r="F194">
            <v>464.05772000000002</v>
          </cell>
          <cell r="H194">
            <v>0</v>
          </cell>
          <cell r="J194">
            <v>0</v>
          </cell>
          <cell r="M194">
            <v>0</v>
          </cell>
          <cell r="N194">
            <v>0</v>
          </cell>
          <cell r="P194">
            <v>602</v>
          </cell>
          <cell r="R194">
            <v>464.05772000000002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2.47444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DMQ0051</v>
          </cell>
          <cell r="C195" t="str">
            <v xml:space="preserve">CAMPOS OPERATORIOS DESECHABLES (ODONTOLOGIA  .::. PIEZA .:. CAMPOS OPERATORIOS DESECHABLES </v>
          </cell>
          <cell r="D195" t="str">
            <v>Pieza</v>
          </cell>
          <cell r="E195">
            <v>0</v>
          </cell>
          <cell r="F195">
            <v>0</v>
          </cell>
          <cell r="H195">
            <v>15</v>
          </cell>
          <cell r="J195">
            <v>870</v>
          </cell>
          <cell r="M195">
            <v>0</v>
          </cell>
          <cell r="N195">
            <v>0</v>
          </cell>
          <cell r="P195">
            <v>15</v>
          </cell>
          <cell r="R195">
            <v>870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2.47444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DMQ012</v>
          </cell>
          <cell r="C196" t="str">
            <v>ELECTRODOS .:. DE ESPUMA PARA ADULTO</v>
          </cell>
          <cell r="D196" t="str">
            <v>Sobre</v>
          </cell>
          <cell r="E196">
            <v>684</v>
          </cell>
          <cell r="F196">
            <v>971.21365200000002</v>
          </cell>
          <cell r="H196">
            <v>350</v>
          </cell>
          <cell r="J196">
            <v>455</v>
          </cell>
          <cell r="M196">
            <v>7</v>
          </cell>
          <cell r="N196">
            <v>9.9393209999999996</v>
          </cell>
          <cell r="P196">
            <v>895</v>
          </cell>
          <cell r="R196">
            <v>1246.352973</v>
          </cell>
          <cell r="S196">
            <v>0</v>
          </cell>
          <cell r="T196">
            <v>0</v>
          </cell>
          <cell r="U196">
            <v>146</v>
          </cell>
          <cell r="V196">
            <v>1.3</v>
          </cell>
          <cell r="W196">
            <v>189.8</v>
          </cell>
          <cell r="X196">
            <v>2.47444</v>
          </cell>
          <cell r="Y196">
            <v>0</v>
          </cell>
          <cell r="Z196">
            <v>1.3</v>
          </cell>
          <cell r="AA196">
            <v>189.8</v>
          </cell>
        </row>
        <row r="197">
          <cell r="B197" t="str">
            <v>DMQ019</v>
          </cell>
          <cell r="C197" t="str">
            <v>GUANTES QUIRURGICOS .:. N° 6  PUNO LARGO</v>
          </cell>
          <cell r="D197" t="str">
            <v>Sobre estéril</v>
          </cell>
          <cell r="E197">
            <v>28</v>
          </cell>
          <cell r="F197">
            <v>50.555540000000001</v>
          </cell>
          <cell r="H197">
            <v>0</v>
          </cell>
          <cell r="J197">
            <v>0</v>
          </cell>
          <cell r="M197">
            <v>0</v>
          </cell>
          <cell r="N197">
            <v>0</v>
          </cell>
          <cell r="P197">
            <v>28</v>
          </cell>
          <cell r="R197">
            <v>50.555540000000001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2.47444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DMQ020</v>
          </cell>
          <cell r="C198" t="str">
            <v>GUANTES QUIRURGICOS ESTERIL .:. N° 6 1/2 PUNO LARGO</v>
          </cell>
          <cell r="D198" t="str">
            <v>Sobre estéril</v>
          </cell>
          <cell r="E198">
            <v>764</v>
          </cell>
          <cell r="F198">
            <v>1822.233972</v>
          </cell>
          <cell r="H198">
            <v>0</v>
          </cell>
          <cell r="J198">
            <v>0</v>
          </cell>
          <cell r="M198">
            <v>686</v>
          </cell>
          <cell r="N198">
            <v>1636.19</v>
          </cell>
          <cell r="P198">
            <v>180</v>
          </cell>
          <cell r="R198">
            <v>429.32146744059997</v>
          </cell>
          <cell r="S198">
            <v>686</v>
          </cell>
          <cell r="T198">
            <v>1636.1943779999999</v>
          </cell>
          <cell r="U198">
            <v>584</v>
          </cell>
          <cell r="V198">
            <v>2.3851166551</v>
          </cell>
          <cell r="W198">
            <v>1392.9081265784</v>
          </cell>
          <cell r="X198">
            <v>2.47444</v>
          </cell>
          <cell r="Y198">
            <v>0</v>
          </cell>
          <cell r="Z198">
            <v>2.3851166551</v>
          </cell>
          <cell r="AA198">
            <v>1392.9081265784</v>
          </cell>
        </row>
        <row r="199">
          <cell r="B199" t="str">
            <v>DMQ021</v>
          </cell>
          <cell r="C199" t="str">
            <v>GUANTES QUIRURGICOS ESTERIL .:. N° 7 PUNO LARGO</v>
          </cell>
          <cell r="D199" t="str">
            <v>Sobre estéril</v>
          </cell>
          <cell r="E199">
            <v>628</v>
          </cell>
          <cell r="F199">
            <v>1508.1746559999999</v>
          </cell>
          <cell r="H199">
            <v>0</v>
          </cell>
          <cell r="J199">
            <v>0</v>
          </cell>
          <cell r="M199">
            <v>2</v>
          </cell>
          <cell r="N199">
            <v>4.8031040000000003</v>
          </cell>
          <cell r="P199">
            <v>232</v>
          </cell>
          <cell r="R199">
            <v>557.16006400000003</v>
          </cell>
          <cell r="S199">
            <v>0</v>
          </cell>
          <cell r="T199">
            <v>0</v>
          </cell>
          <cell r="U199">
            <v>398</v>
          </cell>
          <cell r="V199">
            <v>2.4015520000000001</v>
          </cell>
          <cell r="W199">
            <v>955.81769599999996</v>
          </cell>
          <cell r="X199">
            <v>2.47444</v>
          </cell>
          <cell r="Y199">
            <v>0</v>
          </cell>
          <cell r="Z199">
            <v>2.4015520000000001</v>
          </cell>
          <cell r="AA199">
            <v>955.81769599999996</v>
          </cell>
        </row>
        <row r="200">
          <cell r="B200" t="str">
            <v>DMQ022</v>
          </cell>
          <cell r="C200" t="str">
            <v>GUANTES QUIRURGICOS ESTERIL .:. N° 7 1/2 PUNO LARGO</v>
          </cell>
          <cell r="D200" t="str">
            <v>Sobre estéril</v>
          </cell>
          <cell r="E200">
            <v>592</v>
          </cell>
          <cell r="F200">
            <v>1424.7060160000001</v>
          </cell>
          <cell r="H200">
            <v>0</v>
          </cell>
          <cell r="J200">
            <v>0</v>
          </cell>
          <cell r="M200">
            <v>1</v>
          </cell>
          <cell r="N200">
            <v>2.4065979999999998</v>
          </cell>
          <cell r="P200">
            <v>404</v>
          </cell>
          <cell r="R200">
            <v>972.26559199999997</v>
          </cell>
          <cell r="S200">
            <v>0</v>
          </cell>
          <cell r="T200">
            <v>0</v>
          </cell>
          <cell r="U200">
            <v>189</v>
          </cell>
          <cell r="V200">
            <v>2.4065979999999998</v>
          </cell>
          <cell r="W200">
            <v>454.84702199999998</v>
          </cell>
          <cell r="X200">
            <v>2.47444</v>
          </cell>
          <cell r="Y200">
            <v>0</v>
          </cell>
          <cell r="Z200">
            <v>2.4065979999999998</v>
          </cell>
          <cell r="AA200">
            <v>454.84702199999998</v>
          </cell>
        </row>
        <row r="201">
          <cell r="B201" t="str">
            <v>DMQ023</v>
          </cell>
          <cell r="C201" t="str">
            <v>GUANTES QUIRURGICOS ESTERIL .:. N° 8 PUNO LARGO</v>
          </cell>
          <cell r="D201" t="str">
            <v>Sobre estéril</v>
          </cell>
          <cell r="E201">
            <v>346</v>
          </cell>
          <cell r="F201">
            <v>831.729332</v>
          </cell>
          <cell r="H201">
            <v>0</v>
          </cell>
          <cell r="J201">
            <v>0</v>
          </cell>
          <cell r="M201">
            <v>0</v>
          </cell>
          <cell r="N201">
            <v>0</v>
          </cell>
          <cell r="P201">
            <v>58</v>
          </cell>
          <cell r="R201">
            <v>139.42283599999999</v>
          </cell>
          <cell r="S201">
            <v>0</v>
          </cell>
          <cell r="T201">
            <v>0</v>
          </cell>
          <cell r="U201">
            <v>288</v>
          </cell>
          <cell r="V201">
            <v>2.403842</v>
          </cell>
          <cell r="W201">
            <v>692.30649600000004</v>
          </cell>
          <cell r="X201">
            <v>2.47444</v>
          </cell>
          <cell r="Y201">
            <v>0</v>
          </cell>
          <cell r="Z201">
            <v>2.403842</v>
          </cell>
          <cell r="AA201">
            <v>692.30649600000004</v>
          </cell>
        </row>
        <row r="202">
          <cell r="B202" t="str">
            <v>DMQ028</v>
          </cell>
          <cell r="C202" t="str">
            <v>HOJAS DE BISTURI .:. N° 11</v>
          </cell>
          <cell r="D202" t="str">
            <v>Sobre estéril</v>
          </cell>
          <cell r="E202">
            <v>10</v>
          </cell>
          <cell r="F202">
            <v>6.2</v>
          </cell>
          <cell r="H202">
            <v>175</v>
          </cell>
          <cell r="J202">
            <v>86.25</v>
          </cell>
          <cell r="M202">
            <v>0</v>
          </cell>
          <cell r="N202">
            <v>0</v>
          </cell>
          <cell r="P202">
            <v>85</v>
          </cell>
          <cell r="R202">
            <v>43.45</v>
          </cell>
          <cell r="S202">
            <v>0</v>
          </cell>
          <cell r="T202">
            <v>0</v>
          </cell>
          <cell r="U202">
            <v>100</v>
          </cell>
          <cell r="V202">
            <v>0.49</v>
          </cell>
          <cell r="W202">
            <v>49</v>
          </cell>
          <cell r="X202">
            <v>2.47444</v>
          </cell>
          <cell r="Y202">
            <v>0</v>
          </cell>
          <cell r="Z202">
            <v>0.49</v>
          </cell>
          <cell r="AA202">
            <v>49</v>
          </cell>
        </row>
        <row r="203">
          <cell r="B203" t="str">
            <v>DMQ030</v>
          </cell>
          <cell r="C203" t="str">
            <v>HOJAS DE BISTURI N° 15 .:. N° 15</v>
          </cell>
          <cell r="D203" t="str">
            <v>Sobre estéril</v>
          </cell>
          <cell r="E203">
            <v>10</v>
          </cell>
          <cell r="F203">
            <v>5.8</v>
          </cell>
          <cell r="H203">
            <v>100</v>
          </cell>
          <cell r="J203">
            <v>58</v>
          </cell>
          <cell r="M203">
            <v>0</v>
          </cell>
          <cell r="N203">
            <v>0</v>
          </cell>
          <cell r="P203">
            <v>48</v>
          </cell>
          <cell r="R203">
            <v>27.84</v>
          </cell>
          <cell r="S203">
            <v>0</v>
          </cell>
          <cell r="T203">
            <v>0</v>
          </cell>
          <cell r="U203">
            <v>62</v>
          </cell>
          <cell r="V203">
            <v>0.57999999999999996</v>
          </cell>
          <cell r="W203">
            <v>35.96</v>
          </cell>
          <cell r="X203">
            <v>2.47444</v>
          </cell>
          <cell r="Y203">
            <v>0</v>
          </cell>
          <cell r="Z203">
            <v>0.57999999999999996</v>
          </cell>
          <cell r="AA203">
            <v>35.96</v>
          </cell>
        </row>
        <row r="204">
          <cell r="B204" t="str">
            <v>DMQ034</v>
          </cell>
          <cell r="C204" t="str">
            <v>MALLA DE POLIPROPILENO .:. 15 X 15 CM</v>
          </cell>
          <cell r="D204" t="str">
            <v>Sobre estéril</v>
          </cell>
          <cell r="E204">
            <v>9</v>
          </cell>
          <cell r="F204">
            <v>4140</v>
          </cell>
          <cell r="H204">
            <v>0</v>
          </cell>
          <cell r="J204">
            <v>0</v>
          </cell>
          <cell r="M204">
            <v>0</v>
          </cell>
          <cell r="N204">
            <v>0</v>
          </cell>
          <cell r="P204">
            <v>5</v>
          </cell>
          <cell r="R204">
            <v>2300</v>
          </cell>
          <cell r="S204">
            <v>0</v>
          </cell>
          <cell r="T204">
            <v>0</v>
          </cell>
          <cell r="U204">
            <v>4</v>
          </cell>
          <cell r="V204">
            <v>460</v>
          </cell>
          <cell r="W204">
            <v>1840</v>
          </cell>
          <cell r="X204">
            <v>2.47444</v>
          </cell>
          <cell r="Y204">
            <v>0</v>
          </cell>
          <cell r="Z204">
            <v>460</v>
          </cell>
          <cell r="AA204">
            <v>1840</v>
          </cell>
        </row>
        <row r="205">
          <cell r="B205" t="str">
            <v>DO001</v>
          </cell>
          <cell r="C205" t="str">
            <v>ACIDO GRABADOR .:. GEL  37%</v>
          </cell>
          <cell r="D205" t="str">
            <v>Jeringa</v>
          </cell>
          <cell r="E205">
            <v>0</v>
          </cell>
          <cell r="F205">
            <v>0</v>
          </cell>
          <cell r="H205">
            <v>10</v>
          </cell>
          <cell r="J205">
            <v>255</v>
          </cell>
          <cell r="M205">
            <v>0</v>
          </cell>
          <cell r="N205">
            <v>0</v>
          </cell>
          <cell r="P205">
            <v>10</v>
          </cell>
          <cell r="R205">
            <v>255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2.47444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DO002</v>
          </cell>
          <cell r="C206" t="str">
            <v>ADHESIVO DENTINARIO .:. UNIDAD</v>
          </cell>
          <cell r="D206" t="str">
            <v>Frasco</v>
          </cell>
          <cell r="E206">
            <v>0</v>
          </cell>
          <cell r="F206">
            <v>0</v>
          </cell>
          <cell r="H206">
            <v>4</v>
          </cell>
          <cell r="J206">
            <v>636</v>
          </cell>
          <cell r="M206">
            <v>0</v>
          </cell>
          <cell r="N206">
            <v>0</v>
          </cell>
          <cell r="P206">
            <v>4</v>
          </cell>
          <cell r="R206">
            <v>636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2.47444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DO003</v>
          </cell>
          <cell r="C207" t="str">
            <v>AGUJA  PARA CARPULE EXTRA CORTA .:. 30 G</v>
          </cell>
          <cell r="D207" t="str">
            <v>Caja</v>
          </cell>
          <cell r="E207">
            <v>0</v>
          </cell>
          <cell r="F207">
            <v>0</v>
          </cell>
          <cell r="H207">
            <v>2</v>
          </cell>
          <cell r="J207">
            <v>120</v>
          </cell>
          <cell r="M207">
            <v>0</v>
          </cell>
          <cell r="N207">
            <v>0</v>
          </cell>
          <cell r="P207">
            <v>2</v>
          </cell>
          <cell r="R207">
            <v>120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2.47444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DO004</v>
          </cell>
          <cell r="C208" t="str">
            <v>AGUJA PARA CARPULE  LARGA .:. 27 G</v>
          </cell>
          <cell r="D208" t="str">
            <v>Caja</v>
          </cell>
          <cell r="E208">
            <v>0</v>
          </cell>
          <cell r="F208">
            <v>0</v>
          </cell>
          <cell r="H208">
            <v>2</v>
          </cell>
          <cell r="J208">
            <v>96</v>
          </cell>
          <cell r="M208">
            <v>0</v>
          </cell>
          <cell r="N208">
            <v>0</v>
          </cell>
          <cell r="P208">
            <v>2</v>
          </cell>
          <cell r="R208">
            <v>96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2.47444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DO005</v>
          </cell>
          <cell r="C209" t="str">
            <v>AGUJA PARA CARPULE CORTA .:. 30 G</v>
          </cell>
          <cell r="D209" t="str">
            <v>Caja</v>
          </cell>
          <cell r="E209">
            <v>0</v>
          </cell>
          <cell r="F209">
            <v>0</v>
          </cell>
          <cell r="H209">
            <v>6</v>
          </cell>
          <cell r="J209">
            <v>324</v>
          </cell>
          <cell r="M209">
            <v>0</v>
          </cell>
          <cell r="N209">
            <v>0</v>
          </cell>
          <cell r="P209">
            <v>5</v>
          </cell>
          <cell r="R209">
            <v>270</v>
          </cell>
          <cell r="S209">
            <v>0</v>
          </cell>
          <cell r="T209">
            <v>0</v>
          </cell>
          <cell r="U209">
            <v>1</v>
          </cell>
          <cell r="V209">
            <v>54</v>
          </cell>
          <cell r="W209">
            <v>54</v>
          </cell>
          <cell r="X209">
            <v>2.47444</v>
          </cell>
          <cell r="Y209">
            <v>0</v>
          </cell>
          <cell r="Z209">
            <v>54</v>
          </cell>
          <cell r="AA209">
            <v>54</v>
          </cell>
        </row>
        <row r="210">
          <cell r="B210" t="str">
            <v>DO006</v>
          </cell>
          <cell r="C210" t="str">
            <v>APLICADORES PARA ADHESIVO .:. DIFERENTES FORMAS</v>
          </cell>
          <cell r="D210" t="str">
            <v>Frasco</v>
          </cell>
          <cell r="E210">
            <v>0</v>
          </cell>
          <cell r="F210">
            <v>0</v>
          </cell>
          <cell r="H210">
            <v>5</v>
          </cell>
          <cell r="J210">
            <v>150</v>
          </cell>
          <cell r="M210">
            <v>0</v>
          </cell>
          <cell r="N210">
            <v>0</v>
          </cell>
          <cell r="P210">
            <v>5</v>
          </cell>
          <cell r="R210">
            <v>150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2.47444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DO008</v>
          </cell>
          <cell r="C211" t="str">
            <v>BARNIZ DE FLUOR .:. SOLUCION</v>
          </cell>
          <cell r="D211" t="str">
            <v>Frasco</v>
          </cell>
          <cell r="E211">
            <v>0</v>
          </cell>
          <cell r="F211">
            <v>0</v>
          </cell>
          <cell r="H211">
            <v>1</v>
          </cell>
          <cell r="J211">
            <v>100</v>
          </cell>
          <cell r="M211">
            <v>0</v>
          </cell>
          <cell r="N211">
            <v>0</v>
          </cell>
          <cell r="P211">
            <v>1</v>
          </cell>
          <cell r="R211">
            <v>100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2.47444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DO011</v>
          </cell>
          <cell r="C212" t="str">
            <v>CEMENTO OXIFOSFATO .:. POLVO  LIQUIDO</v>
          </cell>
          <cell r="D212" t="str">
            <v>Caja</v>
          </cell>
          <cell r="E212">
            <v>0</v>
          </cell>
          <cell r="F212">
            <v>0</v>
          </cell>
          <cell r="H212">
            <v>4</v>
          </cell>
          <cell r="J212">
            <v>256</v>
          </cell>
          <cell r="M212">
            <v>0</v>
          </cell>
          <cell r="N212">
            <v>0</v>
          </cell>
          <cell r="P212">
            <v>4</v>
          </cell>
          <cell r="R212">
            <v>256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2.47444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DO012</v>
          </cell>
          <cell r="C213" t="str">
            <v>CEMENTO PROVISIONAL .:. LIBRE DE EUGENOL</v>
          </cell>
          <cell r="D213" t="str">
            <v>Frasco/TUBO</v>
          </cell>
          <cell r="E213">
            <v>0</v>
          </cell>
          <cell r="F213">
            <v>0</v>
          </cell>
          <cell r="H213">
            <v>4</v>
          </cell>
          <cell r="J213">
            <v>132</v>
          </cell>
          <cell r="M213">
            <v>0</v>
          </cell>
          <cell r="N213">
            <v>0</v>
          </cell>
          <cell r="P213">
            <v>4</v>
          </cell>
          <cell r="R213">
            <v>132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2.47444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DO021</v>
          </cell>
          <cell r="C214" t="str">
            <v>CONOS DE PAPEL ABSORVENTE .:. 1° SERIE : 15  40</v>
          </cell>
          <cell r="D214" t="str">
            <v>Caja</v>
          </cell>
          <cell r="E214">
            <v>0</v>
          </cell>
          <cell r="F214">
            <v>0</v>
          </cell>
          <cell r="H214">
            <v>3</v>
          </cell>
          <cell r="J214">
            <v>111</v>
          </cell>
          <cell r="M214">
            <v>0</v>
          </cell>
          <cell r="N214">
            <v>0</v>
          </cell>
          <cell r="P214">
            <v>3</v>
          </cell>
          <cell r="R214">
            <v>111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2.47444</v>
          </cell>
          <cell r="Y214">
            <v>0</v>
          </cell>
          <cell r="Z214">
            <v>0</v>
          </cell>
          <cell r="AA214">
            <v>0</v>
          </cell>
        </row>
        <row r="215">
          <cell r="B215" t="str">
            <v>DO023</v>
          </cell>
          <cell r="C215" t="str">
            <v>CUBETAS DESCARTABLES PARA FLUOR .:. DIFERENTES TAMANOS</v>
          </cell>
          <cell r="D215" t="str">
            <v>Bolsa x 100 U</v>
          </cell>
          <cell r="E215">
            <v>0</v>
          </cell>
          <cell r="F215">
            <v>0</v>
          </cell>
          <cell r="H215">
            <v>1</v>
          </cell>
          <cell r="J215">
            <v>200</v>
          </cell>
          <cell r="M215">
            <v>0</v>
          </cell>
          <cell r="N215">
            <v>0</v>
          </cell>
          <cell r="P215">
            <v>1</v>
          </cell>
          <cell r="R215">
            <v>200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2.47444</v>
          </cell>
          <cell r="Y215">
            <v>0</v>
          </cell>
          <cell r="Z215">
            <v>0</v>
          </cell>
          <cell r="AA215">
            <v>0</v>
          </cell>
        </row>
        <row r="216">
          <cell r="B216" t="str">
            <v>DO025</v>
          </cell>
          <cell r="C216" t="str">
            <v>DESENSIBILIZANTE .:. PASTA  GEL</v>
          </cell>
          <cell r="D216" t="str">
            <v>Jeringa  Avio</v>
          </cell>
          <cell r="E216">
            <v>0</v>
          </cell>
          <cell r="F216">
            <v>0</v>
          </cell>
          <cell r="H216">
            <v>1</v>
          </cell>
          <cell r="J216">
            <v>529</v>
          </cell>
          <cell r="M216">
            <v>0</v>
          </cell>
          <cell r="N216">
            <v>0</v>
          </cell>
          <cell r="P216">
            <v>1</v>
          </cell>
          <cell r="R216">
            <v>529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2.47444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DO028</v>
          </cell>
          <cell r="C217" t="str">
            <v>DISCOS PARAPULIR RESINA CON MANDRIL .:. DIFERENTE TEXTURA DE ACABADO Y TAMANO</v>
          </cell>
          <cell r="D217" t="str">
            <v>kit</v>
          </cell>
          <cell r="E217">
            <v>0</v>
          </cell>
          <cell r="F217">
            <v>0</v>
          </cell>
          <cell r="H217">
            <v>1</v>
          </cell>
          <cell r="J217">
            <v>199</v>
          </cell>
          <cell r="M217">
            <v>0</v>
          </cell>
          <cell r="N217">
            <v>0</v>
          </cell>
          <cell r="P217">
            <v>1</v>
          </cell>
          <cell r="R217">
            <v>199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2.47444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DO029</v>
          </cell>
          <cell r="C218" t="str">
            <v>EDTA .:. SOLUCION</v>
          </cell>
          <cell r="D218" t="str">
            <v>Frasco</v>
          </cell>
          <cell r="E218">
            <v>0</v>
          </cell>
          <cell r="F218">
            <v>0</v>
          </cell>
          <cell r="H218">
            <v>1</v>
          </cell>
          <cell r="J218">
            <v>29</v>
          </cell>
          <cell r="M218">
            <v>0</v>
          </cell>
          <cell r="N218">
            <v>0</v>
          </cell>
          <cell r="P218">
            <v>1</v>
          </cell>
          <cell r="R218">
            <v>29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2.47444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DO033</v>
          </cell>
          <cell r="C219" t="str">
            <v>EUGENOL .:. SOLUCION</v>
          </cell>
          <cell r="D219" t="str">
            <v>Frasco</v>
          </cell>
          <cell r="E219">
            <v>0</v>
          </cell>
          <cell r="F219">
            <v>0</v>
          </cell>
          <cell r="H219">
            <v>5</v>
          </cell>
          <cell r="J219">
            <v>196</v>
          </cell>
          <cell r="M219">
            <v>0</v>
          </cell>
          <cell r="N219">
            <v>0</v>
          </cell>
          <cell r="P219">
            <v>5</v>
          </cell>
          <cell r="R219">
            <v>196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2.47444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DO034</v>
          </cell>
          <cell r="C220" t="str">
            <v>EYECTORES DE SALIVA .:. PIEZA</v>
          </cell>
          <cell r="D220" t="str">
            <v>Bolsa x 100 U</v>
          </cell>
          <cell r="E220">
            <v>0</v>
          </cell>
          <cell r="F220">
            <v>0</v>
          </cell>
          <cell r="H220">
            <v>3</v>
          </cell>
          <cell r="J220">
            <v>105</v>
          </cell>
          <cell r="M220">
            <v>0</v>
          </cell>
          <cell r="N220">
            <v>0</v>
          </cell>
          <cell r="P220">
            <v>3</v>
          </cell>
          <cell r="R220">
            <v>105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2.47444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DO035</v>
          </cell>
          <cell r="C221" t="str">
            <v>FLUOR ACIDULADO .:. GEL</v>
          </cell>
          <cell r="D221" t="str">
            <v>Frasco</v>
          </cell>
          <cell r="E221">
            <v>0</v>
          </cell>
          <cell r="F221">
            <v>0</v>
          </cell>
          <cell r="H221">
            <v>2</v>
          </cell>
          <cell r="J221">
            <v>50</v>
          </cell>
          <cell r="M221">
            <v>0</v>
          </cell>
          <cell r="N221">
            <v>0</v>
          </cell>
          <cell r="P221">
            <v>2</v>
          </cell>
          <cell r="R221">
            <v>50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2.47444</v>
          </cell>
          <cell r="Y221">
            <v>0</v>
          </cell>
          <cell r="Z221">
            <v>0</v>
          </cell>
          <cell r="AA221">
            <v>0</v>
          </cell>
        </row>
        <row r="222">
          <cell r="B222" t="str">
            <v>DO0402</v>
          </cell>
          <cell r="C222" t="str">
            <v xml:space="preserve">FRESAS DE CARBURO  .:. </v>
          </cell>
          <cell r="D222" t="str">
            <v>Pieza</v>
          </cell>
          <cell r="E222">
            <v>0</v>
          </cell>
          <cell r="F222">
            <v>0</v>
          </cell>
          <cell r="H222">
            <v>20</v>
          </cell>
          <cell r="J222">
            <v>160</v>
          </cell>
          <cell r="M222">
            <v>0</v>
          </cell>
          <cell r="N222">
            <v>0</v>
          </cell>
          <cell r="P222">
            <v>20</v>
          </cell>
          <cell r="R222">
            <v>160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2.47444</v>
          </cell>
          <cell r="Y222">
            <v>0</v>
          </cell>
          <cell r="Z222">
            <v>0</v>
          </cell>
          <cell r="AA222">
            <v>0</v>
          </cell>
        </row>
        <row r="223">
          <cell r="B223" t="str">
            <v>DO049</v>
          </cell>
          <cell r="C223" t="str">
            <v>GOMAS .:. PARA PULIR RESINA. DIFERENTES TAMANOS</v>
          </cell>
          <cell r="D223" t="str">
            <v>kit</v>
          </cell>
          <cell r="E223">
            <v>0</v>
          </cell>
          <cell r="F223">
            <v>0</v>
          </cell>
          <cell r="H223">
            <v>1</v>
          </cell>
          <cell r="J223">
            <v>120</v>
          </cell>
          <cell r="M223">
            <v>0</v>
          </cell>
          <cell r="N223">
            <v>0</v>
          </cell>
          <cell r="P223">
            <v>1</v>
          </cell>
          <cell r="R223">
            <v>120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2.47444</v>
          </cell>
          <cell r="Y223">
            <v>0</v>
          </cell>
          <cell r="Z223">
            <v>0</v>
          </cell>
          <cell r="AA223">
            <v>0</v>
          </cell>
        </row>
        <row r="224">
          <cell r="B224" t="str">
            <v>DO050</v>
          </cell>
          <cell r="C224" t="str">
            <v>HEMOSTATICO .:. GEL</v>
          </cell>
          <cell r="D224" t="str">
            <v>Jeringa</v>
          </cell>
          <cell r="E224">
            <v>0</v>
          </cell>
          <cell r="F224">
            <v>0</v>
          </cell>
          <cell r="H224">
            <v>1</v>
          </cell>
          <cell r="J224">
            <v>37</v>
          </cell>
          <cell r="M224">
            <v>0</v>
          </cell>
          <cell r="N224">
            <v>0</v>
          </cell>
          <cell r="P224">
            <v>1</v>
          </cell>
          <cell r="R224">
            <v>37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2.47444</v>
          </cell>
          <cell r="Y224">
            <v>0</v>
          </cell>
          <cell r="Z224">
            <v>0</v>
          </cell>
          <cell r="AA224">
            <v>0</v>
          </cell>
        </row>
        <row r="225">
          <cell r="B225" t="str">
            <v>DO054</v>
          </cell>
          <cell r="C225" t="str">
            <v>HIDROXIDO DE CALCIO QUIMICAMENTE PURO .:. POLVO .</v>
          </cell>
          <cell r="D225" t="str">
            <v>Frasco</v>
          </cell>
          <cell r="E225">
            <v>0</v>
          </cell>
          <cell r="F225">
            <v>0</v>
          </cell>
          <cell r="H225">
            <v>2</v>
          </cell>
          <cell r="J225">
            <v>47</v>
          </cell>
          <cell r="M225">
            <v>0</v>
          </cell>
          <cell r="N225">
            <v>0</v>
          </cell>
          <cell r="P225">
            <v>2</v>
          </cell>
          <cell r="R225">
            <v>47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2.47444</v>
          </cell>
          <cell r="Y225">
            <v>0</v>
          </cell>
          <cell r="Z225">
            <v>0</v>
          </cell>
          <cell r="AA225">
            <v>0</v>
          </cell>
        </row>
        <row r="226">
          <cell r="B226" t="str">
            <v>DO055</v>
          </cell>
          <cell r="C226" t="str">
            <v>HILO DENTAL .:. PIEZA</v>
          </cell>
          <cell r="D226" t="str">
            <v>Pieza</v>
          </cell>
          <cell r="E226">
            <v>0</v>
          </cell>
          <cell r="F226">
            <v>0</v>
          </cell>
          <cell r="H226">
            <v>2</v>
          </cell>
          <cell r="J226">
            <v>36</v>
          </cell>
          <cell r="M226">
            <v>0</v>
          </cell>
          <cell r="N226">
            <v>0</v>
          </cell>
          <cell r="P226">
            <v>2</v>
          </cell>
          <cell r="R226">
            <v>36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2.47444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DO059</v>
          </cell>
          <cell r="C227" t="str">
            <v>IONOMERO DE VIDRIO BASE .:. AUTOPOLIMERIZABLE POLVO LIQUIDO</v>
          </cell>
          <cell r="D227" t="str">
            <v>Caja</v>
          </cell>
          <cell r="E227">
            <v>0</v>
          </cell>
          <cell r="F227">
            <v>0</v>
          </cell>
          <cell r="H227">
            <v>7</v>
          </cell>
          <cell r="J227">
            <v>2450</v>
          </cell>
          <cell r="M227">
            <v>0</v>
          </cell>
          <cell r="N227">
            <v>0</v>
          </cell>
          <cell r="P227">
            <v>7</v>
          </cell>
          <cell r="R227">
            <v>2450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2.47444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DO060</v>
          </cell>
          <cell r="C228" t="str">
            <v>IONOMERO DE VIDRIO DE  RESTAURACION .:. AUTOPOLIMERIZABLE POLVO LIQUIDO</v>
          </cell>
          <cell r="D228" t="str">
            <v>Caja</v>
          </cell>
          <cell r="E228">
            <v>0</v>
          </cell>
          <cell r="F228">
            <v>0</v>
          </cell>
          <cell r="H228">
            <v>7</v>
          </cell>
          <cell r="J228">
            <v>3150</v>
          </cell>
          <cell r="M228">
            <v>0</v>
          </cell>
          <cell r="N228">
            <v>0</v>
          </cell>
          <cell r="P228">
            <v>7</v>
          </cell>
          <cell r="R228">
            <v>3150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2.47444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DO074</v>
          </cell>
          <cell r="C229" t="str">
            <v>MATRIZ METALICA .:. PIEZA</v>
          </cell>
          <cell r="D229" t="str">
            <v>CajaRollo</v>
          </cell>
          <cell r="E229">
            <v>6</v>
          </cell>
          <cell r="F229">
            <v>18</v>
          </cell>
          <cell r="H229">
            <v>3</v>
          </cell>
          <cell r="J229">
            <v>27</v>
          </cell>
          <cell r="M229">
            <v>0</v>
          </cell>
          <cell r="N229">
            <v>0</v>
          </cell>
          <cell r="P229">
            <v>9</v>
          </cell>
          <cell r="R229">
            <v>45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2.47444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DO076</v>
          </cell>
          <cell r="C230" t="str">
            <v>OXIDO DE ZINC .:. POLVO</v>
          </cell>
          <cell r="D230" t="str">
            <v>Frasco</v>
          </cell>
          <cell r="E230">
            <v>0</v>
          </cell>
          <cell r="F230">
            <v>0</v>
          </cell>
          <cell r="H230">
            <v>5</v>
          </cell>
          <cell r="J230">
            <v>90</v>
          </cell>
          <cell r="M230">
            <v>0</v>
          </cell>
          <cell r="N230">
            <v>0</v>
          </cell>
          <cell r="P230">
            <v>5</v>
          </cell>
          <cell r="R230">
            <v>90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2.47444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DO078</v>
          </cell>
          <cell r="C231" t="str">
            <v>PARAMONOCLOROFENOL .:. SOLUCION</v>
          </cell>
          <cell r="D231" t="str">
            <v>Frasco</v>
          </cell>
          <cell r="E231">
            <v>0</v>
          </cell>
          <cell r="F231">
            <v>0</v>
          </cell>
          <cell r="H231">
            <v>2</v>
          </cell>
          <cell r="J231">
            <v>58</v>
          </cell>
          <cell r="M231">
            <v>0</v>
          </cell>
          <cell r="N231">
            <v>0</v>
          </cell>
          <cell r="P231">
            <v>2</v>
          </cell>
          <cell r="R231">
            <v>58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2.47444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DO081</v>
          </cell>
          <cell r="C232" t="str">
            <v>PASTA ALVEOLAR ANTISEPTICA .:. ANTISEPTICA PASTA</v>
          </cell>
          <cell r="D232" t="str">
            <v>Frasco</v>
          </cell>
          <cell r="E232">
            <v>0</v>
          </cell>
          <cell r="F232">
            <v>0</v>
          </cell>
          <cell r="H232">
            <v>2</v>
          </cell>
          <cell r="J232">
            <v>700</v>
          </cell>
          <cell r="M232">
            <v>0</v>
          </cell>
          <cell r="N232">
            <v>0</v>
          </cell>
          <cell r="P232">
            <v>2</v>
          </cell>
          <cell r="R232">
            <v>700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2.47444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DO083</v>
          </cell>
          <cell r="C233" t="str">
            <v>PASTA PROFILACTICA .:. PASTA</v>
          </cell>
          <cell r="D233" t="str">
            <v>Frasco</v>
          </cell>
          <cell r="E233">
            <v>0</v>
          </cell>
          <cell r="F233">
            <v>0</v>
          </cell>
          <cell r="H233">
            <v>1</v>
          </cell>
          <cell r="J233">
            <v>25</v>
          </cell>
          <cell r="M233">
            <v>0</v>
          </cell>
          <cell r="N233">
            <v>0</v>
          </cell>
          <cell r="P233">
            <v>1</v>
          </cell>
          <cell r="R233">
            <v>25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2.47444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DO087</v>
          </cell>
          <cell r="C234" t="str">
            <v>RESINA FLUIDA .:. FOTOPOLIMERIZABLE A1A2 DE 2 G</v>
          </cell>
          <cell r="D234" t="str">
            <v>Jeringa .</v>
          </cell>
          <cell r="E234">
            <v>0</v>
          </cell>
          <cell r="F234">
            <v>0</v>
          </cell>
          <cell r="H234">
            <v>6</v>
          </cell>
          <cell r="J234">
            <v>465</v>
          </cell>
          <cell r="M234">
            <v>0</v>
          </cell>
          <cell r="N234">
            <v>0</v>
          </cell>
          <cell r="P234">
            <v>6</v>
          </cell>
          <cell r="R234">
            <v>465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2.47444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DO088</v>
          </cell>
          <cell r="C235" t="str">
            <v>RESINA FOTOPOLIMERIZABLE .:. A1,A2,A3</v>
          </cell>
          <cell r="D235" t="str">
            <v>Jeringa</v>
          </cell>
          <cell r="E235">
            <v>0</v>
          </cell>
          <cell r="F235">
            <v>0</v>
          </cell>
          <cell r="H235">
            <v>40</v>
          </cell>
          <cell r="J235">
            <v>7200</v>
          </cell>
          <cell r="M235">
            <v>0</v>
          </cell>
          <cell r="N235">
            <v>0</v>
          </cell>
          <cell r="P235">
            <v>40</v>
          </cell>
          <cell r="R235">
            <v>7200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2.47444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DOI001</v>
          </cell>
          <cell r="C236" t="str">
            <v>ABRE BOCA DE MOLT .:. ACERO INOXIDABLE PEDIATRICO / ADULTO</v>
          </cell>
          <cell r="D236" t="str">
            <v>Pieza</v>
          </cell>
          <cell r="E236">
            <v>0</v>
          </cell>
          <cell r="F236">
            <v>0</v>
          </cell>
          <cell r="H236">
            <v>4</v>
          </cell>
          <cell r="J236">
            <v>48</v>
          </cell>
          <cell r="M236">
            <v>0</v>
          </cell>
          <cell r="N236">
            <v>0</v>
          </cell>
          <cell r="P236">
            <v>4</v>
          </cell>
          <cell r="R236">
            <v>48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2.47444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DOI013</v>
          </cell>
          <cell r="C237" t="str">
            <v>CONDENSADOR .:. ACERO INOXIDABLE</v>
          </cell>
          <cell r="D237" t="str">
            <v>Pieza</v>
          </cell>
          <cell r="E237">
            <v>0</v>
          </cell>
          <cell r="F237">
            <v>0</v>
          </cell>
          <cell r="H237">
            <v>2</v>
          </cell>
          <cell r="J237">
            <v>24</v>
          </cell>
          <cell r="M237">
            <v>0</v>
          </cell>
          <cell r="N237">
            <v>0</v>
          </cell>
          <cell r="P237">
            <v>2</v>
          </cell>
          <cell r="R237">
            <v>24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2.47444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DOI018</v>
          </cell>
          <cell r="C238" t="str">
            <v>ESPATULA PARA RESINA .:. ACERO INOXIDABLE, BIPOLAR</v>
          </cell>
          <cell r="D238" t="str">
            <v>Pieza</v>
          </cell>
          <cell r="E238">
            <v>0</v>
          </cell>
          <cell r="F238">
            <v>0</v>
          </cell>
          <cell r="H238">
            <v>2</v>
          </cell>
          <cell r="J238">
            <v>420</v>
          </cell>
          <cell r="M238">
            <v>0</v>
          </cell>
          <cell r="N238">
            <v>0</v>
          </cell>
          <cell r="P238">
            <v>2</v>
          </cell>
          <cell r="R238">
            <v>420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2.47444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DOI037</v>
          </cell>
          <cell r="C239" t="str">
            <v>PIEZA DE ALTA VELOCIDAD .:. MICROMOTOR, CONTRANGULO Y PIEZA RECTA</v>
          </cell>
          <cell r="D239" t="str">
            <v>kit</v>
          </cell>
          <cell r="E239">
            <v>0</v>
          </cell>
          <cell r="F239">
            <v>0</v>
          </cell>
          <cell r="H239">
            <v>2</v>
          </cell>
          <cell r="J239">
            <v>4165</v>
          </cell>
          <cell r="M239">
            <v>0</v>
          </cell>
          <cell r="N239">
            <v>0</v>
          </cell>
          <cell r="P239">
            <v>1</v>
          </cell>
          <cell r="R239">
            <v>2082.5</v>
          </cell>
          <cell r="S239">
            <v>0</v>
          </cell>
          <cell r="T239">
            <v>0</v>
          </cell>
          <cell r="U239">
            <v>1</v>
          </cell>
          <cell r="V239">
            <v>2082.5</v>
          </cell>
          <cell r="W239">
            <v>2082.5</v>
          </cell>
          <cell r="X239">
            <v>2.47444</v>
          </cell>
          <cell r="Y239">
            <v>0</v>
          </cell>
          <cell r="Z239">
            <v>2082.5</v>
          </cell>
          <cell r="AA239">
            <v>2082.5</v>
          </cell>
        </row>
        <row r="240">
          <cell r="B240" t="str">
            <v>DOT005</v>
          </cell>
          <cell r="C240" t="str">
            <v>ALGODON .:. 100 GRS.</v>
          </cell>
          <cell r="D240" t="str">
            <v>Paquete</v>
          </cell>
          <cell r="E240">
            <v>35</v>
          </cell>
          <cell r="F240">
            <v>241.81815</v>
          </cell>
          <cell r="H240">
            <v>40</v>
          </cell>
          <cell r="J240">
            <v>320</v>
          </cell>
          <cell r="M240">
            <v>1</v>
          </cell>
          <cell r="N240">
            <v>8</v>
          </cell>
          <cell r="P240">
            <v>51</v>
          </cell>
          <cell r="R240">
            <v>369.81815</v>
          </cell>
          <cell r="S240">
            <v>0</v>
          </cell>
          <cell r="T240">
            <v>0</v>
          </cell>
          <cell r="U240">
            <v>25</v>
          </cell>
          <cell r="V240">
            <v>8</v>
          </cell>
          <cell r="W240">
            <v>200</v>
          </cell>
          <cell r="X240">
            <v>2.47444</v>
          </cell>
          <cell r="Y240">
            <v>0</v>
          </cell>
          <cell r="Z240">
            <v>8</v>
          </cell>
          <cell r="AA240">
            <v>200</v>
          </cell>
        </row>
        <row r="241">
          <cell r="B241" t="str">
            <v>DOT006</v>
          </cell>
          <cell r="C241" t="str">
            <v>ALGODON .:. 400 GRS.</v>
          </cell>
          <cell r="D241" t="str">
            <v>Paquete</v>
          </cell>
          <cell r="E241">
            <v>23</v>
          </cell>
          <cell r="F241">
            <v>621</v>
          </cell>
          <cell r="H241">
            <v>35</v>
          </cell>
          <cell r="J241">
            <v>1155</v>
          </cell>
          <cell r="M241">
            <v>0</v>
          </cell>
          <cell r="N241">
            <v>0</v>
          </cell>
          <cell r="P241">
            <v>40</v>
          </cell>
          <cell r="R241">
            <v>1184.9999999994</v>
          </cell>
          <cell r="S241">
            <v>0</v>
          </cell>
          <cell r="T241">
            <v>0</v>
          </cell>
          <cell r="U241">
            <v>18</v>
          </cell>
          <cell r="V241">
            <v>32.833333333299997</v>
          </cell>
          <cell r="W241">
            <v>590.99999999939996</v>
          </cell>
          <cell r="X241">
            <v>2.47444</v>
          </cell>
          <cell r="Y241">
            <v>0</v>
          </cell>
          <cell r="Z241">
            <v>32.833333333299997</v>
          </cell>
          <cell r="AA241">
            <v>590.99999999939996</v>
          </cell>
        </row>
        <row r="242">
          <cell r="B242" t="str">
            <v>DOT024</v>
          </cell>
          <cell r="C242" t="str">
            <v>BAJA LENGUA .:. DE MADERA ADULTOS</v>
          </cell>
          <cell r="D242" t="str">
            <v>Caja x 100</v>
          </cell>
          <cell r="E242">
            <v>129</v>
          </cell>
          <cell r="F242">
            <v>1935</v>
          </cell>
          <cell r="H242">
            <v>0</v>
          </cell>
          <cell r="J242">
            <v>0</v>
          </cell>
          <cell r="M242">
            <v>0</v>
          </cell>
          <cell r="N242">
            <v>0</v>
          </cell>
          <cell r="P242">
            <v>71</v>
          </cell>
          <cell r="R242">
            <v>1065</v>
          </cell>
          <cell r="S242">
            <v>0</v>
          </cell>
          <cell r="T242">
            <v>0</v>
          </cell>
          <cell r="U242">
            <v>58</v>
          </cell>
          <cell r="V242">
            <v>15</v>
          </cell>
          <cell r="W242">
            <v>870</v>
          </cell>
          <cell r="X242">
            <v>2.47444</v>
          </cell>
          <cell r="Y242">
            <v>0</v>
          </cell>
          <cell r="Z242">
            <v>15</v>
          </cell>
          <cell r="AA242">
            <v>870</v>
          </cell>
        </row>
        <row r="243">
          <cell r="B243" t="str">
            <v>DOT031</v>
          </cell>
          <cell r="C243" t="str">
            <v>CURITAS REDONDAS .:. PARA LABORATORIO</v>
          </cell>
          <cell r="D243" t="str">
            <v>Caja</v>
          </cell>
          <cell r="E243">
            <v>0</v>
          </cell>
          <cell r="F243">
            <v>0</v>
          </cell>
          <cell r="H243">
            <v>15</v>
          </cell>
          <cell r="J243">
            <v>1875</v>
          </cell>
          <cell r="M243">
            <v>0</v>
          </cell>
          <cell r="N243">
            <v>0</v>
          </cell>
          <cell r="P243">
            <v>14</v>
          </cell>
          <cell r="R243">
            <v>1750</v>
          </cell>
          <cell r="S243">
            <v>0</v>
          </cell>
          <cell r="T243">
            <v>0</v>
          </cell>
          <cell r="U243">
            <v>1</v>
          </cell>
          <cell r="V243">
            <v>125</v>
          </cell>
          <cell r="W243">
            <v>125</v>
          </cell>
          <cell r="X243">
            <v>2.47444</v>
          </cell>
          <cell r="Y243">
            <v>0</v>
          </cell>
          <cell r="Z243">
            <v>125</v>
          </cell>
          <cell r="AA243">
            <v>125</v>
          </cell>
        </row>
        <row r="244">
          <cell r="B244" t="str">
            <v>DOT035</v>
          </cell>
          <cell r="C244" t="str">
            <v>FILTRO ANTIMICROBIANO .:. PARA RESPIRADORES PARA OXIGENO</v>
          </cell>
          <cell r="D244" t="str">
            <v>Sobre estéril</v>
          </cell>
          <cell r="E244">
            <v>56</v>
          </cell>
          <cell r="F244">
            <v>2352</v>
          </cell>
          <cell r="H244">
            <v>0</v>
          </cell>
          <cell r="J244">
            <v>0</v>
          </cell>
          <cell r="M244">
            <v>0</v>
          </cell>
          <cell r="N244">
            <v>0</v>
          </cell>
          <cell r="P244">
            <v>3</v>
          </cell>
          <cell r="R244">
            <v>126</v>
          </cell>
          <cell r="S244">
            <v>0</v>
          </cell>
          <cell r="T244">
            <v>0</v>
          </cell>
          <cell r="U244">
            <v>53</v>
          </cell>
          <cell r="V244">
            <v>42</v>
          </cell>
          <cell r="W244">
            <v>2226</v>
          </cell>
          <cell r="X244">
            <v>2.47444</v>
          </cell>
          <cell r="Y244">
            <v>0</v>
          </cell>
          <cell r="Z244">
            <v>42</v>
          </cell>
          <cell r="AA244">
            <v>2226</v>
          </cell>
        </row>
        <row r="245">
          <cell r="B245" t="str">
            <v>DOT037</v>
          </cell>
          <cell r="C245" t="str">
            <v>GASA .:. 100 YARDAS MALLA 20  X  24 MM CON HILO RADIOPACO, CORTADA A REQUERIMIENTO</v>
          </cell>
          <cell r="D245" t="str">
            <v>Rollo</v>
          </cell>
          <cell r="E245">
            <v>3</v>
          </cell>
          <cell r="F245">
            <v>1419.99</v>
          </cell>
          <cell r="H245">
            <v>0</v>
          </cell>
          <cell r="J245">
            <v>0</v>
          </cell>
          <cell r="M245">
            <v>0</v>
          </cell>
          <cell r="N245">
            <v>0</v>
          </cell>
          <cell r="P245">
            <v>2</v>
          </cell>
          <cell r="R245">
            <v>946.66</v>
          </cell>
          <cell r="S245">
            <v>0</v>
          </cell>
          <cell r="T245">
            <v>0</v>
          </cell>
          <cell r="U245">
            <v>1</v>
          </cell>
          <cell r="V245">
            <v>473.33</v>
          </cell>
          <cell r="W245">
            <v>473.33</v>
          </cell>
          <cell r="X245">
            <v>2.47444</v>
          </cell>
          <cell r="Y245">
            <v>0</v>
          </cell>
          <cell r="Z245">
            <v>473.33</v>
          </cell>
          <cell r="AA245">
            <v>473.33</v>
          </cell>
        </row>
        <row r="246">
          <cell r="B246" t="str">
            <v>DOT045</v>
          </cell>
          <cell r="C246" t="str">
            <v>PAPEL GRADO MEDICO .:. CON POLIETILENO 15 CM X 200 M SIN FUELLE PARASTERILIZAR A VAPOR</v>
          </cell>
          <cell r="D246" t="str">
            <v>Rollo</v>
          </cell>
          <cell r="E246">
            <v>0</v>
          </cell>
          <cell r="F246">
            <v>0</v>
          </cell>
          <cell r="H246">
            <v>2</v>
          </cell>
          <cell r="J246">
            <v>1040</v>
          </cell>
          <cell r="M246">
            <v>0</v>
          </cell>
          <cell r="N246">
            <v>0</v>
          </cell>
          <cell r="P246">
            <v>2</v>
          </cell>
          <cell r="R246">
            <v>1040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2.47444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DOT052</v>
          </cell>
          <cell r="C247" t="str">
            <v>TELA ADHESIVA .:. CORRIENTE 4 X 10 CM</v>
          </cell>
          <cell r="D247" t="str">
            <v>Rollo</v>
          </cell>
          <cell r="E247">
            <v>25</v>
          </cell>
          <cell r="F247">
            <v>998.33927500000004</v>
          </cell>
          <cell r="H247">
            <v>10</v>
          </cell>
          <cell r="J247">
            <v>400</v>
          </cell>
          <cell r="M247">
            <v>0</v>
          </cell>
          <cell r="N247">
            <v>0</v>
          </cell>
          <cell r="P247">
            <v>34</v>
          </cell>
          <cell r="R247">
            <v>1358.339275</v>
          </cell>
          <cell r="S247">
            <v>0</v>
          </cell>
          <cell r="T247">
            <v>0</v>
          </cell>
          <cell r="U247">
            <v>1</v>
          </cell>
          <cell r="V247">
            <v>40</v>
          </cell>
          <cell r="W247">
            <v>40</v>
          </cell>
          <cell r="X247">
            <v>2.47444</v>
          </cell>
          <cell r="Y247">
            <v>0</v>
          </cell>
          <cell r="Z247">
            <v>40</v>
          </cell>
          <cell r="AA247">
            <v>40</v>
          </cell>
        </row>
        <row r="248">
          <cell r="B248" t="str">
            <v>DOT054</v>
          </cell>
          <cell r="C248" t="str">
            <v>TELA ADHESIVA .:. ANTIALERGICA COLOR PIEL 1/2"</v>
          </cell>
          <cell r="D248" t="str">
            <v>Rollo</v>
          </cell>
          <cell r="E248">
            <v>18</v>
          </cell>
          <cell r="F248">
            <v>72</v>
          </cell>
          <cell r="H248">
            <v>36</v>
          </cell>
          <cell r="J248">
            <v>213.84</v>
          </cell>
          <cell r="M248">
            <v>0</v>
          </cell>
          <cell r="N248">
            <v>0</v>
          </cell>
          <cell r="P248">
            <v>51</v>
          </cell>
          <cell r="R248">
            <v>273.87</v>
          </cell>
          <cell r="S248">
            <v>0</v>
          </cell>
          <cell r="T248">
            <v>0</v>
          </cell>
          <cell r="U248">
            <v>3</v>
          </cell>
          <cell r="V248">
            <v>3.99</v>
          </cell>
          <cell r="W248">
            <v>11.97</v>
          </cell>
          <cell r="X248">
            <v>2.47444</v>
          </cell>
          <cell r="Y248">
            <v>0</v>
          </cell>
          <cell r="Z248">
            <v>3.99</v>
          </cell>
          <cell r="AA248">
            <v>11.97</v>
          </cell>
        </row>
        <row r="249">
          <cell r="B249" t="str">
            <v>DOT055</v>
          </cell>
          <cell r="C249" t="str">
            <v>TELA ADHESIVA .:. ANTIALERGICA COLOR PIEL 1 "</v>
          </cell>
          <cell r="D249" t="str">
            <v>Rollo</v>
          </cell>
          <cell r="E249">
            <v>20</v>
          </cell>
          <cell r="F249">
            <v>120</v>
          </cell>
          <cell r="H249">
            <v>15</v>
          </cell>
          <cell r="J249">
            <v>113.4</v>
          </cell>
          <cell r="M249">
            <v>0</v>
          </cell>
          <cell r="N249">
            <v>0</v>
          </cell>
          <cell r="P249">
            <v>32</v>
          </cell>
          <cell r="R249">
            <v>211.01249999999999</v>
          </cell>
          <cell r="S249">
            <v>0</v>
          </cell>
          <cell r="T249">
            <v>0</v>
          </cell>
          <cell r="U249">
            <v>3</v>
          </cell>
          <cell r="V249">
            <v>7.4625000000000004</v>
          </cell>
          <cell r="W249">
            <v>22.387499999999999</v>
          </cell>
          <cell r="X249">
            <v>2.47444</v>
          </cell>
          <cell r="Y249">
            <v>0</v>
          </cell>
          <cell r="Z249">
            <v>7.4625000000000004</v>
          </cell>
          <cell r="AA249">
            <v>22.387499999999999</v>
          </cell>
        </row>
        <row r="250">
          <cell r="B250" t="str">
            <v>DOT070</v>
          </cell>
          <cell r="C250" t="str">
            <v>VENDA DE GASA .:. 3" (7.5 CENTIMETROS)</v>
          </cell>
          <cell r="D250" t="str">
            <v>Rollo</v>
          </cell>
          <cell r="E250">
            <v>4</v>
          </cell>
          <cell r="F250">
            <v>20</v>
          </cell>
          <cell r="H250">
            <v>60</v>
          </cell>
          <cell r="J250">
            <v>209.4</v>
          </cell>
          <cell r="M250">
            <v>0</v>
          </cell>
          <cell r="N250">
            <v>0</v>
          </cell>
          <cell r="P250">
            <v>37</v>
          </cell>
          <cell r="R250">
            <v>135.16999999999999</v>
          </cell>
          <cell r="S250">
            <v>0</v>
          </cell>
          <cell r="T250">
            <v>0</v>
          </cell>
          <cell r="U250">
            <v>27</v>
          </cell>
          <cell r="V250">
            <v>3.49</v>
          </cell>
          <cell r="W250">
            <v>94.23</v>
          </cell>
          <cell r="X250">
            <v>2.47444</v>
          </cell>
          <cell r="Y250">
            <v>0</v>
          </cell>
          <cell r="Z250">
            <v>3.49</v>
          </cell>
          <cell r="AA250">
            <v>94.23</v>
          </cell>
        </row>
        <row r="251">
          <cell r="B251" t="str">
            <v>DOT071</v>
          </cell>
          <cell r="C251" t="str">
            <v>VENDA DE GASA .:. 4" (10 CENTIMETROS)</v>
          </cell>
          <cell r="D251" t="str">
            <v>Rollo</v>
          </cell>
          <cell r="E251">
            <v>63</v>
          </cell>
          <cell r="F251">
            <v>346.5</v>
          </cell>
          <cell r="H251">
            <v>190</v>
          </cell>
          <cell r="J251">
            <v>1017.8</v>
          </cell>
          <cell r="M251">
            <v>1</v>
          </cell>
          <cell r="N251">
            <v>5.5</v>
          </cell>
          <cell r="P251">
            <v>158</v>
          </cell>
          <cell r="R251">
            <v>840.30212766049999</v>
          </cell>
          <cell r="S251">
            <v>0</v>
          </cell>
          <cell r="T251">
            <v>0</v>
          </cell>
          <cell r="U251">
            <v>96</v>
          </cell>
          <cell r="V251">
            <v>5.5156028369000003</v>
          </cell>
          <cell r="W251">
            <v>529.4978723424</v>
          </cell>
          <cell r="X251">
            <v>2.47444</v>
          </cell>
          <cell r="Y251">
            <v>0</v>
          </cell>
          <cell r="Z251">
            <v>5.5156028369000003</v>
          </cell>
          <cell r="AA251">
            <v>529.4978723424</v>
          </cell>
        </row>
        <row r="252">
          <cell r="B252" t="str">
            <v>DOT072</v>
          </cell>
          <cell r="C252" t="str">
            <v>VENDA DE GASA .:. 1.5"</v>
          </cell>
          <cell r="D252" t="str">
            <v>Rollo</v>
          </cell>
          <cell r="E252">
            <v>8</v>
          </cell>
          <cell r="F252">
            <v>26.4</v>
          </cell>
          <cell r="H252">
            <v>35</v>
          </cell>
          <cell r="J252">
            <v>122.5</v>
          </cell>
          <cell r="M252">
            <v>0</v>
          </cell>
          <cell r="N252">
            <v>0</v>
          </cell>
          <cell r="P252">
            <v>23</v>
          </cell>
          <cell r="R252">
            <v>78.900000000000006</v>
          </cell>
          <cell r="S252">
            <v>0</v>
          </cell>
          <cell r="T252">
            <v>0</v>
          </cell>
          <cell r="U252">
            <v>20</v>
          </cell>
          <cell r="V252">
            <v>3.5</v>
          </cell>
          <cell r="W252">
            <v>70</v>
          </cell>
          <cell r="X252">
            <v>2.47444</v>
          </cell>
          <cell r="Y252">
            <v>0</v>
          </cell>
          <cell r="Z252">
            <v>3.5</v>
          </cell>
          <cell r="AA252">
            <v>70</v>
          </cell>
        </row>
        <row r="253">
          <cell r="B253" t="str">
            <v>DOT073</v>
          </cell>
          <cell r="C253" t="str">
            <v>VENDA DE GASA .:. 6"</v>
          </cell>
          <cell r="D253" t="str">
            <v>Rollo</v>
          </cell>
          <cell r="E253">
            <v>18</v>
          </cell>
          <cell r="F253">
            <v>144.056466</v>
          </cell>
          <cell r="H253">
            <v>40</v>
          </cell>
          <cell r="J253">
            <v>340</v>
          </cell>
          <cell r="M253">
            <v>0</v>
          </cell>
          <cell r="N253">
            <v>0</v>
          </cell>
          <cell r="P253">
            <v>40</v>
          </cell>
          <cell r="R253">
            <v>331.056466</v>
          </cell>
          <cell r="S253">
            <v>0</v>
          </cell>
          <cell r="T253">
            <v>0</v>
          </cell>
          <cell r="U253">
            <v>18</v>
          </cell>
          <cell r="V253">
            <v>8.5</v>
          </cell>
          <cell r="W253">
            <v>153</v>
          </cell>
          <cell r="X253">
            <v>2.47444</v>
          </cell>
          <cell r="Y253">
            <v>0</v>
          </cell>
          <cell r="Z253">
            <v>8.5</v>
          </cell>
          <cell r="AA253">
            <v>153</v>
          </cell>
        </row>
        <row r="254">
          <cell r="B254" t="str">
            <v>DOT074</v>
          </cell>
          <cell r="C254" t="str">
            <v>VENDA DE YESO .:. 6" (15 CENTIMETROS)</v>
          </cell>
          <cell r="D254" t="str">
            <v>Rollo</v>
          </cell>
          <cell r="E254">
            <v>28</v>
          </cell>
          <cell r="F254">
            <v>363.72</v>
          </cell>
          <cell r="H254">
            <v>0</v>
          </cell>
          <cell r="J254">
            <v>0</v>
          </cell>
          <cell r="M254">
            <v>0</v>
          </cell>
          <cell r="N254">
            <v>0</v>
          </cell>
          <cell r="P254">
            <v>24</v>
          </cell>
          <cell r="R254">
            <v>311.76</v>
          </cell>
          <cell r="S254">
            <v>0</v>
          </cell>
          <cell r="T254">
            <v>0</v>
          </cell>
          <cell r="U254">
            <v>4</v>
          </cell>
          <cell r="V254">
            <v>12.99</v>
          </cell>
          <cell r="W254">
            <v>51.96</v>
          </cell>
          <cell r="X254">
            <v>2.47444</v>
          </cell>
          <cell r="Y254">
            <v>0</v>
          </cell>
          <cell r="Z254">
            <v>12.99</v>
          </cell>
          <cell r="AA254">
            <v>51.96</v>
          </cell>
        </row>
        <row r="255">
          <cell r="B255" t="str">
            <v>DOT075</v>
          </cell>
          <cell r="C255" t="str">
            <v>VENDA DE YESO .:. 4" (10 CM)</v>
          </cell>
          <cell r="D255" t="str">
            <v>Rollo</v>
          </cell>
          <cell r="E255">
            <v>11</v>
          </cell>
          <cell r="F255">
            <v>104.39</v>
          </cell>
          <cell r="H255">
            <v>35</v>
          </cell>
          <cell r="J255">
            <v>363.05</v>
          </cell>
          <cell r="M255">
            <v>2</v>
          </cell>
          <cell r="N255">
            <v>18.98</v>
          </cell>
          <cell r="P255">
            <v>37</v>
          </cell>
          <cell r="R255">
            <v>362.0358823528</v>
          </cell>
          <cell r="S255">
            <v>0</v>
          </cell>
          <cell r="T255">
            <v>0</v>
          </cell>
          <cell r="U255">
            <v>11</v>
          </cell>
          <cell r="V255">
            <v>11.307647058800001</v>
          </cell>
          <cell r="W255">
            <v>124.38411764679999</v>
          </cell>
          <cell r="X255">
            <v>2.47444</v>
          </cell>
          <cell r="Y255">
            <v>0</v>
          </cell>
          <cell r="Z255">
            <v>11.307647058800001</v>
          </cell>
          <cell r="AA255">
            <v>124.38411764679999</v>
          </cell>
        </row>
        <row r="256">
          <cell r="B256" t="str">
            <v>DOT076</v>
          </cell>
          <cell r="C256" t="str">
            <v>VENDA DE YESO .:. 8" ( 20 CM)</v>
          </cell>
          <cell r="D256" t="str">
            <v>Rollo</v>
          </cell>
          <cell r="E256">
            <v>4</v>
          </cell>
          <cell r="F256">
            <v>87.96</v>
          </cell>
          <cell r="H256">
            <v>65</v>
          </cell>
          <cell r="J256">
            <v>1354.25</v>
          </cell>
          <cell r="M256">
            <v>1</v>
          </cell>
          <cell r="N256">
            <v>21.5488</v>
          </cell>
          <cell r="P256">
            <v>29</v>
          </cell>
          <cell r="R256">
            <v>580.25796896789996</v>
          </cell>
          <cell r="S256">
            <v>0</v>
          </cell>
          <cell r="T256">
            <v>0</v>
          </cell>
          <cell r="U256">
            <v>41</v>
          </cell>
          <cell r="V256">
            <v>21.5488007569</v>
          </cell>
          <cell r="W256">
            <v>883.50083103290001</v>
          </cell>
          <cell r="X256">
            <v>2.47444</v>
          </cell>
          <cell r="Y256">
            <v>0</v>
          </cell>
          <cell r="Z256">
            <v>21.5488007569</v>
          </cell>
          <cell r="AA256">
            <v>883.50083103290001</v>
          </cell>
        </row>
        <row r="257">
          <cell r="B257" t="str">
            <v>DOT081</v>
          </cell>
          <cell r="C257" t="str">
            <v>VENDA ELASTICA .:. 10 CM</v>
          </cell>
          <cell r="D257" t="str">
            <v>Rollo</v>
          </cell>
          <cell r="E257">
            <v>23</v>
          </cell>
          <cell r="F257">
            <v>138</v>
          </cell>
          <cell r="H257">
            <v>35</v>
          </cell>
          <cell r="J257">
            <v>166.25</v>
          </cell>
          <cell r="M257">
            <v>0</v>
          </cell>
          <cell r="N257">
            <v>0</v>
          </cell>
          <cell r="P257">
            <v>35</v>
          </cell>
          <cell r="R257">
            <v>195</v>
          </cell>
          <cell r="S257">
            <v>0</v>
          </cell>
          <cell r="T257">
            <v>0</v>
          </cell>
          <cell r="U257">
            <v>23</v>
          </cell>
          <cell r="V257">
            <v>4.75</v>
          </cell>
          <cell r="W257">
            <v>109.25</v>
          </cell>
          <cell r="X257">
            <v>2.47444</v>
          </cell>
          <cell r="Y257">
            <v>0</v>
          </cell>
          <cell r="Z257">
            <v>4.75</v>
          </cell>
          <cell r="AA257">
            <v>109.25</v>
          </cell>
        </row>
        <row r="258">
          <cell r="B258" t="str">
            <v>DOT082</v>
          </cell>
          <cell r="C258" t="str">
            <v>VENDA ELASTICA .:. 15 CM</v>
          </cell>
          <cell r="D258" t="str">
            <v>Rollo</v>
          </cell>
          <cell r="E258">
            <v>10</v>
          </cell>
          <cell r="F258">
            <v>80</v>
          </cell>
          <cell r="H258">
            <v>46</v>
          </cell>
          <cell r="J258">
            <v>391</v>
          </cell>
          <cell r="M258">
            <v>0</v>
          </cell>
          <cell r="N258">
            <v>0</v>
          </cell>
          <cell r="P258">
            <v>30</v>
          </cell>
          <cell r="R258">
            <v>250</v>
          </cell>
          <cell r="S258">
            <v>0</v>
          </cell>
          <cell r="T258">
            <v>0</v>
          </cell>
          <cell r="U258">
            <v>26</v>
          </cell>
          <cell r="V258">
            <v>8.5</v>
          </cell>
          <cell r="W258">
            <v>221</v>
          </cell>
          <cell r="X258">
            <v>2.47444</v>
          </cell>
          <cell r="Y258">
            <v>0</v>
          </cell>
          <cell r="Z258">
            <v>8.5</v>
          </cell>
          <cell r="AA258">
            <v>221</v>
          </cell>
        </row>
        <row r="259">
          <cell r="B259" t="str">
            <v>DPF003</v>
          </cell>
          <cell r="C259" t="str">
            <v>CONDON MASCULINO .:. PIEZA</v>
          </cell>
          <cell r="D259" t="str">
            <v>Sobre estéril</v>
          </cell>
          <cell r="E259">
            <v>31</v>
          </cell>
          <cell r="F259">
            <v>43.71</v>
          </cell>
          <cell r="H259">
            <v>300</v>
          </cell>
          <cell r="J259">
            <v>93</v>
          </cell>
          <cell r="M259">
            <v>0</v>
          </cell>
          <cell r="N259">
            <v>0</v>
          </cell>
          <cell r="P259">
            <v>178</v>
          </cell>
          <cell r="R259">
            <v>88.720863780000002</v>
          </cell>
          <cell r="S259">
            <v>0</v>
          </cell>
          <cell r="T259">
            <v>0</v>
          </cell>
          <cell r="U259">
            <v>153</v>
          </cell>
          <cell r="V259">
            <v>0.31365448499999998</v>
          </cell>
          <cell r="W259">
            <v>47.989136205000001</v>
          </cell>
          <cell r="X259">
            <v>2.47444</v>
          </cell>
          <cell r="Y259">
            <v>0</v>
          </cell>
          <cell r="Z259">
            <v>0.31365448499999998</v>
          </cell>
          <cell r="AA259">
            <v>47.989136205000001</v>
          </cell>
        </row>
        <row r="260">
          <cell r="B260" t="str">
            <v>DPP001</v>
          </cell>
          <cell r="C260" t="str">
            <v xml:space="preserve">BARBIJO HERMETICO (RESPIRADOR) .:. CON FILTRO  N95 </v>
          </cell>
          <cell r="D260" t="str">
            <v>Pieza</v>
          </cell>
          <cell r="E260">
            <v>94</v>
          </cell>
          <cell r="F260">
            <v>2313.3732759999998</v>
          </cell>
          <cell r="H260">
            <v>0</v>
          </cell>
          <cell r="J260">
            <v>0</v>
          </cell>
          <cell r="M260">
            <v>0</v>
          </cell>
          <cell r="N260">
            <v>0</v>
          </cell>
          <cell r="P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94</v>
          </cell>
          <cell r="V260">
            <v>24.610354000000001</v>
          </cell>
          <cell r="W260">
            <v>2313.3732759999998</v>
          </cell>
          <cell r="X260">
            <v>2.47444</v>
          </cell>
          <cell r="Y260">
            <v>0</v>
          </cell>
          <cell r="Z260">
            <v>24.610354000000001</v>
          </cell>
          <cell r="AA260">
            <v>2313.3732759999998</v>
          </cell>
        </row>
        <row r="261">
          <cell r="B261" t="str">
            <v>DPP0011</v>
          </cell>
          <cell r="C261" t="str">
            <v>BARBIJO .:. KN95  TALLA UNICA/CLIP NASAL</v>
          </cell>
          <cell r="D261" t="str">
            <v>Pieza</v>
          </cell>
          <cell r="E261">
            <v>751</v>
          </cell>
          <cell r="F261">
            <v>3678.4873689999999</v>
          </cell>
          <cell r="H261">
            <v>0</v>
          </cell>
          <cell r="J261">
            <v>0</v>
          </cell>
          <cell r="M261">
            <v>0</v>
          </cell>
          <cell r="N261">
            <v>0</v>
          </cell>
          <cell r="P261">
            <v>190</v>
          </cell>
          <cell r="R261">
            <v>930.64260999999999</v>
          </cell>
          <cell r="S261">
            <v>0</v>
          </cell>
          <cell r="T261">
            <v>0</v>
          </cell>
          <cell r="U261">
            <v>561</v>
          </cell>
          <cell r="V261">
            <v>4.8981190000000003</v>
          </cell>
          <cell r="W261">
            <v>2747.8447590000001</v>
          </cell>
          <cell r="X261">
            <v>2.47444</v>
          </cell>
          <cell r="Y261">
            <v>0</v>
          </cell>
          <cell r="Z261">
            <v>4.8981190000000003</v>
          </cell>
          <cell r="AA261">
            <v>2747.8447590000001</v>
          </cell>
        </row>
        <row r="262">
          <cell r="B262" t="str">
            <v>DPP0012</v>
          </cell>
          <cell r="C262" t="str">
            <v>BARBIJO NO HERMETICO .:. N95  BARBIJO SEGUN NORMA NIOSH</v>
          </cell>
          <cell r="D262" t="str">
            <v>Pieza</v>
          </cell>
          <cell r="E262">
            <v>607</v>
          </cell>
          <cell r="F262">
            <v>4552.5</v>
          </cell>
          <cell r="H262">
            <v>0</v>
          </cell>
          <cell r="J262">
            <v>0</v>
          </cell>
          <cell r="M262">
            <v>0</v>
          </cell>
          <cell r="N262">
            <v>0</v>
          </cell>
          <cell r="P262">
            <v>169</v>
          </cell>
          <cell r="R262">
            <v>1267.5</v>
          </cell>
          <cell r="S262">
            <v>0</v>
          </cell>
          <cell r="T262">
            <v>0</v>
          </cell>
          <cell r="U262">
            <v>438</v>
          </cell>
          <cell r="V262">
            <v>7.5</v>
          </cell>
          <cell r="W262">
            <v>3285</v>
          </cell>
          <cell r="X262">
            <v>2.47444</v>
          </cell>
          <cell r="Y262">
            <v>0</v>
          </cell>
          <cell r="Z262">
            <v>7.5</v>
          </cell>
          <cell r="AA262">
            <v>3285</v>
          </cell>
        </row>
        <row r="263">
          <cell r="B263" t="str">
            <v>DPP003</v>
          </cell>
          <cell r="C263" t="str">
            <v>BARBIJO .:. DESCARTABLE TRIPLE CAPA CON LIGAS</v>
          </cell>
          <cell r="D263" t="str">
            <v>Caja x 50</v>
          </cell>
          <cell r="E263">
            <v>112</v>
          </cell>
          <cell r="F263">
            <v>2628.826928</v>
          </cell>
          <cell r="H263">
            <v>320</v>
          </cell>
          <cell r="J263">
            <v>3840</v>
          </cell>
          <cell r="M263">
            <v>0</v>
          </cell>
          <cell r="N263">
            <v>0</v>
          </cell>
          <cell r="P263">
            <v>236</v>
          </cell>
          <cell r="R263">
            <v>3935.9173892911999</v>
          </cell>
          <cell r="S263">
            <v>0</v>
          </cell>
          <cell r="T263">
            <v>0</v>
          </cell>
          <cell r="U263">
            <v>196</v>
          </cell>
          <cell r="V263">
            <v>12.923007850599999</v>
          </cell>
          <cell r="W263">
            <v>2532.9095387175998</v>
          </cell>
          <cell r="X263">
            <v>2.47444</v>
          </cell>
          <cell r="Y263">
            <v>0</v>
          </cell>
          <cell r="Z263">
            <v>12.923007850599999</v>
          </cell>
          <cell r="AA263">
            <v>2532.9095387175998</v>
          </cell>
        </row>
        <row r="264">
          <cell r="B264" t="str">
            <v>DPP0051</v>
          </cell>
          <cell r="C264" t="str">
            <v xml:space="preserve">CUBRE ZAPATOS  .:. </v>
          </cell>
          <cell r="D264" t="str">
            <v>Pieza</v>
          </cell>
          <cell r="E264">
            <v>778</v>
          </cell>
          <cell r="F264">
            <v>690.22448399999996</v>
          </cell>
          <cell r="H264">
            <v>0</v>
          </cell>
          <cell r="J264">
            <v>0</v>
          </cell>
          <cell r="M264">
            <v>0</v>
          </cell>
          <cell r="N264">
            <v>0</v>
          </cell>
          <cell r="P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778</v>
          </cell>
          <cell r="V264">
            <v>0.88717800000000002</v>
          </cell>
          <cell r="W264">
            <v>690.22448399999996</v>
          </cell>
          <cell r="X264">
            <v>2.47444</v>
          </cell>
          <cell r="Y264">
            <v>0</v>
          </cell>
          <cell r="Z264">
            <v>0.88717800000000002</v>
          </cell>
          <cell r="AA264">
            <v>690.22448399999996</v>
          </cell>
        </row>
        <row r="265">
          <cell r="B265" t="str">
            <v>DPP007</v>
          </cell>
          <cell r="C265" t="str">
            <v>GORRO DESCARTABLE .:. PARA MUJER EN PLATO</v>
          </cell>
          <cell r="D265" t="str">
            <v>Pieza</v>
          </cell>
          <cell r="E265">
            <v>2972</v>
          </cell>
          <cell r="F265">
            <v>1288.4689920000001</v>
          </cell>
          <cell r="H265">
            <v>0</v>
          </cell>
          <cell r="J265">
            <v>0</v>
          </cell>
          <cell r="M265">
            <v>0</v>
          </cell>
          <cell r="N265">
            <v>0</v>
          </cell>
          <cell r="P265">
            <v>400</v>
          </cell>
          <cell r="R265">
            <v>173.4144</v>
          </cell>
          <cell r="S265">
            <v>0</v>
          </cell>
          <cell r="T265">
            <v>0</v>
          </cell>
          <cell r="U265">
            <v>2572</v>
          </cell>
          <cell r="V265">
            <v>0.43353599999999998</v>
          </cell>
          <cell r="W265">
            <v>1115.054592</v>
          </cell>
          <cell r="X265">
            <v>2.47444</v>
          </cell>
          <cell r="Y265">
            <v>0</v>
          </cell>
          <cell r="Z265">
            <v>0.43353599999999998</v>
          </cell>
          <cell r="AA265">
            <v>1115.054592</v>
          </cell>
        </row>
        <row r="266">
          <cell r="B266" t="str">
            <v>DPP0081</v>
          </cell>
          <cell r="C266" t="str">
            <v>.:.GUANTES DE NITRILO .::. TALLA S .:. GUANTES DE NITRILO</v>
          </cell>
          <cell r="D266" t="str">
            <v>Caja x 100</v>
          </cell>
          <cell r="E266">
            <v>0</v>
          </cell>
          <cell r="F266">
            <v>0</v>
          </cell>
          <cell r="H266">
            <v>55</v>
          </cell>
          <cell r="J266">
            <v>1595</v>
          </cell>
          <cell r="M266">
            <v>0</v>
          </cell>
          <cell r="N266">
            <v>0</v>
          </cell>
          <cell r="P266">
            <v>27</v>
          </cell>
          <cell r="R266">
            <v>783</v>
          </cell>
          <cell r="S266">
            <v>0</v>
          </cell>
          <cell r="T266">
            <v>0</v>
          </cell>
          <cell r="U266">
            <v>28</v>
          </cell>
          <cell r="V266">
            <v>29</v>
          </cell>
          <cell r="W266">
            <v>812</v>
          </cell>
          <cell r="X266">
            <v>2.47444</v>
          </cell>
          <cell r="Y266">
            <v>0</v>
          </cell>
          <cell r="Z266">
            <v>29</v>
          </cell>
          <cell r="AA266">
            <v>812</v>
          </cell>
        </row>
        <row r="267">
          <cell r="B267" t="str">
            <v>DPP0082</v>
          </cell>
          <cell r="C267" t="str">
            <v>GUANTES DE NITRILO.:. M .:. MEDIANO</v>
          </cell>
          <cell r="D267" t="str">
            <v>caja por 100</v>
          </cell>
          <cell r="E267">
            <v>11</v>
          </cell>
          <cell r="F267">
            <v>1265.5657080000001</v>
          </cell>
          <cell r="H267">
            <v>30</v>
          </cell>
          <cell r="J267">
            <v>870</v>
          </cell>
          <cell r="M267">
            <v>0</v>
          </cell>
          <cell r="N267">
            <v>0</v>
          </cell>
          <cell r="P267">
            <v>19</v>
          </cell>
          <cell r="R267">
            <v>989.65240126820004</v>
          </cell>
          <cell r="S267">
            <v>0</v>
          </cell>
          <cell r="T267">
            <v>0</v>
          </cell>
          <cell r="U267">
            <v>22</v>
          </cell>
          <cell r="V267">
            <v>52.0869684878</v>
          </cell>
          <cell r="W267">
            <v>1145.9133067316</v>
          </cell>
          <cell r="X267">
            <v>2.47444</v>
          </cell>
          <cell r="Y267">
            <v>0</v>
          </cell>
          <cell r="Z267">
            <v>52.0869684878</v>
          </cell>
          <cell r="AA267">
            <v>1145.9133067316</v>
          </cell>
        </row>
        <row r="268">
          <cell r="B268" t="str">
            <v>DPP011</v>
          </cell>
          <cell r="C268" t="str">
            <v>GUANTES DESCARTABLES .:. DE LATEX TALLA S</v>
          </cell>
          <cell r="D268" t="str">
            <v>Caja x 100</v>
          </cell>
          <cell r="E268">
            <v>63</v>
          </cell>
          <cell r="F268">
            <v>1827</v>
          </cell>
          <cell r="H268">
            <v>110</v>
          </cell>
          <cell r="J268">
            <v>2750</v>
          </cell>
          <cell r="M268">
            <v>0</v>
          </cell>
          <cell r="N268">
            <v>0</v>
          </cell>
          <cell r="P268">
            <v>129</v>
          </cell>
          <cell r="R268">
            <v>3432.7006802732999</v>
          </cell>
          <cell r="S268">
            <v>0</v>
          </cell>
          <cell r="T268">
            <v>0</v>
          </cell>
          <cell r="U268">
            <v>44</v>
          </cell>
          <cell r="V268">
            <v>26.006802721100001</v>
          </cell>
          <cell r="W268">
            <v>1144.2993197284</v>
          </cell>
          <cell r="X268">
            <v>2.47444</v>
          </cell>
          <cell r="Y268">
            <v>0</v>
          </cell>
          <cell r="Z268">
            <v>26.006802721100001</v>
          </cell>
          <cell r="AA268">
            <v>1144.2993197284</v>
          </cell>
        </row>
        <row r="269">
          <cell r="B269" t="str">
            <v>DPP012</v>
          </cell>
          <cell r="C269" t="str">
            <v>GUANTES DESCARTABLES .:. DE LATEX TALLA M</v>
          </cell>
          <cell r="D269" t="str">
            <v>Caja x 100</v>
          </cell>
          <cell r="E269">
            <v>38</v>
          </cell>
          <cell r="F269">
            <v>1283.3594459999999</v>
          </cell>
          <cell r="H269">
            <v>130</v>
          </cell>
          <cell r="J269">
            <v>3250</v>
          </cell>
          <cell r="M269">
            <v>0</v>
          </cell>
          <cell r="N269">
            <v>0</v>
          </cell>
          <cell r="P269">
            <v>134</v>
          </cell>
          <cell r="R269">
            <v>3645.3251467965001</v>
          </cell>
          <cell r="S269">
            <v>0</v>
          </cell>
          <cell r="T269">
            <v>0</v>
          </cell>
          <cell r="U269">
            <v>34</v>
          </cell>
          <cell r="V269">
            <v>26.118655859099999</v>
          </cell>
          <cell r="W269">
            <v>888.03429920940005</v>
          </cell>
          <cell r="X269">
            <v>2.47444</v>
          </cell>
          <cell r="Y269">
            <v>0</v>
          </cell>
          <cell r="Z269">
            <v>26.118655859099999</v>
          </cell>
          <cell r="AA269">
            <v>888.03429920940005</v>
          </cell>
        </row>
        <row r="270">
          <cell r="B270" t="str">
            <v>DPP014</v>
          </cell>
          <cell r="C270" t="str">
            <v>GUANTES DESCARTABLES .:. DE LATEX TALLA "XS"</v>
          </cell>
          <cell r="D270" t="str">
            <v>Caja x 100</v>
          </cell>
          <cell r="E270">
            <v>14</v>
          </cell>
          <cell r="F270">
            <v>406</v>
          </cell>
          <cell r="H270">
            <v>0</v>
          </cell>
          <cell r="J270">
            <v>0</v>
          </cell>
          <cell r="M270">
            <v>0</v>
          </cell>
          <cell r="N270">
            <v>0</v>
          </cell>
          <cell r="P270">
            <v>14</v>
          </cell>
          <cell r="R270">
            <v>406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2.47444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DPP015</v>
          </cell>
          <cell r="C271" t="str">
            <v>LENTES DE PROTECCION .:. TRANSPARENTE</v>
          </cell>
          <cell r="D271" t="str">
            <v>Pieza</v>
          </cell>
          <cell r="E271">
            <v>30</v>
          </cell>
          <cell r="F271">
            <v>1050</v>
          </cell>
          <cell r="H271">
            <v>0</v>
          </cell>
          <cell r="J271">
            <v>0</v>
          </cell>
          <cell r="M271">
            <v>0</v>
          </cell>
          <cell r="N271">
            <v>0</v>
          </cell>
          <cell r="P271">
            <v>7</v>
          </cell>
          <cell r="R271">
            <v>245</v>
          </cell>
          <cell r="S271">
            <v>0</v>
          </cell>
          <cell r="T271">
            <v>0</v>
          </cell>
          <cell r="U271">
            <v>23</v>
          </cell>
          <cell r="V271">
            <v>35</v>
          </cell>
          <cell r="W271">
            <v>805</v>
          </cell>
          <cell r="X271">
            <v>2.47444</v>
          </cell>
          <cell r="Y271">
            <v>0</v>
          </cell>
          <cell r="Z271">
            <v>35</v>
          </cell>
          <cell r="AA271">
            <v>805</v>
          </cell>
        </row>
        <row r="272">
          <cell r="B272" t="str">
            <v>DPP016</v>
          </cell>
          <cell r="C272" t="str">
            <v>LENTES DE PROTECCION .:. AMBAR</v>
          </cell>
          <cell r="D272" t="str">
            <v>Pieza</v>
          </cell>
          <cell r="E272">
            <v>0</v>
          </cell>
          <cell r="F272">
            <v>0</v>
          </cell>
          <cell r="H272">
            <v>2</v>
          </cell>
          <cell r="J272">
            <v>100</v>
          </cell>
          <cell r="M272">
            <v>0</v>
          </cell>
          <cell r="N272">
            <v>0</v>
          </cell>
          <cell r="P272">
            <v>2</v>
          </cell>
          <cell r="R272">
            <v>100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2.47444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DSC012</v>
          </cell>
          <cell r="C273" t="str">
            <v>SUTURA  CAT GUT CROMADO .:. N° 0 C/AGUJA  4 CM. 1/2 CIRC.</v>
          </cell>
          <cell r="D273" t="str">
            <v>Sobre estéril</v>
          </cell>
          <cell r="E273">
            <v>52</v>
          </cell>
          <cell r="F273">
            <v>725.74964799999998</v>
          </cell>
          <cell r="H273">
            <v>0</v>
          </cell>
          <cell r="J273">
            <v>0</v>
          </cell>
          <cell r="M273">
            <v>0</v>
          </cell>
          <cell r="N273">
            <v>0</v>
          </cell>
          <cell r="P273">
            <v>11</v>
          </cell>
          <cell r="R273">
            <v>153.52396400000001</v>
          </cell>
          <cell r="S273">
            <v>0</v>
          </cell>
          <cell r="T273">
            <v>0</v>
          </cell>
          <cell r="U273">
            <v>41</v>
          </cell>
          <cell r="V273">
            <v>13.956723999999999</v>
          </cell>
          <cell r="W273">
            <v>572.225684</v>
          </cell>
          <cell r="X273">
            <v>2.47444</v>
          </cell>
          <cell r="Y273">
            <v>0</v>
          </cell>
          <cell r="Z273">
            <v>13.956723999999999</v>
          </cell>
          <cell r="AA273">
            <v>572.225684</v>
          </cell>
        </row>
        <row r="274">
          <cell r="B274" t="str">
            <v>DSC013</v>
          </cell>
          <cell r="C274" t="str">
            <v>SUTURA  CAT GUT CROMADO .:. N° 1 C/AGUJA  4.8 CM 1/2 CIRC.</v>
          </cell>
          <cell r="D274" t="str">
            <v>Sobre estéril</v>
          </cell>
          <cell r="E274">
            <v>17</v>
          </cell>
          <cell r="F274">
            <v>172.04</v>
          </cell>
          <cell r="H274">
            <v>15</v>
          </cell>
          <cell r="J274">
            <v>209.25</v>
          </cell>
          <cell r="M274">
            <v>0</v>
          </cell>
          <cell r="N274">
            <v>0</v>
          </cell>
          <cell r="P274">
            <v>21</v>
          </cell>
          <cell r="R274">
            <v>227.84</v>
          </cell>
          <cell r="S274">
            <v>0</v>
          </cell>
          <cell r="T274">
            <v>0</v>
          </cell>
          <cell r="U274">
            <v>11</v>
          </cell>
          <cell r="V274">
            <v>13.95</v>
          </cell>
          <cell r="W274">
            <v>153.44999999999999</v>
          </cell>
          <cell r="X274">
            <v>2.47444</v>
          </cell>
          <cell r="Y274">
            <v>0</v>
          </cell>
          <cell r="Z274">
            <v>13.95</v>
          </cell>
          <cell r="AA274">
            <v>153.44999999999999</v>
          </cell>
        </row>
        <row r="275">
          <cell r="B275" t="str">
            <v>DSC020</v>
          </cell>
          <cell r="C275" t="str">
            <v>SUTURA CAT GUT SIMPLE .:. N° 1C/AGUJA  4.8 CM. 1/2 CIRC.</v>
          </cell>
          <cell r="D275" t="str">
            <v>Sobre estéril</v>
          </cell>
          <cell r="E275">
            <v>21</v>
          </cell>
          <cell r="F275">
            <v>334.10393099999999</v>
          </cell>
          <cell r="H275">
            <v>43</v>
          </cell>
          <cell r="J275">
            <v>451.5</v>
          </cell>
          <cell r="M275">
            <v>1</v>
          </cell>
          <cell r="N275">
            <v>10.5</v>
          </cell>
          <cell r="P275">
            <v>53</v>
          </cell>
          <cell r="R275">
            <v>670.10393099999999</v>
          </cell>
          <cell r="S275">
            <v>0</v>
          </cell>
          <cell r="T275">
            <v>0</v>
          </cell>
          <cell r="U275">
            <v>12</v>
          </cell>
          <cell r="V275">
            <v>10.5</v>
          </cell>
          <cell r="W275">
            <v>126</v>
          </cell>
          <cell r="X275">
            <v>2.47444</v>
          </cell>
          <cell r="Y275">
            <v>0</v>
          </cell>
          <cell r="Z275">
            <v>10.5</v>
          </cell>
          <cell r="AA275">
            <v>126</v>
          </cell>
        </row>
        <row r="276">
          <cell r="B276" t="str">
            <v>DSC021</v>
          </cell>
          <cell r="C276" t="str">
            <v>SUTURA CAT GUT SIMPLE .:. N° 2/0 C/AGUJA 1.7 CM. 3/8 DE CIRC.</v>
          </cell>
          <cell r="D276" t="str">
            <v>Sobre estéril</v>
          </cell>
          <cell r="E276">
            <v>82</v>
          </cell>
          <cell r="F276">
            <v>1462.8124319999999</v>
          </cell>
          <cell r="H276">
            <v>0</v>
          </cell>
          <cell r="J276">
            <v>0</v>
          </cell>
          <cell r="M276">
            <v>0</v>
          </cell>
          <cell r="N276">
            <v>0</v>
          </cell>
          <cell r="P276">
            <v>10</v>
          </cell>
          <cell r="R276">
            <v>178.39176</v>
          </cell>
          <cell r="S276">
            <v>0</v>
          </cell>
          <cell r="T276">
            <v>0</v>
          </cell>
          <cell r="U276">
            <v>72</v>
          </cell>
          <cell r="V276">
            <v>17.839175999999998</v>
          </cell>
          <cell r="W276">
            <v>1284.420672</v>
          </cell>
          <cell r="X276">
            <v>2.47444</v>
          </cell>
          <cell r="Y276">
            <v>0</v>
          </cell>
          <cell r="Z276">
            <v>17.839175999999998</v>
          </cell>
          <cell r="AA276">
            <v>1284.420672</v>
          </cell>
        </row>
        <row r="277">
          <cell r="B277" t="str">
            <v>DSC023</v>
          </cell>
          <cell r="C277" t="str">
            <v>SUTURA CAT GUT SIMPLE .:. N° 3/0 C/AGUJA 2.5 CM. 1/2 CIRC.</v>
          </cell>
          <cell r="D277" t="str">
            <v>Sobre estéril</v>
          </cell>
          <cell r="E277">
            <v>28</v>
          </cell>
          <cell r="F277">
            <v>431.55</v>
          </cell>
          <cell r="H277">
            <v>0</v>
          </cell>
          <cell r="J277">
            <v>0</v>
          </cell>
          <cell r="M277">
            <v>26</v>
          </cell>
          <cell r="N277">
            <v>400.73</v>
          </cell>
          <cell r="P277">
            <v>4</v>
          </cell>
          <cell r="R277">
            <v>61.6503846154</v>
          </cell>
          <cell r="S277">
            <v>26</v>
          </cell>
          <cell r="T277">
            <v>400.72500000000002</v>
          </cell>
          <cell r="U277">
            <v>24</v>
          </cell>
          <cell r="V277">
            <v>15.4126923077</v>
          </cell>
          <cell r="W277">
            <v>369.90461538480002</v>
          </cell>
          <cell r="X277">
            <v>2.47444</v>
          </cell>
          <cell r="Y277">
            <v>0</v>
          </cell>
          <cell r="Z277">
            <v>15.4126923077</v>
          </cell>
          <cell r="AA277">
            <v>369.90461538480002</v>
          </cell>
        </row>
        <row r="278">
          <cell r="B278" t="str">
            <v>DSC024</v>
          </cell>
          <cell r="C278" t="str">
            <v>SUTURA CAT GUT SIMPLE .:. N° 4/0 C/AGUJA 2.0 CM. 1/2 CIRC.</v>
          </cell>
          <cell r="D278" t="str">
            <v>Sobre estéril</v>
          </cell>
          <cell r="E278">
            <v>23</v>
          </cell>
          <cell r="F278">
            <v>492.25110599999999</v>
          </cell>
          <cell r="H278">
            <v>0</v>
          </cell>
          <cell r="J278">
            <v>0</v>
          </cell>
          <cell r="M278">
            <v>0</v>
          </cell>
          <cell r="N278">
            <v>0</v>
          </cell>
          <cell r="P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23</v>
          </cell>
          <cell r="V278">
            <v>21.402221999999998</v>
          </cell>
          <cell r="W278">
            <v>492.25110599999999</v>
          </cell>
          <cell r="X278">
            <v>2.47444</v>
          </cell>
          <cell r="Y278">
            <v>0</v>
          </cell>
          <cell r="Z278">
            <v>21.402221999999998</v>
          </cell>
          <cell r="AA278">
            <v>492.25110599999999</v>
          </cell>
        </row>
        <row r="279">
          <cell r="B279" t="str">
            <v>DSC025</v>
          </cell>
          <cell r="C279" t="str">
            <v>SUTURA CAT GUT SIMPLE .:. N° 5/0 C/AGUJA 1.5 CM. 1/2 CIRC.</v>
          </cell>
          <cell r="D279" t="str">
            <v>Sobre estéril</v>
          </cell>
          <cell r="E279">
            <v>66</v>
          </cell>
          <cell r="F279">
            <v>1659.0599520000001</v>
          </cell>
          <cell r="H279">
            <v>0</v>
          </cell>
          <cell r="J279">
            <v>0</v>
          </cell>
          <cell r="M279">
            <v>0</v>
          </cell>
          <cell r="N279">
            <v>0</v>
          </cell>
          <cell r="P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66</v>
          </cell>
          <cell r="V279">
            <v>25.137271999999999</v>
          </cell>
          <cell r="W279">
            <v>1659.0599520000001</v>
          </cell>
          <cell r="X279">
            <v>2.47444</v>
          </cell>
          <cell r="Y279">
            <v>0</v>
          </cell>
          <cell r="Z279">
            <v>25.137271999999999</v>
          </cell>
          <cell r="AA279">
            <v>1659.0599520000001</v>
          </cell>
        </row>
        <row r="280">
          <cell r="B280" t="str">
            <v>DSC029</v>
          </cell>
          <cell r="C280" t="str">
            <v>SUTURA DE SEDA  .:. N° 3/0 C/AGUJA 2.5 1/2 CIRC.</v>
          </cell>
          <cell r="D280" t="str">
            <v>Sobre estéril</v>
          </cell>
          <cell r="E280">
            <v>0</v>
          </cell>
          <cell r="F280">
            <v>0</v>
          </cell>
          <cell r="H280">
            <v>30</v>
          </cell>
          <cell r="J280">
            <v>210</v>
          </cell>
          <cell r="M280">
            <v>0</v>
          </cell>
          <cell r="N280">
            <v>0</v>
          </cell>
          <cell r="P280">
            <v>30</v>
          </cell>
          <cell r="R280">
            <v>210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2.47444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DSC041</v>
          </cell>
          <cell r="C281" t="str">
            <v>SUTURA NYLON .:. N° 1 C/AGUJA 4.0 CM. CUTICULAR</v>
          </cell>
          <cell r="D281" t="str">
            <v>Sobre estéril</v>
          </cell>
          <cell r="E281">
            <v>82</v>
          </cell>
          <cell r="F281">
            <v>764.755944</v>
          </cell>
          <cell r="H281">
            <v>0</v>
          </cell>
          <cell r="J281">
            <v>0</v>
          </cell>
          <cell r="M281">
            <v>0</v>
          </cell>
          <cell r="N281">
            <v>0</v>
          </cell>
          <cell r="P281">
            <v>35</v>
          </cell>
          <cell r="R281">
            <v>326.42021999999997</v>
          </cell>
          <cell r="S281">
            <v>0</v>
          </cell>
          <cell r="T281">
            <v>0</v>
          </cell>
          <cell r="U281">
            <v>47</v>
          </cell>
          <cell r="V281">
            <v>9.3262920000000005</v>
          </cell>
          <cell r="W281">
            <v>438.33572400000003</v>
          </cell>
          <cell r="X281">
            <v>2.47444</v>
          </cell>
          <cell r="Y281">
            <v>0</v>
          </cell>
          <cell r="Z281">
            <v>9.3262920000000005</v>
          </cell>
          <cell r="AA281">
            <v>438.33572400000003</v>
          </cell>
        </row>
        <row r="282">
          <cell r="B282" t="str">
            <v>DSC042</v>
          </cell>
          <cell r="C282" t="str">
            <v>SUTURA NYLON .:. N° 2/0 C/AGUJA 3 CM. CUTICULAR</v>
          </cell>
          <cell r="D282" t="str">
            <v>Sobre estéril</v>
          </cell>
          <cell r="E282">
            <v>17</v>
          </cell>
          <cell r="F282">
            <v>144.36269100000001</v>
          </cell>
          <cell r="H282">
            <v>50</v>
          </cell>
          <cell r="J282">
            <v>420</v>
          </cell>
          <cell r="M282">
            <v>0</v>
          </cell>
          <cell r="N282">
            <v>0</v>
          </cell>
          <cell r="P282">
            <v>37</v>
          </cell>
          <cell r="R282">
            <v>312.36269099999998</v>
          </cell>
          <cell r="S282">
            <v>0</v>
          </cell>
          <cell r="T282">
            <v>0</v>
          </cell>
          <cell r="U282">
            <v>30</v>
          </cell>
          <cell r="V282">
            <v>8.4</v>
          </cell>
          <cell r="W282">
            <v>252</v>
          </cell>
          <cell r="X282">
            <v>2.47444</v>
          </cell>
          <cell r="Y282">
            <v>0</v>
          </cell>
          <cell r="Z282">
            <v>8.4</v>
          </cell>
          <cell r="AA282">
            <v>252</v>
          </cell>
        </row>
        <row r="283">
          <cell r="B283" t="str">
            <v>DSC043</v>
          </cell>
          <cell r="C283" t="str">
            <v>SUTURA NYLON .:. N° 3/0 C/AGUJA 2.5 CM CUTICULAR</v>
          </cell>
          <cell r="D283" t="str">
            <v>Sobre estéril</v>
          </cell>
          <cell r="E283">
            <v>61</v>
          </cell>
          <cell r="F283">
            <v>488</v>
          </cell>
          <cell r="H283">
            <v>170</v>
          </cell>
          <cell r="J283">
            <v>1274</v>
          </cell>
          <cell r="M283">
            <v>1</v>
          </cell>
          <cell r="N283">
            <v>8.4040400000000002</v>
          </cell>
          <cell r="P283">
            <v>215</v>
          </cell>
          <cell r="R283">
            <v>1665.0040400001001</v>
          </cell>
          <cell r="S283">
            <v>0</v>
          </cell>
          <cell r="T283">
            <v>0</v>
          </cell>
          <cell r="U283">
            <v>17</v>
          </cell>
          <cell r="V283">
            <v>6.2</v>
          </cell>
          <cell r="W283">
            <v>105.4</v>
          </cell>
          <cell r="X283">
            <v>2.47444</v>
          </cell>
          <cell r="Y283">
            <v>0</v>
          </cell>
          <cell r="Z283">
            <v>6.2</v>
          </cell>
          <cell r="AA283">
            <v>105.4</v>
          </cell>
        </row>
        <row r="284">
          <cell r="B284" t="str">
            <v>DSC045</v>
          </cell>
          <cell r="C284" t="str">
            <v>SUTURA NYLON .:. N° 5/0 C/AGUJA 1.5 CM CUTICULAR</v>
          </cell>
          <cell r="D284" t="str">
            <v>Sobre estéril</v>
          </cell>
          <cell r="E284">
            <v>11</v>
          </cell>
          <cell r="F284">
            <v>142.81142700000001</v>
          </cell>
          <cell r="H284">
            <v>15</v>
          </cell>
          <cell r="J284">
            <v>93</v>
          </cell>
          <cell r="M284">
            <v>0</v>
          </cell>
          <cell r="N284">
            <v>0</v>
          </cell>
          <cell r="P284">
            <v>19</v>
          </cell>
          <cell r="R284">
            <v>192.411427</v>
          </cell>
          <cell r="S284">
            <v>0</v>
          </cell>
          <cell r="T284">
            <v>0</v>
          </cell>
          <cell r="U284">
            <v>7</v>
          </cell>
          <cell r="V284">
            <v>6.2</v>
          </cell>
          <cell r="W284">
            <v>43.4</v>
          </cell>
          <cell r="X284">
            <v>2.47444</v>
          </cell>
          <cell r="Y284">
            <v>0</v>
          </cell>
          <cell r="Z284">
            <v>6.2</v>
          </cell>
          <cell r="AA284">
            <v>43.4</v>
          </cell>
        </row>
        <row r="285">
          <cell r="B285" t="str">
            <v>DSC054</v>
          </cell>
          <cell r="C285" t="str">
            <v>SUTURA POLIGLACTINA 910 .:. RECUBIERTA CON ESTEARATO DE CALCIO  N°1 C/AGUJA 4 CM. 1/2 CIRC.</v>
          </cell>
          <cell r="D285" t="str">
            <v>Sobre estéril</v>
          </cell>
          <cell r="E285">
            <v>39</v>
          </cell>
          <cell r="F285">
            <v>600.6</v>
          </cell>
          <cell r="H285">
            <v>150</v>
          </cell>
          <cell r="J285">
            <v>1870</v>
          </cell>
          <cell r="M285">
            <v>0</v>
          </cell>
          <cell r="N285">
            <v>0</v>
          </cell>
          <cell r="P285">
            <v>175</v>
          </cell>
          <cell r="R285">
            <v>2295.0615384665002</v>
          </cell>
          <cell r="S285">
            <v>0</v>
          </cell>
          <cell r="T285">
            <v>0</v>
          </cell>
          <cell r="U285">
            <v>14</v>
          </cell>
          <cell r="V285">
            <v>12.5384615385</v>
          </cell>
          <cell r="W285">
            <v>175.538461539</v>
          </cell>
          <cell r="X285">
            <v>2.47444</v>
          </cell>
          <cell r="Y285">
            <v>0</v>
          </cell>
          <cell r="Z285">
            <v>12.5384615385</v>
          </cell>
          <cell r="AA285">
            <v>175.538461539</v>
          </cell>
        </row>
        <row r="286">
          <cell r="B286" t="str">
            <v>DSC056</v>
          </cell>
          <cell r="C286" t="str">
            <v>SUTURA POLIGLACTINA 910 .:. RECUBIERTA CON ESTEARATO DE CALCIO  N°3/ 0 C/AGUJA 2.5 CM. 1/2 CIRC.</v>
          </cell>
          <cell r="D286" t="str">
            <v>Sobre estéril</v>
          </cell>
          <cell r="E286">
            <v>17</v>
          </cell>
          <cell r="F286">
            <v>261.8</v>
          </cell>
          <cell r="H286">
            <v>60</v>
          </cell>
          <cell r="J286">
            <v>984.9</v>
          </cell>
          <cell r="M286">
            <v>1</v>
          </cell>
          <cell r="N286">
            <v>15.4</v>
          </cell>
          <cell r="P286">
            <v>54</v>
          </cell>
          <cell r="R286">
            <v>851.89999999919996</v>
          </cell>
          <cell r="S286">
            <v>0</v>
          </cell>
          <cell r="T286">
            <v>0</v>
          </cell>
          <cell r="U286">
            <v>24</v>
          </cell>
          <cell r="V286">
            <v>17.091666666599998</v>
          </cell>
          <cell r="W286">
            <v>410.19999999840002</v>
          </cell>
          <cell r="X286">
            <v>2.47444</v>
          </cell>
          <cell r="Y286">
            <v>0</v>
          </cell>
          <cell r="Z286">
            <v>17.091666666599998</v>
          </cell>
          <cell r="AA286">
            <v>410.19999999840002</v>
          </cell>
        </row>
        <row r="287">
          <cell r="B287" t="str">
            <v>DSD015</v>
          </cell>
          <cell r="C287" t="str">
            <v>SONDA DE ASPIRACION .:. CON SISTEMA DE CONTROL DE FLUJO N°14</v>
          </cell>
          <cell r="D287" t="str">
            <v>Sobre estéril</v>
          </cell>
          <cell r="E287">
            <v>21</v>
          </cell>
          <cell r="F287">
            <v>73.5</v>
          </cell>
          <cell r="H287">
            <v>20</v>
          </cell>
          <cell r="J287">
            <v>40</v>
          </cell>
          <cell r="M287">
            <v>0</v>
          </cell>
          <cell r="N287">
            <v>0</v>
          </cell>
          <cell r="P287">
            <v>29</v>
          </cell>
          <cell r="R287">
            <v>89.5</v>
          </cell>
          <cell r="S287">
            <v>0</v>
          </cell>
          <cell r="T287">
            <v>0</v>
          </cell>
          <cell r="U287">
            <v>12</v>
          </cell>
          <cell r="V287">
            <v>2</v>
          </cell>
          <cell r="W287">
            <v>24</v>
          </cell>
          <cell r="X287">
            <v>2.47444</v>
          </cell>
          <cell r="Y287">
            <v>0</v>
          </cell>
          <cell r="Z287">
            <v>2</v>
          </cell>
          <cell r="AA287">
            <v>24</v>
          </cell>
        </row>
        <row r="288">
          <cell r="B288" t="str">
            <v>DSD016</v>
          </cell>
          <cell r="C288" t="str">
            <v>SONDA DE ASPIRACION .:. CON SISTEMA DE CONTROL DE FLUJO N°16</v>
          </cell>
          <cell r="D288" t="str">
            <v>Sobre estéril</v>
          </cell>
          <cell r="E288">
            <v>0</v>
          </cell>
          <cell r="F288">
            <v>0</v>
          </cell>
          <cell r="H288">
            <v>90</v>
          </cell>
          <cell r="J288">
            <v>184</v>
          </cell>
          <cell r="M288">
            <v>0</v>
          </cell>
          <cell r="N288">
            <v>0</v>
          </cell>
          <cell r="P288">
            <v>47</v>
          </cell>
          <cell r="R288">
            <v>97.539285714100004</v>
          </cell>
          <cell r="S288">
            <v>0</v>
          </cell>
          <cell r="T288">
            <v>0</v>
          </cell>
          <cell r="U288">
            <v>43</v>
          </cell>
          <cell r="V288">
            <v>2.0107142857000002</v>
          </cell>
          <cell r="W288">
            <v>86.460714285099996</v>
          </cell>
          <cell r="X288">
            <v>2.47444</v>
          </cell>
          <cell r="Y288">
            <v>0</v>
          </cell>
          <cell r="Z288">
            <v>2.0107142857000002</v>
          </cell>
          <cell r="AA288">
            <v>86.460714285099996</v>
          </cell>
        </row>
        <row r="289">
          <cell r="B289" t="str">
            <v>DSD026</v>
          </cell>
          <cell r="C289" t="str">
            <v>SONDA FOLEY .:. SILICONIZADA 2 VÍAS N° 16 CON PICO LUER</v>
          </cell>
          <cell r="D289" t="str">
            <v>Sobre estéril</v>
          </cell>
          <cell r="E289">
            <v>13</v>
          </cell>
          <cell r="F289">
            <v>89.040367000000003</v>
          </cell>
          <cell r="H289">
            <v>60</v>
          </cell>
          <cell r="J289">
            <v>394.2</v>
          </cell>
          <cell r="M289">
            <v>0</v>
          </cell>
          <cell r="N289">
            <v>0</v>
          </cell>
          <cell r="P289">
            <v>66</v>
          </cell>
          <cell r="R289">
            <v>437.07265672620002</v>
          </cell>
          <cell r="S289">
            <v>0</v>
          </cell>
          <cell r="T289">
            <v>0</v>
          </cell>
          <cell r="U289">
            <v>7</v>
          </cell>
          <cell r="V289">
            <v>6.5953871817999996</v>
          </cell>
          <cell r="W289">
            <v>46.167710272599997</v>
          </cell>
          <cell r="X289">
            <v>2.47444</v>
          </cell>
          <cell r="Y289">
            <v>0</v>
          </cell>
          <cell r="Z289">
            <v>6.5953871817999996</v>
          </cell>
          <cell r="AA289">
            <v>46.167710272599997</v>
          </cell>
        </row>
        <row r="290">
          <cell r="B290" t="str">
            <v>DSD027</v>
          </cell>
          <cell r="C290" t="str">
            <v>SONDA FOLEY .:. SILICONIZADA 2 VIAS N° 18 CON PICO LUER</v>
          </cell>
          <cell r="D290" t="str">
            <v>Sobre estéril</v>
          </cell>
          <cell r="E290">
            <v>23</v>
          </cell>
          <cell r="F290">
            <v>165.624978</v>
          </cell>
          <cell r="H290">
            <v>30</v>
          </cell>
          <cell r="J290">
            <v>209.4</v>
          </cell>
          <cell r="M290">
            <v>0</v>
          </cell>
          <cell r="N290">
            <v>0</v>
          </cell>
          <cell r="P290">
            <v>21</v>
          </cell>
          <cell r="R290">
            <v>151.22280599999999</v>
          </cell>
          <cell r="S290">
            <v>0</v>
          </cell>
          <cell r="T290">
            <v>0</v>
          </cell>
          <cell r="U290">
            <v>32</v>
          </cell>
          <cell r="V290">
            <v>6.9938178750000004</v>
          </cell>
          <cell r="W290">
            <v>223.80217200000001</v>
          </cell>
          <cell r="X290">
            <v>2.47444</v>
          </cell>
          <cell r="Y290">
            <v>0</v>
          </cell>
          <cell r="Z290">
            <v>6.9938178750000004</v>
          </cell>
          <cell r="AA290">
            <v>223.80217200000001</v>
          </cell>
        </row>
        <row r="291">
          <cell r="B291" t="str">
            <v>DSD041</v>
          </cell>
          <cell r="C291" t="str">
            <v>SONDA NASOGASTRICA .:. N°16</v>
          </cell>
          <cell r="D291" t="str">
            <v>Sobre estéril</v>
          </cell>
          <cell r="E291">
            <v>7</v>
          </cell>
          <cell r="F291">
            <v>24.5</v>
          </cell>
          <cell r="H291">
            <v>70</v>
          </cell>
          <cell r="J291">
            <v>173.6</v>
          </cell>
          <cell r="M291">
            <v>0</v>
          </cell>
          <cell r="N291">
            <v>0</v>
          </cell>
          <cell r="P291">
            <v>20</v>
          </cell>
          <cell r="R291">
            <v>56.74</v>
          </cell>
          <cell r="S291">
            <v>0</v>
          </cell>
          <cell r="T291">
            <v>0</v>
          </cell>
          <cell r="U291">
            <v>57</v>
          </cell>
          <cell r="V291">
            <v>2.48</v>
          </cell>
          <cell r="W291">
            <v>141.36000000000001</v>
          </cell>
          <cell r="X291">
            <v>2.47444</v>
          </cell>
          <cell r="Y291">
            <v>0</v>
          </cell>
          <cell r="Z291">
            <v>2.48</v>
          </cell>
          <cell r="AA291">
            <v>141.36000000000001</v>
          </cell>
        </row>
        <row r="292">
          <cell r="B292" t="str">
            <v>DSG0031</v>
          </cell>
          <cell r="C292" t="str">
            <v>ALCOHOL EN GEL .:. SOLUCION ALCOHOL 70% C/GLICERINA</v>
          </cell>
          <cell r="D292" t="str">
            <v>Frasco de 5000 ml</v>
          </cell>
          <cell r="E292">
            <v>35</v>
          </cell>
          <cell r="F292">
            <v>5370.5627850000001</v>
          </cell>
          <cell r="H292">
            <v>0</v>
          </cell>
          <cell r="J292">
            <v>0</v>
          </cell>
          <cell r="M292">
            <v>0</v>
          </cell>
          <cell r="N292">
            <v>0</v>
          </cell>
          <cell r="P292">
            <v>7</v>
          </cell>
          <cell r="R292">
            <v>1074.1125569999999</v>
          </cell>
          <cell r="S292">
            <v>0</v>
          </cell>
          <cell r="T292">
            <v>0</v>
          </cell>
          <cell r="U292">
            <v>28</v>
          </cell>
          <cell r="V292">
            <v>153.44465099999999</v>
          </cell>
          <cell r="W292">
            <v>4296.4502279999997</v>
          </cell>
          <cell r="X292">
            <v>2.47444</v>
          </cell>
          <cell r="Y292">
            <v>0</v>
          </cell>
          <cell r="Z292">
            <v>153.44465099999999</v>
          </cell>
          <cell r="AA292">
            <v>4296.4502279999997</v>
          </cell>
        </row>
        <row r="293">
          <cell r="B293" t="str">
            <v>DSG007</v>
          </cell>
          <cell r="C293" t="str">
            <v>DETERGENTE MULTIENZIMATICO .:. SOLUCION SIN ESPUMA DE 4 ENZIMAS</v>
          </cell>
          <cell r="D293" t="str">
            <v>Bidón</v>
          </cell>
          <cell r="E293">
            <v>0</v>
          </cell>
          <cell r="F293">
            <v>0</v>
          </cell>
          <cell r="H293">
            <v>3</v>
          </cell>
          <cell r="J293">
            <v>2670</v>
          </cell>
          <cell r="M293">
            <v>0</v>
          </cell>
          <cell r="N293">
            <v>0</v>
          </cell>
          <cell r="P293">
            <v>3</v>
          </cell>
          <cell r="R293">
            <v>2670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2.47444</v>
          </cell>
          <cell r="Y293">
            <v>0</v>
          </cell>
          <cell r="Z293">
            <v>0</v>
          </cell>
          <cell r="AA293">
            <v>0</v>
          </cell>
        </row>
        <row r="294">
          <cell r="B294" t="str">
            <v>DSG008</v>
          </cell>
          <cell r="C294" t="str">
            <v>GEL PARA DOOPLER .:. GEL</v>
          </cell>
          <cell r="D294" t="str">
            <v>Frasco de 5000 ml</v>
          </cell>
          <cell r="E294">
            <v>0</v>
          </cell>
          <cell r="F294">
            <v>0</v>
          </cell>
          <cell r="H294">
            <v>3</v>
          </cell>
          <cell r="J294">
            <v>480</v>
          </cell>
          <cell r="M294">
            <v>0</v>
          </cell>
          <cell r="N294">
            <v>0</v>
          </cell>
          <cell r="P294">
            <v>2</v>
          </cell>
          <cell r="R294">
            <v>320</v>
          </cell>
          <cell r="S294">
            <v>0</v>
          </cell>
          <cell r="T294">
            <v>0</v>
          </cell>
          <cell r="U294">
            <v>1</v>
          </cell>
          <cell r="V294">
            <v>160</v>
          </cell>
          <cell r="W294">
            <v>160</v>
          </cell>
          <cell r="X294">
            <v>2.47444</v>
          </cell>
          <cell r="Y294">
            <v>0</v>
          </cell>
          <cell r="Z294">
            <v>160</v>
          </cell>
          <cell r="AA294">
            <v>160</v>
          </cell>
        </row>
        <row r="295">
          <cell r="B295" t="str">
            <v>DTO003</v>
          </cell>
          <cell r="C295" t="str">
            <v>BIGOTERA PARA OXIGENO .:. SILICONADO (ADULTO)</v>
          </cell>
          <cell r="D295" t="str">
            <v>Pieza</v>
          </cell>
          <cell r="E295">
            <v>20</v>
          </cell>
          <cell r="F295">
            <v>150</v>
          </cell>
          <cell r="H295">
            <v>0</v>
          </cell>
          <cell r="J295">
            <v>0</v>
          </cell>
          <cell r="M295">
            <v>0</v>
          </cell>
          <cell r="N295">
            <v>0</v>
          </cell>
          <cell r="P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20</v>
          </cell>
          <cell r="V295">
            <v>7.5</v>
          </cell>
          <cell r="W295">
            <v>150</v>
          </cell>
          <cell r="X295">
            <v>2.47444</v>
          </cell>
          <cell r="Y295">
            <v>0</v>
          </cell>
          <cell r="Z295">
            <v>7.5</v>
          </cell>
          <cell r="AA295">
            <v>150</v>
          </cell>
        </row>
        <row r="296">
          <cell r="B296" t="str">
            <v>DTO006</v>
          </cell>
          <cell r="C296" t="str">
            <v>CANULA DE GUEDELL .:. ADULTO</v>
          </cell>
          <cell r="D296" t="str">
            <v>Juego x 5 piezas</v>
          </cell>
          <cell r="E296">
            <v>24</v>
          </cell>
          <cell r="F296">
            <v>120</v>
          </cell>
          <cell r="H296">
            <v>0</v>
          </cell>
          <cell r="J296">
            <v>0</v>
          </cell>
          <cell r="M296">
            <v>0</v>
          </cell>
          <cell r="N296">
            <v>0</v>
          </cell>
          <cell r="P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24</v>
          </cell>
          <cell r="V296">
            <v>5</v>
          </cell>
          <cell r="W296">
            <v>120</v>
          </cell>
          <cell r="X296">
            <v>2.47444</v>
          </cell>
          <cell r="Y296">
            <v>0</v>
          </cell>
          <cell r="Z296">
            <v>5</v>
          </cell>
          <cell r="AA296">
            <v>120</v>
          </cell>
        </row>
        <row r="297">
          <cell r="B297" t="str">
            <v>DTO013</v>
          </cell>
          <cell r="C297" t="str">
            <v>CANULA DE TRAQUEOSTOMIA .:. NO. 7</v>
          </cell>
          <cell r="D297" t="str">
            <v>Sobre estéril</v>
          </cell>
          <cell r="E297">
            <v>2</v>
          </cell>
          <cell r="F297">
            <v>454</v>
          </cell>
          <cell r="H297">
            <v>0</v>
          </cell>
          <cell r="J297">
            <v>0</v>
          </cell>
          <cell r="M297">
            <v>0</v>
          </cell>
          <cell r="N297">
            <v>0</v>
          </cell>
          <cell r="P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2</v>
          </cell>
          <cell r="V297">
            <v>227</v>
          </cell>
          <cell r="W297">
            <v>454</v>
          </cell>
          <cell r="X297">
            <v>2.47444</v>
          </cell>
          <cell r="Y297">
            <v>0</v>
          </cell>
          <cell r="Z297">
            <v>227</v>
          </cell>
          <cell r="AA297">
            <v>454</v>
          </cell>
        </row>
        <row r="298">
          <cell r="B298" t="str">
            <v>DTO015</v>
          </cell>
          <cell r="C298" t="str">
            <v>CANULA DE TRAQUEOSTOMIA .:. NO. 8</v>
          </cell>
          <cell r="D298" t="str">
            <v>Sobre estéril</v>
          </cell>
          <cell r="E298">
            <v>3</v>
          </cell>
          <cell r="F298">
            <v>681</v>
          </cell>
          <cell r="H298">
            <v>0</v>
          </cell>
          <cell r="J298">
            <v>0</v>
          </cell>
          <cell r="M298">
            <v>0</v>
          </cell>
          <cell r="N298">
            <v>0</v>
          </cell>
          <cell r="P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3</v>
          </cell>
          <cell r="V298">
            <v>227</v>
          </cell>
          <cell r="W298">
            <v>681</v>
          </cell>
          <cell r="X298">
            <v>2.47444</v>
          </cell>
          <cell r="Y298">
            <v>0</v>
          </cell>
          <cell r="Z298">
            <v>227</v>
          </cell>
          <cell r="AA298">
            <v>681</v>
          </cell>
        </row>
        <row r="299">
          <cell r="B299" t="str">
            <v>DTO030</v>
          </cell>
          <cell r="C299" t="str">
            <v>MASCARILLA .:. PARA ADULTO CON RESERVORIO</v>
          </cell>
          <cell r="D299" t="str">
            <v>Pieza</v>
          </cell>
          <cell r="E299">
            <v>24</v>
          </cell>
          <cell r="F299">
            <v>1092</v>
          </cell>
          <cell r="H299">
            <v>0</v>
          </cell>
          <cell r="J299">
            <v>0</v>
          </cell>
          <cell r="M299">
            <v>0</v>
          </cell>
          <cell r="N299">
            <v>0</v>
          </cell>
          <cell r="P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24</v>
          </cell>
          <cell r="V299">
            <v>45.5</v>
          </cell>
          <cell r="W299">
            <v>1092</v>
          </cell>
          <cell r="X299">
            <v>2.47444</v>
          </cell>
          <cell r="Y299">
            <v>0</v>
          </cell>
          <cell r="Z299">
            <v>45.5</v>
          </cell>
          <cell r="AA299">
            <v>1092</v>
          </cell>
        </row>
        <row r="300">
          <cell r="B300" t="str">
            <v>DTO039</v>
          </cell>
          <cell r="C300" t="str">
            <v>SISTEMA CERRADO DE ASPIRACION TRAQUEAL .:. NO. 16</v>
          </cell>
          <cell r="D300" t="str">
            <v>Sobre estéril</v>
          </cell>
          <cell r="E300">
            <v>13</v>
          </cell>
          <cell r="F300">
            <v>1834.4444430000001</v>
          </cell>
          <cell r="H300">
            <v>0</v>
          </cell>
          <cell r="J300">
            <v>0</v>
          </cell>
          <cell r="M300">
            <v>0</v>
          </cell>
          <cell r="N300">
            <v>0</v>
          </cell>
          <cell r="P300">
            <v>1</v>
          </cell>
          <cell r="R300">
            <v>141.11111099999999</v>
          </cell>
          <cell r="S300">
            <v>0</v>
          </cell>
          <cell r="T300">
            <v>0</v>
          </cell>
          <cell r="U300">
            <v>12</v>
          </cell>
          <cell r="V300">
            <v>141.11111099999999</v>
          </cell>
          <cell r="W300">
            <v>1693.3333319999999</v>
          </cell>
          <cell r="X300">
            <v>2.47444</v>
          </cell>
          <cell r="Y300">
            <v>0</v>
          </cell>
          <cell r="Z300">
            <v>141.11111099999999</v>
          </cell>
          <cell r="AA300">
            <v>1693.3333319999999</v>
          </cell>
        </row>
        <row r="301">
          <cell r="B301" t="str">
            <v>DTO044</v>
          </cell>
          <cell r="C301" t="str">
            <v>TUBO CORRUGADO .:. ADULTO PARA MAQUINA DE ANESTESIA</v>
          </cell>
          <cell r="D301" t="str">
            <v>Sobre estéril</v>
          </cell>
          <cell r="E301">
            <v>2</v>
          </cell>
          <cell r="F301">
            <v>500</v>
          </cell>
          <cell r="H301">
            <v>0</v>
          </cell>
          <cell r="J301">
            <v>0</v>
          </cell>
          <cell r="M301">
            <v>0</v>
          </cell>
          <cell r="N301">
            <v>0</v>
          </cell>
          <cell r="P301">
            <v>1</v>
          </cell>
          <cell r="R301">
            <v>250</v>
          </cell>
          <cell r="S301">
            <v>0</v>
          </cell>
          <cell r="T301">
            <v>0</v>
          </cell>
          <cell r="U301">
            <v>1</v>
          </cell>
          <cell r="V301">
            <v>250</v>
          </cell>
          <cell r="W301">
            <v>250</v>
          </cell>
          <cell r="X301">
            <v>2.47444</v>
          </cell>
          <cell r="Y301">
            <v>0</v>
          </cell>
          <cell r="Z301">
            <v>250</v>
          </cell>
          <cell r="AA301">
            <v>250</v>
          </cell>
        </row>
        <row r="302">
          <cell r="B302" t="str">
            <v>DTO045</v>
          </cell>
          <cell r="C302" t="str">
            <v>TUBO ENDOTRAQUEAL .:. PREFORMADO ORAL N° 3.5 C/BALON</v>
          </cell>
          <cell r="D302" t="str">
            <v>Sobre estéril</v>
          </cell>
          <cell r="E302">
            <v>1</v>
          </cell>
          <cell r="F302">
            <v>7.52</v>
          </cell>
          <cell r="H302">
            <v>0</v>
          </cell>
          <cell r="J302">
            <v>0</v>
          </cell>
          <cell r="M302">
            <v>0</v>
          </cell>
          <cell r="N302">
            <v>0</v>
          </cell>
          <cell r="P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1</v>
          </cell>
          <cell r="V302">
            <v>7.52</v>
          </cell>
          <cell r="W302">
            <v>7.52</v>
          </cell>
          <cell r="X302">
            <v>2.47444</v>
          </cell>
          <cell r="Y302">
            <v>0</v>
          </cell>
          <cell r="Z302">
            <v>7.52</v>
          </cell>
          <cell r="AA302">
            <v>7.52</v>
          </cell>
        </row>
        <row r="303">
          <cell r="B303" t="str">
            <v>DTO051</v>
          </cell>
          <cell r="C303" t="str">
            <v>TUBO ENDOTRAQUEAL .:. PREFORMADO ORAL N°6.5 C/BALON</v>
          </cell>
          <cell r="D303" t="str">
            <v>Sobre estéril</v>
          </cell>
          <cell r="E303">
            <v>12</v>
          </cell>
          <cell r="F303">
            <v>120</v>
          </cell>
          <cell r="H303">
            <v>30</v>
          </cell>
          <cell r="J303">
            <v>185.4</v>
          </cell>
          <cell r="M303">
            <v>0</v>
          </cell>
          <cell r="N303">
            <v>0</v>
          </cell>
          <cell r="P303">
            <v>20</v>
          </cell>
          <cell r="R303">
            <v>169.44</v>
          </cell>
          <cell r="S303">
            <v>0</v>
          </cell>
          <cell r="T303">
            <v>0</v>
          </cell>
          <cell r="U303">
            <v>22</v>
          </cell>
          <cell r="V303">
            <v>6.18</v>
          </cell>
          <cell r="W303">
            <v>135.96</v>
          </cell>
          <cell r="X303">
            <v>2.47444</v>
          </cell>
          <cell r="Y303">
            <v>0</v>
          </cell>
          <cell r="Z303">
            <v>6.18</v>
          </cell>
          <cell r="AA303">
            <v>135.96</v>
          </cell>
        </row>
        <row r="304">
          <cell r="B304" t="str">
            <v>DTO052</v>
          </cell>
          <cell r="C304" t="str">
            <v>TUBO ENDOTRAQUEAL .:. PREFORMADO ORAL N° 7 C/BALON</v>
          </cell>
          <cell r="D304" t="str">
            <v>Sobre estéril</v>
          </cell>
          <cell r="E304">
            <v>0</v>
          </cell>
          <cell r="F304">
            <v>0</v>
          </cell>
          <cell r="H304">
            <v>45</v>
          </cell>
          <cell r="J304">
            <v>315</v>
          </cell>
          <cell r="M304">
            <v>0</v>
          </cell>
          <cell r="N304">
            <v>0</v>
          </cell>
          <cell r="P304">
            <v>29</v>
          </cell>
          <cell r="R304">
            <v>203</v>
          </cell>
          <cell r="S304">
            <v>0</v>
          </cell>
          <cell r="T304">
            <v>0</v>
          </cell>
          <cell r="U304">
            <v>16</v>
          </cell>
          <cell r="V304">
            <v>7</v>
          </cell>
          <cell r="W304">
            <v>112</v>
          </cell>
          <cell r="X304">
            <v>2.47444</v>
          </cell>
          <cell r="Y304">
            <v>0</v>
          </cell>
          <cell r="Z304">
            <v>7</v>
          </cell>
          <cell r="AA304">
            <v>112</v>
          </cell>
        </row>
        <row r="305">
          <cell r="B305" t="str">
            <v>DTO054</v>
          </cell>
          <cell r="C305" t="str">
            <v>TUBO ENDOTRAQUEAL .:. PREFORMADO ORAL N° 8 C/BALON</v>
          </cell>
          <cell r="D305" t="str">
            <v>Sobre estéril</v>
          </cell>
          <cell r="E305">
            <v>3</v>
          </cell>
          <cell r="F305">
            <v>23.97</v>
          </cell>
          <cell r="H305">
            <v>20</v>
          </cell>
          <cell r="J305">
            <v>180</v>
          </cell>
          <cell r="M305">
            <v>0</v>
          </cell>
          <cell r="N305">
            <v>0</v>
          </cell>
          <cell r="P305">
            <v>4</v>
          </cell>
          <cell r="R305">
            <v>33.883809523799997</v>
          </cell>
          <cell r="S305">
            <v>0</v>
          </cell>
          <cell r="T305">
            <v>0</v>
          </cell>
          <cell r="U305">
            <v>19</v>
          </cell>
          <cell r="V305">
            <v>8.9519047618999998</v>
          </cell>
          <cell r="W305">
            <v>170.0861904761</v>
          </cell>
          <cell r="X305">
            <v>2.47444</v>
          </cell>
          <cell r="Y305">
            <v>0</v>
          </cell>
          <cell r="Z305">
            <v>8.9519047618999998</v>
          </cell>
          <cell r="AA305">
            <v>170.0861904761</v>
          </cell>
        </row>
        <row r="306">
          <cell r="B306" t="str">
            <v>DUG002</v>
          </cell>
          <cell r="C306" t="str">
            <v>ESPATULAS DE AYRE .:. BOLSA X 100</v>
          </cell>
          <cell r="D306" t="str">
            <v>Bolsa x 100 U</v>
          </cell>
          <cell r="E306">
            <v>2</v>
          </cell>
          <cell r="F306">
            <v>33.25</v>
          </cell>
          <cell r="H306">
            <v>0</v>
          </cell>
          <cell r="J306">
            <v>0</v>
          </cell>
          <cell r="M306">
            <v>0</v>
          </cell>
          <cell r="N306">
            <v>0</v>
          </cell>
          <cell r="P306">
            <v>2</v>
          </cell>
          <cell r="R306">
            <v>33.25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2.47444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EX-01-021</v>
          </cell>
          <cell r="C307" t="str">
            <v>DILTIAZEN   DILTIAZEN*   60 MG .:. 60 MG</v>
          </cell>
          <cell r="D307" t="str">
            <v>Comprimido</v>
          </cell>
          <cell r="E307">
            <v>0</v>
          </cell>
          <cell r="F307">
            <v>0</v>
          </cell>
          <cell r="H307">
            <v>660</v>
          </cell>
          <cell r="J307">
            <v>1452</v>
          </cell>
          <cell r="M307">
            <v>0</v>
          </cell>
          <cell r="N307">
            <v>0</v>
          </cell>
          <cell r="P307">
            <v>600</v>
          </cell>
          <cell r="R307">
            <v>1320</v>
          </cell>
          <cell r="S307">
            <v>0</v>
          </cell>
          <cell r="T307">
            <v>0</v>
          </cell>
          <cell r="U307">
            <v>60</v>
          </cell>
          <cell r="V307">
            <v>2.2000000000000002</v>
          </cell>
          <cell r="W307">
            <v>132</v>
          </cell>
          <cell r="X307">
            <v>2.47444</v>
          </cell>
          <cell r="Y307">
            <v>0</v>
          </cell>
          <cell r="Z307">
            <v>2.2000000000000002</v>
          </cell>
          <cell r="AA307">
            <v>132</v>
          </cell>
        </row>
        <row r="308">
          <cell r="B308" t="str">
            <v>EX-01-04</v>
          </cell>
          <cell r="C308" t="str">
            <v>TELMISARTAN + HIDROCLOROTIAZIDA TELMISARTAN + HIDROCLOROTIAZIDA 40/12.5 MG .:. 40/12.5 MG</v>
          </cell>
          <cell r="D308" t="str">
            <v>Comprimido</v>
          </cell>
          <cell r="E308">
            <v>0</v>
          </cell>
          <cell r="F308">
            <v>0</v>
          </cell>
          <cell r="H308">
            <v>120</v>
          </cell>
          <cell r="J308">
            <v>756</v>
          </cell>
          <cell r="M308">
            <v>0</v>
          </cell>
          <cell r="N308">
            <v>0</v>
          </cell>
          <cell r="P308">
            <v>90</v>
          </cell>
          <cell r="R308">
            <v>567</v>
          </cell>
          <cell r="S308">
            <v>30</v>
          </cell>
          <cell r="T308">
            <v>189</v>
          </cell>
          <cell r="U308">
            <v>0</v>
          </cell>
          <cell r="V308">
            <v>0</v>
          </cell>
          <cell r="W308">
            <v>0</v>
          </cell>
          <cell r="X308">
            <v>2.47444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EX-01-042</v>
          </cell>
          <cell r="C309" t="str">
            <v>TELMISARTAN TELMISARTAN 80MG .:. 80MG</v>
          </cell>
          <cell r="D309" t="str">
            <v>Comprimido ranurado</v>
          </cell>
          <cell r="E309">
            <v>0</v>
          </cell>
          <cell r="F309">
            <v>0</v>
          </cell>
          <cell r="H309">
            <v>360</v>
          </cell>
          <cell r="J309">
            <v>2040</v>
          </cell>
          <cell r="M309">
            <v>0</v>
          </cell>
          <cell r="N309">
            <v>0</v>
          </cell>
          <cell r="P309">
            <v>240</v>
          </cell>
          <cell r="R309">
            <v>1296</v>
          </cell>
          <cell r="S309">
            <v>0</v>
          </cell>
          <cell r="T309">
            <v>0</v>
          </cell>
          <cell r="U309">
            <v>120</v>
          </cell>
          <cell r="V309">
            <v>6.2</v>
          </cell>
          <cell r="W309">
            <v>744</v>
          </cell>
          <cell r="X309">
            <v>2.47444</v>
          </cell>
          <cell r="Y309">
            <v>0</v>
          </cell>
          <cell r="Z309">
            <v>6.2</v>
          </cell>
          <cell r="AA309">
            <v>744</v>
          </cell>
        </row>
        <row r="310">
          <cell r="B310" t="str">
            <v>EX-01-15</v>
          </cell>
          <cell r="C310" t="str">
            <v>RIBAROXABAN RIBAROXABAN 15 MG .:. 15 MG</v>
          </cell>
          <cell r="D310" t="str">
            <v>Comprimido</v>
          </cell>
          <cell r="E310">
            <v>0</v>
          </cell>
          <cell r="F310">
            <v>0</v>
          </cell>
          <cell r="H310">
            <v>480</v>
          </cell>
          <cell r="J310">
            <v>5280</v>
          </cell>
          <cell r="M310">
            <v>0</v>
          </cell>
          <cell r="N310">
            <v>0</v>
          </cell>
          <cell r="P310">
            <v>210</v>
          </cell>
          <cell r="R310">
            <v>2310</v>
          </cell>
          <cell r="S310">
            <v>0</v>
          </cell>
          <cell r="T310">
            <v>0</v>
          </cell>
          <cell r="U310">
            <v>270</v>
          </cell>
          <cell r="V310">
            <v>11</v>
          </cell>
          <cell r="W310">
            <v>2970</v>
          </cell>
          <cell r="X310">
            <v>2.47444</v>
          </cell>
          <cell r="Y310">
            <v>0</v>
          </cell>
          <cell r="Z310">
            <v>11</v>
          </cell>
          <cell r="AA310">
            <v>2970</v>
          </cell>
        </row>
        <row r="311">
          <cell r="B311" t="str">
            <v>EX-01-19</v>
          </cell>
          <cell r="C311" t="str">
            <v>IVABRADINA .:. 7.5 MG</v>
          </cell>
          <cell r="D311" t="str">
            <v>Comprimido</v>
          </cell>
          <cell r="E311">
            <v>0</v>
          </cell>
          <cell r="F311">
            <v>0</v>
          </cell>
          <cell r="H311">
            <v>240</v>
          </cell>
          <cell r="J311">
            <v>1920</v>
          </cell>
          <cell r="M311">
            <v>0</v>
          </cell>
          <cell r="N311">
            <v>0</v>
          </cell>
          <cell r="P311">
            <v>180</v>
          </cell>
          <cell r="R311">
            <v>1440</v>
          </cell>
          <cell r="S311">
            <v>60</v>
          </cell>
          <cell r="T311">
            <v>480</v>
          </cell>
          <cell r="U311">
            <v>0</v>
          </cell>
          <cell r="V311">
            <v>0</v>
          </cell>
          <cell r="W311">
            <v>0</v>
          </cell>
          <cell r="X311">
            <v>2.47444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EXDMQ1</v>
          </cell>
          <cell r="C312" t="str">
            <v xml:space="preserve">CUPULA CEMENTADA  .:. VARIABLE </v>
          </cell>
          <cell r="D312" t="str">
            <v>Pieza</v>
          </cell>
          <cell r="E312">
            <v>0</v>
          </cell>
          <cell r="F312">
            <v>0</v>
          </cell>
          <cell r="H312">
            <v>1</v>
          </cell>
          <cell r="J312">
            <v>11900</v>
          </cell>
          <cell r="M312">
            <v>0</v>
          </cell>
          <cell r="N312">
            <v>0</v>
          </cell>
          <cell r="P312">
            <v>1</v>
          </cell>
          <cell r="R312">
            <v>11900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2.47444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G-01-01</v>
          </cell>
          <cell r="C313" t="str">
            <v>ACIDO ACETICO (ACIDO TRICLOROACETICO) .:. 0.5</v>
          </cell>
          <cell r="D313" t="str">
            <v>Solución tópica</v>
          </cell>
          <cell r="E313">
            <v>3</v>
          </cell>
          <cell r="F313">
            <v>192.969999</v>
          </cell>
          <cell r="H313">
            <v>0</v>
          </cell>
          <cell r="J313">
            <v>0</v>
          </cell>
          <cell r="M313">
            <v>0</v>
          </cell>
          <cell r="N313">
            <v>0</v>
          </cell>
          <cell r="P313">
            <v>1</v>
          </cell>
          <cell r="R313">
            <v>64.323333000000005</v>
          </cell>
          <cell r="S313">
            <v>2</v>
          </cell>
          <cell r="T313">
            <v>128.64666600000001</v>
          </cell>
          <cell r="U313">
            <v>0</v>
          </cell>
          <cell r="V313">
            <v>0</v>
          </cell>
          <cell r="W313">
            <v>0</v>
          </cell>
          <cell r="X313">
            <v>2.47444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G-01-02</v>
          </cell>
          <cell r="C314" t="str">
            <v>CLOTRIMAZOL .:. 100 mg</v>
          </cell>
          <cell r="D314" t="str">
            <v>Ovulo</v>
          </cell>
          <cell r="E314">
            <v>36</v>
          </cell>
          <cell r="F314">
            <v>56.16</v>
          </cell>
          <cell r="H314">
            <v>800</v>
          </cell>
          <cell r="J314">
            <v>806</v>
          </cell>
          <cell r="M314">
            <v>5</v>
          </cell>
          <cell r="N314">
            <v>4.8437299999999999</v>
          </cell>
          <cell r="P314">
            <v>524</v>
          </cell>
          <cell r="R314">
            <v>559.33272186520003</v>
          </cell>
          <cell r="S314">
            <v>0</v>
          </cell>
          <cell r="T314">
            <v>0</v>
          </cell>
          <cell r="U314">
            <v>317</v>
          </cell>
          <cell r="V314">
            <v>0.97057100360000004</v>
          </cell>
          <cell r="W314">
            <v>307.67100814119999</v>
          </cell>
          <cell r="X314">
            <v>2.47444</v>
          </cell>
          <cell r="Y314">
            <v>0</v>
          </cell>
          <cell r="Z314">
            <v>0.97057100360000004</v>
          </cell>
          <cell r="AA314">
            <v>307.67100814119999</v>
          </cell>
        </row>
        <row r="315">
          <cell r="B315" t="str">
            <v>G-01-03</v>
          </cell>
          <cell r="C315" t="str">
            <v>CLOTRIMAZOL .:. 0.01</v>
          </cell>
          <cell r="D315" t="str">
            <v>Crema vaginal</v>
          </cell>
          <cell r="E315">
            <v>3</v>
          </cell>
          <cell r="F315">
            <v>30.224094000000001</v>
          </cell>
          <cell r="H315">
            <v>95</v>
          </cell>
          <cell r="J315">
            <v>940.5</v>
          </cell>
          <cell r="M315">
            <v>0</v>
          </cell>
          <cell r="N315">
            <v>0</v>
          </cell>
          <cell r="P315">
            <v>80</v>
          </cell>
          <cell r="R315">
            <v>792.52409399999999</v>
          </cell>
          <cell r="S315">
            <v>0</v>
          </cell>
          <cell r="T315">
            <v>0</v>
          </cell>
          <cell r="U315">
            <v>18</v>
          </cell>
          <cell r="V315">
            <v>9.9</v>
          </cell>
          <cell r="W315">
            <v>178.2</v>
          </cell>
          <cell r="X315">
            <v>2.47444</v>
          </cell>
          <cell r="Y315">
            <v>0</v>
          </cell>
          <cell r="Z315">
            <v>9.9</v>
          </cell>
          <cell r="AA315">
            <v>178.2</v>
          </cell>
        </row>
        <row r="316">
          <cell r="B316" t="str">
            <v>G-01-04</v>
          </cell>
          <cell r="C316" t="str">
            <v>METRONIDAZOL .:. 500 mg</v>
          </cell>
          <cell r="D316" t="str">
            <v>Óvulo</v>
          </cell>
          <cell r="E316">
            <v>136</v>
          </cell>
          <cell r="F316">
            <v>145.52000000000001</v>
          </cell>
          <cell r="H316">
            <v>2000</v>
          </cell>
          <cell r="J316">
            <v>2356</v>
          </cell>
          <cell r="M316">
            <v>0</v>
          </cell>
          <cell r="N316">
            <v>0</v>
          </cell>
          <cell r="P316">
            <v>1600</v>
          </cell>
          <cell r="R316">
            <v>1842.24</v>
          </cell>
          <cell r="S316">
            <v>0</v>
          </cell>
          <cell r="T316">
            <v>0</v>
          </cell>
          <cell r="U316">
            <v>536</v>
          </cell>
          <cell r="V316">
            <v>1.23</v>
          </cell>
          <cell r="W316">
            <v>659.28</v>
          </cell>
          <cell r="X316">
            <v>2.47444</v>
          </cell>
          <cell r="Y316">
            <v>0</v>
          </cell>
          <cell r="Z316">
            <v>1.23</v>
          </cell>
          <cell r="AA316">
            <v>659.28</v>
          </cell>
        </row>
        <row r="317">
          <cell r="B317" t="str">
            <v>G-01-05</v>
          </cell>
          <cell r="C317" t="str">
            <v>NISTATINA .:. 100.000 UI</v>
          </cell>
          <cell r="D317" t="str">
            <v>Ovulo</v>
          </cell>
          <cell r="E317">
            <v>3</v>
          </cell>
          <cell r="F317">
            <v>5.7399990000000001</v>
          </cell>
          <cell r="H317">
            <v>0</v>
          </cell>
          <cell r="J317">
            <v>0</v>
          </cell>
          <cell r="M317">
            <v>0</v>
          </cell>
          <cell r="N317">
            <v>0</v>
          </cell>
          <cell r="P317">
            <v>3</v>
          </cell>
          <cell r="R317">
            <v>5.7399990000000001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2.47444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G-02-03</v>
          </cell>
          <cell r="C318" t="str">
            <v>ERGOMETRINA MALEATO .:. 0,2 mg</v>
          </cell>
          <cell r="D318" t="str">
            <v>Comprimido</v>
          </cell>
          <cell r="E318">
            <v>30</v>
          </cell>
          <cell r="F318">
            <v>51.60951</v>
          </cell>
          <cell r="H318">
            <v>0</v>
          </cell>
          <cell r="J318">
            <v>0</v>
          </cell>
          <cell r="M318">
            <v>0</v>
          </cell>
          <cell r="N318">
            <v>0</v>
          </cell>
          <cell r="P318">
            <v>30</v>
          </cell>
          <cell r="R318">
            <v>51.60951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2.47444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G-02-04</v>
          </cell>
          <cell r="C319" t="str">
            <v>ERGOMETRINA MALEATO .:. 0,2 mg/ml</v>
          </cell>
          <cell r="D319" t="str">
            <v>Inyectable</v>
          </cell>
          <cell r="E319">
            <v>17</v>
          </cell>
          <cell r="F319">
            <v>117.3</v>
          </cell>
          <cell r="H319">
            <v>50</v>
          </cell>
          <cell r="J319">
            <v>400</v>
          </cell>
          <cell r="M319">
            <v>1</v>
          </cell>
          <cell r="N319">
            <v>6.9</v>
          </cell>
          <cell r="P319">
            <v>53</v>
          </cell>
          <cell r="R319">
            <v>404.2</v>
          </cell>
          <cell r="S319">
            <v>0</v>
          </cell>
          <cell r="T319">
            <v>0</v>
          </cell>
          <cell r="U319">
            <v>15</v>
          </cell>
          <cell r="V319">
            <v>8</v>
          </cell>
          <cell r="W319">
            <v>120</v>
          </cell>
          <cell r="X319">
            <v>2.47444</v>
          </cell>
          <cell r="Y319">
            <v>0</v>
          </cell>
          <cell r="Z319">
            <v>8</v>
          </cell>
          <cell r="AA319">
            <v>120</v>
          </cell>
        </row>
        <row r="320">
          <cell r="B320" t="str">
            <v>G-02-09</v>
          </cell>
          <cell r="C320" t="str">
            <v>OXITOCINA .:. 5UI/ml a 10 UI/ml</v>
          </cell>
          <cell r="D320" t="str">
            <v>Inyectable</v>
          </cell>
          <cell r="E320">
            <v>8</v>
          </cell>
          <cell r="F320">
            <v>21.2</v>
          </cell>
          <cell r="H320">
            <v>40</v>
          </cell>
          <cell r="J320">
            <v>68</v>
          </cell>
          <cell r="M320">
            <v>0</v>
          </cell>
          <cell r="N320">
            <v>0</v>
          </cell>
          <cell r="P320">
            <v>44</v>
          </cell>
          <cell r="R320">
            <v>82.4</v>
          </cell>
          <cell r="S320">
            <v>0</v>
          </cell>
          <cell r="T320">
            <v>0</v>
          </cell>
          <cell r="U320">
            <v>4</v>
          </cell>
          <cell r="V320">
            <v>1.7</v>
          </cell>
          <cell r="W320">
            <v>6.8</v>
          </cell>
          <cell r="X320">
            <v>2.47444</v>
          </cell>
          <cell r="Y320">
            <v>0</v>
          </cell>
          <cell r="Z320">
            <v>1.7</v>
          </cell>
          <cell r="AA320">
            <v>6.8</v>
          </cell>
        </row>
        <row r="321">
          <cell r="B321" t="str">
            <v>G-03-02</v>
          </cell>
          <cell r="C321" t="str">
            <v>CIPROTERONA ACETATO + ESTRADIOL VALERATO .:. 2 mg + 0,035 mg</v>
          </cell>
          <cell r="D321" t="str">
            <v>Ciclo</v>
          </cell>
          <cell r="E321">
            <v>6</v>
          </cell>
          <cell r="F321">
            <v>240</v>
          </cell>
          <cell r="H321">
            <v>60</v>
          </cell>
          <cell r="J321">
            <v>2400</v>
          </cell>
          <cell r="M321">
            <v>0</v>
          </cell>
          <cell r="N321">
            <v>0</v>
          </cell>
          <cell r="P321">
            <v>53</v>
          </cell>
          <cell r="R321">
            <v>2120</v>
          </cell>
          <cell r="S321">
            <v>0</v>
          </cell>
          <cell r="T321">
            <v>0</v>
          </cell>
          <cell r="U321">
            <v>13</v>
          </cell>
          <cell r="V321">
            <v>40</v>
          </cell>
          <cell r="W321">
            <v>520</v>
          </cell>
          <cell r="X321">
            <v>2.47444</v>
          </cell>
          <cell r="Y321">
            <v>0</v>
          </cell>
          <cell r="Z321">
            <v>40</v>
          </cell>
          <cell r="AA321">
            <v>520</v>
          </cell>
        </row>
        <row r="322">
          <cell r="B322" t="str">
            <v>G-03-03</v>
          </cell>
          <cell r="C322" t="str">
            <v>CLOMIFENO CITRATO .:. 50 mg</v>
          </cell>
          <cell r="D322" t="str">
            <v>Comprimido</v>
          </cell>
          <cell r="E322">
            <v>200</v>
          </cell>
          <cell r="F322">
            <v>479.26</v>
          </cell>
          <cell r="H322">
            <v>0</v>
          </cell>
          <cell r="J322">
            <v>0</v>
          </cell>
          <cell r="M322">
            <v>0</v>
          </cell>
          <cell r="N322">
            <v>0</v>
          </cell>
          <cell r="P322">
            <v>10</v>
          </cell>
          <cell r="R322">
            <v>23.963000000000001</v>
          </cell>
          <cell r="S322">
            <v>90</v>
          </cell>
          <cell r="T322">
            <v>215.667</v>
          </cell>
          <cell r="U322">
            <v>100</v>
          </cell>
          <cell r="V322">
            <v>2.3963000000000001</v>
          </cell>
          <cell r="W322">
            <v>239.63</v>
          </cell>
          <cell r="X322">
            <v>2.47444</v>
          </cell>
          <cell r="Y322">
            <v>0</v>
          </cell>
          <cell r="Z322">
            <v>2.3963000000000001</v>
          </cell>
          <cell r="AA322">
            <v>239.63</v>
          </cell>
        </row>
        <row r="323">
          <cell r="B323" t="str">
            <v>G-03-09</v>
          </cell>
          <cell r="C323" t="str">
            <v>ESTROGENOS CONJUGADOS .:. 0,625 mg</v>
          </cell>
          <cell r="D323" t="str">
            <v>Crema vaginal</v>
          </cell>
          <cell r="E323">
            <v>0</v>
          </cell>
          <cell r="F323">
            <v>0</v>
          </cell>
          <cell r="H323">
            <v>40</v>
          </cell>
          <cell r="J323">
            <v>4648.3999999999996</v>
          </cell>
          <cell r="M323">
            <v>0</v>
          </cell>
          <cell r="N323">
            <v>0</v>
          </cell>
          <cell r="P323">
            <v>20</v>
          </cell>
          <cell r="R323">
            <v>2324.1999999999998</v>
          </cell>
          <cell r="S323">
            <v>0</v>
          </cell>
          <cell r="T323">
            <v>0</v>
          </cell>
          <cell r="U323">
            <v>20</v>
          </cell>
          <cell r="V323">
            <v>116.21</v>
          </cell>
          <cell r="W323">
            <v>2324.1999999999998</v>
          </cell>
          <cell r="X323">
            <v>2.47444</v>
          </cell>
          <cell r="Y323">
            <v>0</v>
          </cell>
          <cell r="Z323">
            <v>116.21</v>
          </cell>
          <cell r="AA323">
            <v>2324.1999999999998</v>
          </cell>
        </row>
        <row r="324">
          <cell r="B324" t="str">
            <v>G-03-12</v>
          </cell>
          <cell r="C324" t="str">
            <v>LEVONORGESTREL + ETINILESTRADIOL .:. 0,150 mg + 0,03 mg</v>
          </cell>
          <cell r="D324" t="str">
            <v>Caja</v>
          </cell>
          <cell r="E324">
            <v>14</v>
          </cell>
          <cell r="F324">
            <v>84</v>
          </cell>
          <cell r="H324">
            <v>50</v>
          </cell>
          <cell r="J324">
            <v>300</v>
          </cell>
          <cell r="M324">
            <v>0</v>
          </cell>
          <cell r="N324">
            <v>0</v>
          </cell>
          <cell r="P324">
            <v>35</v>
          </cell>
          <cell r="R324">
            <v>210</v>
          </cell>
          <cell r="S324">
            <v>0</v>
          </cell>
          <cell r="T324">
            <v>0</v>
          </cell>
          <cell r="U324">
            <v>29</v>
          </cell>
          <cell r="V324">
            <v>6</v>
          </cell>
          <cell r="W324">
            <v>174</v>
          </cell>
          <cell r="X324">
            <v>2.47444</v>
          </cell>
          <cell r="Y324">
            <v>0</v>
          </cell>
          <cell r="Z324">
            <v>6</v>
          </cell>
          <cell r="AA324">
            <v>174</v>
          </cell>
        </row>
        <row r="325">
          <cell r="B325" t="str">
            <v>G-03-13</v>
          </cell>
          <cell r="C325" t="str">
            <v>MEDROXIPROGESTERONA ACETATO .:. 150 mg/ml</v>
          </cell>
          <cell r="D325" t="str">
            <v>Inyectable</v>
          </cell>
          <cell r="E325">
            <v>5</v>
          </cell>
          <cell r="F325">
            <v>59.741664999999998</v>
          </cell>
          <cell r="H325">
            <v>0</v>
          </cell>
          <cell r="J325">
            <v>0</v>
          </cell>
          <cell r="M325">
            <v>0</v>
          </cell>
          <cell r="N325">
            <v>0</v>
          </cell>
          <cell r="P325">
            <v>5</v>
          </cell>
          <cell r="R325">
            <v>59.741664999999998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2.47444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G-03-18</v>
          </cell>
          <cell r="C326" t="str">
            <v>TESTOSTERONA UNDECANOATO .:. 1000 mg</v>
          </cell>
          <cell r="D326" t="str">
            <v>Inyectable</v>
          </cell>
          <cell r="E326">
            <v>2</v>
          </cell>
          <cell r="F326">
            <v>2440</v>
          </cell>
          <cell r="H326">
            <v>20</v>
          </cell>
          <cell r="J326">
            <v>24409.599999999999</v>
          </cell>
          <cell r="M326">
            <v>0</v>
          </cell>
          <cell r="N326">
            <v>0</v>
          </cell>
          <cell r="P326">
            <v>17</v>
          </cell>
          <cell r="R326">
            <v>20747.2</v>
          </cell>
          <cell r="S326">
            <v>0</v>
          </cell>
          <cell r="T326">
            <v>0</v>
          </cell>
          <cell r="U326">
            <v>5</v>
          </cell>
          <cell r="V326">
            <v>1220.48</v>
          </cell>
          <cell r="W326">
            <v>6102.4</v>
          </cell>
          <cell r="X326">
            <v>2.47444</v>
          </cell>
          <cell r="Y326">
            <v>0</v>
          </cell>
          <cell r="Z326">
            <v>1220.48</v>
          </cell>
          <cell r="AA326">
            <v>6102.4</v>
          </cell>
        </row>
        <row r="327">
          <cell r="B327" t="str">
            <v>G-04-01</v>
          </cell>
          <cell r="C327" t="str">
            <v>FINASTERIDA .:. 5 mg</v>
          </cell>
          <cell r="D327" t="str">
            <v>Comprimido</v>
          </cell>
          <cell r="E327">
            <v>1885</v>
          </cell>
          <cell r="F327">
            <v>3152.4174499999999</v>
          </cell>
          <cell r="H327">
            <v>6300</v>
          </cell>
          <cell r="J327">
            <v>5355</v>
          </cell>
          <cell r="M327">
            <v>0</v>
          </cell>
          <cell r="N327">
            <v>0</v>
          </cell>
          <cell r="P327">
            <v>7530</v>
          </cell>
          <cell r="R327">
            <v>7928.9244379889997</v>
          </cell>
          <cell r="S327">
            <v>0</v>
          </cell>
          <cell r="T327">
            <v>0</v>
          </cell>
          <cell r="U327">
            <v>655</v>
          </cell>
          <cell r="V327">
            <v>0.88319543789999999</v>
          </cell>
          <cell r="W327">
            <v>578.49301182449994</v>
          </cell>
          <cell r="X327">
            <v>2.47444</v>
          </cell>
          <cell r="Y327">
            <v>0</v>
          </cell>
          <cell r="Z327">
            <v>0.88319543789999999</v>
          </cell>
          <cell r="AA327">
            <v>578.49301182449994</v>
          </cell>
        </row>
        <row r="328">
          <cell r="B328" t="str">
            <v>H-02-01</v>
          </cell>
          <cell r="C328" t="str">
            <v>BETAMETASONA (FOSFATO) .:. 4 mg</v>
          </cell>
          <cell r="D328" t="str">
            <v>Inyectable</v>
          </cell>
          <cell r="E328">
            <v>103</v>
          </cell>
          <cell r="F328">
            <v>555.12447399999996</v>
          </cell>
          <cell r="H328">
            <v>100</v>
          </cell>
          <cell r="J328">
            <v>550</v>
          </cell>
          <cell r="M328">
            <v>0</v>
          </cell>
          <cell r="N328">
            <v>0</v>
          </cell>
          <cell r="P328">
            <v>158</v>
          </cell>
          <cell r="R328">
            <v>858.27272051900002</v>
          </cell>
          <cell r="S328">
            <v>0</v>
          </cell>
          <cell r="T328">
            <v>0</v>
          </cell>
          <cell r="U328">
            <v>45</v>
          </cell>
          <cell r="V328">
            <v>5.4855945217000004</v>
          </cell>
          <cell r="W328">
            <v>246.85175347649999</v>
          </cell>
          <cell r="X328">
            <v>2.47444</v>
          </cell>
          <cell r="Y328">
            <v>0</v>
          </cell>
          <cell r="Z328">
            <v>5.4855945217000004</v>
          </cell>
          <cell r="AA328">
            <v>246.85175347649999</v>
          </cell>
        </row>
        <row r="329">
          <cell r="B329" t="str">
            <v>H-02-03</v>
          </cell>
          <cell r="C329" t="str">
            <v>DEXAMETASONA .:. 0,5 mg</v>
          </cell>
          <cell r="D329" t="str">
            <v>Comprimido</v>
          </cell>
          <cell r="E329">
            <v>350</v>
          </cell>
          <cell r="F329">
            <v>148.02619999999999</v>
          </cell>
          <cell r="H329">
            <v>0</v>
          </cell>
          <cell r="J329">
            <v>0</v>
          </cell>
          <cell r="M329">
            <v>0</v>
          </cell>
          <cell r="N329">
            <v>0</v>
          </cell>
          <cell r="P329">
            <v>20</v>
          </cell>
          <cell r="R329">
            <v>8.4586400000000008</v>
          </cell>
          <cell r="S329">
            <v>0</v>
          </cell>
          <cell r="T329">
            <v>0</v>
          </cell>
          <cell r="U329">
            <v>330</v>
          </cell>
          <cell r="V329">
            <v>0.42293199999999997</v>
          </cell>
          <cell r="W329">
            <v>139.56755999999999</v>
          </cell>
          <cell r="X329">
            <v>2.47444</v>
          </cell>
          <cell r="Y329">
            <v>0</v>
          </cell>
          <cell r="Z329">
            <v>0.42293199999999997</v>
          </cell>
          <cell r="AA329">
            <v>139.56755999999999</v>
          </cell>
        </row>
        <row r="330">
          <cell r="B330" t="str">
            <v>H-02-04</v>
          </cell>
          <cell r="C330" t="str">
            <v>DEXAMETASONA .:. 4 mg/ml</v>
          </cell>
          <cell r="D330" t="str">
            <v>Inyectable</v>
          </cell>
          <cell r="E330">
            <v>1665</v>
          </cell>
          <cell r="F330">
            <v>1430.276625</v>
          </cell>
          <cell r="H330">
            <v>6000</v>
          </cell>
          <cell r="J330">
            <v>3780</v>
          </cell>
          <cell r="M330">
            <v>18</v>
          </cell>
          <cell r="N330">
            <v>11.742929999999999</v>
          </cell>
          <cell r="P330">
            <v>6199</v>
          </cell>
          <cell r="R330">
            <v>4253.6958970044998</v>
          </cell>
          <cell r="S330">
            <v>0</v>
          </cell>
          <cell r="T330">
            <v>0</v>
          </cell>
          <cell r="U330">
            <v>1484</v>
          </cell>
          <cell r="V330">
            <v>0.65250920339999996</v>
          </cell>
          <cell r="W330">
            <v>968.3236578456</v>
          </cell>
          <cell r="X330">
            <v>2.47444</v>
          </cell>
          <cell r="Y330">
            <v>0</v>
          </cell>
          <cell r="Z330">
            <v>0.65250920339999996</v>
          </cell>
          <cell r="AA330">
            <v>968.3236578456</v>
          </cell>
        </row>
        <row r="331">
          <cell r="B331" t="str">
            <v>H-02-05</v>
          </cell>
          <cell r="C331" t="str">
            <v>HIDROCORTISONA SUCCINATO SODICO .:. 100 mg</v>
          </cell>
          <cell r="D331" t="str">
            <v>Inyectable</v>
          </cell>
          <cell r="E331">
            <v>192</v>
          </cell>
          <cell r="F331">
            <v>1094.7141119999999</v>
          </cell>
          <cell r="H331">
            <v>370</v>
          </cell>
          <cell r="J331">
            <v>1660</v>
          </cell>
          <cell r="M331">
            <v>9</v>
          </cell>
          <cell r="N331">
            <v>41.797083000000001</v>
          </cell>
          <cell r="P331">
            <v>384</v>
          </cell>
          <cell r="R331">
            <v>1948.5997196108001</v>
          </cell>
          <cell r="S331">
            <v>0</v>
          </cell>
          <cell r="T331">
            <v>0</v>
          </cell>
          <cell r="U331">
            <v>187</v>
          </cell>
          <cell r="V331">
            <v>4.5342859646000004</v>
          </cell>
          <cell r="W331">
            <v>847.91147538020005</v>
          </cell>
          <cell r="X331">
            <v>2.47444</v>
          </cell>
          <cell r="Y331">
            <v>0</v>
          </cell>
          <cell r="Z331">
            <v>4.5342859646000004</v>
          </cell>
          <cell r="AA331">
            <v>847.91147538020005</v>
          </cell>
        </row>
        <row r="332">
          <cell r="B332" t="str">
            <v>H-02-06</v>
          </cell>
          <cell r="C332" t="str">
            <v>HIDROCORTISONA SUCCINATO SODICO .:. 250 mg</v>
          </cell>
          <cell r="D332" t="str">
            <v>Inyectable</v>
          </cell>
          <cell r="E332">
            <v>48</v>
          </cell>
          <cell r="F332">
            <v>1055.1664800000001</v>
          </cell>
          <cell r="H332">
            <v>160</v>
          </cell>
          <cell r="J332">
            <v>720</v>
          </cell>
          <cell r="M332">
            <v>3</v>
          </cell>
          <cell r="N332">
            <v>20.831427000000001</v>
          </cell>
          <cell r="P332">
            <v>113</v>
          </cell>
          <cell r="R332">
            <v>1115.5046066084999</v>
          </cell>
          <cell r="S332">
            <v>0</v>
          </cell>
          <cell r="T332">
            <v>0</v>
          </cell>
          <cell r="U332">
            <v>98</v>
          </cell>
          <cell r="V332">
            <v>6.9438091876000003</v>
          </cell>
          <cell r="W332">
            <v>680.49330038480002</v>
          </cell>
          <cell r="X332">
            <v>2.47444</v>
          </cell>
          <cell r="Y332">
            <v>0</v>
          </cell>
          <cell r="Z332">
            <v>6.9438091876000003</v>
          </cell>
          <cell r="AA332">
            <v>680.49330038480002</v>
          </cell>
        </row>
        <row r="333">
          <cell r="B333" t="str">
            <v>H-02-07</v>
          </cell>
          <cell r="C333" t="str">
            <v>METILPREDNISOLONA SUCCINATO SODICO .:. 500 mg</v>
          </cell>
          <cell r="D333" t="str">
            <v>Inyectable</v>
          </cell>
          <cell r="E333">
            <v>17</v>
          </cell>
          <cell r="F333">
            <v>1256.1785689999999</v>
          </cell>
          <cell r="H333">
            <v>30</v>
          </cell>
          <cell r="J333">
            <v>1949.7</v>
          </cell>
          <cell r="M333">
            <v>3</v>
          </cell>
          <cell r="N333">
            <v>221.67857100000001</v>
          </cell>
          <cell r="P333">
            <v>29</v>
          </cell>
          <cell r="R333">
            <v>2045.7707766368001</v>
          </cell>
          <cell r="S333">
            <v>0</v>
          </cell>
          <cell r="T333">
            <v>0</v>
          </cell>
          <cell r="U333">
            <v>21</v>
          </cell>
          <cell r="V333">
            <v>65.799350636400007</v>
          </cell>
          <cell r="W333">
            <v>1381.7863633643999</v>
          </cell>
          <cell r="X333">
            <v>2.47444</v>
          </cell>
          <cell r="Y333">
            <v>0</v>
          </cell>
          <cell r="Z333">
            <v>65.799350636400007</v>
          </cell>
          <cell r="AA333">
            <v>1381.7863633643999</v>
          </cell>
        </row>
        <row r="334">
          <cell r="B334" t="str">
            <v>H-02-08</v>
          </cell>
          <cell r="C334" t="str">
            <v>PREDNISONA .:. 5 mg</v>
          </cell>
          <cell r="D334" t="str">
            <v>Comprimido</v>
          </cell>
          <cell r="E334">
            <v>1823</v>
          </cell>
          <cell r="F334">
            <v>547.70941200000004</v>
          </cell>
          <cell r="H334">
            <v>8500</v>
          </cell>
          <cell r="J334">
            <v>2325</v>
          </cell>
          <cell r="M334">
            <v>0</v>
          </cell>
          <cell r="N334">
            <v>0</v>
          </cell>
          <cell r="P334">
            <v>8897</v>
          </cell>
          <cell r="R334">
            <v>2459.1694120000002</v>
          </cell>
          <cell r="S334">
            <v>0</v>
          </cell>
          <cell r="T334">
            <v>0</v>
          </cell>
          <cell r="U334">
            <v>1426</v>
          </cell>
          <cell r="V334">
            <v>0.28999999999999998</v>
          </cell>
          <cell r="W334">
            <v>413.54</v>
          </cell>
          <cell r="X334">
            <v>2.47444</v>
          </cell>
          <cell r="Y334">
            <v>0</v>
          </cell>
          <cell r="Z334">
            <v>0.28999999999999998</v>
          </cell>
          <cell r="AA334">
            <v>413.54</v>
          </cell>
        </row>
        <row r="335">
          <cell r="B335" t="str">
            <v>H-02-09</v>
          </cell>
          <cell r="C335" t="str">
            <v>PREDNISONA .:. 20 mg</v>
          </cell>
          <cell r="D335" t="str">
            <v>Comprimido ranurado</v>
          </cell>
          <cell r="E335">
            <v>2193</v>
          </cell>
          <cell r="F335">
            <v>1096.5</v>
          </cell>
          <cell r="H335">
            <v>300</v>
          </cell>
          <cell r="J335">
            <v>150</v>
          </cell>
          <cell r="M335">
            <v>1358</v>
          </cell>
          <cell r="N335">
            <v>679</v>
          </cell>
          <cell r="P335">
            <v>2735</v>
          </cell>
          <cell r="R335">
            <v>1367.5</v>
          </cell>
          <cell r="S335">
            <v>0</v>
          </cell>
          <cell r="T335">
            <v>0</v>
          </cell>
          <cell r="U335">
            <v>1116</v>
          </cell>
          <cell r="V335">
            <v>0.5</v>
          </cell>
          <cell r="W335">
            <v>558</v>
          </cell>
          <cell r="X335">
            <v>2.47444</v>
          </cell>
          <cell r="Y335">
            <v>0</v>
          </cell>
          <cell r="Z335">
            <v>0.5</v>
          </cell>
          <cell r="AA335">
            <v>558</v>
          </cell>
        </row>
        <row r="336">
          <cell r="B336" t="str">
            <v>H-03-01</v>
          </cell>
          <cell r="C336" t="str">
            <v>LEVOTIROXINA SODICA .:. 0,1 mg</v>
          </cell>
          <cell r="D336" t="str">
            <v>Comprimido ranurado</v>
          </cell>
          <cell r="E336">
            <v>5710</v>
          </cell>
          <cell r="F336">
            <v>2920.52225</v>
          </cell>
          <cell r="H336">
            <v>38970</v>
          </cell>
          <cell r="J336">
            <v>19460</v>
          </cell>
          <cell r="M336">
            <v>0</v>
          </cell>
          <cell r="N336">
            <v>0</v>
          </cell>
          <cell r="P336">
            <v>39497</v>
          </cell>
          <cell r="R336">
            <v>19789.093047559702</v>
          </cell>
          <cell r="S336">
            <v>0</v>
          </cell>
          <cell r="T336">
            <v>0</v>
          </cell>
          <cell r="U336">
            <v>5183</v>
          </cell>
          <cell r="V336">
            <v>0.49998634060000002</v>
          </cell>
          <cell r="W336">
            <v>2591.4292033298002</v>
          </cell>
          <cell r="X336">
            <v>2.47444</v>
          </cell>
          <cell r="Y336">
            <v>0</v>
          </cell>
          <cell r="Z336">
            <v>0.49998634060000002</v>
          </cell>
          <cell r="AA336">
            <v>2591.4292033298002</v>
          </cell>
        </row>
        <row r="337">
          <cell r="B337" t="str">
            <v>H-03-02</v>
          </cell>
          <cell r="C337" t="str">
            <v>PROPILTIOURACILO .:. 50 mg</v>
          </cell>
          <cell r="D337" t="str">
            <v>Comprimido</v>
          </cell>
          <cell r="E337">
            <v>65</v>
          </cell>
          <cell r="F337">
            <v>82.049954999999997</v>
          </cell>
          <cell r="H337">
            <v>0</v>
          </cell>
          <cell r="J337">
            <v>0</v>
          </cell>
          <cell r="M337">
            <v>0</v>
          </cell>
          <cell r="N337">
            <v>0</v>
          </cell>
          <cell r="P337">
            <v>10</v>
          </cell>
          <cell r="R337">
            <v>12.62307</v>
          </cell>
          <cell r="S337">
            <v>0</v>
          </cell>
          <cell r="T337">
            <v>0</v>
          </cell>
          <cell r="U337">
            <v>55</v>
          </cell>
          <cell r="V337">
            <v>1.2623070000000001</v>
          </cell>
          <cell r="W337">
            <v>69.426884999999999</v>
          </cell>
          <cell r="X337">
            <v>2.47444</v>
          </cell>
          <cell r="Y337">
            <v>0</v>
          </cell>
          <cell r="Z337">
            <v>1.2623070000000001</v>
          </cell>
          <cell r="AA337">
            <v>69.426884999999999</v>
          </cell>
        </row>
        <row r="338">
          <cell r="B338" t="str">
            <v>J-01-01</v>
          </cell>
          <cell r="C338" t="str">
            <v>ACIDO NALIDIXICO .:. 500 mg</v>
          </cell>
          <cell r="D338" t="str">
            <v>Comprimido</v>
          </cell>
          <cell r="E338">
            <v>82</v>
          </cell>
          <cell r="F338">
            <v>101.849986</v>
          </cell>
          <cell r="H338">
            <v>0</v>
          </cell>
          <cell r="J338">
            <v>0</v>
          </cell>
          <cell r="M338">
            <v>0</v>
          </cell>
          <cell r="N338">
            <v>0</v>
          </cell>
          <cell r="P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82</v>
          </cell>
          <cell r="V338">
            <v>1.242073</v>
          </cell>
          <cell r="W338">
            <v>101.849986</v>
          </cell>
          <cell r="X338">
            <v>2.47444</v>
          </cell>
          <cell r="Y338">
            <v>0</v>
          </cell>
          <cell r="Z338">
            <v>1.242073</v>
          </cell>
          <cell r="AA338">
            <v>101.849986</v>
          </cell>
        </row>
        <row r="339">
          <cell r="B339" t="str">
            <v>J-01-02</v>
          </cell>
          <cell r="C339" t="str">
            <v>ACIDO NALIDIXICO .:. 250 mg/5 ml</v>
          </cell>
          <cell r="D339" t="str">
            <v>Suspensión</v>
          </cell>
          <cell r="E339">
            <v>3</v>
          </cell>
          <cell r="F339">
            <v>58.610999999999997</v>
          </cell>
          <cell r="H339">
            <v>0</v>
          </cell>
          <cell r="J339">
            <v>0</v>
          </cell>
          <cell r="M339">
            <v>0</v>
          </cell>
          <cell r="N339">
            <v>0</v>
          </cell>
          <cell r="P339">
            <v>1</v>
          </cell>
          <cell r="R339">
            <v>19.536999999999999</v>
          </cell>
          <cell r="S339">
            <v>0</v>
          </cell>
          <cell r="T339">
            <v>0</v>
          </cell>
          <cell r="U339">
            <v>2</v>
          </cell>
          <cell r="V339">
            <v>19.536999999999999</v>
          </cell>
          <cell r="W339">
            <v>39.073999999999998</v>
          </cell>
          <cell r="X339">
            <v>2.47444</v>
          </cell>
          <cell r="Y339">
            <v>0</v>
          </cell>
          <cell r="Z339">
            <v>19.536999999999999</v>
          </cell>
          <cell r="AA339">
            <v>39.073999999999998</v>
          </cell>
        </row>
        <row r="340">
          <cell r="B340" t="str">
            <v>J-01-04</v>
          </cell>
          <cell r="C340" t="str">
            <v>AMIKACINA .:. 500 mg/ 2ml</v>
          </cell>
          <cell r="D340" t="str">
            <v>Inyectable</v>
          </cell>
          <cell r="E340">
            <v>233</v>
          </cell>
          <cell r="F340">
            <v>1376.126426</v>
          </cell>
          <cell r="H340">
            <v>350</v>
          </cell>
          <cell r="J340">
            <v>1610</v>
          </cell>
          <cell r="M340">
            <v>4</v>
          </cell>
          <cell r="N340">
            <v>18.369972000000001</v>
          </cell>
          <cell r="P340">
            <v>497</v>
          </cell>
          <cell r="R340">
            <v>2590.5048433749998</v>
          </cell>
          <cell r="S340">
            <v>0</v>
          </cell>
          <cell r="T340">
            <v>0</v>
          </cell>
          <cell r="U340">
            <v>90</v>
          </cell>
          <cell r="V340">
            <v>4.5999061625</v>
          </cell>
          <cell r="W340">
            <v>413.99155462499999</v>
          </cell>
          <cell r="X340">
            <v>2.47444</v>
          </cell>
          <cell r="Y340">
            <v>0</v>
          </cell>
          <cell r="Z340">
            <v>4.5999061625</v>
          </cell>
          <cell r="AA340">
            <v>413.99155462499999</v>
          </cell>
        </row>
        <row r="341">
          <cell r="B341" t="str">
            <v>J-01-05</v>
          </cell>
          <cell r="C341" t="str">
            <v>AMOXICILINA .:. 1 g</v>
          </cell>
          <cell r="D341" t="str">
            <v>Comprimido</v>
          </cell>
          <cell r="E341">
            <v>2141</v>
          </cell>
          <cell r="F341">
            <v>1974.4987120000001</v>
          </cell>
          <cell r="H341">
            <v>3000</v>
          </cell>
          <cell r="J341">
            <v>2400</v>
          </cell>
          <cell r="M341">
            <v>0</v>
          </cell>
          <cell r="N341">
            <v>0</v>
          </cell>
          <cell r="P341">
            <v>2426</v>
          </cell>
          <cell r="R341">
            <v>2090.8023968132002</v>
          </cell>
          <cell r="S341">
            <v>0</v>
          </cell>
          <cell r="T341">
            <v>0</v>
          </cell>
          <cell r="U341">
            <v>2715</v>
          </cell>
          <cell r="V341">
            <v>0.84114044759999995</v>
          </cell>
          <cell r="W341">
            <v>2283.6963152339999</v>
          </cell>
          <cell r="X341">
            <v>2.47444</v>
          </cell>
          <cell r="Y341">
            <v>0</v>
          </cell>
          <cell r="Z341">
            <v>0.84114044759999995</v>
          </cell>
          <cell r="AA341">
            <v>2283.6963152339999</v>
          </cell>
        </row>
        <row r="342">
          <cell r="B342" t="str">
            <v>J-01-06</v>
          </cell>
          <cell r="C342" t="str">
            <v>AMOXICILINA .:. 500 mg</v>
          </cell>
          <cell r="D342" t="str">
            <v>Comprimido</v>
          </cell>
          <cell r="E342">
            <v>33</v>
          </cell>
          <cell r="F342">
            <v>16.477989000000001</v>
          </cell>
          <cell r="H342">
            <v>1500</v>
          </cell>
          <cell r="J342">
            <v>645</v>
          </cell>
          <cell r="M342">
            <v>0</v>
          </cell>
          <cell r="N342">
            <v>0</v>
          </cell>
          <cell r="P342">
            <v>442</v>
          </cell>
          <cell r="R342">
            <v>191.45104468080001</v>
          </cell>
          <cell r="S342">
            <v>0</v>
          </cell>
          <cell r="T342">
            <v>0</v>
          </cell>
          <cell r="U342">
            <v>1091</v>
          </cell>
          <cell r="V342">
            <v>0.4308221304</v>
          </cell>
          <cell r="W342">
            <v>470.02694426639999</v>
          </cell>
          <cell r="X342">
            <v>2.47444</v>
          </cell>
          <cell r="Y342">
            <v>0</v>
          </cell>
          <cell r="Z342">
            <v>0.4308221304</v>
          </cell>
          <cell r="AA342">
            <v>470.02694426639999</v>
          </cell>
        </row>
        <row r="343">
          <cell r="B343" t="str">
            <v>J-01-09</v>
          </cell>
          <cell r="C343" t="str">
            <v>AMOXICILINA + INHIBIDOR BETALACTAMASA .:. 500 mg + Según disponibilidad</v>
          </cell>
          <cell r="D343" t="str">
            <v>Comprimido</v>
          </cell>
          <cell r="E343">
            <v>320</v>
          </cell>
          <cell r="F343">
            <v>740.19712000000004</v>
          </cell>
          <cell r="H343">
            <v>1400</v>
          </cell>
          <cell r="J343">
            <v>2240</v>
          </cell>
          <cell r="M343">
            <v>0</v>
          </cell>
          <cell r="N343">
            <v>0</v>
          </cell>
          <cell r="P343">
            <v>1034</v>
          </cell>
          <cell r="R343">
            <v>1860.2547630854001</v>
          </cell>
          <cell r="S343">
            <v>0</v>
          </cell>
          <cell r="T343">
            <v>0</v>
          </cell>
          <cell r="U343">
            <v>686</v>
          </cell>
          <cell r="V343">
            <v>1.6325690334</v>
          </cell>
          <cell r="W343">
            <v>1119.9423569124001</v>
          </cell>
          <cell r="X343">
            <v>2.47444</v>
          </cell>
          <cell r="Y343">
            <v>0</v>
          </cell>
          <cell r="Z343">
            <v>1.6325690334</v>
          </cell>
          <cell r="AA343">
            <v>1119.9423569124001</v>
          </cell>
        </row>
        <row r="344">
          <cell r="B344" t="str">
            <v>J-01-10</v>
          </cell>
          <cell r="C344" t="str">
            <v>AMOXICILINA + INHIBIDOR BETALACTAMASA .:. 250 mg + Según disponibilidad</v>
          </cell>
          <cell r="D344" t="str">
            <v>Suspensión</v>
          </cell>
          <cell r="E344">
            <v>14</v>
          </cell>
          <cell r="F344">
            <v>675.16462999999999</v>
          </cell>
          <cell r="H344">
            <v>70</v>
          </cell>
          <cell r="J344">
            <v>3150</v>
          </cell>
          <cell r="M344">
            <v>0</v>
          </cell>
          <cell r="N344">
            <v>0</v>
          </cell>
          <cell r="P344">
            <v>57</v>
          </cell>
          <cell r="R344">
            <v>2610.1646300000002</v>
          </cell>
          <cell r="S344">
            <v>0</v>
          </cell>
          <cell r="T344">
            <v>0</v>
          </cell>
          <cell r="U344">
            <v>27</v>
          </cell>
          <cell r="V344">
            <v>45</v>
          </cell>
          <cell r="W344">
            <v>1215</v>
          </cell>
          <cell r="X344">
            <v>2.47444</v>
          </cell>
          <cell r="Y344">
            <v>0</v>
          </cell>
          <cell r="Z344">
            <v>45</v>
          </cell>
          <cell r="AA344">
            <v>1215</v>
          </cell>
        </row>
        <row r="345">
          <cell r="B345" t="str">
            <v>J-01-12</v>
          </cell>
          <cell r="C345" t="str">
            <v>AMPICILINA .:. 1 g</v>
          </cell>
          <cell r="D345" t="str">
            <v>Inyectable</v>
          </cell>
          <cell r="E345">
            <v>163</v>
          </cell>
          <cell r="F345">
            <v>767.56993399999999</v>
          </cell>
          <cell r="H345">
            <v>0</v>
          </cell>
          <cell r="J345">
            <v>0</v>
          </cell>
          <cell r="M345">
            <v>0</v>
          </cell>
          <cell r="N345">
            <v>0</v>
          </cell>
          <cell r="P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163</v>
          </cell>
          <cell r="V345">
            <v>4.7090180000000004</v>
          </cell>
          <cell r="W345">
            <v>767.56993399999999</v>
          </cell>
          <cell r="X345">
            <v>2.47444</v>
          </cell>
          <cell r="Y345">
            <v>0</v>
          </cell>
          <cell r="Z345">
            <v>4.7090180000000004</v>
          </cell>
          <cell r="AA345">
            <v>767.56993399999999</v>
          </cell>
        </row>
        <row r="346">
          <cell r="B346" t="str">
            <v>J-01-13</v>
          </cell>
          <cell r="C346" t="str">
            <v>AZITROMICINA .:. 500 mg</v>
          </cell>
          <cell r="D346" t="str">
            <v>Comprimido</v>
          </cell>
          <cell r="E346">
            <v>919</v>
          </cell>
          <cell r="F346">
            <v>1744.487155</v>
          </cell>
          <cell r="H346">
            <v>2500</v>
          </cell>
          <cell r="J346">
            <v>3475</v>
          </cell>
          <cell r="M346">
            <v>0</v>
          </cell>
          <cell r="N346">
            <v>0</v>
          </cell>
          <cell r="P346">
            <v>1858</v>
          </cell>
          <cell r="R346">
            <v>2890.4143418725998</v>
          </cell>
          <cell r="S346">
            <v>0</v>
          </cell>
          <cell r="T346">
            <v>0</v>
          </cell>
          <cell r="U346">
            <v>1561</v>
          </cell>
          <cell r="V346">
            <v>1.4920389578</v>
          </cell>
          <cell r="W346">
            <v>2329.0728131258002</v>
          </cell>
          <cell r="X346">
            <v>2.47444</v>
          </cell>
          <cell r="Y346">
            <v>0</v>
          </cell>
          <cell r="Z346">
            <v>1.4920389578</v>
          </cell>
          <cell r="AA346">
            <v>2329.0728131258002</v>
          </cell>
        </row>
        <row r="347">
          <cell r="B347" t="str">
            <v>J-01-15</v>
          </cell>
          <cell r="C347" t="str">
            <v>BENCILPENICILINA BENZATINICA .:. 1.200.000 UI</v>
          </cell>
          <cell r="D347" t="str">
            <v>Inyectable</v>
          </cell>
          <cell r="E347">
            <v>128</v>
          </cell>
          <cell r="F347">
            <v>576</v>
          </cell>
          <cell r="H347">
            <v>250</v>
          </cell>
          <cell r="J347">
            <v>1125</v>
          </cell>
          <cell r="M347">
            <v>0</v>
          </cell>
          <cell r="N347">
            <v>0</v>
          </cell>
          <cell r="P347">
            <v>227</v>
          </cell>
          <cell r="R347">
            <v>1021.5</v>
          </cell>
          <cell r="S347">
            <v>0</v>
          </cell>
          <cell r="T347">
            <v>0</v>
          </cell>
          <cell r="U347">
            <v>151</v>
          </cell>
          <cell r="V347">
            <v>4.5</v>
          </cell>
          <cell r="W347">
            <v>679.5</v>
          </cell>
          <cell r="X347">
            <v>2.47444</v>
          </cell>
          <cell r="Y347">
            <v>0</v>
          </cell>
          <cell r="Z347">
            <v>4.5</v>
          </cell>
          <cell r="AA347">
            <v>679.5</v>
          </cell>
        </row>
        <row r="348">
          <cell r="B348" t="str">
            <v>J-01-16</v>
          </cell>
          <cell r="C348" t="str">
            <v>BENCILPENICILINA BENZATINICA .:. 2.400.000 UI</v>
          </cell>
          <cell r="D348" t="str">
            <v>Inyectable</v>
          </cell>
          <cell r="E348">
            <v>67</v>
          </cell>
          <cell r="F348">
            <v>362.263305</v>
          </cell>
          <cell r="H348">
            <v>380</v>
          </cell>
          <cell r="J348">
            <v>3764</v>
          </cell>
          <cell r="M348">
            <v>0</v>
          </cell>
          <cell r="N348">
            <v>0</v>
          </cell>
          <cell r="P348">
            <v>389</v>
          </cell>
          <cell r="R348">
            <v>3720.2633049999999</v>
          </cell>
          <cell r="S348">
            <v>0</v>
          </cell>
          <cell r="T348">
            <v>0</v>
          </cell>
          <cell r="U348">
            <v>58</v>
          </cell>
          <cell r="V348">
            <v>7</v>
          </cell>
          <cell r="W348">
            <v>406</v>
          </cell>
          <cell r="X348">
            <v>2.47444</v>
          </cell>
          <cell r="Y348">
            <v>0</v>
          </cell>
          <cell r="Z348">
            <v>7</v>
          </cell>
          <cell r="AA348">
            <v>406</v>
          </cell>
        </row>
        <row r="349">
          <cell r="B349" t="str">
            <v>J-01-18</v>
          </cell>
          <cell r="C349" t="str">
            <v>BENCILPENICILINA PROCAINICA .:. 800.000 UI</v>
          </cell>
          <cell r="D349" t="str">
            <v>Inyectable</v>
          </cell>
          <cell r="E349">
            <v>74</v>
          </cell>
          <cell r="F349">
            <v>319.68754799999999</v>
          </cell>
          <cell r="H349">
            <v>0</v>
          </cell>
          <cell r="J349">
            <v>0</v>
          </cell>
          <cell r="M349">
            <v>0</v>
          </cell>
          <cell r="N349">
            <v>0</v>
          </cell>
          <cell r="P349">
            <v>36</v>
          </cell>
          <cell r="R349">
            <v>155.523672</v>
          </cell>
          <cell r="S349">
            <v>0</v>
          </cell>
          <cell r="T349">
            <v>0</v>
          </cell>
          <cell r="U349">
            <v>38</v>
          </cell>
          <cell r="V349">
            <v>4.3201020000000003</v>
          </cell>
          <cell r="W349">
            <v>164.16387599999999</v>
          </cell>
          <cell r="X349">
            <v>2.47444</v>
          </cell>
          <cell r="Y349">
            <v>0</v>
          </cell>
          <cell r="Z349">
            <v>4.3201020000000003</v>
          </cell>
          <cell r="AA349">
            <v>164.16387599999999</v>
          </cell>
        </row>
        <row r="350">
          <cell r="B350" t="str">
            <v>J-01-21</v>
          </cell>
          <cell r="C350" t="str">
            <v>CEFAZOLINA .:. 1 g</v>
          </cell>
          <cell r="D350" t="str">
            <v>Inyectable</v>
          </cell>
          <cell r="E350">
            <v>68</v>
          </cell>
          <cell r="F350">
            <v>409.35326800000001</v>
          </cell>
          <cell r="H350">
            <v>260</v>
          </cell>
          <cell r="J350">
            <v>1300</v>
          </cell>
          <cell r="M350">
            <v>3</v>
          </cell>
          <cell r="N350">
            <v>17.027895999999998</v>
          </cell>
          <cell r="P350">
            <v>317</v>
          </cell>
          <cell r="R350">
            <v>1656.2204725703</v>
          </cell>
          <cell r="S350">
            <v>0</v>
          </cell>
          <cell r="T350">
            <v>0</v>
          </cell>
          <cell r="U350">
            <v>14</v>
          </cell>
          <cell r="V350">
            <v>5.0114779585999996</v>
          </cell>
          <cell r="W350">
            <v>70.160691420399999</v>
          </cell>
          <cell r="X350">
            <v>2.47444</v>
          </cell>
          <cell r="Y350">
            <v>0</v>
          </cell>
          <cell r="Z350">
            <v>5.0114779585999996</v>
          </cell>
          <cell r="AA350">
            <v>70.160691420399999</v>
          </cell>
        </row>
        <row r="351">
          <cell r="B351" t="str">
            <v>J-01-22</v>
          </cell>
          <cell r="C351" t="str">
            <v>CEFOTAXIMA .:. 1 g</v>
          </cell>
          <cell r="D351" t="str">
            <v>Inyectable</v>
          </cell>
          <cell r="E351">
            <v>51</v>
          </cell>
          <cell r="F351">
            <v>207.88824</v>
          </cell>
          <cell r="H351">
            <v>900</v>
          </cell>
          <cell r="J351">
            <v>3543</v>
          </cell>
          <cell r="M351">
            <v>27</v>
          </cell>
          <cell r="N351">
            <v>96.804822000000001</v>
          </cell>
          <cell r="P351">
            <v>717</v>
          </cell>
          <cell r="R351">
            <v>2725.0871823221</v>
          </cell>
          <cell r="S351">
            <v>0</v>
          </cell>
          <cell r="T351">
            <v>0</v>
          </cell>
          <cell r="U351">
            <v>261</v>
          </cell>
          <cell r="V351">
            <v>4.3011719527999999</v>
          </cell>
          <cell r="W351">
            <v>1122.6058796807999</v>
          </cell>
          <cell r="X351">
            <v>2.47444</v>
          </cell>
          <cell r="Y351">
            <v>0</v>
          </cell>
          <cell r="Z351">
            <v>4.3011719527999999</v>
          </cell>
          <cell r="AA351">
            <v>1122.6058796807999</v>
          </cell>
        </row>
        <row r="352">
          <cell r="B352" t="str">
            <v>J-01-23</v>
          </cell>
          <cell r="C352" t="str">
            <v>CEFRADINA .:. 500 mg</v>
          </cell>
          <cell r="D352" t="str">
            <v>Cápsula o Comprimido</v>
          </cell>
          <cell r="E352">
            <v>98</v>
          </cell>
          <cell r="F352">
            <v>137.118562</v>
          </cell>
          <cell r="H352">
            <v>600</v>
          </cell>
          <cell r="J352">
            <v>660</v>
          </cell>
          <cell r="M352">
            <v>0</v>
          </cell>
          <cell r="N352">
            <v>0</v>
          </cell>
          <cell r="P352">
            <v>350</v>
          </cell>
          <cell r="R352">
            <v>414.31856199999999</v>
          </cell>
          <cell r="S352">
            <v>0</v>
          </cell>
          <cell r="T352">
            <v>0</v>
          </cell>
          <cell r="U352">
            <v>348</v>
          </cell>
          <cell r="V352">
            <v>1.1000000000000001</v>
          </cell>
          <cell r="W352">
            <v>382.8</v>
          </cell>
          <cell r="X352">
            <v>2.47444</v>
          </cell>
          <cell r="Y352">
            <v>0</v>
          </cell>
          <cell r="Z352">
            <v>1.1000000000000001</v>
          </cell>
          <cell r="AA352">
            <v>382.8</v>
          </cell>
        </row>
        <row r="353">
          <cell r="B353" t="str">
            <v>J-01-24</v>
          </cell>
          <cell r="C353" t="str">
            <v>CEFRADINA .:. 250 mg/5 ml</v>
          </cell>
          <cell r="D353" t="str">
            <v>Suspensión</v>
          </cell>
          <cell r="E353">
            <v>5</v>
          </cell>
          <cell r="F353">
            <v>105.42</v>
          </cell>
          <cell r="H353">
            <v>0</v>
          </cell>
          <cell r="J353">
            <v>0</v>
          </cell>
          <cell r="M353">
            <v>0</v>
          </cell>
          <cell r="N353">
            <v>0</v>
          </cell>
          <cell r="P353">
            <v>2</v>
          </cell>
          <cell r="R353">
            <v>42.167999999999999</v>
          </cell>
          <cell r="S353">
            <v>0</v>
          </cell>
          <cell r="T353">
            <v>0</v>
          </cell>
          <cell r="U353">
            <v>3</v>
          </cell>
          <cell r="V353">
            <v>21.084</v>
          </cell>
          <cell r="W353">
            <v>63.252000000000002</v>
          </cell>
          <cell r="X353">
            <v>2.47444</v>
          </cell>
          <cell r="Y353">
            <v>0</v>
          </cell>
          <cell r="Z353">
            <v>21.084</v>
          </cell>
          <cell r="AA353">
            <v>63.252000000000002</v>
          </cell>
        </row>
        <row r="354">
          <cell r="B354" t="str">
            <v>J-01-25</v>
          </cell>
          <cell r="C354" t="str">
            <v>CEFTAZIDIMA .:. 1 g</v>
          </cell>
          <cell r="D354" t="str">
            <v>Inyectable</v>
          </cell>
          <cell r="E354">
            <v>3</v>
          </cell>
          <cell r="F354">
            <v>70.718570999999997</v>
          </cell>
          <cell r="H354">
            <v>0</v>
          </cell>
          <cell r="J354">
            <v>0</v>
          </cell>
          <cell r="M354">
            <v>3</v>
          </cell>
          <cell r="N354">
            <v>70.72</v>
          </cell>
          <cell r="P354">
            <v>2</v>
          </cell>
          <cell r="R354">
            <v>47.146666666599998</v>
          </cell>
          <cell r="S354">
            <v>3</v>
          </cell>
          <cell r="T354">
            <v>70.718570999999997</v>
          </cell>
          <cell r="U354">
            <v>1</v>
          </cell>
          <cell r="V354">
            <v>23.573333333299999</v>
          </cell>
          <cell r="W354">
            <v>23.573333333299999</v>
          </cell>
          <cell r="X354">
            <v>2.47444</v>
          </cell>
          <cell r="Y354">
            <v>0</v>
          </cell>
          <cell r="Z354">
            <v>23.573333333299999</v>
          </cell>
          <cell r="AA354">
            <v>23.573333333299999</v>
          </cell>
        </row>
        <row r="355">
          <cell r="B355" t="str">
            <v>J-01-26</v>
          </cell>
          <cell r="C355" t="str">
            <v>CEFTRIAXONA .:. 1 g</v>
          </cell>
          <cell r="D355" t="str">
            <v>Inyectable</v>
          </cell>
          <cell r="E355">
            <v>1377</v>
          </cell>
          <cell r="F355">
            <v>5556.6686879999997</v>
          </cell>
          <cell r="H355">
            <v>0</v>
          </cell>
          <cell r="J355">
            <v>0</v>
          </cell>
          <cell r="M355">
            <v>60</v>
          </cell>
          <cell r="N355">
            <v>242.12064000000001</v>
          </cell>
          <cell r="P355">
            <v>1387</v>
          </cell>
          <cell r="R355">
            <v>5597.0221279999996</v>
          </cell>
          <cell r="S355">
            <v>0</v>
          </cell>
          <cell r="T355">
            <v>0</v>
          </cell>
          <cell r="U355">
            <v>50</v>
          </cell>
          <cell r="V355">
            <v>4.0353440000000003</v>
          </cell>
          <cell r="W355">
            <v>201.7672</v>
          </cell>
          <cell r="X355">
            <v>2.47444</v>
          </cell>
          <cell r="Y355">
            <v>0</v>
          </cell>
          <cell r="Z355">
            <v>4.0353440000000003</v>
          </cell>
          <cell r="AA355">
            <v>201.7672</v>
          </cell>
        </row>
        <row r="356">
          <cell r="B356" t="str">
            <v>J-01-27</v>
          </cell>
          <cell r="C356" t="str">
            <v>CIPROFLOXACINA .:. 500 mg</v>
          </cell>
          <cell r="D356" t="str">
            <v>Comprimido</v>
          </cell>
          <cell r="E356">
            <v>1146</v>
          </cell>
          <cell r="F356">
            <v>472.40411999999998</v>
          </cell>
          <cell r="H356">
            <v>5200</v>
          </cell>
          <cell r="J356">
            <v>2027</v>
          </cell>
          <cell r="M356">
            <v>0</v>
          </cell>
          <cell r="N356">
            <v>0</v>
          </cell>
          <cell r="P356">
            <v>5227</v>
          </cell>
          <cell r="R356">
            <v>2044.8192270535999</v>
          </cell>
          <cell r="S356">
            <v>0</v>
          </cell>
          <cell r="T356">
            <v>0</v>
          </cell>
          <cell r="U356">
            <v>1119</v>
          </cell>
          <cell r="V356">
            <v>0.40624208470000001</v>
          </cell>
          <cell r="W356">
            <v>454.58489277929999</v>
          </cell>
          <cell r="X356">
            <v>2.47444</v>
          </cell>
          <cell r="Y356">
            <v>0</v>
          </cell>
          <cell r="Z356">
            <v>0.40624208470000001</v>
          </cell>
          <cell r="AA356">
            <v>454.58489277929999</v>
          </cell>
        </row>
        <row r="357">
          <cell r="B357" t="str">
            <v>J-01-28</v>
          </cell>
          <cell r="C357" t="str">
            <v>CIPROFLOXACINA .:. 200 mg</v>
          </cell>
          <cell r="D357" t="str">
            <v>Inyectable</v>
          </cell>
          <cell r="E357">
            <v>65</v>
          </cell>
          <cell r="F357">
            <v>520</v>
          </cell>
          <cell r="H357">
            <v>470</v>
          </cell>
          <cell r="J357">
            <v>3060</v>
          </cell>
          <cell r="M357">
            <v>34</v>
          </cell>
          <cell r="N357">
            <v>233.551185</v>
          </cell>
          <cell r="P357">
            <v>432</v>
          </cell>
          <cell r="R357">
            <v>2920.9151073219</v>
          </cell>
          <cell r="S357">
            <v>0</v>
          </cell>
          <cell r="T357">
            <v>0</v>
          </cell>
          <cell r="U357">
            <v>137</v>
          </cell>
          <cell r="V357">
            <v>6.5155918081999999</v>
          </cell>
          <cell r="W357">
            <v>892.63607772340004</v>
          </cell>
          <cell r="X357">
            <v>2.47444</v>
          </cell>
          <cell r="Y357">
            <v>0</v>
          </cell>
          <cell r="Z357">
            <v>6.5155918081999999</v>
          </cell>
          <cell r="AA357">
            <v>892.63607772340004</v>
          </cell>
        </row>
        <row r="358">
          <cell r="B358" t="str">
            <v>J-01-29</v>
          </cell>
          <cell r="C358" t="str">
            <v>CLARITROMICINA .:. 500 mg</v>
          </cell>
          <cell r="D358" t="str">
            <v>Comprimido</v>
          </cell>
          <cell r="E358">
            <v>222</v>
          </cell>
          <cell r="F358">
            <v>680.49282600000004</v>
          </cell>
          <cell r="H358">
            <v>2200</v>
          </cell>
          <cell r="J358">
            <v>5460</v>
          </cell>
          <cell r="M358">
            <v>0</v>
          </cell>
          <cell r="N358">
            <v>0</v>
          </cell>
          <cell r="P358">
            <v>1936</v>
          </cell>
          <cell r="R358">
            <v>4682.4928260375</v>
          </cell>
          <cell r="S358">
            <v>0</v>
          </cell>
          <cell r="T358">
            <v>0</v>
          </cell>
          <cell r="U358">
            <v>486</v>
          </cell>
          <cell r="V358">
            <v>3</v>
          </cell>
          <cell r="W358">
            <v>1458</v>
          </cell>
          <cell r="X358">
            <v>2.47444</v>
          </cell>
          <cell r="Y358">
            <v>0</v>
          </cell>
          <cell r="Z358">
            <v>3</v>
          </cell>
          <cell r="AA358">
            <v>1458</v>
          </cell>
        </row>
        <row r="359">
          <cell r="B359" t="str">
            <v>J-01-30</v>
          </cell>
          <cell r="C359" t="str">
            <v>CLARITROMICINA .:. 250 mg/5 ml</v>
          </cell>
          <cell r="D359" t="str">
            <v>Suspensión</v>
          </cell>
          <cell r="E359">
            <v>0</v>
          </cell>
          <cell r="F359">
            <v>0</v>
          </cell>
          <cell r="H359">
            <v>35</v>
          </cell>
          <cell r="J359">
            <v>1850</v>
          </cell>
          <cell r="M359">
            <v>0</v>
          </cell>
          <cell r="N359">
            <v>0</v>
          </cell>
          <cell r="P359">
            <v>12</v>
          </cell>
          <cell r="R359">
            <v>608</v>
          </cell>
          <cell r="S359">
            <v>0</v>
          </cell>
          <cell r="T359">
            <v>0</v>
          </cell>
          <cell r="U359">
            <v>23</v>
          </cell>
          <cell r="V359">
            <v>54</v>
          </cell>
          <cell r="W359">
            <v>1242</v>
          </cell>
          <cell r="X359">
            <v>2.47444</v>
          </cell>
          <cell r="Y359">
            <v>0</v>
          </cell>
          <cell r="Z359">
            <v>54</v>
          </cell>
          <cell r="AA359">
            <v>1242</v>
          </cell>
        </row>
        <row r="360">
          <cell r="B360" t="str">
            <v>J-01-36</v>
          </cell>
          <cell r="C360" t="str">
            <v>CLOXACILINA .:. 1 g</v>
          </cell>
          <cell r="D360" t="str">
            <v>Inyectable</v>
          </cell>
          <cell r="E360">
            <v>46</v>
          </cell>
          <cell r="F360">
            <v>349.29676799999999</v>
          </cell>
          <cell r="H360">
            <v>0</v>
          </cell>
          <cell r="J360">
            <v>0</v>
          </cell>
          <cell r="M360">
            <v>12</v>
          </cell>
          <cell r="N360">
            <v>91.082593000000003</v>
          </cell>
          <cell r="P360">
            <v>47</v>
          </cell>
          <cell r="R360">
            <v>356.851873001</v>
          </cell>
          <cell r="S360">
            <v>11</v>
          </cell>
          <cell r="T360">
            <v>83.527488000000005</v>
          </cell>
          <cell r="U360">
            <v>0</v>
          </cell>
          <cell r="V360">
            <v>0</v>
          </cell>
          <cell r="W360">
            <v>0</v>
          </cell>
          <cell r="X360">
            <v>2.47444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J-01-37</v>
          </cell>
          <cell r="C361" t="str">
            <v>COTRIMOXAZOL (SULFAMETOXAZOL + TRIMETOPRIMA) .:. 800 mg + 160 mg</v>
          </cell>
          <cell r="D361" t="str">
            <v>Comprimido</v>
          </cell>
          <cell r="E361">
            <v>363</v>
          </cell>
          <cell r="F361">
            <v>184.81491600000001</v>
          </cell>
          <cell r="H361">
            <v>2000</v>
          </cell>
          <cell r="J361">
            <v>780</v>
          </cell>
          <cell r="M361">
            <v>0</v>
          </cell>
          <cell r="N361">
            <v>0</v>
          </cell>
          <cell r="P361">
            <v>2302</v>
          </cell>
          <cell r="R361">
            <v>940.89992981420005</v>
          </cell>
          <cell r="S361">
            <v>0</v>
          </cell>
          <cell r="T361">
            <v>0</v>
          </cell>
          <cell r="U361">
            <v>61</v>
          </cell>
          <cell r="V361">
            <v>0.3920489533</v>
          </cell>
          <cell r="W361">
            <v>23.914986151299999</v>
          </cell>
          <cell r="X361">
            <v>2.47444</v>
          </cell>
          <cell r="Y361">
            <v>0</v>
          </cell>
          <cell r="Z361">
            <v>0.3920489533</v>
          </cell>
          <cell r="AA361">
            <v>23.914986151299999</v>
          </cell>
        </row>
        <row r="362">
          <cell r="B362" t="str">
            <v>J-01-38</v>
          </cell>
          <cell r="C362" t="str">
            <v>COTRIMOXAZOL (SULFAMETOXAZOL + TRIMETOPRIMA) .:. 200 mg + 40 mg/5 ml</v>
          </cell>
          <cell r="D362" t="str">
            <v>Suspensión</v>
          </cell>
          <cell r="E362">
            <v>28</v>
          </cell>
          <cell r="F362">
            <v>224</v>
          </cell>
          <cell r="H362">
            <v>60</v>
          </cell>
          <cell r="J362">
            <v>420</v>
          </cell>
          <cell r="M362">
            <v>0</v>
          </cell>
          <cell r="N362">
            <v>0</v>
          </cell>
          <cell r="P362">
            <v>51</v>
          </cell>
          <cell r="R362">
            <v>385</v>
          </cell>
          <cell r="S362">
            <v>0</v>
          </cell>
          <cell r="T362">
            <v>0</v>
          </cell>
          <cell r="U362">
            <v>37</v>
          </cell>
          <cell r="V362">
            <v>7</v>
          </cell>
          <cell r="W362">
            <v>259</v>
          </cell>
          <cell r="X362">
            <v>2.47444</v>
          </cell>
          <cell r="Y362">
            <v>0</v>
          </cell>
          <cell r="Z362">
            <v>7</v>
          </cell>
          <cell r="AA362">
            <v>259</v>
          </cell>
        </row>
        <row r="363">
          <cell r="B363" t="str">
            <v>J-01-41</v>
          </cell>
          <cell r="C363" t="str">
            <v>DICLOXACILINA SODICA .:. 500 mg</v>
          </cell>
          <cell r="D363" t="str">
            <v>Cápsula</v>
          </cell>
          <cell r="E363">
            <v>219</v>
          </cell>
          <cell r="F363">
            <v>197.1</v>
          </cell>
          <cell r="H363">
            <v>1100</v>
          </cell>
          <cell r="J363">
            <v>1050</v>
          </cell>
          <cell r="M363">
            <v>0</v>
          </cell>
          <cell r="N363">
            <v>0</v>
          </cell>
          <cell r="P363">
            <v>1056</v>
          </cell>
          <cell r="R363">
            <v>971.14626865069999</v>
          </cell>
          <cell r="S363">
            <v>0</v>
          </cell>
          <cell r="T363">
            <v>0</v>
          </cell>
          <cell r="U363">
            <v>263</v>
          </cell>
          <cell r="V363">
            <v>1.0492537313000001</v>
          </cell>
          <cell r="W363">
            <v>275.95373133189997</v>
          </cell>
          <cell r="X363">
            <v>2.47444</v>
          </cell>
          <cell r="Y363">
            <v>0</v>
          </cell>
          <cell r="Z363">
            <v>1.0492537313000001</v>
          </cell>
          <cell r="AA363">
            <v>275.95373133189997</v>
          </cell>
        </row>
        <row r="364">
          <cell r="B364" t="str">
            <v>J-01-44</v>
          </cell>
          <cell r="C364" t="str">
            <v>DOXICICLINA .:. 100 mg</v>
          </cell>
          <cell r="D364" t="str">
            <v>Cápsula o Comprimido</v>
          </cell>
          <cell r="E364">
            <v>185</v>
          </cell>
          <cell r="F364">
            <v>82.204194999999999</v>
          </cell>
          <cell r="H364">
            <v>800</v>
          </cell>
          <cell r="J364">
            <v>400</v>
          </cell>
          <cell r="M364">
            <v>642</v>
          </cell>
          <cell r="N364">
            <v>321</v>
          </cell>
          <cell r="P364">
            <v>681</v>
          </cell>
          <cell r="R364">
            <v>332.66725276860001</v>
          </cell>
          <cell r="S364">
            <v>642</v>
          </cell>
          <cell r="T364">
            <v>318.58473764220003</v>
          </cell>
          <cell r="U364">
            <v>304</v>
          </cell>
          <cell r="V364">
            <v>0.49984277830000001</v>
          </cell>
          <cell r="W364">
            <v>151.95220460319999</v>
          </cell>
          <cell r="X364">
            <v>2.47444</v>
          </cell>
          <cell r="Y364">
            <v>0</v>
          </cell>
          <cell r="Z364">
            <v>0.49984277830000001</v>
          </cell>
          <cell r="AA364">
            <v>151.95220460319999</v>
          </cell>
        </row>
        <row r="365">
          <cell r="B365" t="str">
            <v>J-01-45</v>
          </cell>
          <cell r="C365" t="str">
            <v>ERITROMICINA ESTEARATO .:. 500 mg</v>
          </cell>
          <cell r="D365" t="str">
            <v>Cápsula o Comprimido</v>
          </cell>
          <cell r="E365">
            <v>502</v>
          </cell>
          <cell r="F365">
            <v>491.53982600000001</v>
          </cell>
          <cell r="H365">
            <v>0</v>
          </cell>
          <cell r="J365">
            <v>0</v>
          </cell>
          <cell r="M365">
            <v>188</v>
          </cell>
          <cell r="N365">
            <v>184.08</v>
          </cell>
          <cell r="P365">
            <v>64</v>
          </cell>
          <cell r="R365">
            <v>62.666432</v>
          </cell>
          <cell r="S365">
            <v>438</v>
          </cell>
          <cell r="T365">
            <v>428.87188487499998</v>
          </cell>
          <cell r="U365">
            <v>188</v>
          </cell>
          <cell r="V365">
            <v>0.97915696350000003</v>
          </cell>
          <cell r="W365">
            <v>184.081509138</v>
          </cell>
          <cell r="X365">
            <v>2.47444</v>
          </cell>
          <cell r="Y365">
            <v>0</v>
          </cell>
          <cell r="Z365">
            <v>0.97915696350000003</v>
          </cell>
          <cell r="AA365">
            <v>184.081509138</v>
          </cell>
        </row>
        <row r="366">
          <cell r="B366" t="str">
            <v>J-01-46</v>
          </cell>
          <cell r="C366" t="str">
            <v>ERITROMICINA ETILSUCCINATO .:. 250 mg/5 ml</v>
          </cell>
          <cell r="D366" t="str">
            <v>Suspensión</v>
          </cell>
          <cell r="E366">
            <v>2</v>
          </cell>
          <cell r="F366">
            <v>28.725714</v>
          </cell>
          <cell r="H366">
            <v>0</v>
          </cell>
          <cell r="J366">
            <v>0</v>
          </cell>
          <cell r="M366">
            <v>0</v>
          </cell>
          <cell r="N366">
            <v>0</v>
          </cell>
          <cell r="P366">
            <v>2</v>
          </cell>
          <cell r="R366">
            <v>28.725714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2.47444</v>
          </cell>
          <cell r="Y366">
            <v>0</v>
          </cell>
          <cell r="Z366">
            <v>0</v>
          </cell>
          <cell r="AA366">
            <v>0</v>
          </cell>
        </row>
        <row r="367">
          <cell r="B367" t="str">
            <v>J-01-50</v>
          </cell>
          <cell r="C367" t="str">
            <v>IMIPENEM + CILASTATINA .:. 500 mg + 500 mg</v>
          </cell>
          <cell r="D367" t="str">
            <v>Inyectable</v>
          </cell>
          <cell r="E367">
            <v>106</v>
          </cell>
          <cell r="F367">
            <v>5156.0321780000004</v>
          </cell>
          <cell r="H367">
            <v>500</v>
          </cell>
          <cell r="J367">
            <v>19850</v>
          </cell>
          <cell r="M367">
            <v>18</v>
          </cell>
          <cell r="N367">
            <v>724.20906500000001</v>
          </cell>
          <cell r="P367">
            <v>474</v>
          </cell>
          <cell r="R367">
            <v>19130.241243000899</v>
          </cell>
          <cell r="S367">
            <v>0</v>
          </cell>
          <cell r="T367">
            <v>0</v>
          </cell>
          <cell r="U367">
            <v>150</v>
          </cell>
          <cell r="V367">
            <v>44</v>
          </cell>
          <cell r="W367">
            <v>6600</v>
          </cell>
          <cell r="X367">
            <v>2.47444</v>
          </cell>
          <cell r="Y367">
            <v>0</v>
          </cell>
          <cell r="Z367">
            <v>44</v>
          </cell>
          <cell r="AA367">
            <v>6600</v>
          </cell>
        </row>
        <row r="368">
          <cell r="B368" t="str">
            <v>J-01-51</v>
          </cell>
          <cell r="C368" t="str">
            <v>NITROFURANTOINA .:. 100 mg</v>
          </cell>
          <cell r="D368" t="str">
            <v>Comprimido</v>
          </cell>
          <cell r="E368">
            <v>523</v>
          </cell>
          <cell r="F368">
            <v>469.15296599999999</v>
          </cell>
          <cell r="H368">
            <v>700</v>
          </cell>
          <cell r="J368">
            <v>595</v>
          </cell>
          <cell r="M368">
            <v>0</v>
          </cell>
          <cell r="N368">
            <v>0</v>
          </cell>
          <cell r="P368">
            <v>1117</v>
          </cell>
          <cell r="R368">
            <v>974.03875958879996</v>
          </cell>
          <cell r="S368">
            <v>0</v>
          </cell>
          <cell r="T368">
            <v>0</v>
          </cell>
          <cell r="U368">
            <v>106</v>
          </cell>
          <cell r="V368">
            <v>0.85013402280000006</v>
          </cell>
          <cell r="W368">
            <v>90.114206416800002</v>
          </cell>
          <cell r="X368">
            <v>2.47444</v>
          </cell>
          <cell r="Y368">
            <v>0</v>
          </cell>
          <cell r="Z368">
            <v>0.85013402280000006</v>
          </cell>
          <cell r="AA368">
            <v>90.114206416800002</v>
          </cell>
        </row>
        <row r="369">
          <cell r="B369" t="str">
            <v>J-01-54</v>
          </cell>
          <cell r="C369" t="str">
            <v>TETRACICLINA .:. 500 mg</v>
          </cell>
          <cell r="D369" t="str">
            <v>Cápsula o Comprimido</v>
          </cell>
          <cell r="E369">
            <v>760</v>
          </cell>
          <cell r="F369">
            <v>343.00927999999999</v>
          </cell>
          <cell r="H369">
            <v>0</v>
          </cell>
          <cell r="J369">
            <v>0</v>
          </cell>
          <cell r="M369">
            <v>0</v>
          </cell>
          <cell r="N369">
            <v>0</v>
          </cell>
          <cell r="P369">
            <v>15</v>
          </cell>
          <cell r="R369">
            <v>6.7699199999999999</v>
          </cell>
          <cell r="S369">
            <v>300</v>
          </cell>
          <cell r="T369">
            <v>135.39840000000001</v>
          </cell>
          <cell r="U369">
            <v>445</v>
          </cell>
          <cell r="V369">
            <v>0.45132800000000001</v>
          </cell>
          <cell r="W369">
            <v>200.84096</v>
          </cell>
          <cell r="X369">
            <v>2.47444</v>
          </cell>
          <cell r="Y369">
            <v>0</v>
          </cell>
          <cell r="Z369">
            <v>0.45132800000000001</v>
          </cell>
          <cell r="AA369">
            <v>200.84096</v>
          </cell>
        </row>
        <row r="370">
          <cell r="B370" t="str">
            <v>J-01-55</v>
          </cell>
          <cell r="C370" t="str">
            <v>VANCOMICINA .:. 500 mg</v>
          </cell>
          <cell r="D370" t="str">
            <v>Inyectable</v>
          </cell>
          <cell r="E370">
            <v>324</v>
          </cell>
          <cell r="F370">
            <v>5035.1252400000003</v>
          </cell>
          <cell r="H370">
            <v>0</v>
          </cell>
          <cell r="J370">
            <v>0</v>
          </cell>
          <cell r="M370">
            <v>12</v>
          </cell>
          <cell r="N370">
            <v>186.48612</v>
          </cell>
          <cell r="P370">
            <v>332</v>
          </cell>
          <cell r="R370">
            <v>5159.4493199999997</v>
          </cell>
          <cell r="S370">
            <v>0</v>
          </cell>
          <cell r="T370">
            <v>0</v>
          </cell>
          <cell r="U370">
            <v>4</v>
          </cell>
          <cell r="V370">
            <v>15.540509999999999</v>
          </cell>
          <cell r="W370">
            <v>62.162039999999998</v>
          </cell>
          <cell r="X370">
            <v>2.47444</v>
          </cell>
          <cell r="Y370">
            <v>0</v>
          </cell>
          <cell r="Z370">
            <v>15.540509999999999</v>
          </cell>
          <cell r="AA370">
            <v>62.162039999999998</v>
          </cell>
        </row>
        <row r="371">
          <cell r="B371" t="str">
            <v>J-01-57</v>
          </cell>
          <cell r="C371" t="str">
            <v>AMOXICILINA .:. 500 mg/5 ml</v>
          </cell>
          <cell r="D371" t="str">
            <v>Suspensión</v>
          </cell>
          <cell r="E371">
            <v>23</v>
          </cell>
          <cell r="F371">
            <v>267.29728299999999</v>
          </cell>
          <cell r="H371">
            <v>310</v>
          </cell>
          <cell r="J371">
            <v>2914.4</v>
          </cell>
          <cell r="M371">
            <v>0</v>
          </cell>
          <cell r="N371">
            <v>0</v>
          </cell>
          <cell r="P371">
            <v>206</v>
          </cell>
          <cell r="R371">
            <v>1984.5800419676</v>
          </cell>
          <cell r="S371">
            <v>0</v>
          </cell>
          <cell r="T371">
            <v>0</v>
          </cell>
          <cell r="U371">
            <v>127</v>
          </cell>
          <cell r="V371">
            <v>9.4261200080999998</v>
          </cell>
          <cell r="W371">
            <v>1197.1172410286999</v>
          </cell>
          <cell r="X371">
            <v>2.47444</v>
          </cell>
          <cell r="Y371">
            <v>0</v>
          </cell>
          <cell r="Z371">
            <v>9.4261200080999998</v>
          </cell>
          <cell r="AA371">
            <v>1197.1172410286999</v>
          </cell>
        </row>
        <row r="372">
          <cell r="B372" t="str">
            <v>J-01-58</v>
          </cell>
          <cell r="C372" t="str">
            <v>CEFIXIMA .:. 400 mg</v>
          </cell>
          <cell r="D372" t="str">
            <v>Comprimido o Cápsula</v>
          </cell>
          <cell r="E372">
            <v>298</v>
          </cell>
          <cell r="F372">
            <v>596.89578800000004</v>
          </cell>
          <cell r="H372">
            <v>1300</v>
          </cell>
          <cell r="J372">
            <v>2392</v>
          </cell>
          <cell r="M372">
            <v>5</v>
          </cell>
          <cell r="N372">
            <v>10.015029999999999</v>
          </cell>
          <cell r="P372">
            <v>1353</v>
          </cell>
          <cell r="R372">
            <v>2538.9108179999998</v>
          </cell>
          <cell r="S372">
            <v>0</v>
          </cell>
          <cell r="T372">
            <v>0</v>
          </cell>
          <cell r="U372">
            <v>250</v>
          </cell>
          <cell r="V372">
            <v>1.84</v>
          </cell>
          <cell r="W372">
            <v>460</v>
          </cell>
          <cell r="X372">
            <v>2.47444</v>
          </cell>
          <cell r="Y372">
            <v>0</v>
          </cell>
          <cell r="Z372">
            <v>1.84</v>
          </cell>
          <cell r="AA372">
            <v>460</v>
          </cell>
        </row>
        <row r="373">
          <cell r="B373" t="str">
            <v>J-01-62</v>
          </cell>
          <cell r="C373" t="str">
            <v>AZITROMICINA .:. 200 mg/5 ml</v>
          </cell>
          <cell r="D373" t="str">
            <v>Suspensión</v>
          </cell>
          <cell r="E373">
            <v>0</v>
          </cell>
          <cell r="F373">
            <v>0</v>
          </cell>
          <cell r="H373">
            <v>55</v>
          </cell>
          <cell r="J373">
            <v>1523.85</v>
          </cell>
          <cell r="M373">
            <v>0</v>
          </cell>
          <cell r="N373">
            <v>0</v>
          </cell>
          <cell r="P373">
            <v>36</v>
          </cell>
          <cell r="R373">
            <v>1143.8499999999999</v>
          </cell>
          <cell r="S373">
            <v>0</v>
          </cell>
          <cell r="T373">
            <v>0</v>
          </cell>
          <cell r="U373">
            <v>19</v>
          </cell>
          <cell r="V373">
            <v>20</v>
          </cell>
          <cell r="W373">
            <v>380</v>
          </cell>
          <cell r="X373">
            <v>2.47444</v>
          </cell>
          <cell r="Y373">
            <v>0</v>
          </cell>
          <cell r="Z373">
            <v>20</v>
          </cell>
          <cell r="AA373">
            <v>380</v>
          </cell>
        </row>
        <row r="374">
          <cell r="B374" t="str">
            <v>J-01-63</v>
          </cell>
          <cell r="C374" t="str">
            <v>CEFIXIMA .:. 100 mg/5 ml</v>
          </cell>
          <cell r="D374" t="str">
            <v>Suspensión</v>
          </cell>
          <cell r="E374">
            <v>8</v>
          </cell>
          <cell r="F374">
            <v>200</v>
          </cell>
          <cell r="H374">
            <v>20</v>
          </cell>
          <cell r="J374">
            <v>500</v>
          </cell>
          <cell r="M374">
            <v>0</v>
          </cell>
          <cell r="N374">
            <v>0</v>
          </cell>
          <cell r="P374">
            <v>26</v>
          </cell>
          <cell r="R374">
            <v>650</v>
          </cell>
          <cell r="S374">
            <v>0</v>
          </cell>
          <cell r="T374">
            <v>0</v>
          </cell>
          <cell r="U374">
            <v>2</v>
          </cell>
          <cell r="V374">
            <v>25</v>
          </cell>
          <cell r="W374">
            <v>50</v>
          </cell>
          <cell r="X374">
            <v>2.47444</v>
          </cell>
          <cell r="Y374">
            <v>0</v>
          </cell>
          <cell r="Z374">
            <v>25</v>
          </cell>
          <cell r="AA374">
            <v>50</v>
          </cell>
        </row>
        <row r="375">
          <cell r="B375" t="str">
            <v>J-01-64</v>
          </cell>
          <cell r="C375" t="str">
            <v>CLINDAMICINA .:. 600 mg</v>
          </cell>
          <cell r="D375" t="str">
            <v>Inyectable</v>
          </cell>
          <cell r="E375">
            <v>0</v>
          </cell>
          <cell r="F375">
            <v>0</v>
          </cell>
          <cell r="H375">
            <v>180</v>
          </cell>
          <cell r="J375">
            <v>3079.5</v>
          </cell>
          <cell r="M375">
            <v>8</v>
          </cell>
          <cell r="N375">
            <v>135.982416</v>
          </cell>
          <cell r="P375">
            <v>119</v>
          </cell>
          <cell r="R375">
            <v>2029.2659340656</v>
          </cell>
          <cell r="S375">
            <v>0</v>
          </cell>
          <cell r="T375">
            <v>0</v>
          </cell>
          <cell r="U375">
            <v>69</v>
          </cell>
          <cell r="V375">
            <v>17.191543216399999</v>
          </cell>
          <cell r="W375">
            <v>1186.2164819315999</v>
          </cell>
          <cell r="X375">
            <v>2.47444</v>
          </cell>
          <cell r="Y375">
            <v>0</v>
          </cell>
          <cell r="Z375">
            <v>17.191543216399999</v>
          </cell>
          <cell r="AA375">
            <v>1186.2164819315999</v>
          </cell>
        </row>
        <row r="376">
          <cell r="B376" t="str">
            <v>J-01-66</v>
          </cell>
          <cell r="C376" t="str">
            <v>LEVOFLOXACINA .:. 500 mg</v>
          </cell>
          <cell r="D376" t="str">
            <v>Comprimido</v>
          </cell>
          <cell r="E376">
            <v>501</v>
          </cell>
          <cell r="F376">
            <v>595.54771800000003</v>
          </cell>
          <cell r="H376">
            <v>1500</v>
          </cell>
          <cell r="J376">
            <v>2250</v>
          </cell>
          <cell r="M376">
            <v>0</v>
          </cell>
          <cell r="N376">
            <v>0</v>
          </cell>
          <cell r="P376">
            <v>1139</v>
          </cell>
          <cell r="R376">
            <v>1552.547718</v>
          </cell>
          <cell r="S376">
            <v>0</v>
          </cell>
          <cell r="T376">
            <v>0</v>
          </cell>
          <cell r="U376">
            <v>862</v>
          </cell>
          <cell r="V376">
            <v>1.5</v>
          </cell>
          <cell r="W376">
            <v>1293</v>
          </cell>
          <cell r="X376">
            <v>2.47444</v>
          </cell>
          <cell r="Y376">
            <v>0</v>
          </cell>
          <cell r="Z376">
            <v>1.5</v>
          </cell>
          <cell r="AA376">
            <v>1293</v>
          </cell>
        </row>
        <row r="377">
          <cell r="B377" t="str">
            <v>J-01-67</v>
          </cell>
          <cell r="C377" t="str">
            <v>COLISTINA .:. 100 mg</v>
          </cell>
          <cell r="D377" t="str">
            <v>Inyectable</v>
          </cell>
          <cell r="E377">
            <v>2</v>
          </cell>
          <cell r="F377">
            <v>160</v>
          </cell>
          <cell r="H377">
            <v>0</v>
          </cell>
          <cell r="J377">
            <v>0</v>
          </cell>
          <cell r="M377">
            <v>2</v>
          </cell>
          <cell r="N377">
            <v>160</v>
          </cell>
          <cell r="P377">
            <v>0</v>
          </cell>
          <cell r="R377">
            <v>0</v>
          </cell>
          <cell r="S377">
            <v>2</v>
          </cell>
          <cell r="T377">
            <v>160</v>
          </cell>
          <cell r="U377">
            <v>4</v>
          </cell>
          <cell r="V377">
            <v>160</v>
          </cell>
          <cell r="W377">
            <v>640</v>
          </cell>
          <cell r="X377">
            <v>2.47444</v>
          </cell>
          <cell r="Y377">
            <v>0</v>
          </cell>
          <cell r="Z377">
            <v>160</v>
          </cell>
          <cell r="AA377">
            <v>640</v>
          </cell>
        </row>
        <row r="378">
          <cell r="B378" t="str">
            <v>J-01-68</v>
          </cell>
          <cell r="C378" t="str">
            <v>LEVOFLOXACINA .:. 500mg</v>
          </cell>
          <cell r="D378" t="str">
            <v>Inyectable</v>
          </cell>
          <cell r="E378">
            <v>488</v>
          </cell>
          <cell r="F378">
            <v>20573.985816</v>
          </cell>
          <cell r="H378">
            <v>0</v>
          </cell>
          <cell r="J378">
            <v>0</v>
          </cell>
          <cell r="M378">
            <v>21</v>
          </cell>
          <cell r="N378">
            <v>885.35812099999998</v>
          </cell>
          <cell r="P378">
            <v>234</v>
          </cell>
          <cell r="R378">
            <v>9865.3956649495994</v>
          </cell>
          <cell r="S378">
            <v>11</v>
          </cell>
          <cell r="T378">
            <v>463.75787700000001</v>
          </cell>
          <cell r="U378">
            <v>264</v>
          </cell>
          <cell r="V378">
            <v>42.159812102399997</v>
          </cell>
          <cell r="W378">
            <v>11130.1903950336</v>
          </cell>
          <cell r="X378">
            <v>2.47444</v>
          </cell>
          <cell r="Y378">
            <v>0</v>
          </cell>
          <cell r="Z378">
            <v>42.159812102399997</v>
          </cell>
          <cell r="AA378">
            <v>11130.1903950336</v>
          </cell>
        </row>
        <row r="379">
          <cell r="B379" t="str">
            <v>J-01-69</v>
          </cell>
          <cell r="C379" t="str">
            <v>MEROPENEM .:. 500 mg</v>
          </cell>
          <cell r="D379" t="str">
            <v>Inyectable</v>
          </cell>
          <cell r="E379">
            <v>47</v>
          </cell>
          <cell r="F379">
            <v>2444</v>
          </cell>
          <cell r="H379">
            <v>327</v>
          </cell>
          <cell r="J379">
            <v>12082.53</v>
          </cell>
          <cell r="M379">
            <v>0</v>
          </cell>
          <cell r="N379">
            <v>0</v>
          </cell>
          <cell r="P379">
            <v>336</v>
          </cell>
          <cell r="R379">
            <v>13196.91</v>
          </cell>
          <cell r="S379">
            <v>0</v>
          </cell>
          <cell r="T379">
            <v>0</v>
          </cell>
          <cell r="U379">
            <v>38</v>
          </cell>
          <cell r="V379">
            <v>34.99</v>
          </cell>
          <cell r="W379">
            <v>1329.62</v>
          </cell>
          <cell r="X379">
            <v>2.47444</v>
          </cell>
          <cell r="Y379">
            <v>0</v>
          </cell>
          <cell r="Z379">
            <v>34.99</v>
          </cell>
          <cell r="AA379">
            <v>1329.62</v>
          </cell>
        </row>
        <row r="380">
          <cell r="B380" t="str">
            <v>J-01-71</v>
          </cell>
          <cell r="C380" t="str">
            <v>AMOXICILINA + INHIBIDOR BETALACTAMASA .:. 875 mg + Según disponibilidad</v>
          </cell>
          <cell r="D380" t="str">
            <v>Comprimido</v>
          </cell>
          <cell r="E380">
            <v>613</v>
          </cell>
          <cell r="F380">
            <v>2119.766873</v>
          </cell>
          <cell r="H380">
            <v>4000</v>
          </cell>
          <cell r="J380">
            <v>17520</v>
          </cell>
          <cell r="M380">
            <v>0</v>
          </cell>
          <cell r="N380">
            <v>0</v>
          </cell>
          <cell r="P380">
            <v>3408</v>
          </cell>
          <cell r="R380">
            <v>14377.4598916412</v>
          </cell>
          <cell r="S380">
            <v>0</v>
          </cell>
          <cell r="T380">
            <v>0</v>
          </cell>
          <cell r="U380">
            <v>1205</v>
          </cell>
          <cell r="V380">
            <v>4.3670597354999998</v>
          </cell>
          <cell r="W380">
            <v>5262.3069812775002</v>
          </cell>
          <cell r="X380">
            <v>2.47444</v>
          </cell>
          <cell r="Y380">
            <v>0</v>
          </cell>
          <cell r="Z380">
            <v>4.3670597354999998</v>
          </cell>
          <cell r="AA380">
            <v>5262.3069812775002</v>
          </cell>
        </row>
        <row r="381">
          <cell r="B381" t="str">
            <v>J-01-75</v>
          </cell>
          <cell r="C381" t="str">
            <v>PIPERACILINA + TAZOBACTAM .:. 4 G/500 MG</v>
          </cell>
          <cell r="D381" t="str">
            <v>Inyectable</v>
          </cell>
          <cell r="E381">
            <v>0</v>
          </cell>
          <cell r="F381">
            <v>0</v>
          </cell>
          <cell r="H381">
            <v>65</v>
          </cell>
          <cell r="J381">
            <v>6015</v>
          </cell>
          <cell r="M381">
            <v>0</v>
          </cell>
          <cell r="N381">
            <v>0</v>
          </cell>
          <cell r="P381">
            <v>60</v>
          </cell>
          <cell r="R381">
            <v>5587.7419354832</v>
          </cell>
          <cell r="S381">
            <v>0</v>
          </cell>
          <cell r="T381">
            <v>0</v>
          </cell>
          <cell r="U381">
            <v>5</v>
          </cell>
          <cell r="V381">
            <v>85.451612903200001</v>
          </cell>
          <cell r="W381">
            <v>427.25806451599999</v>
          </cell>
          <cell r="X381">
            <v>2.47444</v>
          </cell>
          <cell r="Y381">
            <v>0</v>
          </cell>
          <cell r="Z381">
            <v>85.451612903200001</v>
          </cell>
          <cell r="AA381">
            <v>427.25806451599999</v>
          </cell>
        </row>
        <row r="382">
          <cell r="B382" t="str">
            <v>J-02-02</v>
          </cell>
          <cell r="C382" t="str">
            <v>FLUCONAZOL .:. 200 mg</v>
          </cell>
          <cell r="D382" t="str">
            <v>Inyectable</v>
          </cell>
          <cell r="E382">
            <v>2</v>
          </cell>
          <cell r="F382">
            <v>55.991557999999998</v>
          </cell>
          <cell r="H382">
            <v>60</v>
          </cell>
          <cell r="J382">
            <v>1560</v>
          </cell>
          <cell r="M382">
            <v>1</v>
          </cell>
          <cell r="N382">
            <v>26</v>
          </cell>
          <cell r="P382">
            <v>42</v>
          </cell>
          <cell r="R382">
            <v>1095.9915579999999</v>
          </cell>
          <cell r="S382">
            <v>0</v>
          </cell>
          <cell r="T382">
            <v>0</v>
          </cell>
          <cell r="U382">
            <v>21</v>
          </cell>
          <cell r="V382">
            <v>26</v>
          </cell>
          <cell r="W382">
            <v>546</v>
          </cell>
          <cell r="X382">
            <v>2.47444</v>
          </cell>
          <cell r="Y382">
            <v>0</v>
          </cell>
          <cell r="Z382">
            <v>26</v>
          </cell>
          <cell r="AA382">
            <v>546</v>
          </cell>
        </row>
        <row r="383">
          <cell r="B383" t="str">
            <v>J-02-08</v>
          </cell>
          <cell r="C383" t="str">
            <v>FLUCONAZOL .:. 150 mg</v>
          </cell>
          <cell r="D383" t="str">
            <v>Comprimido o Cápsula</v>
          </cell>
          <cell r="E383">
            <v>394</v>
          </cell>
          <cell r="F383">
            <v>702.17537400000003</v>
          </cell>
          <cell r="H383">
            <v>200</v>
          </cell>
          <cell r="J383">
            <v>360</v>
          </cell>
          <cell r="M383">
            <v>0</v>
          </cell>
          <cell r="N383">
            <v>0</v>
          </cell>
          <cell r="P383">
            <v>497</v>
          </cell>
          <cell r="R383">
            <v>887.57537400000001</v>
          </cell>
          <cell r="S383">
            <v>0</v>
          </cell>
          <cell r="T383">
            <v>0</v>
          </cell>
          <cell r="U383">
            <v>97</v>
          </cell>
          <cell r="V383">
            <v>1.8</v>
          </cell>
          <cell r="W383">
            <v>174.6</v>
          </cell>
          <cell r="X383">
            <v>2.47444</v>
          </cell>
          <cell r="Y383">
            <v>0</v>
          </cell>
          <cell r="Z383">
            <v>1.8</v>
          </cell>
          <cell r="AA383">
            <v>174.6</v>
          </cell>
        </row>
        <row r="384">
          <cell r="B384" t="str">
            <v>J-05-04</v>
          </cell>
          <cell r="C384" t="str">
            <v>ACICLOVIR .:. 400 mg</v>
          </cell>
          <cell r="D384" t="str">
            <v>Comprimido</v>
          </cell>
          <cell r="E384">
            <v>884</v>
          </cell>
          <cell r="F384">
            <v>884</v>
          </cell>
          <cell r="H384">
            <v>0</v>
          </cell>
          <cell r="J384">
            <v>0</v>
          </cell>
          <cell r="M384">
            <v>0</v>
          </cell>
          <cell r="N384">
            <v>0</v>
          </cell>
          <cell r="P384">
            <v>730</v>
          </cell>
          <cell r="R384">
            <v>730</v>
          </cell>
          <cell r="S384">
            <v>0</v>
          </cell>
          <cell r="T384">
            <v>0</v>
          </cell>
          <cell r="U384">
            <v>154</v>
          </cell>
          <cell r="V384">
            <v>1</v>
          </cell>
          <cell r="W384">
            <v>154</v>
          </cell>
          <cell r="X384">
            <v>2.47444</v>
          </cell>
          <cell r="Y384">
            <v>0</v>
          </cell>
          <cell r="Z384">
            <v>1</v>
          </cell>
          <cell r="AA384">
            <v>154</v>
          </cell>
        </row>
        <row r="385">
          <cell r="B385" t="str">
            <v>J-05-30</v>
          </cell>
          <cell r="C385" t="str">
            <v>ACICLOVIR .:. 200 mg/5 ml</v>
          </cell>
          <cell r="D385" t="str">
            <v>Suspensión</v>
          </cell>
          <cell r="E385">
            <v>0</v>
          </cell>
          <cell r="F385">
            <v>0</v>
          </cell>
          <cell r="H385">
            <v>20</v>
          </cell>
          <cell r="J385">
            <v>1180</v>
          </cell>
          <cell r="M385">
            <v>0</v>
          </cell>
          <cell r="N385">
            <v>0</v>
          </cell>
          <cell r="P385">
            <v>18</v>
          </cell>
          <cell r="R385">
            <v>1062</v>
          </cell>
          <cell r="S385">
            <v>0</v>
          </cell>
          <cell r="T385">
            <v>0</v>
          </cell>
          <cell r="U385">
            <v>2</v>
          </cell>
          <cell r="V385">
            <v>59</v>
          </cell>
          <cell r="W385">
            <v>118</v>
          </cell>
          <cell r="X385">
            <v>2.47444</v>
          </cell>
          <cell r="Y385">
            <v>0</v>
          </cell>
          <cell r="Z385">
            <v>59</v>
          </cell>
          <cell r="AA385">
            <v>118</v>
          </cell>
        </row>
        <row r="386">
          <cell r="B386" t="str">
            <v>J-05-34</v>
          </cell>
          <cell r="C386" t="str">
            <v>LOPINAVIR + RITONAVIR .:. 200 mg + 50 mg</v>
          </cell>
          <cell r="D386" t="str">
            <v>Comprimido</v>
          </cell>
          <cell r="E386">
            <v>130</v>
          </cell>
          <cell r="F386">
            <v>2476.7698799999998</v>
          </cell>
          <cell r="H386">
            <v>0</v>
          </cell>
          <cell r="J386">
            <v>0</v>
          </cell>
          <cell r="M386">
            <v>0</v>
          </cell>
          <cell r="N386">
            <v>0</v>
          </cell>
          <cell r="P386">
            <v>0</v>
          </cell>
          <cell r="R386">
            <v>0</v>
          </cell>
          <cell r="S386">
            <v>130</v>
          </cell>
          <cell r="T386">
            <v>2476.7698799999998</v>
          </cell>
          <cell r="U386">
            <v>0</v>
          </cell>
          <cell r="V386">
            <v>0</v>
          </cell>
          <cell r="W386">
            <v>0</v>
          </cell>
          <cell r="X386">
            <v>2.47444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J-05-36</v>
          </cell>
          <cell r="C387" t="str">
            <v>OSELTAMIVIR .:. 75 mg</v>
          </cell>
          <cell r="D387" t="str">
            <v>Cápsula</v>
          </cell>
          <cell r="E387">
            <v>152</v>
          </cell>
          <cell r="F387">
            <v>3623.539248</v>
          </cell>
          <cell r="H387">
            <v>0</v>
          </cell>
          <cell r="J387">
            <v>0</v>
          </cell>
          <cell r="M387">
            <v>0</v>
          </cell>
          <cell r="N387">
            <v>0</v>
          </cell>
          <cell r="P387">
            <v>60</v>
          </cell>
          <cell r="R387">
            <v>1430.3444400000001</v>
          </cell>
          <cell r="S387">
            <v>0</v>
          </cell>
          <cell r="T387">
            <v>0</v>
          </cell>
          <cell r="U387">
            <v>92</v>
          </cell>
          <cell r="V387">
            <v>23.839074</v>
          </cell>
          <cell r="W387">
            <v>2193.1948080000002</v>
          </cell>
          <cell r="X387">
            <v>2.47444</v>
          </cell>
          <cell r="Y387">
            <v>0</v>
          </cell>
          <cell r="Z387">
            <v>23.839074</v>
          </cell>
          <cell r="AA387">
            <v>2193.1948080000002</v>
          </cell>
        </row>
        <row r="388">
          <cell r="B388" t="str">
            <v>J-05-43</v>
          </cell>
          <cell r="C388" t="str">
            <v>ACICLOVIR .:. 800 mg</v>
          </cell>
          <cell r="D388" t="str">
            <v>Comprimido</v>
          </cell>
          <cell r="E388">
            <v>775</v>
          </cell>
          <cell r="F388">
            <v>2247.5</v>
          </cell>
          <cell r="H388">
            <v>0</v>
          </cell>
          <cell r="J388">
            <v>0</v>
          </cell>
          <cell r="M388">
            <v>0</v>
          </cell>
          <cell r="N388">
            <v>0</v>
          </cell>
          <cell r="P388">
            <v>694</v>
          </cell>
          <cell r="R388">
            <v>2012.6</v>
          </cell>
          <cell r="S388">
            <v>0</v>
          </cell>
          <cell r="T388">
            <v>0</v>
          </cell>
          <cell r="U388">
            <v>81</v>
          </cell>
          <cell r="V388">
            <v>2.9</v>
          </cell>
          <cell r="W388">
            <v>234.9</v>
          </cell>
          <cell r="X388">
            <v>2.47444</v>
          </cell>
          <cell r="Y388">
            <v>0</v>
          </cell>
          <cell r="Z388">
            <v>2.9</v>
          </cell>
          <cell r="AA388">
            <v>234.9</v>
          </cell>
        </row>
        <row r="389">
          <cell r="B389" t="str">
            <v>L-01-03</v>
          </cell>
          <cell r="C389" t="str">
            <v>CAPECITABINE .:. 500 mg</v>
          </cell>
          <cell r="D389" t="str">
            <v>Comprimido</v>
          </cell>
          <cell r="E389">
            <v>0</v>
          </cell>
          <cell r="F389">
            <v>0</v>
          </cell>
          <cell r="H389">
            <v>576</v>
          </cell>
          <cell r="J389">
            <v>6628.8</v>
          </cell>
          <cell r="M389">
            <v>0</v>
          </cell>
          <cell r="N389">
            <v>0</v>
          </cell>
          <cell r="P389">
            <v>504</v>
          </cell>
          <cell r="R389">
            <v>5980.8</v>
          </cell>
          <cell r="S389">
            <v>0</v>
          </cell>
          <cell r="T389">
            <v>0</v>
          </cell>
          <cell r="U389">
            <v>72</v>
          </cell>
          <cell r="V389">
            <v>9</v>
          </cell>
          <cell r="W389">
            <v>648</v>
          </cell>
          <cell r="X389">
            <v>2.47444</v>
          </cell>
          <cell r="Y389">
            <v>0</v>
          </cell>
          <cell r="Z389">
            <v>9</v>
          </cell>
          <cell r="AA389">
            <v>648</v>
          </cell>
        </row>
        <row r="390">
          <cell r="B390" t="str">
            <v>L-01-06</v>
          </cell>
          <cell r="C390" t="str">
            <v>CICLOFOSFAMIDA .:. 1 g</v>
          </cell>
          <cell r="D390" t="str">
            <v>Inyectable</v>
          </cell>
          <cell r="E390">
            <v>0</v>
          </cell>
          <cell r="F390">
            <v>0</v>
          </cell>
          <cell r="H390">
            <v>2</v>
          </cell>
          <cell r="J390">
            <v>433.8</v>
          </cell>
          <cell r="M390">
            <v>0</v>
          </cell>
          <cell r="N390">
            <v>0</v>
          </cell>
          <cell r="P390">
            <v>1</v>
          </cell>
          <cell r="R390">
            <v>216.9</v>
          </cell>
          <cell r="S390">
            <v>0</v>
          </cell>
          <cell r="T390">
            <v>0</v>
          </cell>
          <cell r="U390">
            <v>1</v>
          </cell>
          <cell r="V390">
            <v>216.9</v>
          </cell>
          <cell r="W390">
            <v>216.9</v>
          </cell>
          <cell r="X390">
            <v>2.47444</v>
          </cell>
          <cell r="Y390">
            <v>0</v>
          </cell>
          <cell r="Z390">
            <v>216.9</v>
          </cell>
          <cell r="AA390">
            <v>216.9</v>
          </cell>
        </row>
        <row r="391">
          <cell r="B391" t="str">
            <v>L-01-09</v>
          </cell>
          <cell r="C391" t="str">
            <v>CISPLATINO .:. 50 mg</v>
          </cell>
          <cell r="D391" t="str">
            <v>Inyectable</v>
          </cell>
          <cell r="E391">
            <v>0</v>
          </cell>
          <cell r="F391">
            <v>0</v>
          </cell>
          <cell r="H391">
            <v>12</v>
          </cell>
          <cell r="J391">
            <v>1428</v>
          </cell>
          <cell r="M391">
            <v>0</v>
          </cell>
          <cell r="N391">
            <v>0</v>
          </cell>
          <cell r="P391">
            <v>10</v>
          </cell>
          <cell r="R391">
            <v>1190</v>
          </cell>
          <cell r="S391">
            <v>0</v>
          </cell>
          <cell r="T391">
            <v>0</v>
          </cell>
          <cell r="U391">
            <v>2</v>
          </cell>
          <cell r="V391">
            <v>119</v>
          </cell>
          <cell r="W391">
            <v>238</v>
          </cell>
          <cell r="X391">
            <v>2.47444</v>
          </cell>
          <cell r="Y391">
            <v>0</v>
          </cell>
          <cell r="Z391">
            <v>119</v>
          </cell>
          <cell r="AA391">
            <v>238</v>
          </cell>
        </row>
        <row r="392">
          <cell r="B392" t="str">
            <v>L-01-17</v>
          </cell>
          <cell r="C392" t="str">
            <v>FLUOROURACILO .:. 500 mg/10 ml</v>
          </cell>
          <cell r="D392" t="str">
            <v>Inyectable</v>
          </cell>
          <cell r="E392">
            <v>0</v>
          </cell>
          <cell r="F392">
            <v>0</v>
          </cell>
          <cell r="H392">
            <v>229</v>
          </cell>
          <cell r="J392">
            <v>9372.2800000000007</v>
          </cell>
          <cell r="M392">
            <v>11</v>
          </cell>
          <cell r="N392">
            <v>451</v>
          </cell>
          <cell r="P392">
            <v>240</v>
          </cell>
          <cell r="R392">
            <v>9823.2800000000007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2.47444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L-01-18</v>
          </cell>
          <cell r="C393" t="str">
            <v>GEMCITABINA .:. 1 g</v>
          </cell>
          <cell r="D393" t="str">
            <v>Inyectable</v>
          </cell>
          <cell r="E393">
            <v>0</v>
          </cell>
          <cell r="F393">
            <v>0</v>
          </cell>
          <cell r="H393">
            <v>30</v>
          </cell>
          <cell r="J393">
            <v>12540</v>
          </cell>
          <cell r="M393">
            <v>0</v>
          </cell>
          <cell r="N393">
            <v>0</v>
          </cell>
          <cell r="P393">
            <v>26</v>
          </cell>
          <cell r="R393">
            <v>10868</v>
          </cell>
          <cell r="S393">
            <v>0</v>
          </cell>
          <cell r="T393">
            <v>0</v>
          </cell>
          <cell r="U393">
            <v>4</v>
          </cell>
          <cell r="V393">
            <v>418</v>
          </cell>
          <cell r="W393">
            <v>1672</v>
          </cell>
          <cell r="X393">
            <v>2.47444</v>
          </cell>
          <cell r="Y393">
            <v>0</v>
          </cell>
          <cell r="Z393">
            <v>418</v>
          </cell>
          <cell r="AA393">
            <v>1672</v>
          </cell>
        </row>
        <row r="394">
          <cell r="B394" t="str">
            <v>L-01-19</v>
          </cell>
          <cell r="C394" t="str">
            <v>HIDROXIUREA .:. 500 mg</v>
          </cell>
          <cell r="D394" t="str">
            <v>Cápsula</v>
          </cell>
          <cell r="E394">
            <v>0</v>
          </cell>
          <cell r="F394">
            <v>0</v>
          </cell>
          <cell r="H394">
            <v>200</v>
          </cell>
          <cell r="J394">
            <v>668</v>
          </cell>
          <cell r="M394">
            <v>0</v>
          </cell>
          <cell r="N394">
            <v>0</v>
          </cell>
          <cell r="P394">
            <v>200</v>
          </cell>
          <cell r="R394">
            <v>668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2.47444</v>
          </cell>
          <cell r="Y394">
            <v>0</v>
          </cell>
          <cell r="Z394">
            <v>0</v>
          </cell>
          <cell r="AA394">
            <v>0</v>
          </cell>
        </row>
        <row r="395">
          <cell r="B395" t="str">
            <v>L-01-24</v>
          </cell>
          <cell r="C395" t="str">
            <v>METOTREXATO .:. 50 mg</v>
          </cell>
          <cell r="D395" t="str">
            <v>Inyectable</v>
          </cell>
          <cell r="E395">
            <v>34</v>
          </cell>
          <cell r="F395">
            <v>1891.7583</v>
          </cell>
          <cell r="H395">
            <v>40</v>
          </cell>
          <cell r="J395">
            <v>2200</v>
          </cell>
          <cell r="M395">
            <v>0</v>
          </cell>
          <cell r="N395">
            <v>0</v>
          </cell>
          <cell r="P395">
            <v>60</v>
          </cell>
          <cell r="R395">
            <v>3321.7583</v>
          </cell>
          <cell r="S395">
            <v>0</v>
          </cell>
          <cell r="T395">
            <v>0</v>
          </cell>
          <cell r="U395">
            <v>14</v>
          </cell>
          <cell r="V395">
            <v>55</v>
          </cell>
          <cell r="W395">
            <v>770</v>
          </cell>
          <cell r="X395">
            <v>2.47444</v>
          </cell>
          <cell r="Y395">
            <v>0</v>
          </cell>
          <cell r="Z395">
            <v>55</v>
          </cell>
          <cell r="AA395">
            <v>770</v>
          </cell>
        </row>
        <row r="396">
          <cell r="B396" t="str">
            <v>L-01-26</v>
          </cell>
          <cell r="C396" t="str">
            <v>METOTREXATO .:. 2,5 mg</v>
          </cell>
          <cell r="D396" t="str">
            <v>Comprimido</v>
          </cell>
          <cell r="E396">
            <v>244</v>
          </cell>
          <cell r="F396">
            <v>464.43326000000002</v>
          </cell>
          <cell r="H396">
            <v>4600</v>
          </cell>
          <cell r="J396">
            <v>4720</v>
          </cell>
          <cell r="M396">
            <v>0</v>
          </cell>
          <cell r="N396">
            <v>0</v>
          </cell>
          <cell r="P396">
            <v>4844</v>
          </cell>
          <cell r="R396">
            <v>5184.4332600400003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2.47444</v>
          </cell>
          <cell r="Y396">
            <v>0</v>
          </cell>
          <cell r="Z396">
            <v>0</v>
          </cell>
          <cell r="AA396">
            <v>0</v>
          </cell>
        </row>
        <row r="397">
          <cell r="B397" t="str">
            <v>L-01-34</v>
          </cell>
          <cell r="C397" t="str">
            <v>OXALIPLATINO .:. 50 mg</v>
          </cell>
          <cell r="D397" t="str">
            <v>Inyectable</v>
          </cell>
          <cell r="E397">
            <v>0</v>
          </cell>
          <cell r="F397">
            <v>0</v>
          </cell>
          <cell r="H397">
            <v>80</v>
          </cell>
          <cell r="J397">
            <v>16407.2</v>
          </cell>
          <cell r="M397">
            <v>4</v>
          </cell>
          <cell r="N397">
            <v>800</v>
          </cell>
          <cell r="P397">
            <v>84</v>
          </cell>
          <cell r="R397">
            <v>17207.2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2.47444</v>
          </cell>
          <cell r="Y397">
            <v>0</v>
          </cell>
          <cell r="Z397">
            <v>0</v>
          </cell>
          <cell r="AA397">
            <v>0</v>
          </cell>
        </row>
        <row r="398">
          <cell r="B398" t="str">
            <v>L-01-35</v>
          </cell>
          <cell r="C398" t="str">
            <v>OXALIPLATINO .:. 100 mg</v>
          </cell>
          <cell r="D398" t="str">
            <v>Inyectable</v>
          </cell>
          <cell r="E398">
            <v>0</v>
          </cell>
          <cell r="F398">
            <v>0</v>
          </cell>
          <cell r="H398">
            <v>2</v>
          </cell>
          <cell r="J398">
            <v>603.44000000000005</v>
          </cell>
          <cell r="M398">
            <v>0</v>
          </cell>
          <cell r="N398">
            <v>0</v>
          </cell>
          <cell r="P398">
            <v>2</v>
          </cell>
          <cell r="R398">
            <v>603.44000000000005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2.47444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L-01-36</v>
          </cell>
          <cell r="C399" t="str">
            <v>BEVACIZUMAB .:. 25 mg/ML</v>
          </cell>
          <cell r="D399" t="str">
            <v>Inyectable</v>
          </cell>
          <cell r="E399">
            <v>0</v>
          </cell>
          <cell r="F399">
            <v>0</v>
          </cell>
          <cell r="H399">
            <v>40</v>
          </cell>
          <cell r="J399">
            <v>47200</v>
          </cell>
          <cell r="M399">
            <v>0</v>
          </cell>
          <cell r="N399">
            <v>0</v>
          </cell>
          <cell r="P399">
            <v>40</v>
          </cell>
          <cell r="R399">
            <v>47200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2.47444</v>
          </cell>
          <cell r="Y399">
            <v>0</v>
          </cell>
          <cell r="Z399">
            <v>0</v>
          </cell>
          <cell r="AA399">
            <v>0</v>
          </cell>
        </row>
        <row r="400">
          <cell r="B400" t="str">
            <v>L-01-52</v>
          </cell>
          <cell r="C400" t="str">
            <v>TEMOZOLOMIDA .:. 100 mg</v>
          </cell>
          <cell r="D400" t="str">
            <v>Cápsula</v>
          </cell>
          <cell r="E400">
            <v>0</v>
          </cell>
          <cell r="F400">
            <v>0</v>
          </cell>
          <cell r="H400">
            <v>80</v>
          </cell>
          <cell r="J400">
            <v>16421.400000000001</v>
          </cell>
          <cell r="M400">
            <v>0</v>
          </cell>
          <cell r="N400">
            <v>0</v>
          </cell>
          <cell r="P400">
            <v>80</v>
          </cell>
          <cell r="R400">
            <v>16421.400000000001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2.47444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L-02-01</v>
          </cell>
          <cell r="C401" t="str">
            <v>ANASTROZOL .:. 1 mg</v>
          </cell>
          <cell r="D401" t="str">
            <v>Comprimido</v>
          </cell>
          <cell r="E401">
            <v>0</v>
          </cell>
          <cell r="F401">
            <v>0</v>
          </cell>
          <cell r="H401">
            <v>360</v>
          </cell>
          <cell r="J401">
            <v>2547.6</v>
          </cell>
          <cell r="M401">
            <v>0</v>
          </cell>
          <cell r="N401">
            <v>0</v>
          </cell>
          <cell r="P401">
            <v>330</v>
          </cell>
          <cell r="R401">
            <v>2331.6</v>
          </cell>
          <cell r="S401">
            <v>0</v>
          </cell>
          <cell r="T401">
            <v>0</v>
          </cell>
          <cell r="U401">
            <v>30</v>
          </cell>
          <cell r="V401">
            <v>7.2</v>
          </cell>
          <cell r="W401">
            <v>216</v>
          </cell>
          <cell r="X401">
            <v>2.47444</v>
          </cell>
          <cell r="Y401">
            <v>0</v>
          </cell>
          <cell r="Z401">
            <v>7.2</v>
          </cell>
          <cell r="AA401">
            <v>216</v>
          </cell>
        </row>
        <row r="402">
          <cell r="B402" t="str">
            <v>L-02-03</v>
          </cell>
          <cell r="C402" t="str">
            <v>FLUTAMIDA .:. 250 mg</v>
          </cell>
          <cell r="D402" t="str">
            <v>Comprimido</v>
          </cell>
          <cell r="E402">
            <v>175</v>
          </cell>
          <cell r="F402">
            <v>525</v>
          </cell>
          <cell r="H402">
            <v>0</v>
          </cell>
          <cell r="J402">
            <v>0</v>
          </cell>
          <cell r="M402">
            <v>0</v>
          </cell>
          <cell r="N402">
            <v>0</v>
          </cell>
          <cell r="P402">
            <v>175</v>
          </cell>
          <cell r="R402">
            <v>525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2.47444</v>
          </cell>
          <cell r="Y402">
            <v>0</v>
          </cell>
          <cell r="Z402">
            <v>0</v>
          </cell>
          <cell r="AA402">
            <v>0</v>
          </cell>
        </row>
        <row r="403">
          <cell r="B403" t="str">
            <v>L-02-04</v>
          </cell>
          <cell r="C403" t="str">
            <v>LETROZOL .:. 2,5 mg</v>
          </cell>
          <cell r="D403" t="str">
            <v>Comprimido</v>
          </cell>
          <cell r="E403">
            <v>90</v>
          </cell>
          <cell r="F403">
            <v>574.20000000000005</v>
          </cell>
          <cell r="H403">
            <v>240</v>
          </cell>
          <cell r="J403">
            <v>1531.2</v>
          </cell>
          <cell r="M403">
            <v>0</v>
          </cell>
          <cell r="N403">
            <v>0</v>
          </cell>
          <cell r="P403">
            <v>300</v>
          </cell>
          <cell r="R403">
            <v>1914</v>
          </cell>
          <cell r="S403">
            <v>0</v>
          </cell>
          <cell r="T403">
            <v>0</v>
          </cell>
          <cell r="U403">
            <v>30</v>
          </cell>
          <cell r="V403">
            <v>6.38</v>
          </cell>
          <cell r="W403">
            <v>191.4</v>
          </cell>
          <cell r="X403">
            <v>2.47444</v>
          </cell>
          <cell r="Y403">
            <v>0</v>
          </cell>
          <cell r="Z403">
            <v>6.38</v>
          </cell>
          <cell r="AA403">
            <v>191.4</v>
          </cell>
        </row>
        <row r="404">
          <cell r="B404" t="str">
            <v>L-02-05</v>
          </cell>
          <cell r="C404" t="str">
            <v>TAMOXIFENO .:. 20 mg</v>
          </cell>
          <cell r="D404" t="str">
            <v>Comprimido</v>
          </cell>
          <cell r="E404">
            <v>730</v>
          </cell>
          <cell r="F404">
            <v>1460</v>
          </cell>
          <cell r="H404">
            <v>0</v>
          </cell>
          <cell r="J404">
            <v>0</v>
          </cell>
          <cell r="M404">
            <v>0</v>
          </cell>
          <cell r="N404">
            <v>0</v>
          </cell>
          <cell r="P404">
            <v>464</v>
          </cell>
          <cell r="R404">
            <v>928</v>
          </cell>
          <cell r="S404">
            <v>0</v>
          </cell>
          <cell r="T404">
            <v>0</v>
          </cell>
          <cell r="U404">
            <v>266</v>
          </cell>
          <cell r="V404">
            <v>2</v>
          </cell>
          <cell r="W404">
            <v>532</v>
          </cell>
          <cell r="X404">
            <v>2.47444</v>
          </cell>
          <cell r="Y404">
            <v>0</v>
          </cell>
          <cell r="Z404">
            <v>2</v>
          </cell>
          <cell r="AA404">
            <v>532</v>
          </cell>
        </row>
        <row r="405">
          <cell r="B405" t="str">
            <v>L-02-08</v>
          </cell>
          <cell r="C405" t="str">
            <v>TRIPTORELINA .:. 22.5 mg</v>
          </cell>
          <cell r="D405" t="str">
            <v>Inyectable</v>
          </cell>
          <cell r="E405">
            <v>0</v>
          </cell>
          <cell r="F405">
            <v>0</v>
          </cell>
          <cell r="H405">
            <v>6</v>
          </cell>
          <cell r="J405">
            <v>41740.6</v>
          </cell>
          <cell r="M405">
            <v>0</v>
          </cell>
          <cell r="N405">
            <v>0</v>
          </cell>
          <cell r="P405">
            <v>6</v>
          </cell>
          <cell r="R405">
            <v>41740.6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2.47444</v>
          </cell>
          <cell r="Y405">
            <v>0</v>
          </cell>
          <cell r="Z405">
            <v>0</v>
          </cell>
          <cell r="AA405">
            <v>0</v>
          </cell>
        </row>
        <row r="406">
          <cell r="B406" t="str">
            <v>L-02-11</v>
          </cell>
          <cell r="C406" t="str">
            <v>ENZALUTAMIDA .:. 40 mg</v>
          </cell>
          <cell r="D406" t="str">
            <v>Cápsula</v>
          </cell>
          <cell r="E406">
            <v>0</v>
          </cell>
          <cell r="F406">
            <v>0</v>
          </cell>
          <cell r="H406">
            <v>2040</v>
          </cell>
          <cell r="J406">
            <v>225600</v>
          </cell>
          <cell r="M406">
            <v>0</v>
          </cell>
          <cell r="N406">
            <v>0</v>
          </cell>
          <cell r="P406">
            <v>1920</v>
          </cell>
          <cell r="R406">
            <v>213600</v>
          </cell>
          <cell r="S406">
            <v>0</v>
          </cell>
          <cell r="T406">
            <v>0</v>
          </cell>
          <cell r="U406">
            <v>120</v>
          </cell>
          <cell r="V406">
            <v>100</v>
          </cell>
          <cell r="W406">
            <v>12000</v>
          </cell>
          <cell r="X406">
            <v>2.47444</v>
          </cell>
          <cell r="Y406">
            <v>0</v>
          </cell>
          <cell r="Z406">
            <v>100</v>
          </cell>
          <cell r="AA406">
            <v>12000</v>
          </cell>
        </row>
        <row r="407">
          <cell r="B407" t="str">
            <v>L-02-12</v>
          </cell>
          <cell r="C407" t="str">
            <v>BICALUTAMIDA  .:. 50 MG</v>
          </cell>
          <cell r="D407" t="str">
            <v>Comprimido</v>
          </cell>
          <cell r="E407">
            <v>0</v>
          </cell>
          <cell r="F407">
            <v>0</v>
          </cell>
          <cell r="H407">
            <v>742</v>
          </cell>
          <cell r="J407">
            <v>6180.86</v>
          </cell>
          <cell r="M407">
            <v>0</v>
          </cell>
          <cell r="N407">
            <v>0</v>
          </cell>
          <cell r="P407">
            <v>524</v>
          </cell>
          <cell r="R407">
            <v>4364.92</v>
          </cell>
          <cell r="S407">
            <v>0</v>
          </cell>
          <cell r="T407">
            <v>0</v>
          </cell>
          <cell r="U407">
            <v>218</v>
          </cell>
          <cell r="V407">
            <v>8.33</v>
          </cell>
          <cell r="W407">
            <v>1815.94</v>
          </cell>
          <cell r="X407">
            <v>2.47444</v>
          </cell>
          <cell r="Y407">
            <v>0</v>
          </cell>
          <cell r="Z407">
            <v>8.33</v>
          </cell>
          <cell r="AA407">
            <v>1815.94</v>
          </cell>
        </row>
        <row r="408">
          <cell r="B408" t="str">
            <v>L-03-01</v>
          </cell>
          <cell r="C408" t="str">
            <v>FILGASTRIM .:. 300 mcg/ml</v>
          </cell>
          <cell r="D408" t="str">
            <v>Inyectable</v>
          </cell>
          <cell r="E408">
            <v>7</v>
          </cell>
          <cell r="F408">
            <v>721</v>
          </cell>
          <cell r="H408">
            <v>28</v>
          </cell>
          <cell r="J408">
            <v>2884</v>
          </cell>
          <cell r="M408">
            <v>3</v>
          </cell>
          <cell r="N408">
            <v>309</v>
          </cell>
          <cell r="P408">
            <v>30</v>
          </cell>
          <cell r="R408">
            <v>3090</v>
          </cell>
          <cell r="S408">
            <v>3</v>
          </cell>
          <cell r="T408">
            <v>309</v>
          </cell>
          <cell r="U408">
            <v>5</v>
          </cell>
          <cell r="V408">
            <v>103</v>
          </cell>
          <cell r="W408">
            <v>515</v>
          </cell>
          <cell r="X408">
            <v>2.47444</v>
          </cell>
          <cell r="Y408">
            <v>0</v>
          </cell>
          <cell r="Z408">
            <v>103</v>
          </cell>
          <cell r="AA408">
            <v>515</v>
          </cell>
        </row>
        <row r="409">
          <cell r="B409" t="str">
            <v>L-04-01</v>
          </cell>
          <cell r="C409" t="str">
            <v>AZATIOPRINA .:. 50 mg</v>
          </cell>
          <cell r="D409" t="str">
            <v>Comprimido</v>
          </cell>
          <cell r="E409">
            <v>255</v>
          </cell>
          <cell r="F409">
            <v>739.69456500000001</v>
          </cell>
          <cell r="H409">
            <v>1900</v>
          </cell>
          <cell r="J409">
            <v>5250</v>
          </cell>
          <cell r="M409">
            <v>0</v>
          </cell>
          <cell r="N409">
            <v>0</v>
          </cell>
          <cell r="P409">
            <v>1765</v>
          </cell>
          <cell r="R409">
            <v>4863.5695649999998</v>
          </cell>
          <cell r="S409">
            <v>0</v>
          </cell>
          <cell r="T409">
            <v>0</v>
          </cell>
          <cell r="U409">
            <v>390</v>
          </cell>
          <cell r="V409">
            <v>2.8875000000000002</v>
          </cell>
          <cell r="W409">
            <v>1126.125</v>
          </cell>
          <cell r="X409">
            <v>2.47444</v>
          </cell>
          <cell r="Y409">
            <v>0</v>
          </cell>
          <cell r="Z409">
            <v>2.8875000000000002</v>
          </cell>
          <cell r="AA409">
            <v>1126.125</v>
          </cell>
        </row>
        <row r="410">
          <cell r="B410" t="str">
            <v>L-04-07</v>
          </cell>
          <cell r="C410" t="str">
            <v>MICOFENOLATO DE MOFETILO .:. 500 mg</v>
          </cell>
          <cell r="D410" t="str">
            <v>Comprimido</v>
          </cell>
          <cell r="E410">
            <v>44</v>
          </cell>
          <cell r="F410">
            <v>142.15383600000001</v>
          </cell>
          <cell r="H410">
            <v>4900</v>
          </cell>
          <cell r="J410">
            <v>17260</v>
          </cell>
          <cell r="M410">
            <v>57</v>
          </cell>
          <cell r="N410">
            <v>155.42036100000001</v>
          </cell>
          <cell r="P410">
            <v>4431</v>
          </cell>
          <cell r="R410">
            <v>14707.574196879999</v>
          </cell>
          <cell r="S410">
            <v>0</v>
          </cell>
          <cell r="T410">
            <v>0</v>
          </cell>
          <cell r="U410">
            <v>570</v>
          </cell>
          <cell r="V410">
            <v>5</v>
          </cell>
          <cell r="W410">
            <v>2850</v>
          </cell>
          <cell r="X410">
            <v>2.47444</v>
          </cell>
          <cell r="Y410">
            <v>0</v>
          </cell>
          <cell r="Z410">
            <v>5</v>
          </cell>
          <cell r="AA410">
            <v>2850</v>
          </cell>
        </row>
        <row r="411">
          <cell r="B411" t="str">
            <v>L-04-10</v>
          </cell>
          <cell r="C411" t="str">
            <v>TACROLIMUS .:. 1 mg</v>
          </cell>
          <cell r="D411" t="str">
            <v>Cápsula</v>
          </cell>
          <cell r="E411">
            <v>20</v>
          </cell>
          <cell r="F411">
            <v>165.02126000000001</v>
          </cell>
          <cell r="H411">
            <v>1240</v>
          </cell>
          <cell r="J411">
            <v>9920</v>
          </cell>
          <cell r="M411">
            <v>0</v>
          </cell>
          <cell r="N411">
            <v>0</v>
          </cell>
          <cell r="P411">
            <v>1080</v>
          </cell>
          <cell r="R411">
            <v>8645.0208260489999</v>
          </cell>
          <cell r="S411">
            <v>0</v>
          </cell>
          <cell r="T411">
            <v>0</v>
          </cell>
          <cell r="U411">
            <v>180</v>
          </cell>
          <cell r="V411">
            <v>8.0000024108000005</v>
          </cell>
          <cell r="W411">
            <v>1440.000433944</v>
          </cell>
          <cell r="X411">
            <v>2.47444</v>
          </cell>
          <cell r="Y411">
            <v>0</v>
          </cell>
          <cell r="Z411">
            <v>8.0000024108000005</v>
          </cell>
          <cell r="AA411">
            <v>1440.000433944</v>
          </cell>
        </row>
        <row r="412">
          <cell r="B412" t="str">
            <v>L-04-12</v>
          </cell>
          <cell r="C412" t="str">
            <v>LEFLUNOMIDA .:. 20 mg</v>
          </cell>
          <cell r="D412" t="str">
            <v>Comprimido</v>
          </cell>
          <cell r="E412">
            <v>65</v>
          </cell>
          <cell r="F412">
            <v>204.75</v>
          </cell>
          <cell r="H412">
            <v>2900</v>
          </cell>
          <cell r="J412">
            <v>11020</v>
          </cell>
          <cell r="M412">
            <v>0</v>
          </cell>
          <cell r="N412">
            <v>0</v>
          </cell>
          <cell r="P412">
            <v>2583</v>
          </cell>
          <cell r="R412">
            <v>9773.1499999826992</v>
          </cell>
          <cell r="S412">
            <v>0</v>
          </cell>
          <cell r="T412">
            <v>0</v>
          </cell>
          <cell r="U412">
            <v>382</v>
          </cell>
          <cell r="V412">
            <v>3.8</v>
          </cell>
          <cell r="W412">
            <v>1451.6</v>
          </cell>
          <cell r="X412">
            <v>2.47444</v>
          </cell>
          <cell r="Y412">
            <v>0</v>
          </cell>
          <cell r="Z412">
            <v>3.8</v>
          </cell>
          <cell r="AA412">
            <v>1451.6</v>
          </cell>
        </row>
        <row r="413">
          <cell r="B413" t="str">
            <v>M-01-01</v>
          </cell>
          <cell r="C413" t="str">
            <v>DICLOFENACO SODICO .:. 0.01</v>
          </cell>
          <cell r="D413" t="str">
            <v>Pomada o Gel</v>
          </cell>
          <cell r="E413">
            <v>741</v>
          </cell>
          <cell r="F413">
            <v>7749.4728480000003</v>
          </cell>
          <cell r="H413">
            <v>1800</v>
          </cell>
          <cell r="J413">
            <v>5220</v>
          </cell>
          <cell r="M413">
            <v>0</v>
          </cell>
          <cell r="N413">
            <v>0</v>
          </cell>
          <cell r="P413">
            <v>2157</v>
          </cell>
          <cell r="R413">
            <v>11470.015122607199</v>
          </cell>
          <cell r="S413">
            <v>0</v>
          </cell>
          <cell r="T413">
            <v>0</v>
          </cell>
          <cell r="U413">
            <v>384</v>
          </cell>
          <cell r="V413">
            <v>3.9048378266000001</v>
          </cell>
          <cell r="W413">
            <v>1499.4577254144001</v>
          </cell>
          <cell r="X413">
            <v>2.47444</v>
          </cell>
          <cell r="Y413">
            <v>0</v>
          </cell>
          <cell r="Z413">
            <v>3.9048378266000001</v>
          </cell>
          <cell r="AA413">
            <v>1499.4577254144001</v>
          </cell>
        </row>
        <row r="414">
          <cell r="B414" t="str">
            <v>M-01-02</v>
          </cell>
          <cell r="C414" t="str">
            <v>DICLOFENACO SODICO .:. 50 mg</v>
          </cell>
          <cell r="D414" t="str">
            <v>Comprimido</v>
          </cell>
          <cell r="E414">
            <v>1379</v>
          </cell>
          <cell r="F414">
            <v>190.83981</v>
          </cell>
          <cell r="H414">
            <v>10500</v>
          </cell>
          <cell r="J414">
            <v>840</v>
          </cell>
          <cell r="M414">
            <v>0</v>
          </cell>
          <cell r="N414">
            <v>0</v>
          </cell>
          <cell r="P414">
            <v>9920</v>
          </cell>
          <cell r="R414">
            <v>874.11173998979996</v>
          </cell>
          <cell r="S414">
            <v>0</v>
          </cell>
          <cell r="T414">
            <v>0</v>
          </cell>
          <cell r="U414">
            <v>1959</v>
          </cell>
          <cell r="V414">
            <v>8.0004119400000004E-2</v>
          </cell>
          <cell r="W414">
            <v>156.72806990460001</v>
          </cell>
          <cell r="X414">
            <v>2.47444</v>
          </cell>
          <cell r="Y414">
            <v>0</v>
          </cell>
          <cell r="Z414">
            <v>8.0004119400000004E-2</v>
          </cell>
          <cell r="AA414">
            <v>156.72806990460001</v>
          </cell>
        </row>
        <row r="415">
          <cell r="B415" t="str">
            <v>M-01-03</v>
          </cell>
          <cell r="C415" t="str">
            <v>DICLOFENACO SODICO .:. 75 mg</v>
          </cell>
          <cell r="D415" t="str">
            <v>Inyectable</v>
          </cell>
          <cell r="E415">
            <v>853</v>
          </cell>
          <cell r="F415">
            <v>840.60164499999996</v>
          </cell>
          <cell r="H415">
            <v>4000</v>
          </cell>
          <cell r="J415">
            <v>3995</v>
          </cell>
          <cell r="M415">
            <v>1</v>
          </cell>
          <cell r="N415">
            <v>0.99830799999999997</v>
          </cell>
          <cell r="P415">
            <v>3412</v>
          </cell>
          <cell r="R415">
            <v>3397.0389003380001</v>
          </cell>
          <cell r="S415">
            <v>0</v>
          </cell>
          <cell r="T415">
            <v>0</v>
          </cell>
          <cell r="U415">
            <v>1442</v>
          </cell>
          <cell r="V415">
            <v>0.99830863560000005</v>
          </cell>
          <cell r="W415">
            <v>1439.5610525351999</v>
          </cell>
          <cell r="X415">
            <v>2.47444</v>
          </cell>
          <cell r="Y415">
            <v>0</v>
          </cell>
          <cell r="Z415">
            <v>0.99830863560000005</v>
          </cell>
          <cell r="AA415">
            <v>1439.5610525351999</v>
          </cell>
        </row>
        <row r="416">
          <cell r="B416" t="str">
            <v>M-01-04</v>
          </cell>
          <cell r="C416" t="str">
            <v>IBUPROFENO .:. 100 mg/5 ml</v>
          </cell>
          <cell r="D416" t="str">
            <v>Suspensión</v>
          </cell>
          <cell r="E416">
            <v>153</v>
          </cell>
          <cell r="F416">
            <v>1054.17</v>
          </cell>
          <cell r="H416">
            <v>650</v>
          </cell>
          <cell r="J416">
            <v>4030</v>
          </cell>
          <cell r="M416">
            <v>0</v>
          </cell>
          <cell r="N416">
            <v>0</v>
          </cell>
          <cell r="P416">
            <v>746</v>
          </cell>
          <cell r="R416">
            <v>4728.9796475583998</v>
          </cell>
          <cell r="S416">
            <v>0</v>
          </cell>
          <cell r="T416">
            <v>0</v>
          </cell>
          <cell r="U416">
            <v>57</v>
          </cell>
          <cell r="V416">
            <v>6.2314096915999997</v>
          </cell>
          <cell r="W416">
            <v>355.19035242119998</v>
          </cell>
          <cell r="X416">
            <v>2.47444</v>
          </cell>
          <cell r="Y416">
            <v>0</v>
          </cell>
          <cell r="Z416">
            <v>6.2314096915999997</v>
          </cell>
          <cell r="AA416">
            <v>355.19035242119998</v>
          </cell>
        </row>
        <row r="417">
          <cell r="B417" t="str">
            <v>M-01-05</v>
          </cell>
          <cell r="C417" t="str">
            <v>IBUPROFENO .:. 400 mg</v>
          </cell>
          <cell r="D417" t="str">
            <v>Comprimido</v>
          </cell>
          <cell r="E417">
            <v>11374</v>
          </cell>
          <cell r="F417">
            <v>2415.1324119999999</v>
          </cell>
          <cell r="H417">
            <v>30000</v>
          </cell>
          <cell r="J417">
            <v>4800</v>
          </cell>
          <cell r="M417">
            <v>0</v>
          </cell>
          <cell r="N417">
            <v>0</v>
          </cell>
          <cell r="P417">
            <v>27658</v>
          </cell>
          <cell r="R417">
            <v>4900.8945107494001</v>
          </cell>
          <cell r="S417">
            <v>0</v>
          </cell>
          <cell r="T417">
            <v>0</v>
          </cell>
          <cell r="U417">
            <v>13716</v>
          </cell>
          <cell r="V417">
            <v>0.1687254229</v>
          </cell>
          <cell r="W417">
            <v>2314.2379004964</v>
          </cell>
          <cell r="X417">
            <v>2.47444</v>
          </cell>
          <cell r="Y417">
            <v>0</v>
          </cell>
          <cell r="Z417">
            <v>0.1687254229</v>
          </cell>
          <cell r="AA417">
            <v>2314.2379004964</v>
          </cell>
        </row>
        <row r="418">
          <cell r="B418" t="str">
            <v>M-01-06</v>
          </cell>
          <cell r="C418" t="str">
            <v>INDOMETACINA .:. 25 mg</v>
          </cell>
          <cell r="D418" t="str">
            <v>Cápsula o Comprimido</v>
          </cell>
          <cell r="E418">
            <v>1003</v>
          </cell>
          <cell r="F418">
            <v>200.749447</v>
          </cell>
          <cell r="H418">
            <v>0</v>
          </cell>
          <cell r="J418">
            <v>0</v>
          </cell>
          <cell r="M418">
            <v>0</v>
          </cell>
          <cell r="N418">
            <v>0</v>
          </cell>
          <cell r="P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1003</v>
          </cell>
          <cell r="V418">
            <v>0.20014899999999999</v>
          </cell>
          <cell r="W418">
            <v>200.749447</v>
          </cell>
          <cell r="X418">
            <v>2.47444</v>
          </cell>
          <cell r="Y418">
            <v>0</v>
          </cell>
          <cell r="Z418">
            <v>0.20014899999999999</v>
          </cell>
          <cell r="AA418">
            <v>200.749447</v>
          </cell>
        </row>
        <row r="419">
          <cell r="B419" t="str">
            <v>M-01-07</v>
          </cell>
          <cell r="C419" t="str">
            <v>INDOMETACINA .:. 100 mg</v>
          </cell>
          <cell r="D419" t="str">
            <v>Supositorio</v>
          </cell>
          <cell r="E419">
            <v>876</v>
          </cell>
          <cell r="F419">
            <v>1461.6103800000001</v>
          </cell>
          <cell r="H419">
            <v>1100</v>
          </cell>
          <cell r="J419">
            <v>1738</v>
          </cell>
          <cell r="M419">
            <v>0</v>
          </cell>
          <cell r="N419">
            <v>0</v>
          </cell>
          <cell r="P419">
            <v>1328</v>
          </cell>
          <cell r="R419">
            <v>2175.7703799999999</v>
          </cell>
          <cell r="S419">
            <v>0</v>
          </cell>
          <cell r="T419">
            <v>0</v>
          </cell>
          <cell r="U419">
            <v>648</v>
          </cell>
          <cell r="V419">
            <v>1.58</v>
          </cell>
          <cell r="W419">
            <v>1023.84</v>
          </cell>
          <cell r="X419">
            <v>2.47444</v>
          </cell>
          <cell r="Y419">
            <v>0</v>
          </cell>
          <cell r="Z419">
            <v>1.58</v>
          </cell>
          <cell r="AA419">
            <v>1023.84</v>
          </cell>
        </row>
        <row r="420">
          <cell r="B420" t="str">
            <v>M-01-09</v>
          </cell>
          <cell r="C420" t="str">
            <v>KETOROLACO .:. 30 mg/ml</v>
          </cell>
          <cell r="D420" t="str">
            <v>Inyectable</v>
          </cell>
          <cell r="E420">
            <v>448</v>
          </cell>
          <cell r="F420">
            <v>945.06272000000001</v>
          </cell>
          <cell r="H420">
            <v>4800</v>
          </cell>
          <cell r="J420">
            <v>9987</v>
          </cell>
          <cell r="M420">
            <v>134</v>
          </cell>
          <cell r="N420">
            <v>273.31800399999997</v>
          </cell>
          <cell r="P420">
            <v>4677</v>
          </cell>
          <cell r="R420">
            <v>9480.3032365417002</v>
          </cell>
          <cell r="S420">
            <v>0</v>
          </cell>
          <cell r="T420">
            <v>0</v>
          </cell>
          <cell r="U420">
            <v>705</v>
          </cell>
          <cell r="V420">
            <v>2.4469184224</v>
          </cell>
          <cell r="W420">
            <v>1725.0774877920001</v>
          </cell>
          <cell r="X420">
            <v>2.47444</v>
          </cell>
          <cell r="Y420">
            <v>0</v>
          </cell>
          <cell r="Z420">
            <v>2.4469184224</v>
          </cell>
          <cell r="AA420">
            <v>1725.0774877920001</v>
          </cell>
        </row>
        <row r="421">
          <cell r="B421" t="str">
            <v>M-01-10</v>
          </cell>
          <cell r="C421" t="str">
            <v>KETOPROFENO .:. 100 mg</v>
          </cell>
          <cell r="D421" t="str">
            <v>Inyectable</v>
          </cell>
          <cell r="E421">
            <v>135</v>
          </cell>
          <cell r="F421">
            <v>999</v>
          </cell>
          <cell r="H421">
            <v>220</v>
          </cell>
          <cell r="J421">
            <v>1100</v>
          </cell>
          <cell r="M421">
            <v>26</v>
          </cell>
          <cell r="N421">
            <v>166</v>
          </cell>
          <cell r="P421">
            <v>280</v>
          </cell>
          <cell r="R421">
            <v>1760</v>
          </cell>
          <cell r="S421">
            <v>0</v>
          </cell>
          <cell r="T421">
            <v>0</v>
          </cell>
          <cell r="U421">
            <v>101</v>
          </cell>
          <cell r="V421">
            <v>5</v>
          </cell>
          <cell r="W421">
            <v>505</v>
          </cell>
          <cell r="X421">
            <v>2.47444</v>
          </cell>
          <cell r="Y421">
            <v>0</v>
          </cell>
          <cell r="Z421">
            <v>5</v>
          </cell>
          <cell r="AA421">
            <v>505</v>
          </cell>
        </row>
        <row r="422">
          <cell r="B422" t="str">
            <v>M-01-11</v>
          </cell>
          <cell r="C422" t="str">
            <v>MELOXICAM .:. 15 mg</v>
          </cell>
          <cell r="D422" t="str">
            <v>Comprimido</v>
          </cell>
          <cell r="E422">
            <v>2138</v>
          </cell>
          <cell r="F422">
            <v>1069</v>
          </cell>
          <cell r="H422">
            <v>7800</v>
          </cell>
          <cell r="J422">
            <v>1995</v>
          </cell>
          <cell r="M422">
            <v>0</v>
          </cell>
          <cell r="N422">
            <v>0</v>
          </cell>
          <cell r="P422">
            <v>8250</v>
          </cell>
          <cell r="R422">
            <v>2350.6216671366001</v>
          </cell>
          <cell r="S422">
            <v>0</v>
          </cell>
          <cell r="T422">
            <v>0</v>
          </cell>
          <cell r="U422">
            <v>1688</v>
          </cell>
          <cell r="V422">
            <v>0.42261749570000001</v>
          </cell>
          <cell r="W422">
            <v>713.37833274160005</v>
          </cell>
          <cell r="X422">
            <v>2.47444</v>
          </cell>
          <cell r="Y422">
            <v>0</v>
          </cell>
          <cell r="Z422">
            <v>0.42261749570000001</v>
          </cell>
          <cell r="AA422">
            <v>713.37833274160005</v>
          </cell>
        </row>
        <row r="423">
          <cell r="B423" t="str">
            <v>M-03-01</v>
          </cell>
          <cell r="C423" t="str">
            <v>ATRACURIO BESILATO .:. 10 mg/ml</v>
          </cell>
          <cell r="D423" t="str">
            <v>Inyectable</v>
          </cell>
          <cell r="E423">
            <v>151</v>
          </cell>
          <cell r="F423">
            <v>4228</v>
          </cell>
          <cell r="H423">
            <v>200</v>
          </cell>
          <cell r="J423">
            <v>5000</v>
          </cell>
          <cell r="M423">
            <v>106</v>
          </cell>
          <cell r="N423">
            <v>2770.8733999999999</v>
          </cell>
          <cell r="P423">
            <v>140</v>
          </cell>
          <cell r="R423">
            <v>3711.9162220546</v>
          </cell>
          <cell r="S423">
            <v>95</v>
          </cell>
          <cell r="T423">
            <v>2483.5220741213998</v>
          </cell>
          <cell r="U423">
            <v>222</v>
          </cell>
          <cell r="V423">
            <v>26.1415995668</v>
          </cell>
          <cell r="W423">
            <v>5803.4351038295999</v>
          </cell>
          <cell r="X423">
            <v>2.47444</v>
          </cell>
          <cell r="Y423">
            <v>0</v>
          </cell>
          <cell r="Z423">
            <v>26.1415995668</v>
          </cell>
          <cell r="AA423">
            <v>5803.4351038295999</v>
          </cell>
        </row>
        <row r="424">
          <cell r="B424" t="str">
            <v>M-04-01</v>
          </cell>
          <cell r="C424" t="str">
            <v>ALOPURINOL .:. 300 mg</v>
          </cell>
          <cell r="D424" t="str">
            <v>Comprimido</v>
          </cell>
          <cell r="E424">
            <v>1301</v>
          </cell>
          <cell r="F424">
            <v>638.27970700000003</v>
          </cell>
          <cell r="H424">
            <v>3100</v>
          </cell>
          <cell r="J424">
            <v>1705</v>
          </cell>
          <cell r="M424">
            <v>0</v>
          </cell>
          <cell r="N424">
            <v>0</v>
          </cell>
          <cell r="P424">
            <v>3744</v>
          </cell>
          <cell r="R424">
            <v>1981.929707</v>
          </cell>
          <cell r="S424">
            <v>0</v>
          </cell>
          <cell r="T424">
            <v>0</v>
          </cell>
          <cell r="U424">
            <v>657</v>
          </cell>
          <cell r="V424">
            <v>0.55000000000000004</v>
          </cell>
          <cell r="W424">
            <v>361.35</v>
          </cell>
          <cell r="X424">
            <v>2.47444</v>
          </cell>
          <cell r="Y424">
            <v>0</v>
          </cell>
          <cell r="Z424">
            <v>0.55000000000000004</v>
          </cell>
          <cell r="AA424">
            <v>361.35</v>
          </cell>
        </row>
        <row r="425">
          <cell r="B425" t="str">
            <v>M-04-02</v>
          </cell>
          <cell r="C425" t="str">
            <v>COLCHICINA .:. 0,5 mg</v>
          </cell>
          <cell r="D425" t="str">
            <v>Comprimido</v>
          </cell>
          <cell r="E425">
            <v>507</v>
          </cell>
          <cell r="F425">
            <v>419.82489900000002</v>
          </cell>
          <cell r="H425">
            <v>0</v>
          </cell>
          <cell r="J425">
            <v>0</v>
          </cell>
          <cell r="M425">
            <v>0</v>
          </cell>
          <cell r="N425">
            <v>0</v>
          </cell>
          <cell r="P425">
            <v>496</v>
          </cell>
          <cell r="R425">
            <v>410.716272</v>
          </cell>
          <cell r="S425">
            <v>0</v>
          </cell>
          <cell r="T425">
            <v>0</v>
          </cell>
          <cell r="U425">
            <v>11</v>
          </cell>
          <cell r="V425">
            <v>0.82805700000000004</v>
          </cell>
          <cell r="W425">
            <v>9.1086270000000003</v>
          </cell>
          <cell r="X425">
            <v>2.47444</v>
          </cell>
          <cell r="Y425">
            <v>0</v>
          </cell>
          <cell r="Z425">
            <v>0.82805700000000004</v>
          </cell>
          <cell r="AA425">
            <v>9.1086270000000003</v>
          </cell>
        </row>
        <row r="426">
          <cell r="B426" t="str">
            <v>M-05-03</v>
          </cell>
          <cell r="C426" t="str">
            <v>ACIDO ALENDRONICO (ALENDRONATO) .:. 70 mg</v>
          </cell>
          <cell r="D426" t="str">
            <v>Comprimido</v>
          </cell>
          <cell r="E426">
            <v>68</v>
          </cell>
          <cell r="F426">
            <v>136</v>
          </cell>
          <cell r="H426">
            <v>2000</v>
          </cell>
          <cell r="J426">
            <v>2530</v>
          </cell>
          <cell r="M426">
            <v>0</v>
          </cell>
          <cell r="N426">
            <v>0</v>
          </cell>
          <cell r="P426">
            <v>1505</v>
          </cell>
          <cell r="R426">
            <v>1981.5105263369001</v>
          </cell>
          <cell r="S426">
            <v>0</v>
          </cell>
          <cell r="T426">
            <v>0</v>
          </cell>
          <cell r="U426">
            <v>563</v>
          </cell>
          <cell r="V426">
            <v>1.2157894736999999</v>
          </cell>
          <cell r="W426">
            <v>684.48947369309997</v>
          </cell>
          <cell r="X426">
            <v>2.47444</v>
          </cell>
          <cell r="Y426">
            <v>0</v>
          </cell>
          <cell r="Z426">
            <v>1.2157894736999999</v>
          </cell>
          <cell r="AA426">
            <v>684.48947369309997</v>
          </cell>
        </row>
        <row r="427">
          <cell r="B427" t="str">
            <v>M-05-04</v>
          </cell>
          <cell r="C427" t="str">
            <v>ACIDO ZOLEDRONICO .:. 4mg</v>
          </cell>
          <cell r="D427" t="str">
            <v>Inyectable</v>
          </cell>
          <cell r="E427">
            <v>5</v>
          </cell>
          <cell r="F427">
            <v>2010.666665</v>
          </cell>
          <cell r="H427">
            <v>21</v>
          </cell>
          <cell r="J427">
            <v>8740.2000000000007</v>
          </cell>
          <cell r="M427">
            <v>0</v>
          </cell>
          <cell r="N427">
            <v>0</v>
          </cell>
          <cell r="P427">
            <v>19</v>
          </cell>
          <cell r="R427">
            <v>7810.8666649998004</v>
          </cell>
          <cell r="S427">
            <v>0</v>
          </cell>
          <cell r="T427">
            <v>0</v>
          </cell>
          <cell r="U427">
            <v>7</v>
          </cell>
          <cell r="V427">
            <v>420</v>
          </cell>
          <cell r="W427">
            <v>2940</v>
          </cell>
          <cell r="X427">
            <v>2.47444</v>
          </cell>
          <cell r="Y427">
            <v>0</v>
          </cell>
          <cell r="Z427">
            <v>420</v>
          </cell>
          <cell r="AA427">
            <v>2940</v>
          </cell>
        </row>
        <row r="428">
          <cell r="B428" t="str">
            <v>N-01-02</v>
          </cell>
          <cell r="C428" t="str">
            <v>BUPIVACAINA CLORHIDRATO (PESADA) .:. 0,5%</v>
          </cell>
          <cell r="D428" t="str">
            <v>Inyectable</v>
          </cell>
          <cell r="E428">
            <v>49</v>
          </cell>
          <cell r="F428">
            <v>553.01223600000003</v>
          </cell>
          <cell r="H428">
            <v>80</v>
          </cell>
          <cell r="J428">
            <v>896</v>
          </cell>
          <cell r="M428">
            <v>4</v>
          </cell>
          <cell r="N428">
            <v>44.914617</v>
          </cell>
          <cell r="P428">
            <v>107</v>
          </cell>
          <cell r="R428">
            <v>1202.4785134744</v>
          </cell>
          <cell r="S428">
            <v>0</v>
          </cell>
          <cell r="T428">
            <v>0</v>
          </cell>
          <cell r="U428">
            <v>26</v>
          </cell>
          <cell r="V428">
            <v>11.2095515203</v>
          </cell>
          <cell r="W428">
            <v>291.44833952779999</v>
          </cell>
          <cell r="X428">
            <v>2.47444</v>
          </cell>
          <cell r="Y428">
            <v>0</v>
          </cell>
          <cell r="Z428">
            <v>11.2095515203</v>
          </cell>
          <cell r="AA428">
            <v>291.44833952779999</v>
          </cell>
        </row>
        <row r="429">
          <cell r="B429" t="str">
            <v>N-01-05</v>
          </cell>
          <cell r="C429" t="str">
            <v>FENTANILO CON CONSERVANTE (10 ML) .:. 0,05 mg/ml</v>
          </cell>
          <cell r="D429" t="str">
            <v>Inyectable</v>
          </cell>
          <cell r="E429">
            <v>283</v>
          </cell>
          <cell r="F429">
            <v>9528.2596460000004</v>
          </cell>
          <cell r="H429">
            <v>0</v>
          </cell>
          <cell r="J429">
            <v>0</v>
          </cell>
          <cell r="M429">
            <v>11</v>
          </cell>
          <cell r="N429">
            <v>370.356382</v>
          </cell>
          <cell r="P429">
            <v>205</v>
          </cell>
          <cell r="R429">
            <v>6902.0962099999997</v>
          </cell>
          <cell r="S429">
            <v>0</v>
          </cell>
          <cell r="T429">
            <v>0</v>
          </cell>
          <cell r="U429">
            <v>89</v>
          </cell>
          <cell r="V429">
            <v>33.668762000000001</v>
          </cell>
          <cell r="W429">
            <v>2996.5198180000002</v>
          </cell>
          <cell r="X429">
            <v>2.47444</v>
          </cell>
          <cell r="Y429">
            <v>0</v>
          </cell>
          <cell r="Z429">
            <v>33.668762000000001</v>
          </cell>
          <cell r="AA429">
            <v>2996.5198180000002</v>
          </cell>
        </row>
        <row r="430">
          <cell r="B430" t="str">
            <v>N-01-09</v>
          </cell>
          <cell r="C430" t="str">
            <v>LIDOCAINA CLORHIDRATO .:. 0.02</v>
          </cell>
          <cell r="D430" t="str">
            <v>Caja x 50</v>
          </cell>
          <cell r="E430">
            <v>0</v>
          </cell>
          <cell r="F430">
            <v>0</v>
          </cell>
          <cell r="H430">
            <v>1</v>
          </cell>
          <cell r="J430">
            <v>178</v>
          </cell>
          <cell r="M430">
            <v>0</v>
          </cell>
          <cell r="N430">
            <v>0</v>
          </cell>
          <cell r="P430">
            <v>1</v>
          </cell>
          <cell r="R430">
            <v>178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2.47444</v>
          </cell>
          <cell r="Y430">
            <v>0</v>
          </cell>
          <cell r="Z430">
            <v>0</v>
          </cell>
          <cell r="AA430">
            <v>0</v>
          </cell>
        </row>
        <row r="431">
          <cell r="B431" t="str">
            <v>N-01-11</v>
          </cell>
          <cell r="C431" t="str">
            <v>LIDOCAINA CLORHIDRATO + EPINEFRINA .:. 2% 1 : 200.000</v>
          </cell>
          <cell r="D431" t="str">
            <v>Cartucho dental</v>
          </cell>
          <cell r="E431">
            <v>0</v>
          </cell>
          <cell r="F431">
            <v>0</v>
          </cell>
          <cell r="H431">
            <v>22</v>
          </cell>
          <cell r="J431">
            <v>3088</v>
          </cell>
          <cell r="M431">
            <v>0</v>
          </cell>
          <cell r="N431">
            <v>0</v>
          </cell>
          <cell r="P431">
            <v>22</v>
          </cell>
          <cell r="R431">
            <v>3087.9999999992001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2.47444</v>
          </cell>
          <cell r="Y431">
            <v>0</v>
          </cell>
          <cell r="Z431">
            <v>0</v>
          </cell>
          <cell r="AA431">
            <v>0</v>
          </cell>
        </row>
        <row r="432">
          <cell r="B432" t="str">
            <v>N-01-12</v>
          </cell>
          <cell r="C432" t="str">
            <v>LIDOCAINA CLORHIDRATO SIN CONSERVANTE .:. 0.02</v>
          </cell>
          <cell r="D432" t="str">
            <v>Inyectable</v>
          </cell>
          <cell r="E432">
            <v>46</v>
          </cell>
          <cell r="F432">
            <v>391</v>
          </cell>
          <cell r="H432">
            <v>270</v>
          </cell>
          <cell r="J432">
            <v>1650</v>
          </cell>
          <cell r="M432">
            <v>0</v>
          </cell>
          <cell r="N432">
            <v>0</v>
          </cell>
          <cell r="P432">
            <v>224</v>
          </cell>
          <cell r="R432">
            <v>1574.5172413775001</v>
          </cell>
          <cell r="S432">
            <v>0</v>
          </cell>
          <cell r="T432">
            <v>0</v>
          </cell>
          <cell r="U432">
            <v>92</v>
          </cell>
          <cell r="V432">
            <v>5.0704647675999999</v>
          </cell>
          <cell r="W432">
            <v>466.48275861920001</v>
          </cell>
          <cell r="X432">
            <v>2.47444</v>
          </cell>
          <cell r="Y432">
            <v>0</v>
          </cell>
          <cell r="Z432">
            <v>5.0704647675999999</v>
          </cell>
          <cell r="AA432">
            <v>466.48275861920001</v>
          </cell>
        </row>
        <row r="433">
          <cell r="B433" t="str">
            <v>N-01-13</v>
          </cell>
          <cell r="C433" t="str">
            <v>PROPOFOL .:. 10 mg/ml</v>
          </cell>
          <cell r="D433" t="str">
            <v>Inyectable</v>
          </cell>
          <cell r="E433">
            <v>67</v>
          </cell>
          <cell r="F433">
            <v>1272.33</v>
          </cell>
          <cell r="H433">
            <v>295</v>
          </cell>
          <cell r="J433">
            <v>2853</v>
          </cell>
          <cell r="M433">
            <v>15</v>
          </cell>
          <cell r="N433">
            <v>90</v>
          </cell>
          <cell r="P433">
            <v>361</v>
          </cell>
          <cell r="R433">
            <v>3936.93</v>
          </cell>
          <cell r="S433">
            <v>0</v>
          </cell>
          <cell r="T433">
            <v>0</v>
          </cell>
          <cell r="U433">
            <v>16</v>
          </cell>
          <cell r="V433">
            <v>17.399999999999999</v>
          </cell>
          <cell r="W433">
            <v>278.39999999999998</v>
          </cell>
          <cell r="X433">
            <v>2.47444</v>
          </cell>
          <cell r="Y433">
            <v>0</v>
          </cell>
          <cell r="Z433">
            <v>17.399999999999999</v>
          </cell>
          <cell r="AA433">
            <v>278.39999999999998</v>
          </cell>
        </row>
        <row r="434">
          <cell r="B434" t="str">
            <v>N-01-15</v>
          </cell>
          <cell r="C434" t="str">
            <v>TIOPENTAL SODICO .:. 1 g</v>
          </cell>
          <cell r="D434" t="str">
            <v>Inyectable</v>
          </cell>
          <cell r="E434">
            <v>54</v>
          </cell>
          <cell r="F434">
            <v>1350</v>
          </cell>
          <cell r="H434">
            <v>0</v>
          </cell>
          <cell r="J434">
            <v>0</v>
          </cell>
          <cell r="M434">
            <v>0</v>
          </cell>
          <cell r="N434">
            <v>0</v>
          </cell>
          <cell r="P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54</v>
          </cell>
          <cell r="V434">
            <v>25</v>
          </cell>
          <cell r="W434">
            <v>1350</v>
          </cell>
          <cell r="X434">
            <v>2.47444</v>
          </cell>
          <cell r="Y434">
            <v>0</v>
          </cell>
          <cell r="Z434">
            <v>25</v>
          </cell>
          <cell r="AA434">
            <v>1350</v>
          </cell>
        </row>
        <row r="435">
          <cell r="B435" t="str">
            <v>N-01-16</v>
          </cell>
          <cell r="C435" t="str">
            <v>REMIFENTANILO .:. 5 mg</v>
          </cell>
          <cell r="D435" t="str">
            <v>Inyectable</v>
          </cell>
          <cell r="E435">
            <v>1</v>
          </cell>
          <cell r="F435">
            <v>125</v>
          </cell>
          <cell r="H435">
            <v>30</v>
          </cell>
          <cell r="J435">
            <v>3600</v>
          </cell>
          <cell r="M435">
            <v>0</v>
          </cell>
          <cell r="N435">
            <v>0</v>
          </cell>
          <cell r="P435">
            <v>22</v>
          </cell>
          <cell r="R435">
            <v>2645</v>
          </cell>
          <cell r="S435">
            <v>0</v>
          </cell>
          <cell r="T435">
            <v>0</v>
          </cell>
          <cell r="U435">
            <v>9</v>
          </cell>
          <cell r="V435">
            <v>120</v>
          </cell>
          <cell r="W435">
            <v>1080</v>
          </cell>
          <cell r="X435">
            <v>2.47444</v>
          </cell>
          <cell r="Y435">
            <v>0</v>
          </cell>
          <cell r="Z435">
            <v>120</v>
          </cell>
          <cell r="AA435">
            <v>1080</v>
          </cell>
        </row>
        <row r="436">
          <cell r="B436" t="str">
            <v>N-02-03</v>
          </cell>
          <cell r="C436" t="str">
            <v>ERGOTAMINA TARTRATO + CAFEINA .:. 1 mg + 100 mg</v>
          </cell>
          <cell r="D436" t="str">
            <v>Comprimido</v>
          </cell>
          <cell r="E436">
            <v>0</v>
          </cell>
          <cell r="F436">
            <v>0</v>
          </cell>
          <cell r="H436">
            <v>2400</v>
          </cell>
          <cell r="J436">
            <v>3400</v>
          </cell>
          <cell r="M436">
            <v>0</v>
          </cell>
          <cell r="N436">
            <v>0</v>
          </cell>
          <cell r="P436">
            <v>1489</v>
          </cell>
          <cell r="R436">
            <v>2117.1547290518001</v>
          </cell>
          <cell r="S436">
            <v>0</v>
          </cell>
          <cell r="T436">
            <v>0</v>
          </cell>
          <cell r="U436">
            <v>911</v>
          </cell>
          <cell r="V436">
            <v>1.4081726353999999</v>
          </cell>
          <cell r="W436">
            <v>1282.8452708494001</v>
          </cell>
          <cell r="X436">
            <v>2.47444</v>
          </cell>
          <cell r="Y436">
            <v>0</v>
          </cell>
          <cell r="Z436">
            <v>1.4081726353999999</v>
          </cell>
          <cell r="AA436">
            <v>1282.8452708494001</v>
          </cell>
        </row>
        <row r="437">
          <cell r="B437" t="str">
            <v>N-02-05</v>
          </cell>
          <cell r="C437" t="str">
            <v>METAMIZOL (DIPIRONA) .:. 1 g</v>
          </cell>
          <cell r="D437" t="str">
            <v>Inyectable</v>
          </cell>
          <cell r="E437">
            <v>1864</v>
          </cell>
          <cell r="F437">
            <v>3349.4644720000001</v>
          </cell>
          <cell r="H437">
            <v>3300</v>
          </cell>
          <cell r="J437">
            <v>3300</v>
          </cell>
          <cell r="M437">
            <v>281</v>
          </cell>
          <cell r="N437">
            <v>371.38611500000002</v>
          </cell>
          <cell r="P437">
            <v>4520</v>
          </cell>
          <cell r="R437">
            <v>5910.1834512375999</v>
          </cell>
          <cell r="S437">
            <v>0</v>
          </cell>
          <cell r="T437">
            <v>0</v>
          </cell>
          <cell r="U437">
            <v>925</v>
          </cell>
          <cell r="V437">
            <v>1.2007212291</v>
          </cell>
          <cell r="W437">
            <v>1110.6671369175001</v>
          </cell>
          <cell r="X437">
            <v>2.47444</v>
          </cell>
          <cell r="Y437">
            <v>0</v>
          </cell>
          <cell r="Z437">
            <v>1.2007212291</v>
          </cell>
          <cell r="AA437">
            <v>1110.6671369175001</v>
          </cell>
        </row>
        <row r="438">
          <cell r="B438" t="str">
            <v>N-02-07</v>
          </cell>
          <cell r="C438" t="str">
            <v>MORFINA (CON Y SIN CONSERVANTE) .:. 10 mg/ml</v>
          </cell>
          <cell r="D438" t="str">
            <v>Inyectable</v>
          </cell>
          <cell r="E438">
            <v>3</v>
          </cell>
          <cell r="F438">
            <v>36</v>
          </cell>
          <cell r="H438">
            <v>150</v>
          </cell>
          <cell r="J438">
            <v>1798.5</v>
          </cell>
          <cell r="M438">
            <v>0</v>
          </cell>
          <cell r="N438">
            <v>0</v>
          </cell>
          <cell r="P438">
            <v>96</v>
          </cell>
          <cell r="R438">
            <v>1151.07</v>
          </cell>
          <cell r="S438">
            <v>0</v>
          </cell>
          <cell r="T438">
            <v>0</v>
          </cell>
          <cell r="U438">
            <v>57</v>
          </cell>
          <cell r="V438">
            <v>11.99</v>
          </cell>
          <cell r="W438">
            <v>683.43</v>
          </cell>
          <cell r="X438">
            <v>2.47444</v>
          </cell>
          <cell r="Y438">
            <v>0</v>
          </cell>
          <cell r="Z438">
            <v>11.99</v>
          </cell>
          <cell r="AA438">
            <v>683.43</v>
          </cell>
        </row>
        <row r="439">
          <cell r="B439" t="str">
            <v>N-02-08</v>
          </cell>
          <cell r="C439" t="str">
            <v>PARACETAMOL (ACETAMINOFENO) .:. 500 mg</v>
          </cell>
          <cell r="D439" t="str">
            <v>Comprimido</v>
          </cell>
          <cell r="E439">
            <v>7504</v>
          </cell>
          <cell r="F439">
            <v>679.22456</v>
          </cell>
          <cell r="H439">
            <v>13000</v>
          </cell>
          <cell r="J439">
            <v>1560</v>
          </cell>
          <cell r="M439">
            <v>0</v>
          </cell>
          <cell r="N439">
            <v>0</v>
          </cell>
          <cell r="P439">
            <v>11927</v>
          </cell>
          <cell r="R439">
            <v>1209.9845600000001</v>
          </cell>
          <cell r="S439">
            <v>0</v>
          </cell>
          <cell r="T439">
            <v>0</v>
          </cell>
          <cell r="U439">
            <v>8577</v>
          </cell>
          <cell r="V439">
            <v>0.12</v>
          </cell>
          <cell r="W439">
            <v>1029.24</v>
          </cell>
          <cell r="X439">
            <v>2.47444</v>
          </cell>
          <cell r="Y439">
            <v>0</v>
          </cell>
          <cell r="Z439">
            <v>0.12</v>
          </cell>
          <cell r="AA439">
            <v>1029.24</v>
          </cell>
        </row>
        <row r="440">
          <cell r="B440" t="str">
            <v>N-02-09</v>
          </cell>
          <cell r="C440" t="str">
            <v>PARACETAMOL (ACETAMINOFENO) .:. 125 mg/5 ml o 120 mg/5 ml</v>
          </cell>
          <cell r="D440" t="str">
            <v>Jarabe</v>
          </cell>
          <cell r="E440">
            <v>50</v>
          </cell>
          <cell r="F440">
            <v>325</v>
          </cell>
          <cell r="H440">
            <v>200</v>
          </cell>
          <cell r="J440">
            <v>1160</v>
          </cell>
          <cell r="M440">
            <v>0</v>
          </cell>
          <cell r="N440">
            <v>0</v>
          </cell>
          <cell r="P440">
            <v>167</v>
          </cell>
          <cell r="R440">
            <v>1003.3109452778</v>
          </cell>
          <cell r="S440">
            <v>0</v>
          </cell>
          <cell r="T440">
            <v>0</v>
          </cell>
          <cell r="U440">
            <v>83</v>
          </cell>
          <cell r="V440">
            <v>5.8034825871000004</v>
          </cell>
          <cell r="W440">
            <v>481.68905472929998</v>
          </cell>
          <cell r="X440">
            <v>2.47444</v>
          </cell>
          <cell r="Y440">
            <v>0</v>
          </cell>
          <cell r="Z440">
            <v>5.8034825871000004</v>
          </cell>
          <cell r="AA440">
            <v>481.68905472929998</v>
          </cell>
        </row>
        <row r="441">
          <cell r="B441" t="str">
            <v>N-02-10</v>
          </cell>
          <cell r="C441" t="str">
            <v>PARACETAMOL (ACETAMINOFENO) .:. 100 mg/ml</v>
          </cell>
          <cell r="D441" t="str">
            <v>Gotas</v>
          </cell>
          <cell r="E441">
            <v>33</v>
          </cell>
          <cell r="F441">
            <v>181.5</v>
          </cell>
          <cell r="H441">
            <v>100</v>
          </cell>
          <cell r="J441">
            <v>500</v>
          </cell>
          <cell r="M441">
            <v>0</v>
          </cell>
          <cell r="N441">
            <v>0</v>
          </cell>
          <cell r="P441">
            <v>127</v>
          </cell>
          <cell r="R441">
            <v>651.5</v>
          </cell>
          <cell r="S441">
            <v>0</v>
          </cell>
          <cell r="T441">
            <v>0</v>
          </cell>
          <cell r="U441">
            <v>6</v>
          </cell>
          <cell r="V441">
            <v>5</v>
          </cell>
          <cell r="W441">
            <v>30</v>
          </cell>
          <cell r="X441">
            <v>2.47444</v>
          </cell>
          <cell r="Y441">
            <v>0</v>
          </cell>
          <cell r="Z441">
            <v>5</v>
          </cell>
          <cell r="AA441">
            <v>30</v>
          </cell>
        </row>
        <row r="442">
          <cell r="B442" t="str">
            <v>N-02-11</v>
          </cell>
          <cell r="C442" t="str">
            <v>PARACETAMOL (ACETAMINOFENO) .:. 100 mg</v>
          </cell>
          <cell r="D442" t="str">
            <v>Supositorio</v>
          </cell>
          <cell r="E442">
            <v>44</v>
          </cell>
          <cell r="F442">
            <v>72.0852</v>
          </cell>
          <cell r="H442">
            <v>0</v>
          </cell>
          <cell r="J442">
            <v>0</v>
          </cell>
          <cell r="M442">
            <v>17</v>
          </cell>
          <cell r="N442">
            <v>27.85</v>
          </cell>
          <cell r="P442">
            <v>26</v>
          </cell>
          <cell r="R442">
            <v>42.595265713800003</v>
          </cell>
          <cell r="S442">
            <v>17</v>
          </cell>
          <cell r="T442">
            <v>27.851099999999999</v>
          </cell>
          <cell r="U442">
            <v>18</v>
          </cell>
          <cell r="V442">
            <v>1.6382685714</v>
          </cell>
          <cell r="W442">
            <v>29.488834285199999</v>
          </cell>
          <cell r="X442">
            <v>2.47444</v>
          </cell>
          <cell r="Y442">
            <v>0</v>
          </cell>
          <cell r="Z442">
            <v>1.6382685714</v>
          </cell>
          <cell r="AA442">
            <v>29.488834285199999</v>
          </cell>
        </row>
        <row r="443">
          <cell r="B443" t="str">
            <v>N-02-14</v>
          </cell>
          <cell r="C443" t="str">
            <v>TRAMADOL .:. 100 mg/2 ml</v>
          </cell>
          <cell r="D443" t="str">
            <v>Inyectable</v>
          </cell>
          <cell r="E443">
            <v>260</v>
          </cell>
          <cell r="F443">
            <v>1297.4000000000001</v>
          </cell>
          <cell r="H443">
            <v>600</v>
          </cell>
          <cell r="J443">
            <v>2994</v>
          </cell>
          <cell r="M443">
            <v>34</v>
          </cell>
          <cell r="N443">
            <v>169.66</v>
          </cell>
          <cell r="P443">
            <v>625</v>
          </cell>
          <cell r="R443">
            <v>3118.75</v>
          </cell>
          <cell r="S443">
            <v>0</v>
          </cell>
          <cell r="T443">
            <v>0</v>
          </cell>
          <cell r="U443">
            <v>269</v>
          </cell>
          <cell r="V443">
            <v>4.99</v>
          </cell>
          <cell r="W443">
            <v>1342.31</v>
          </cell>
          <cell r="X443">
            <v>2.47444</v>
          </cell>
          <cell r="Y443">
            <v>0</v>
          </cell>
          <cell r="Z443">
            <v>4.99</v>
          </cell>
          <cell r="AA443">
            <v>1342.31</v>
          </cell>
        </row>
        <row r="444">
          <cell r="B444" t="str">
            <v>N-02-15</v>
          </cell>
          <cell r="C444" t="str">
            <v>TRAMADOL .:. 50 mg</v>
          </cell>
          <cell r="D444" t="str">
            <v>Comprimido</v>
          </cell>
          <cell r="E444">
            <v>2052</v>
          </cell>
          <cell r="F444">
            <v>3696.0295679999999</v>
          </cell>
          <cell r="H444">
            <v>3000</v>
          </cell>
          <cell r="J444">
            <v>5400</v>
          </cell>
          <cell r="M444">
            <v>0</v>
          </cell>
          <cell r="N444">
            <v>0</v>
          </cell>
          <cell r="P444">
            <v>4945</v>
          </cell>
          <cell r="R444">
            <v>8903.4295679999996</v>
          </cell>
          <cell r="S444">
            <v>0</v>
          </cell>
          <cell r="T444">
            <v>0</v>
          </cell>
          <cell r="U444">
            <v>107</v>
          </cell>
          <cell r="V444">
            <v>1.8</v>
          </cell>
          <cell r="W444">
            <v>192.6</v>
          </cell>
          <cell r="X444">
            <v>2.47444</v>
          </cell>
          <cell r="Y444">
            <v>0</v>
          </cell>
          <cell r="Z444">
            <v>1.8</v>
          </cell>
          <cell r="AA444">
            <v>192.6</v>
          </cell>
        </row>
        <row r="445">
          <cell r="B445" t="str">
            <v>N-02-17</v>
          </cell>
          <cell r="C445" t="str">
            <v>TRAMADOL .:. 100 mg/ml</v>
          </cell>
          <cell r="D445" t="str">
            <v>Solución p/ gotas orales</v>
          </cell>
          <cell r="E445">
            <v>48</v>
          </cell>
          <cell r="F445">
            <v>2231.288544</v>
          </cell>
          <cell r="H445">
            <v>140</v>
          </cell>
          <cell r="J445">
            <v>6160</v>
          </cell>
          <cell r="M445">
            <v>0</v>
          </cell>
          <cell r="N445">
            <v>0</v>
          </cell>
          <cell r="P445">
            <v>143</v>
          </cell>
          <cell r="R445">
            <v>6411.288544</v>
          </cell>
          <cell r="S445">
            <v>0</v>
          </cell>
          <cell r="T445">
            <v>0</v>
          </cell>
          <cell r="U445">
            <v>45</v>
          </cell>
          <cell r="V445">
            <v>44</v>
          </cell>
          <cell r="W445">
            <v>1980</v>
          </cell>
          <cell r="X445">
            <v>2.47444</v>
          </cell>
          <cell r="Y445">
            <v>0</v>
          </cell>
          <cell r="Z445">
            <v>44</v>
          </cell>
          <cell r="AA445">
            <v>1980</v>
          </cell>
        </row>
        <row r="446">
          <cell r="B446" t="str">
            <v>N-03-03</v>
          </cell>
          <cell r="C446" t="str">
            <v>ACIDO VALPROICO O VALPROATO SODICO .:. 500 mg</v>
          </cell>
          <cell r="D446" t="str">
            <v>Cápsula o Comprimido</v>
          </cell>
          <cell r="E446">
            <v>5890</v>
          </cell>
          <cell r="F446">
            <v>23206.6</v>
          </cell>
          <cell r="H446">
            <v>7100</v>
          </cell>
          <cell r="J446">
            <v>23300</v>
          </cell>
          <cell r="M446">
            <v>30</v>
          </cell>
          <cell r="N446">
            <v>118.2</v>
          </cell>
          <cell r="P446">
            <v>10080</v>
          </cell>
          <cell r="R446">
            <v>37320.065671671</v>
          </cell>
          <cell r="S446">
            <v>0</v>
          </cell>
          <cell r="T446">
            <v>0</v>
          </cell>
          <cell r="U446">
            <v>2940</v>
          </cell>
          <cell r="V446">
            <v>3.1648756218999998</v>
          </cell>
          <cell r="W446">
            <v>9304.7343283859991</v>
          </cell>
          <cell r="X446">
            <v>2.47444</v>
          </cell>
          <cell r="Y446">
            <v>0</v>
          </cell>
          <cell r="Z446">
            <v>3.1648756218999998</v>
          </cell>
          <cell r="AA446">
            <v>9304.7343283859991</v>
          </cell>
        </row>
        <row r="447">
          <cell r="B447" t="str">
            <v>N-03-04</v>
          </cell>
          <cell r="C447" t="str">
            <v>CARBAMAZEPINA .:. 200 mg</v>
          </cell>
          <cell r="D447" t="str">
            <v>Comprimido</v>
          </cell>
          <cell r="E447">
            <v>2377</v>
          </cell>
          <cell r="F447">
            <v>715.48175400000002</v>
          </cell>
          <cell r="H447">
            <v>600</v>
          </cell>
          <cell r="J447">
            <v>234</v>
          </cell>
          <cell r="M447">
            <v>18</v>
          </cell>
          <cell r="N447">
            <v>6.2045820000000003</v>
          </cell>
          <cell r="P447">
            <v>2284</v>
          </cell>
          <cell r="R447">
            <v>710.63436320189999</v>
          </cell>
          <cell r="S447">
            <v>0</v>
          </cell>
          <cell r="T447">
            <v>0</v>
          </cell>
          <cell r="U447">
            <v>711</v>
          </cell>
          <cell r="V447">
            <v>0.3446581896</v>
          </cell>
          <cell r="W447">
            <v>245.0519728056</v>
          </cell>
          <cell r="X447">
            <v>2.47444</v>
          </cell>
          <cell r="Y447">
            <v>0</v>
          </cell>
          <cell r="Z447">
            <v>0.3446581896</v>
          </cell>
          <cell r="AA447">
            <v>245.0519728056</v>
          </cell>
        </row>
        <row r="448">
          <cell r="B448" t="str">
            <v>N-03-06</v>
          </cell>
          <cell r="C448" t="str">
            <v>CLONAZEPAM .:. 2 mg</v>
          </cell>
          <cell r="D448" t="str">
            <v>Comprimido ranurado</v>
          </cell>
          <cell r="E448">
            <v>1429</v>
          </cell>
          <cell r="F448">
            <v>877.60463100000004</v>
          </cell>
          <cell r="H448">
            <v>6390</v>
          </cell>
          <cell r="J448">
            <v>3888</v>
          </cell>
          <cell r="M448">
            <v>0</v>
          </cell>
          <cell r="N448">
            <v>0</v>
          </cell>
          <cell r="P448">
            <v>6649</v>
          </cell>
          <cell r="R448">
            <v>4051.9062464179001</v>
          </cell>
          <cell r="S448">
            <v>0</v>
          </cell>
          <cell r="T448">
            <v>0</v>
          </cell>
          <cell r="U448">
            <v>1170</v>
          </cell>
          <cell r="V448">
            <v>0.60999861909999997</v>
          </cell>
          <cell r="W448">
            <v>713.698384347</v>
          </cell>
          <cell r="X448">
            <v>2.47444</v>
          </cell>
          <cell r="Y448">
            <v>0</v>
          </cell>
          <cell r="Z448">
            <v>0.60999861909999997</v>
          </cell>
          <cell r="AA448">
            <v>713.698384347</v>
          </cell>
        </row>
        <row r="449">
          <cell r="B449" t="str">
            <v>N-03-07</v>
          </cell>
          <cell r="C449" t="str">
            <v>FENITOINA .:. 50 mg/ml</v>
          </cell>
          <cell r="D449" t="str">
            <v>Inyectable</v>
          </cell>
          <cell r="E449">
            <v>59</v>
          </cell>
          <cell r="F449">
            <v>637.20000000000005</v>
          </cell>
          <cell r="H449">
            <v>100</v>
          </cell>
          <cell r="J449">
            <v>1090</v>
          </cell>
          <cell r="M449">
            <v>8</v>
          </cell>
          <cell r="N449">
            <v>86.698505999999995</v>
          </cell>
          <cell r="P449">
            <v>102</v>
          </cell>
          <cell r="R449">
            <v>1101.5999999999999</v>
          </cell>
          <cell r="S449">
            <v>0</v>
          </cell>
          <cell r="T449">
            <v>0</v>
          </cell>
          <cell r="U449">
            <v>65</v>
          </cell>
          <cell r="V449">
            <v>10.958438553800001</v>
          </cell>
          <cell r="W449">
            <v>712.29850599700001</v>
          </cell>
          <cell r="X449">
            <v>2.47444</v>
          </cell>
          <cell r="Y449">
            <v>0</v>
          </cell>
          <cell r="Z449">
            <v>10.958438553800001</v>
          </cell>
          <cell r="AA449">
            <v>712.29850599700001</v>
          </cell>
        </row>
        <row r="450">
          <cell r="B450" t="str">
            <v>N-03-08</v>
          </cell>
          <cell r="C450" t="str">
            <v>FENITOINA .:. 100 mg</v>
          </cell>
          <cell r="D450" t="str">
            <v>Cápsula o Comprimido</v>
          </cell>
          <cell r="E450">
            <v>238</v>
          </cell>
          <cell r="F450">
            <v>107.38798</v>
          </cell>
          <cell r="H450">
            <v>3500</v>
          </cell>
          <cell r="J450">
            <v>1365</v>
          </cell>
          <cell r="M450">
            <v>0</v>
          </cell>
          <cell r="N450">
            <v>0</v>
          </cell>
          <cell r="P450">
            <v>3121</v>
          </cell>
          <cell r="R450">
            <v>1231.7579800000001</v>
          </cell>
          <cell r="S450">
            <v>0</v>
          </cell>
          <cell r="T450">
            <v>0</v>
          </cell>
          <cell r="U450">
            <v>617</v>
          </cell>
          <cell r="V450">
            <v>0.39</v>
          </cell>
          <cell r="W450">
            <v>240.63</v>
          </cell>
          <cell r="X450">
            <v>2.47444</v>
          </cell>
          <cell r="Y450">
            <v>0</v>
          </cell>
          <cell r="Z450">
            <v>0.39</v>
          </cell>
          <cell r="AA450">
            <v>240.63</v>
          </cell>
        </row>
        <row r="451">
          <cell r="B451" t="str">
            <v>N-03-12</v>
          </cell>
          <cell r="C451" t="str">
            <v>CLONAZEPAM .:. 2,5 mg/ml</v>
          </cell>
          <cell r="D451" t="str">
            <v>Solución oral</v>
          </cell>
          <cell r="E451">
            <v>43</v>
          </cell>
          <cell r="F451">
            <v>2666</v>
          </cell>
          <cell r="H451">
            <v>250</v>
          </cell>
          <cell r="J451">
            <v>16367.9</v>
          </cell>
          <cell r="M451">
            <v>0</v>
          </cell>
          <cell r="N451">
            <v>0</v>
          </cell>
          <cell r="P451">
            <v>255</v>
          </cell>
          <cell r="R451">
            <v>16479.5540740736</v>
          </cell>
          <cell r="S451">
            <v>0</v>
          </cell>
          <cell r="T451">
            <v>0</v>
          </cell>
          <cell r="U451">
            <v>38</v>
          </cell>
          <cell r="V451">
            <v>67.219629629600007</v>
          </cell>
          <cell r="W451">
            <v>2554.3459259248002</v>
          </cell>
          <cell r="X451">
            <v>2.47444</v>
          </cell>
          <cell r="Y451">
            <v>0</v>
          </cell>
          <cell r="Z451">
            <v>67.219629629600007</v>
          </cell>
          <cell r="AA451">
            <v>2554.3459259248002</v>
          </cell>
        </row>
        <row r="452">
          <cell r="B452" t="str">
            <v>N-03-18</v>
          </cell>
          <cell r="C452" t="str">
            <v>LAMOTRIGINA .:. 200mg</v>
          </cell>
          <cell r="D452" t="str">
            <v>Comprimido</v>
          </cell>
          <cell r="E452">
            <v>0</v>
          </cell>
          <cell r="F452">
            <v>0</v>
          </cell>
          <cell r="H452">
            <v>2000</v>
          </cell>
          <cell r="J452">
            <v>21260</v>
          </cell>
          <cell r="M452">
            <v>0</v>
          </cell>
          <cell r="N452">
            <v>0</v>
          </cell>
          <cell r="P452">
            <v>1975</v>
          </cell>
          <cell r="R452">
            <v>21024.999999966501</v>
          </cell>
          <cell r="S452">
            <v>0</v>
          </cell>
          <cell r="T452">
            <v>0</v>
          </cell>
          <cell r="U452">
            <v>25</v>
          </cell>
          <cell r="V452">
            <v>9.4</v>
          </cell>
          <cell r="W452">
            <v>235</v>
          </cell>
          <cell r="X452">
            <v>2.47444</v>
          </cell>
          <cell r="Y452">
            <v>0</v>
          </cell>
          <cell r="Z452">
            <v>9.4</v>
          </cell>
          <cell r="AA452">
            <v>235</v>
          </cell>
        </row>
        <row r="453">
          <cell r="B453" t="str">
            <v>N-03-20</v>
          </cell>
          <cell r="C453" t="str">
            <v>PREGABALINA 75 MG .:. 75 MG</v>
          </cell>
          <cell r="D453" t="str">
            <v>Cápsula</v>
          </cell>
          <cell r="E453">
            <v>1070</v>
          </cell>
          <cell r="F453">
            <v>3424</v>
          </cell>
          <cell r="H453">
            <v>19350</v>
          </cell>
          <cell r="J453">
            <v>20120</v>
          </cell>
          <cell r="M453">
            <v>0</v>
          </cell>
          <cell r="N453">
            <v>0</v>
          </cell>
          <cell r="P453">
            <v>14198</v>
          </cell>
          <cell r="R453">
            <v>18005.520012029199</v>
          </cell>
          <cell r="S453">
            <v>0</v>
          </cell>
          <cell r="T453">
            <v>0</v>
          </cell>
          <cell r="U453">
            <v>6222</v>
          </cell>
          <cell r="V453">
            <v>0.89014464609999999</v>
          </cell>
          <cell r="W453">
            <v>5538.4799880341998</v>
          </cell>
          <cell r="X453">
            <v>2.47444</v>
          </cell>
          <cell r="Y453">
            <v>0</v>
          </cell>
          <cell r="Z453">
            <v>0.89014464609999999</v>
          </cell>
          <cell r="AA453">
            <v>5538.4799880341998</v>
          </cell>
        </row>
        <row r="454">
          <cell r="B454" t="str">
            <v>N-03-21</v>
          </cell>
          <cell r="C454" t="str">
            <v>PREGABALINA .:. 150 MG.</v>
          </cell>
          <cell r="D454" t="str">
            <v>Cápsula</v>
          </cell>
          <cell r="E454">
            <v>2215</v>
          </cell>
          <cell r="F454">
            <v>8027.0780450000002</v>
          </cell>
          <cell r="H454">
            <v>4000</v>
          </cell>
          <cell r="J454">
            <v>2400</v>
          </cell>
          <cell r="M454">
            <v>6</v>
          </cell>
          <cell r="N454">
            <v>7.8909180000000001</v>
          </cell>
          <cell r="P454">
            <v>5685</v>
          </cell>
          <cell r="R454">
            <v>9730.0465882933004</v>
          </cell>
          <cell r="S454">
            <v>0</v>
          </cell>
          <cell r="T454">
            <v>0</v>
          </cell>
          <cell r="U454">
            <v>536</v>
          </cell>
          <cell r="V454">
            <v>1.3151536837</v>
          </cell>
          <cell r="W454">
            <v>704.92237446319996</v>
          </cell>
          <cell r="X454">
            <v>2.47444</v>
          </cell>
          <cell r="Y454">
            <v>0</v>
          </cell>
          <cell r="Z454">
            <v>1.3151536837</v>
          </cell>
          <cell r="AA454">
            <v>704.92237446319996</v>
          </cell>
        </row>
        <row r="455">
          <cell r="B455" t="str">
            <v>N-03-22</v>
          </cell>
          <cell r="C455" t="str">
            <v>ACIDO VALPROICO Ò VALPROATO SODICO .:. 200/MG/ML</v>
          </cell>
          <cell r="D455" t="str">
            <v>Jarabe o Solución oral</v>
          </cell>
          <cell r="E455">
            <v>27</v>
          </cell>
          <cell r="F455">
            <v>2477.8472670000001</v>
          </cell>
          <cell r="H455">
            <v>60</v>
          </cell>
          <cell r="J455">
            <v>5943.6</v>
          </cell>
          <cell r="M455">
            <v>0</v>
          </cell>
          <cell r="N455">
            <v>0</v>
          </cell>
          <cell r="P455">
            <v>47</v>
          </cell>
          <cell r="R455">
            <v>4459.0472669999999</v>
          </cell>
          <cell r="S455">
            <v>0</v>
          </cell>
          <cell r="T455">
            <v>0</v>
          </cell>
          <cell r="U455">
            <v>40</v>
          </cell>
          <cell r="V455">
            <v>99.06</v>
          </cell>
          <cell r="W455">
            <v>3962.4</v>
          </cell>
          <cell r="X455">
            <v>2.47444</v>
          </cell>
          <cell r="Y455">
            <v>0</v>
          </cell>
          <cell r="Z455">
            <v>99.06</v>
          </cell>
          <cell r="AA455">
            <v>3962.4</v>
          </cell>
        </row>
        <row r="456">
          <cell r="B456" t="str">
            <v>N-04-01</v>
          </cell>
          <cell r="C456" t="str">
            <v>BIPERIDENO CLORHIDRATO .:. 4 mg</v>
          </cell>
          <cell r="D456" t="str">
            <v>Comprimido</v>
          </cell>
          <cell r="E456">
            <v>565</v>
          </cell>
          <cell r="F456">
            <v>2064.9303599999998</v>
          </cell>
          <cell r="H456">
            <v>1200</v>
          </cell>
          <cell r="J456">
            <v>3216</v>
          </cell>
          <cell r="M456">
            <v>0</v>
          </cell>
          <cell r="N456">
            <v>0</v>
          </cell>
          <cell r="P456">
            <v>1195</v>
          </cell>
          <cell r="R456">
            <v>3753.3303599999999</v>
          </cell>
          <cell r="S456">
            <v>0</v>
          </cell>
          <cell r="T456">
            <v>0</v>
          </cell>
          <cell r="U456">
            <v>570</v>
          </cell>
          <cell r="V456">
            <v>2.68</v>
          </cell>
          <cell r="W456">
            <v>1527.6</v>
          </cell>
          <cell r="X456">
            <v>2.47444</v>
          </cell>
          <cell r="Y456">
            <v>0</v>
          </cell>
          <cell r="Z456">
            <v>2.68</v>
          </cell>
          <cell r="AA456">
            <v>1527.6</v>
          </cell>
        </row>
        <row r="457">
          <cell r="B457" t="str">
            <v>N-04-02</v>
          </cell>
          <cell r="C457" t="str">
            <v>LEVODOPA + CARBIDOPA .:. 250 mg + 25 mg</v>
          </cell>
          <cell r="D457" t="str">
            <v>Comprimido</v>
          </cell>
          <cell r="E457">
            <v>1025</v>
          </cell>
          <cell r="F457">
            <v>3468.6</v>
          </cell>
          <cell r="H457">
            <v>3000</v>
          </cell>
          <cell r="J457">
            <v>9200</v>
          </cell>
          <cell r="M457">
            <v>0</v>
          </cell>
          <cell r="N457">
            <v>0</v>
          </cell>
          <cell r="P457">
            <v>3335</v>
          </cell>
          <cell r="R457">
            <v>10598.6</v>
          </cell>
          <cell r="S457">
            <v>0</v>
          </cell>
          <cell r="T457">
            <v>0</v>
          </cell>
          <cell r="U457">
            <v>690</v>
          </cell>
          <cell r="V457">
            <v>3</v>
          </cell>
          <cell r="W457">
            <v>2070</v>
          </cell>
          <cell r="X457">
            <v>2.47444</v>
          </cell>
          <cell r="Y457">
            <v>0</v>
          </cell>
          <cell r="Z457">
            <v>3</v>
          </cell>
          <cell r="AA457">
            <v>2070</v>
          </cell>
        </row>
        <row r="458">
          <cell r="B458" t="str">
            <v>N-05-01</v>
          </cell>
          <cell r="C458" t="str">
            <v>ALPRAZOLAM .:. 0,5 mg</v>
          </cell>
          <cell r="D458" t="str">
            <v>Comprimido ranurado</v>
          </cell>
          <cell r="E458">
            <v>4320</v>
          </cell>
          <cell r="F458">
            <v>2101.7015999999999</v>
          </cell>
          <cell r="H458">
            <v>16000</v>
          </cell>
          <cell r="J458">
            <v>8000</v>
          </cell>
          <cell r="M458">
            <v>0</v>
          </cell>
          <cell r="N458">
            <v>0</v>
          </cell>
          <cell r="P458">
            <v>18302</v>
          </cell>
          <cell r="R458">
            <v>9092.8252857784992</v>
          </cell>
          <cell r="S458">
            <v>0</v>
          </cell>
          <cell r="T458">
            <v>0</v>
          </cell>
          <cell r="U458">
            <v>2018</v>
          </cell>
          <cell r="V458">
            <v>0.49993870870000001</v>
          </cell>
          <cell r="W458">
            <v>1008.8763141566</v>
          </cell>
          <cell r="X458">
            <v>2.47444</v>
          </cell>
          <cell r="Y458">
            <v>0</v>
          </cell>
          <cell r="Z458">
            <v>0.49993870870000001</v>
          </cell>
          <cell r="AA458">
            <v>1008.8763141566</v>
          </cell>
        </row>
        <row r="459">
          <cell r="B459" t="str">
            <v>N-05-05</v>
          </cell>
          <cell r="C459" t="str">
            <v>DIAZEPAM .:. 10 mg</v>
          </cell>
          <cell r="D459" t="str">
            <v>Inyectable</v>
          </cell>
          <cell r="E459">
            <v>37</v>
          </cell>
          <cell r="F459">
            <v>166.5</v>
          </cell>
          <cell r="H459">
            <v>0</v>
          </cell>
          <cell r="J459">
            <v>0</v>
          </cell>
          <cell r="M459">
            <v>19</v>
          </cell>
          <cell r="N459">
            <v>85.5</v>
          </cell>
          <cell r="P459">
            <v>26</v>
          </cell>
          <cell r="R459">
            <v>117</v>
          </cell>
          <cell r="S459">
            <v>18</v>
          </cell>
          <cell r="T459">
            <v>81</v>
          </cell>
          <cell r="U459">
            <v>12</v>
          </cell>
          <cell r="V459">
            <v>4.5</v>
          </cell>
          <cell r="W459">
            <v>54</v>
          </cell>
          <cell r="X459">
            <v>2.47444</v>
          </cell>
          <cell r="Y459">
            <v>0</v>
          </cell>
          <cell r="Z459">
            <v>4.5</v>
          </cell>
          <cell r="AA459">
            <v>54</v>
          </cell>
        </row>
        <row r="460">
          <cell r="B460" t="str">
            <v>N-05-11</v>
          </cell>
          <cell r="C460" t="str">
            <v>MIDAZOLAM .:. 15 mg/3 ml</v>
          </cell>
          <cell r="D460" t="str">
            <v>Inyectable</v>
          </cell>
          <cell r="E460">
            <v>503</v>
          </cell>
          <cell r="F460">
            <v>9163.7706959999996</v>
          </cell>
          <cell r="H460">
            <v>0</v>
          </cell>
          <cell r="J460">
            <v>0</v>
          </cell>
          <cell r="M460">
            <v>209</v>
          </cell>
          <cell r="N460">
            <v>3807.6146960000001</v>
          </cell>
          <cell r="P460">
            <v>335</v>
          </cell>
          <cell r="R460">
            <v>6103.1084349519997</v>
          </cell>
          <cell r="S460">
            <v>206</v>
          </cell>
          <cell r="T460">
            <v>3752.9557920000002</v>
          </cell>
          <cell r="U460">
            <v>171</v>
          </cell>
          <cell r="V460">
            <v>18.218252427199999</v>
          </cell>
          <cell r="W460">
            <v>3115.3211650511998</v>
          </cell>
          <cell r="X460">
            <v>2.47444</v>
          </cell>
          <cell r="Y460">
            <v>0</v>
          </cell>
          <cell r="Z460">
            <v>18.218252427199999</v>
          </cell>
          <cell r="AA460">
            <v>3115.3211650511998</v>
          </cell>
        </row>
        <row r="461">
          <cell r="B461" t="str">
            <v>N-05-18</v>
          </cell>
          <cell r="C461" t="str">
            <v>QUETIAPINA .:. 100 mg</v>
          </cell>
          <cell r="D461" t="str">
            <v>Comprimido</v>
          </cell>
          <cell r="E461">
            <v>420</v>
          </cell>
          <cell r="F461">
            <v>2016</v>
          </cell>
          <cell r="H461">
            <v>1600</v>
          </cell>
          <cell r="J461">
            <v>7880</v>
          </cell>
          <cell r="M461">
            <v>0</v>
          </cell>
          <cell r="N461">
            <v>0</v>
          </cell>
          <cell r="P461">
            <v>1760</v>
          </cell>
          <cell r="R461">
            <v>8645.92</v>
          </cell>
          <cell r="S461">
            <v>0</v>
          </cell>
          <cell r="T461">
            <v>0</v>
          </cell>
          <cell r="U461">
            <v>260</v>
          </cell>
          <cell r="V461">
            <v>4.8079999999999998</v>
          </cell>
          <cell r="W461">
            <v>1250.08</v>
          </cell>
          <cell r="X461">
            <v>2.47444</v>
          </cell>
          <cell r="Y461">
            <v>0</v>
          </cell>
          <cell r="Z461">
            <v>4.8079999999999998</v>
          </cell>
          <cell r="AA461">
            <v>1250.08</v>
          </cell>
        </row>
        <row r="462">
          <cell r="B462" t="str">
            <v>N-06-01</v>
          </cell>
          <cell r="C462" t="str">
            <v>AMITRIPTILINA .:. 25 mg</v>
          </cell>
          <cell r="D462" t="str">
            <v>Comprimido ranurado</v>
          </cell>
          <cell r="E462">
            <v>1095</v>
          </cell>
          <cell r="F462">
            <v>438</v>
          </cell>
          <cell r="H462">
            <v>2500</v>
          </cell>
          <cell r="J462">
            <v>975</v>
          </cell>
          <cell r="M462">
            <v>0</v>
          </cell>
          <cell r="N462">
            <v>0</v>
          </cell>
          <cell r="P462">
            <v>2091</v>
          </cell>
          <cell r="R462">
            <v>826.44</v>
          </cell>
          <cell r="S462">
            <v>0</v>
          </cell>
          <cell r="T462">
            <v>0</v>
          </cell>
          <cell r="U462">
            <v>1504</v>
          </cell>
          <cell r="V462">
            <v>0.39</v>
          </cell>
          <cell r="W462">
            <v>586.55999999999995</v>
          </cell>
          <cell r="X462">
            <v>2.47444</v>
          </cell>
          <cell r="Y462">
            <v>0</v>
          </cell>
          <cell r="Z462">
            <v>0.39</v>
          </cell>
          <cell r="AA462">
            <v>586.55999999999995</v>
          </cell>
        </row>
        <row r="463">
          <cell r="B463" t="str">
            <v>N-06-04</v>
          </cell>
          <cell r="C463" t="str">
            <v>FLUOXETINA .:. 20 mg</v>
          </cell>
          <cell r="D463" t="str">
            <v>Cápsula o Comprimido</v>
          </cell>
          <cell r="E463">
            <v>405</v>
          </cell>
          <cell r="F463">
            <v>161.947755</v>
          </cell>
          <cell r="H463">
            <v>12000</v>
          </cell>
          <cell r="J463">
            <v>4460</v>
          </cell>
          <cell r="M463">
            <v>0</v>
          </cell>
          <cell r="N463">
            <v>0</v>
          </cell>
          <cell r="P463">
            <v>8968</v>
          </cell>
          <cell r="R463">
            <v>3339.7188055233</v>
          </cell>
          <cell r="S463">
            <v>0</v>
          </cell>
          <cell r="T463">
            <v>0</v>
          </cell>
          <cell r="U463">
            <v>3437</v>
          </cell>
          <cell r="V463">
            <v>0.37306632210000001</v>
          </cell>
          <cell r="W463">
            <v>1282.2289490577</v>
          </cell>
          <cell r="X463">
            <v>2.47444</v>
          </cell>
          <cell r="Y463">
            <v>0</v>
          </cell>
          <cell r="Z463">
            <v>0.37306632210000001</v>
          </cell>
          <cell r="AA463">
            <v>1282.2289490577</v>
          </cell>
        </row>
        <row r="464">
          <cell r="B464" t="str">
            <v>N-06-08</v>
          </cell>
          <cell r="C464" t="str">
            <v>DULOXETINA .:. 30mg</v>
          </cell>
          <cell r="D464" t="str">
            <v>Cápsula</v>
          </cell>
          <cell r="E464">
            <v>2065</v>
          </cell>
          <cell r="F464">
            <v>9812.8387000000002</v>
          </cell>
          <cell r="H464">
            <v>2300</v>
          </cell>
          <cell r="J464">
            <v>11070</v>
          </cell>
          <cell r="M464">
            <v>0</v>
          </cell>
          <cell r="N464">
            <v>0</v>
          </cell>
          <cell r="P464">
            <v>4278</v>
          </cell>
          <cell r="R464">
            <v>20566.950789570401</v>
          </cell>
          <cell r="S464">
            <v>0</v>
          </cell>
          <cell r="T464">
            <v>0</v>
          </cell>
          <cell r="U464">
            <v>87</v>
          </cell>
          <cell r="V464">
            <v>3.6308955223999999</v>
          </cell>
          <cell r="W464">
            <v>315.88791044880003</v>
          </cell>
          <cell r="X464">
            <v>2.47444</v>
          </cell>
          <cell r="Y464">
            <v>0</v>
          </cell>
          <cell r="Z464">
            <v>3.6308955223999999</v>
          </cell>
          <cell r="AA464">
            <v>315.88791044880003</v>
          </cell>
        </row>
        <row r="465">
          <cell r="B465" t="str">
            <v>N-07-01</v>
          </cell>
          <cell r="C465" t="str">
            <v>DIMENHIDRINATO .:. 50 mg</v>
          </cell>
          <cell r="D465" t="str">
            <v>Comprimido</v>
          </cell>
          <cell r="E465">
            <v>1450</v>
          </cell>
          <cell r="F465">
            <v>597.197</v>
          </cell>
          <cell r="H465">
            <v>250</v>
          </cell>
          <cell r="J465">
            <v>125</v>
          </cell>
          <cell r="M465">
            <v>0</v>
          </cell>
          <cell r="N465">
            <v>0</v>
          </cell>
          <cell r="P465">
            <v>1549</v>
          </cell>
          <cell r="R465">
            <v>647.20889</v>
          </cell>
          <cell r="S465">
            <v>0</v>
          </cell>
          <cell r="T465">
            <v>0</v>
          </cell>
          <cell r="U465">
            <v>151</v>
          </cell>
          <cell r="V465">
            <v>0.49661</v>
          </cell>
          <cell r="W465">
            <v>74.988110000000006</v>
          </cell>
          <cell r="X465">
            <v>2.47444</v>
          </cell>
          <cell r="Y465">
            <v>0</v>
          </cell>
          <cell r="Z465">
            <v>0.49661</v>
          </cell>
          <cell r="AA465">
            <v>74.988110000000006</v>
          </cell>
        </row>
        <row r="466">
          <cell r="B466" t="str">
            <v>N-07-05</v>
          </cell>
          <cell r="C466" t="str">
            <v>NEOSTIGMINA .:. 0,5 mg/ml</v>
          </cell>
          <cell r="D466" t="str">
            <v>Inyectable</v>
          </cell>
          <cell r="E466">
            <v>104</v>
          </cell>
          <cell r="F466">
            <v>444.69661600000001</v>
          </cell>
          <cell r="H466">
            <v>0</v>
          </cell>
          <cell r="J466">
            <v>0</v>
          </cell>
          <cell r="M466">
            <v>0</v>
          </cell>
          <cell r="N466">
            <v>0</v>
          </cell>
          <cell r="P466">
            <v>93</v>
          </cell>
          <cell r="R466">
            <v>397.66139700000002</v>
          </cell>
          <cell r="S466">
            <v>0</v>
          </cell>
          <cell r="T466">
            <v>0</v>
          </cell>
          <cell r="U466">
            <v>11</v>
          </cell>
          <cell r="V466">
            <v>4.2759289999999996</v>
          </cell>
          <cell r="W466">
            <v>47.035218999999998</v>
          </cell>
          <cell r="X466">
            <v>2.47444</v>
          </cell>
          <cell r="Y466">
            <v>0</v>
          </cell>
          <cell r="Z466">
            <v>4.2759289999999996</v>
          </cell>
          <cell r="AA466">
            <v>47.035218999999998</v>
          </cell>
        </row>
        <row r="467">
          <cell r="B467" t="str">
            <v>N-07-06</v>
          </cell>
          <cell r="C467" t="str">
            <v>PIRIDOSTIGMINA .:. 60 mg</v>
          </cell>
          <cell r="D467" t="str">
            <v>Comprimido</v>
          </cell>
          <cell r="E467">
            <v>0</v>
          </cell>
          <cell r="F467">
            <v>0</v>
          </cell>
          <cell r="H467">
            <v>1200</v>
          </cell>
          <cell r="J467">
            <v>3048</v>
          </cell>
          <cell r="M467">
            <v>0</v>
          </cell>
          <cell r="N467">
            <v>0</v>
          </cell>
          <cell r="P467">
            <v>1200</v>
          </cell>
          <cell r="R467">
            <v>3048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2.47444</v>
          </cell>
          <cell r="Y467">
            <v>0</v>
          </cell>
          <cell r="Z467">
            <v>0</v>
          </cell>
          <cell r="AA467">
            <v>0</v>
          </cell>
        </row>
        <row r="468">
          <cell r="B468" t="str">
            <v>N-07-08</v>
          </cell>
          <cell r="C468" t="str">
            <v>FLUNARIZINA .:. 10 mg</v>
          </cell>
          <cell r="D468" t="str">
            <v>Comprimido</v>
          </cell>
          <cell r="E468">
            <v>1590</v>
          </cell>
          <cell r="F468">
            <v>3418.5</v>
          </cell>
          <cell r="H468">
            <v>3000</v>
          </cell>
          <cell r="J468">
            <v>1080</v>
          </cell>
          <cell r="M468">
            <v>0</v>
          </cell>
          <cell r="N468">
            <v>0</v>
          </cell>
          <cell r="P468">
            <v>3669</v>
          </cell>
          <cell r="R468">
            <v>4166.9399999999996</v>
          </cell>
          <cell r="S468">
            <v>0</v>
          </cell>
          <cell r="T468">
            <v>0</v>
          </cell>
          <cell r="U468">
            <v>921</v>
          </cell>
          <cell r="V468">
            <v>0.36</v>
          </cell>
          <cell r="W468">
            <v>331.56</v>
          </cell>
          <cell r="X468">
            <v>2.47444</v>
          </cell>
          <cell r="Y468">
            <v>0</v>
          </cell>
          <cell r="Z468">
            <v>0.36</v>
          </cell>
          <cell r="AA468">
            <v>331.56</v>
          </cell>
        </row>
        <row r="469">
          <cell r="B469" t="str">
            <v>OD-02-141</v>
          </cell>
          <cell r="C469" t="str">
            <v>FRESAS DIAMANTADAS CILINDRICAS FRESAS DIAMANTADAS CILINDRICAS  .:. s/d</v>
          </cell>
          <cell r="D469" t="str">
            <v>Pieza</v>
          </cell>
          <cell r="E469">
            <v>0</v>
          </cell>
          <cell r="F469">
            <v>0</v>
          </cell>
          <cell r="H469">
            <v>10</v>
          </cell>
          <cell r="J469">
            <v>80</v>
          </cell>
          <cell r="M469">
            <v>0</v>
          </cell>
          <cell r="N469">
            <v>0</v>
          </cell>
          <cell r="P469">
            <v>10</v>
          </cell>
          <cell r="R469">
            <v>80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2.47444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OD-02-143</v>
          </cell>
          <cell r="C470" t="str">
            <v>FRESAS DIAMANTADAS CONO INVERTIDO MEDIANO FRESAS DIAMANTADAS CONO INVERTIDO MEDIANO  .:. s/d</v>
          </cell>
          <cell r="D470" t="str">
            <v>Pieza</v>
          </cell>
          <cell r="E470">
            <v>0</v>
          </cell>
          <cell r="F470">
            <v>0</v>
          </cell>
          <cell r="H470">
            <v>10</v>
          </cell>
          <cell r="J470">
            <v>80</v>
          </cell>
          <cell r="M470">
            <v>0</v>
          </cell>
          <cell r="N470">
            <v>0</v>
          </cell>
          <cell r="P470">
            <v>10</v>
          </cell>
          <cell r="R470">
            <v>80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2.47444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P-01-07</v>
          </cell>
          <cell r="C471" t="str">
            <v>METRONIDAZOL .:. 500 mg</v>
          </cell>
          <cell r="D471" t="str">
            <v>Inyectable</v>
          </cell>
          <cell r="E471">
            <v>114</v>
          </cell>
          <cell r="F471">
            <v>969</v>
          </cell>
          <cell r="H471">
            <v>500</v>
          </cell>
          <cell r="J471">
            <v>3400</v>
          </cell>
          <cell r="M471">
            <v>33</v>
          </cell>
          <cell r="N471">
            <v>261.52065599999997</v>
          </cell>
          <cell r="P471">
            <v>568</v>
          </cell>
          <cell r="R471">
            <v>4110.1652883707002</v>
          </cell>
          <cell r="S471">
            <v>0</v>
          </cell>
          <cell r="T471">
            <v>0</v>
          </cell>
          <cell r="U471">
            <v>79</v>
          </cell>
          <cell r="V471">
            <v>6.5867768053000004</v>
          </cell>
          <cell r="W471">
            <v>520.35536761870003</v>
          </cell>
          <cell r="X471">
            <v>2.47444</v>
          </cell>
          <cell r="Y471">
            <v>0</v>
          </cell>
          <cell r="Z471">
            <v>6.5867768053000004</v>
          </cell>
          <cell r="AA471">
            <v>520.35536761870003</v>
          </cell>
        </row>
        <row r="472">
          <cell r="B472" t="str">
            <v>P-01-09</v>
          </cell>
          <cell r="C472" t="str">
            <v>METRONIDAZOL .:. 500 mg</v>
          </cell>
          <cell r="D472" t="str">
            <v>Comprimido</v>
          </cell>
          <cell r="E472">
            <v>265</v>
          </cell>
          <cell r="F472">
            <v>81.264105000000001</v>
          </cell>
          <cell r="H472">
            <v>1200</v>
          </cell>
          <cell r="J472">
            <v>468</v>
          </cell>
          <cell r="M472">
            <v>0</v>
          </cell>
          <cell r="N472">
            <v>0</v>
          </cell>
          <cell r="P472">
            <v>996</v>
          </cell>
          <cell r="R472">
            <v>370.41177002699999</v>
          </cell>
          <cell r="S472">
            <v>0</v>
          </cell>
          <cell r="T472">
            <v>0</v>
          </cell>
          <cell r="U472">
            <v>469</v>
          </cell>
          <cell r="V472">
            <v>0.3813482621</v>
          </cell>
          <cell r="W472">
            <v>178.85233492489999</v>
          </cell>
          <cell r="X472">
            <v>2.47444</v>
          </cell>
          <cell r="Y472">
            <v>0</v>
          </cell>
          <cell r="Z472">
            <v>0.3813482621</v>
          </cell>
          <cell r="AA472">
            <v>178.85233492489999</v>
          </cell>
        </row>
        <row r="473">
          <cell r="B473" t="str">
            <v>P-01-11</v>
          </cell>
          <cell r="C473" t="str">
            <v>NITAZOXANIDA .:. 500 mg</v>
          </cell>
          <cell r="D473" t="str">
            <v>Comprimido</v>
          </cell>
          <cell r="E473">
            <v>88</v>
          </cell>
          <cell r="F473">
            <v>264</v>
          </cell>
          <cell r="H473">
            <v>600</v>
          </cell>
          <cell r="J473">
            <v>900</v>
          </cell>
          <cell r="M473">
            <v>0</v>
          </cell>
          <cell r="N473">
            <v>0</v>
          </cell>
          <cell r="P473">
            <v>239</v>
          </cell>
          <cell r="R473">
            <v>490.5</v>
          </cell>
          <cell r="S473">
            <v>0</v>
          </cell>
          <cell r="T473">
            <v>0</v>
          </cell>
          <cell r="U473">
            <v>449</v>
          </cell>
          <cell r="V473">
            <v>1.5</v>
          </cell>
          <cell r="W473">
            <v>673.5</v>
          </cell>
          <cell r="X473">
            <v>2.47444</v>
          </cell>
          <cell r="Y473">
            <v>0</v>
          </cell>
          <cell r="Z473">
            <v>1.5</v>
          </cell>
          <cell r="AA473">
            <v>673.5</v>
          </cell>
        </row>
        <row r="474">
          <cell r="B474" t="str">
            <v>P-01-27</v>
          </cell>
          <cell r="C474" t="str">
            <v>HIDROXICLOROQUINA SULFATO .:. 200 mg</v>
          </cell>
          <cell r="D474" t="str">
            <v>Comprimido</v>
          </cell>
          <cell r="E474">
            <v>1120</v>
          </cell>
          <cell r="F474">
            <v>3920</v>
          </cell>
          <cell r="H474">
            <v>1500</v>
          </cell>
          <cell r="J474">
            <v>5400</v>
          </cell>
          <cell r="M474">
            <v>63</v>
          </cell>
          <cell r="N474">
            <v>220.5</v>
          </cell>
          <cell r="P474">
            <v>2520</v>
          </cell>
          <cell r="R474">
            <v>8960.0133155683998</v>
          </cell>
          <cell r="S474">
            <v>63</v>
          </cell>
          <cell r="T474">
            <v>220.5</v>
          </cell>
          <cell r="U474">
            <v>100</v>
          </cell>
          <cell r="V474">
            <v>3.5998668442000001</v>
          </cell>
          <cell r="W474">
            <v>359.98668442000002</v>
          </cell>
          <cell r="X474">
            <v>2.47444</v>
          </cell>
          <cell r="Y474">
            <v>0</v>
          </cell>
          <cell r="Z474">
            <v>3.5998668442000001</v>
          </cell>
          <cell r="AA474">
            <v>359.98668442000002</v>
          </cell>
        </row>
        <row r="475">
          <cell r="B475" t="str">
            <v>P-02-01</v>
          </cell>
          <cell r="C475" t="str">
            <v>ALBENDAZOL .:. 200 mg</v>
          </cell>
          <cell r="D475" t="str">
            <v>Comprimido</v>
          </cell>
          <cell r="E475">
            <v>415</v>
          </cell>
          <cell r="F475">
            <v>498.45235000000002</v>
          </cell>
          <cell r="H475">
            <v>0</v>
          </cell>
          <cell r="J475">
            <v>0</v>
          </cell>
          <cell r="M475">
            <v>301</v>
          </cell>
          <cell r="N475">
            <v>361.53</v>
          </cell>
          <cell r="P475">
            <v>170</v>
          </cell>
          <cell r="R475">
            <v>204.18547767679999</v>
          </cell>
          <cell r="S475">
            <v>301</v>
          </cell>
          <cell r="T475">
            <v>361.5290450128</v>
          </cell>
          <cell r="U475">
            <v>245</v>
          </cell>
          <cell r="V475">
            <v>1.2010931728000001</v>
          </cell>
          <cell r="W475">
            <v>294.26782733599998</v>
          </cell>
          <cell r="X475">
            <v>2.47444</v>
          </cell>
          <cell r="Y475">
            <v>0</v>
          </cell>
          <cell r="Z475">
            <v>1.2010931728000001</v>
          </cell>
          <cell r="AA475">
            <v>294.26782733599998</v>
          </cell>
        </row>
        <row r="476">
          <cell r="B476" t="str">
            <v>P-02-02</v>
          </cell>
          <cell r="C476" t="str">
            <v>ALBENDAZOL .:. 200 mg/5 ml</v>
          </cell>
          <cell r="D476" t="str">
            <v>Suspensión</v>
          </cell>
          <cell r="E476">
            <v>10</v>
          </cell>
          <cell r="F476">
            <v>98</v>
          </cell>
          <cell r="H476">
            <v>0</v>
          </cell>
          <cell r="J476">
            <v>0</v>
          </cell>
          <cell r="M476">
            <v>0</v>
          </cell>
          <cell r="N476">
            <v>0</v>
          </cell>
          <cell r="P476">
            <v>5</v>
          </cell>
          <cell r="R476">
            <v>49</v>
          </cell>
          <cell r="S476">
            <v>0</v>
          </cell>
          <cell r="T476">
            <v>0</v>
          </cell>
          <cell r="U476">
            <v>5</v>
          </cell>
          <cell r="V476">
            <v>9.8000000000000007</v>
          </cell>
          <cell r="W476">
            <v>49</v>
          </cell>
          <cell r="X476">
            <v>2.47444</v>
          </cell>
          <cell r="Y476">
            <v>0</v>
          </cell>
          <cell r="Z476">
            <v>9.8000000000000007</v>
          </cell>
          <cell r="AA476">
            <v>49</v>
          </cell>
        </row>
        <row r="477">
          <cell r="B477" t="str">
            <v>P-02-03</v>
          </cell>
          <cell r="C477" t="str">
            <v>MEBENDAZOL .:. 100 mg</v>
          </cell>
          <cell r="D477" t="str">
            <v>Comprimido</v>
          </cell>
          <cell r="E477">
            <v>62</v>
          </cell>
          <cell r="F477">
            <v>12.773239999999999</v>
          </cell>
          <cell r="H477">
            <v>0</v>
          </cell>
          <cell r="J477">
            <v>0</v>
          </cell>
          <cell r="M477">
            <v>0</v>
          </cell>
          <cell r="N477">
            <v>0</v>
          </cell>
          <cell r="P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62</v>
          </cell>
          <cell r="V477">
            <v>0.20602000000000001</v>
          </cell>
          <cell r="W477">
            <v>12.773239999999999</v>
          </cell>
          <cell r="X477">
            <v>2.47444</v>
          </cell>
          <cell r="Y477">
            <v>0</v>
          </cell>
          <cell r="Z477">
            <v>0.20602000000000001</v>
          </cell>
          <cell r="AA477">
            <v>12.773239999999999</v>
          </cell>
        </row>
        <row r="478">
          <cell r="B478" t="str">
            <v>P-02-05</v>
          </cell>
          <cell r="C478" t="str">
            <v>MEBENDAZOL .:. 500 mg</v>
          </cell>
          <cell r="D478" t="str">
            <v>Comprimido</v>
          </cell>
          <cell r="E478">
            <v>250</v>
          </cell>
          <cell r="F478">
            <v>490.39675</v>
          </cell>
          <cell r="H478">
            <v>0</v>
          </cell>
          <cell r="J478">
            <v>0</v>
          </cell>
          <cell r="M478">
            <v>0</v>
          </cell>
          <cell r="N478">
            <v>0</v>
          </cell>
          <cell r="P478">
            <v>33</v>
          </cell>
          <cell r="R478">
            <v>64.732371000000001</v>
          </cell>
          <cell r="S478">
            <v>0</v>
          </cell>
          <cell r="T478">
            <v>0</v>
          </cell>
          <cell r="U478">
            <v>217</v>
          </cell>
          <cell r="V478">
            <v>1.961587</v>
          </cell>
          <cell r="W478">
            <v>425.664379</v>
          </cell>
          <cell r="X478">
            <v>2.47444</v>
          </cell>
          <cell r="Y478">
            <v>0</v>
          </cell>
          <cell r="Z478">
            <v>1.961587</v>
          </cell>
          <cell r="AA478">
            <v>425.664379</v>
          </cell>
        </row>
        <row r="479">
          <cell r="B479" t="str">
            <v>P-02-14</v>
          </cell>
          <cell r="C479" t="str">
            <v>IVERMECTINA .:. 6 MG</v>
          </cell>
          <cell r="D479" t="str">
            <v>Comprimido</v>
          </cell>
          <cell r="E479">
            <v>1116</v>
          </cell>
          <cell r="F479">
            <v>5022</v>
          </cell>
          <cell r="H479">
            <v>0</v>
          </cell>
          <cell r="J479">
            <v>0</v>
          </cell>
          <cell r="M479">
            <v>0</v>
          </cell>
          <cell r="N479">
            <v>0</v>
          </cell>
          <cell r="P479">
            <v>0</v>
          </cell>
          <cell r="R479">
            <v>0</v>
          </cell>
          <cell r="S479">
            <v>162</v>
          </cell>
          <cell r="T479">
            <v>729</v>
          </cell>
          <cell r="U479">
            <v>954</v>
          </cell>
          <cell r="V479">
            <v>4.5</v>
          </cell>
          <cell r="W479">
            <v>4293</v>
          </cell>
          <cell r="X479">
            <v>2.47444</v>
          </cell>
          <cell r="Y479">
            <v>0</v>
          </cell>
          <cell r="Z479">
            <v>4.5</v>
          </cell>
          <cell r="AA479">
            <v>4293</v>
          </cell>
        </row>
        <row r="480">
          <cell r="B480" t="str">
            <v>P-03-01</v>
          </cell>
          <cell r="C480" t="str">
            <v>BENZOATO DE BENCILO .:. 20% o 25%</v>
          </cell>
          <cell r="D480" t="str">
            <v>Solución o Loción</v>
          </cell>
          <cell r="E480">
            <v>8</v>
          </cell>
          <cell r="F480">
            <v>74.8</v>
          </cell>
          <cell r="H480">
            <v>15</v>
          </cell>
          <cell r="J480">
            <v>120</v>
          </cell>
          <cell r="M480">
            <v>0</v>
          </cell>
          <cell r="N480">
            <v>0</v>
          </cell>
          <cell r="P480">
            <v>13</v>
          </cell>
          <cell r="R480">
            <v>114.8</v>
          </cell>
          <cell r="S480">
            <v>0</v>
          </cell>
          <cell r="T480">
            <v>0</v>
          </cell>
          <cell r="U480">
            <v>10</v>
          </cell>
          <cell r="V480">
            <v>8</v>
          </cell>
          <cell r="W480">
            <v>80</v>
          </cell>
          <cell r="X480">
            <v>2.47444</v>
          </cell>
          <cell r="Y480">
            <v>0</v>
          </cell>
          <cell r="Z480">
            <v>8</v>
          </cell>
          <cell r="AA480">
            <v>80</v>
          </cell>
        </row>
        <row r="481">
          <cell r="B481" t="str">
            <v>QU-01-15</v>
          </cell>
          <cell r="C481" t="str">
            <v>SONDA DE INTUBACION  K-14 SONDA DE INTUBACION  K-14  .:. s/d</v>
          </cell>
          <cell r="D481" t="str">
            <v>Pieza</v>
          </cell>
          <cell r="E481">
            <v>6</v>
          </cell>
          <cell r="F481">
            <v>21.84</v>
          </cell>
          <cell r="H481">
            <v>0</v>
          </cell>
          <cell r="J481">
            <v>0</v>
          </cell>
          <cell r="M481">
            <v>0</v>
          </cell>
          <cell r="N481">
            <v>0</v>
          </cell>
          <cell r="P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6</v>
          </cell>
          <cell r="V481">
            <v>3.64</v>
          </cell>
          <cell r="W481">
            <v>21.84</v>
          </cell>
          <cell r="X481">
            <v>2.47444</v>
          </cell>
          <cell r="Y481">
            <v>0</v>
          </cell>
          <cell r="Z481">
            <v>3.64</v>
          </cell>
          <cell r="AA481">
            <v>21.84</v>
          </cell>
        </row>
        <row r="482">
          <cell r="B482" t="str">
            <v>QU-01-18</v>
          </cell>
          <cell r="C482" t="str">
            <v>SONDA DE ALIMENTACION  K-35 SONDA DE ALIMENTACION  K-35  .:. s/d</v>
          </cell>
          <cell r="D482" t="str">
            <v>Unidad</v>
          </cell>
          <cell r="E482">
            <v>5</v>
          </cell>
          <cell r="F482">
            <v>135.16999999999999</v>
          </cell>
          <cell r="H482">
            <v>0</v>
          </cell>
          <cell r="J482">
            <v>0</v>
          </cell>
          <cell r="M482">
            <v>0</v>
          </cell>
          <cell r="N482">
            <v>0</v>
          </cell>
          <cell r="P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5</v>
          </cell>
          <cell r="V482">
            <v>27.033999999999999</v>
          </cell>
          <cell r="W482">
            <v>135.16999999999999</v>
          </cell>
          <cell r="X482">
            <v>2.47444</v>
          </cell>
          <cell r="Y482">
            <v>0</v>
          </cell>
          <cell r="Z482">
            <v>27.033999999999999</v>
          </cell>
          <cell r="AA482">
            <v>135.16999999999999</v>
          </cell>
        </row>
        <row r="483">
          <cell r="B483" t="str">
            <v>R-03-01</v>
          </cell>
          <cell r="C483" t="str">
            <v>AMINOFILINA .:. 250mg/10ml</v>
          </cell>
          <cell r="D483" t="str">
            <v>Inyectable</v>
          </cell>
          <cell r="E483">
            <v>11</v>
          </cell>
          <cell r="F483">
            <v>57.189990000000002</v>
          </cell>
          <cell r="H483">
            <v>0</v>
          </cell>
          <cell r="J483">
            <v>0</v>
          </cell>
          <cell r="M483">
            <v>0</v>
          </cell>
          <cell r="N483">
            <v>0</v>
          </cell>
          <cell r="P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11</v>
          </cell>
          <cell r="V483">
            <v>5.19909</v>
          </cell>
          <cell r="W483">
            <v>57.189990000000002</v>
          </cell>
          <cell r="X483">
            <v>2.47444</v>
          </cell>
          <cell r="Y483">
            <v>0</v>
          </cell>
          <cell r="Z483">
            <v>5.19909</v>
          </cell>
          <cell r="AA483">
            <v>57.189990000000002</v>
          </cell>
        </row>
        <row r="484">
          <cell r="B484" t="str">
            <v>R-03-03</v>
          </cell>
          <cell r="C484" t="str">
            <v>BECLOMETASONA DIPROPIONATO .:. 50 mcg/inhalación</v>
          </cell>
          <cell r="D484" t="str">
            <v>Aerosol</v>
          </cell>
          <cell r="E484">
            <v>19</v>
          </cell>
          <cell r="F484">
            <v>780.86883999999998</v>
          </cell>
          <cell r="H484">
            <v>95</v>
          </cell>
          <cell r="J484">
            <v>3545</v>
          </cell>
          <cell r="M484">
            <v>2</v>
          </cell>
          <cell r="N484">
            <v>82.2</v>
          </cell>
          <cell r="P484">
            <v>19</v>
          </cell>
          <cell r="R484">
            <v>773.45974886600004</v>
          </cell>
          <cell r="S484">
            <v>2</v>
          </cell>
          <cell r="T484">
            <v>82.196719999999999</v>
          </cell>
          <cell r="U484">
            <v>95</v>
          </cell>
          <cell r="V484">
            <v>37.393814433000003</v>
          </cell>
          <cell r="W484">
            <v>3552.4123711349998</v>
          </cell>
          <cell r="X484">
            <v>2.47444</v>
          </cell>
          <cell r="Y484">
            <v>0</v>
          </cell>
          <cell r="Z484">
            <v>37.393814433000003</v>
          </cell>
          <cell r="AA484">
            <v>3552.4123711349998</v>
          </cell>
        </row>
        <row r="485">
          <cell r="B485" t="str">
            <v>R-03-06</v>
          </cell>
          <cell r="C485" t="str">
            <v>SALBUTAMOL .:. 0,1 mg/inhalación</v>
          </cell>
          <cell r="D485" t="str">
            <v>Aerosol</v>
          </cell>
          <cell r="E485">
            <v>16</v>
          </cell>
          <cell r="F485">
            <v>256</v>
          </cell>
          <cell r="H485">
            <v>150</v>
          </cell>
          <cell r="J485">
            <v>2445</v>
          </cell>
          <cell r="M485">
            <v>0</v>
          </cell>
          <cell r="N485">
            <v>0</v>
          </cell>
          <cell r="P485">
            <v>128</v>
          </cell>
          <cell r="R485">
            <v>2093</v>
          </cell>
          <cell r="S485">
            <v>0</v>
          </cell>
          <cell r="T485">
            <v>0</v>
          </cell>
          <cell r="U485">
            <v>38</v>
          </cell>
          <cell r="V485">
            <v>16</v>
          </cell>
          <cell r="W485">
            <v>608</v>
          </cell>
          <cell r="X485">
            <v>2.47444</v>
          </cell>
          <cell r="Y485">
            <v>0</v>
          </cell>
          <cell r="Z485">
            <v>16</v>
          </cell>
          <cell r="AA485">
            <v>608</v>
          </cell>
        </row>
        <row r="486">
          <cell r="B486" t="str">
            <v>R-03-11</v>
          </cell>
          <cell r="C486" t="str">
            <v>SALMETEROL + FLUTICASONA .:. 25 mcg + 125 mcg</v>
          </cell>
          <cell r="D486" t="str">
            <v>Aerosol</v>
          </cell>
          <cell r="E486">
            <v>91</v>
          </cell>
          <cell r="F486">
            <v>6991.8151029999999</v>
          </cell>
          <cell r="H486">
            <v>205</v>
          </cell>
          <cell r="J486">
            <v>14345.5</v>
          </cell>
          <cell r="M486">
            <v>0</v>
          </cell>
          <cell r="N486">
            <v>0</v>
          </cell>
          <cell r="P486">
            <v>257</v>
          </cell>
          <cell r="R486">
            <v>18572.918596179199</v>
          </cell>
          <cell r="S486">
            <v>0</v>
          </cell>
          <cell r="T486">
            <v>0</v>
          </cell>
          <cell r="U486">
            <v>39</v>
          </cell>
          <cell r="V486">
            <v>70.881961713199999</v>
          </cell>
          <cell r="W486">
            <v>2764.3965068148</v>
          </cell>
          <cell r="X486">
            <v>2.47444</v>
          </cell>
          <cell r="Y486">
            <v>0</v>
          </cell>
          <cell r="Z486">
            <v>70.881961713199999</v>
          </cell>
          <cell r="AA486">
            <v>2764.3965068148</v>
          </cell>
        </row>
        <row r="487">
          <cell r="B487" t="str">
            <v>R-03-13</v>
          </cell>
          <cell r="C487" t="str">
            <v>MONTELUKAST .:. 10mg</v>
          </cell>
          <cell r="D487" t="str">
            <v>Comprimido o Cápsula</v>
          </cell>
          <cell r="E487">
            <v>305</v>
          </cell>
          <cell r="F487">
            <v>762.5</v>
          </cell>
          <cell r="H487">
            <v>1400</v>
          </cell>
          <cell r="J487">
            <v>3500</v>
          </cell>
          <cell r="M487">
            <v>0</v>
          </cell>
          <cell r="N487">
            <v>0</v>
          </cell>
          <cell r="P487">
            <v>1609</v>
          </cell>
          <cell r="R487">
            <v>4022.5</v>
          </cell>
          <cell r="S487">
            <v>0</v>
          </cell>
          <cell r="T487">
            <v>0</v>
          </cell>
          <cell r="U487">
            <v>96</v>
          </cell>
          <cell r="V487">
            <v>2.5</v>
          </cell>
          <cell r="W487">
            <v>240</v>
          </cell>
          <cell r="X487">
            <v>2.47444</v>
          </cell>
          <cell r="Y487">
            <v>0</v>
          </cell>
          <cell r="Z487">
            <v>2.5</v>
          </cell>
          <cell r="AA487">
            <v>240</v>
          </cell>
        </row>
        <row r="488">
          <cell r="B488" t="str">
            <v>R-05-01</v>
          </cell>
          <cell r="C488" t="str">
            <v>ANTIGRIPAL (PARACETAMOL + ANTIHISTAMINICO + VASOCONSTRICTOR CON O SIN CAFEINA) .:. Según disponibilidad</v>
          </cell>
          <cell r="D488" t="str">
            <v>Comprimido</v>
          </cell>
          <cell r="E488">
            <v>5474</v>
          </cell>
          <cell r="F488">
            <v>1176.8059940000001</v>
          </cell>
          <cell r="H488">
            <v>12000</v>
          </cell>
          <cell r="J488">
            <v>3360</v>
          </cell>
          <cell r="M488">
            <v>0</v>
          </cell>
          <cell r="N488">
            <v>0</v>
          </cell>
          <cell r="P488">
            <v>7732</v>
          </cell>
          <cell r="R488">
            <v>1971.870380372</v>
          </cell>
          <cell r="S488">
            <v>0</v>
          </cell>
          <cell r="T488">
            <v>0</v>
          </cell>
          <cell r="U488">
            <v>9742</v>
          </cell>
          <cell r="V488">
            <v>0.26328634919999999</v>
          </cell>
          <cell r="W488">
            <v>2564.9356139063998</v>
          </cell>
          <cell r="X488">
            <v>2.47444</v>
          </cell>
          <cell r="Y488">
            <v>0</v>
          </cell>
          <cell r="Z488">
            <v>0.26328634919999999</v>
          </cell>
          <cell r="AA488">
            <v>2564.9356139063998</v>
          </cell>
        </row>
        <row r="489">
          <cell r="B489" t="str">
            <v>R-05-02</v>
          </cell>
          <cell r="C489" t="str">
            <v>CODEINA .:. 10 mg/5 ml</v>
          </cell>
          <cell r="D489" t="str">
            <v>Jarabe</v>
          </cell>
          <cell r="E489">
            <v>55</v>
          </cell>
          <cell r="F489">
            <v>732.79854999999998</v>
          </cell>
          <cell r="H489">
            <v>600</v>
          </cell>
          <cell r="J489">
            <v>8850</v>
          </cell>
          <cell r="M489">
            <v>0</v>
          </cell>
          <cell r="N489">
            <v>0</v>
          </cell>
          <cell r="P489">
            <v>613</v>
          </cell>
          <cell r="R489">
            <v>8961.3002801191997</v>
          </cell>
          <cell r="S489">
            <v>0</v>
          </cell>
          <cell r="T489">
            <v>0</v>
          </cell>
          <cell r="U489">
            <v>42</v>
          </cell>
          <cell r="V489">
            <v>14.7975778547</v>
          </cell>
          <cell r="W489">
            <v>621.49826989739995</v>
          </cell>
          <cell r="X489">
            <v>2.47444</v>
          </cell>
          <cell r="Y489">
            <v>0</v>
          </cell>
          <cell r="Z489">
            <v>14.7975778547</v>
          </cell>
          <cell r="AA489">
            <v>621.49826989739995</v>
          </cell>
        </row>
        <row r="490">
          <cell r="B490" t="str">
            <v>R-05-03</v>
          </cell>
          <cell r="C490" t="str">
            <v>DEXTROMETORFANO BROMHIDRATO .:. 10 mg/5 ml</v>
          </cell>
          <cell r="D490" t="str">
            <v>Jarabe</v>
          </cell>
          <cell r="E490">
            <v>393</v>
          </cell>
          <cell r="F490">
            <v>2478.852609</v>
          </cell>
          <cell r="H490">
            <v>1200</v>
          </cell>
          <cell r="J490">
            <v>6000</v>
          </cell>
          <cell r="M490">
            <v>0</v>
          </cell>
          <cell r="N490">
            <v>0</v>
          </cell>
          <cell r="P490">
            <v>852</v>
          </cell>
          <cell r="R490">
            <v>4603.5023438540002</v>
          </cell>
          <cell r="S490">
            <v>0</v>
          </cell>
          <cell r="T490">
            <v>0</v>
          </cell>
          <cell r="U490">
            <v>741</v>
          </cell>
          <cell r="V490">
            <v>5.2298923956000003</v>
          </cell>
          <cell r="W490">
            <v>3875.3502651396002</v>
          </cell>
          <cell r="X490">
            <v>2.47444</v>
          </cell>
          <cell r="Y490">
            <v>0</v>
          </cell>
          <cell r="Z490">
            <v>5.2298923956000003</v>
          </cell>
          <cell r="AA490">
            <v>3875.3502651396002</v>
          </cell>
        </row>
        <row r="491">
          <cell r="B491" t="str">
            <v>R-06-01</v>
          </cell>
          <cell r="C491" t="str">
            <v>CLORFENAMINA (CLORFENIRAMINA) .:. 4 mg</v>
          </cell>
          <cell r="D491" t="str">
            <v>Comprimido</v>
          </cell>
          <cell r="E491">
            <v>283</v>
          </cell>
          <cell r="F491">
            <v>67.92</v>
          </cell>
          <cell r="H491">
            <v>1000</v>
          </cell>
          <cell r="J491">
            <v>130</v>
          </cell>
          <cell r="M491">
            <v>0</v>
          </cell>
          <cell r="N491">
            <v>0</v>
          </cell>
          <cell r="P491">
            <v>546</v>
          </cell>
          <cell r="R491">
            <v>98.842303266000002</v>
          </cell>
          <cell r="S491">
            <v>0</v>
          </cell>
          <cell r="T491">
            <v>0</v>
          </cell>
          <cell r="U491">
            <v>737</v>
          </cell>
          <cell r="V491">
            <v>0.13443378119999999</v>
          </cell>
          <cell r="W491">
            <v>99.077696744400001</v>
          </cell>
          <cell r="X491">
            <v>2.47444</v>
          </cell>
          <cell r="Y491">
            <v>0</v>
          </cell>
          <cell r="Z491">
            <v>0.13443378119999999</v>
          </cell>
          <cell r="AA491">
            <v>99.077696744400001</v>
          </cell>
        </row>
        <row r="492">
          <cell r="B492" t="str">
            <v>R-06-02</v>
          </cell>
          <cell r="C492" t="str">
            <v>CLORFENAMINA (CLORFENIRAMINA) .:. 2 mg/5 ml</v>
          </cell>
          <cell r="D492" t="str">
            <v>Jarabe</v>
          </cell>
          <cell r="E492">
            <v>11</v>
          </cell>
          <cell r="F492">
            <v>66.88</v>
          </cell>
          <cell r="H492">
            <v>40</v>
          </cell>
          <cell r="J492">
            <v>255.6</v>
          </cell>
          <cell r="M492">
            <v>0</v>
          </cell>
          <cell r="N492">
            <v>0</v>
          </cell>
          <cell r="P492">
            <v>29</v>
          </cell>
          <cell r="R492">
            <v>181.9</v>
          </cell>
          <cell r="S492">
            <v>0</v>
          </cell>
          <cell r="T492">
            <v>0</v>
          </cell>
          <cell r="U492">
            <v>22</v>
          </cell>
          <cell r="V492">
            <v>6.39</v>
          </cell>
          <cell r="W492">
            <v>140.58000000000001</v>
          </cell>
          <cell r="X492">
            <v>2.47444</v>
          </cell>
          <cell r="Y492">
            <v>0</v>
          </cell>
          <cell r="Z492">
            <v>6.39</v>
          </cell>
          <cell r="AA492">
            <v>140.58000000000001</v>
          </cell>
        </row>
        <row r="493">
          <cell r="B493" t="str">
            <v>R-06-03</v>
          </cell>
          <cell r="C493" t="str">
            <v>CLORFENAMINA (CLORFENIRAMINA) .:. 10 mg/ml</v>
          </cell>
          <cell r="D493" t="str">
            <v>Inyectable</v>
          </cell>
          <cell r="E493">
            <v>185</v>
          </cell>
          <cell r="F493">
            <v>359.09647000000001</v>
          </cell>
          <cell r="H493">
            <v>500</v>
          </cell>
          <cell r="J493">
            <v>600</v>
          </cell>
          <cell r="M493">
            <v>1</v>
          </cell>
          <cell r="N493">
            <v>1.2145300000000001</v>
          </cell>
          <cell r="P493">
            <v>496</v>
          </cell>
          <cell r="R493">
            <v>729.55018119650003</v>
          </cell>
          <cell r="S493">
            <v>0</v>
          </cell>
          <cell r="T493">
            <v>0</v>
          </cell>
          <cell r="U493">
            <v>190</v>
          </cell>
          <cell r="V493">
            <v>1.2145306253999999</v>
          </cell>
          <cell r="W493">
            <v>230.76081882599999</v>
          </cell>
          <cell r="X493">
            <v>2.47444</v>
          </cell>
          <cell r="Y493">
            <v>0</v>
          </cell>
          <cell r="Z493">
            <v>1.2145306253999999</v>
          </cell>
          <cell r="AA493">
            <v>230.76081882599999</v>
          </cell>
        </row>
        <row r="494">
          <cell r="B494" t="str">
            <v>R-06-04</v>
          </cell>
          <cell r="C494" t="str">
            <v>KETOTIFENO .:. 1 mg</v>
          </cell>
          <cell r="D494" t="str">
            <v>Comprimido</v>
          </cell>
          <cell r="E494">
            <v>65</v>
          </cell>
          <cell r="F494">
            <v>195</v>
          </cell>
          <cell r="H494">
            <v>0</v>
          </cell>
          <cell r="J494">
            <v>0</v>
          </cell>
          <cell r="M494">
            <v>0</v>
          </cell>
          <cell r="N494">
            <v>0</v>
          </cell>
          <cell r="P494">
            <v>65</v>
          </cell>
          <cell r="R494">
            <v>195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2.47444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R-06-07</v>
          </cell>
          <cell r="C495" t="str">
            <v>CETIRIZINA .:. 10 mg</v>
          </cell>
          <cell r="D495" t="str">
            <v>Cápsula o Comprimido</v>
          </cell>
          <cell r="E495">
            <v>820</v>
          </cell>
          <cell r="F495">
            <v>328</v>
          </cell>
          <cell r="H495">
            <v>4900</v>
          </cell>
          <cell r="J495">
            <v>1421</v>
          </cell>
          <cell r="M495">
            <v>0</v>
          </cell>
          <cell r="N495">
            <v>0</v>
          </cell>
          <cell r="P495">
            <v>5137</v>
          </cell>
          <cell r="R495">
            <v>1579.9299999906</v>
          </cell>
          <cell r="S495">
            <v>0</v>
          </cell>
          <cell r="T495">
            <v>0</v>
          </cell>
          <cell r="U495">
            <v>583</v>
          </cell>
          <cell r="V495">
            <v>0.28999999999999998</v>
          </cell>
          <cell r="W495">
            <v>169.07</v>
          </cell>
          <cell r="X495">
            <v>2.47444</v>
          </cell>
          <cell r="Y495">
            <v>0</v>
          </cell>
          <cell r="Z495">
            <v>0.28999999999999998</v>
          </cell>
          <cell r="AA495">
            <v>169.07</v>
          </cell>
        </row>
        <row r="496">
          <cell r="B496" t="str">
            <v>R-06-08</v>
          </cell>
          <cell r="C496" t="str">
            <v>CETIRIZINA .:. 5 mg/5 ml</v>
          </cell>
          <cell r="D496" t="str">
            <v>Jarabe</v>
          </cell>
          <cell r="E496">
            <v>19</v>
          </cell>
          <cell r="F496">
            <v>199.011415</v>
          </cell>
          <cell r="H496">
            <v>40</v>
          </cell>
          <cell r="J496">
            <v>416</v>
          </cell>
          <cell r="M496">
            <v>0</v>
          </cell>
          <cell r="N496">
            <v>0</v>
          </cell>
          <cell r="P496">
            <v>59</v>
          </cell>
          <cell r="R496">
            <v>615.01141500200004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2.47444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S-01-04</v>
          </cell>
          <cell r="C497" t="str">
            <v>CIPROFLOXACINA .:. 0,3%</v>
          </cell>
          <cell r="D497" t="str">
            <v>Solución oftálmica</v>
          </cell>
          <cell r="E497">
            <v>0</v>
          </cell>
          <cell r="F497">
            <v>0</v>
          </cell>
          <cell r="H497">
            <v>30</v>
          </cell>
          <cell r="J497">
            <v>1020</v>
          </cell>
          <cell r="M497">
            <v>0</v>
          </cell>
          <cell r="N497">
            <v>0</v>
          </cell>
          <cell r="P497">
            <v>20</v>
          </cell>
          <cell r="R497">
            <v>680</v>
          </cell>
          <cell r="S497">
            <v>0</v>
          </cell>
          <cell r="T497">
            <v>0</v>
          </cell>
          <cell r="U497">
            <v>10</v>
          </cell>
          <cell r="V497">
            <v>34</v>
          </cell>
          <cell r="W497">
            <v>340</v>
          </cell>
          <cell r="X497">
            <v>2.47444</v>
          </cell>
          <cell r="Y497">
            <v>0</v>
          </cell>
          <cell r="Z497">
            <v>34</v>
          </cell>
          <cell r="AA497">
            <v>340</v>
          </cell>
        </row>
        <row r="498">
          <cell r="B498" t="str">
            <v>S-01-06</v>
          </cell>
          <cell r="C498" t="str">
            <v>CLORANFENICOL .:. 0.01</v>
          </cell>
          <cell r="D498" t="str">
            <v>Ungüento oftálmico</v>
          </cell>
          <cell r="E498">
            <v>4</v>
          </cell>
          <cell r="F498">
            <v>78.8</v>
          </cell>
          <cell r="H498">
            <v>0</v>
          </cell>
          <cell r="J498">
            <v>0</v>
          </cell>
          <cell r="M498">
            <v>4</v>
          </cell>
          <cell r="N498">
            <v>78.8</v>
          </cell>
          <cell r="P498">
            <v>4</v>
          </cell>
          <cell r="R498">
            <v>78.8</v>
          </cell>
          <cell r="S498">
            <v>4</v>
          </cell>
          <cell r="T498">
            <v>78.8</v>
          </cell>
          <cell r="U498">
            <v>0</v>
          </cell>
          <cell r="V498">
            <v>0</v>
          </cell>
          <cell r="W498">
            <v>0</v>
          </cell>
          <cell r="X498">
            <v>2.47444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S-01-09</v>
          </cell>
          <cell r="C499" t="str">
            <v>DEXAMETASONA .:. 0,1%</v>
          </cell>
          <cell r="D499" t="str">
            <v>Solución oftálmica</v>
          </cell>
          <cell r="E499">
            <v>84</v>
          </cell>
          <cell r="F499">
            <v>655.20000000000005</v>
          </cell>
          <cell r="H499">
            <v>150</v>
          </cell>
          <cell r="J499">
            <v>1530</v>
          </cell>
          <cell r="M499">
            <v>0</v>
          </cell>
          <cell r="N499">
            <v>0</v>
          </cell>
          <cell r="P499">
            <v>195</v>
          </cell>
          <cell r="R499">
            <v>1787.4</v>
          </cell>
          <cell r="S499">
            <v>0</v>
          </cell>
          <cell r="T499">
            <v>0</v>
          </cell>
          <cell r="U499">
            <v>39</v>
          </cell>
          <cell r="V499">
            <v>10.199999999999999</v>
          </cell>
          <cell r="W499">
            <v>397.8</v>
          </cell>
          <cell r="X499">
            <v>2.47444</v>
          </cell>
          <cell r="Y499">
            <v>0</v>
          </cell>
          <cell r="Z499">
            <v>10.199999999999999</v>
          </cell>
          <cell r="AA499">
            <v>397.8</v>
          </cell>
        </row>
        <row r="500">
          <cell r="B500" t="str">
            <v>S-01-12</v>
          </cell>
          <cell r="C500" t="str">
            <v>DORZOLAMIDA .:. 0.02</v>
          </cell>
          <cell r="D500" t="str">
            <v>Solución oftálmica</v>
          </cell>
          <cell r="E500">
            <v>36</v>
          </cell>
          <cell r="F500">
            <v>1799.64</v>
          </cell>
          <cell r="H500">
            <v>140</v>
          </cell>
          <cell r="J500">
            <v>6998.6</v>
          </cell>
          <cell r="M500">
            <v>2</v>
          </cell>
          <cell r="N500">
            <v>99.98</v>
          </cell>
          <cell r="P500">
            <v>138</v>
          </cell>
          <cell r="R500">
            <v>6898.62</v>
          </cell>
          <cell r="S500">
            <v>0</v>
          </cell>
          <cell r="T500">
            <v>0</v>
          </cell>
          <cell r="U500">
            <v>40</v>
          </cell>
          <cell r="V500">
            <v>49.99</v>
          </cell>
          <cell r="W500">
            <v>1999.6</v>
          </cell>
          <cell r="X500">
            <v>2.47444</v>
          </cell>
          <cell r="Y500">
            <v>0</v>
          </cell>
          <cell r="Z500">
            <v>49.99</v>
          </cell>
          <cell r="AA500">
            <v>1999.6</v>
          </cell>
        </row>
        <row r="501">
          <cell r="B501" t="str">
            <v>S-01-15</v>
          </cell>
          <cell r="C501" t="str">
            <v>GENTAMICINA .:. 0,3%</v>
          </cell>
          <cell r="D501" t="str">
            <v>Ungüento oftálmico</v>
          </cell>
          <cell r="E501">
            <v>2</v>
          </cell>
          <cell r="F501">
            <v>38</v>
          </cell>
          <cell r="H501">
            <v>0</v>
          </cell>
          <cell r="J501">
            <v>0</v>
          </cell>
          <cell r="M501">
            <v>0</v>
          </cell>
          <cell r="N501">
            <v>0</v>
          </cell>
          <cell r="P501">
            <v>2</v>
          </cell>
          <cell r="R501">
            <v>38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2.47444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S-01-16</v>
          </cell>
          <cell r="C502" t="str">
            <v>GENTAMICINA .:. 0,3%</v>
          </cell>
          <cell r="D502" t="str">
            <v>Solución oftálmica</v>
          </cell>
          <cell r="E502">
            <v>8</v>
          </cell>
          <cell r="F502">
            <v>88</v>
          </cell>
          <cell r="H502">
            <v>180</v>
          </cell>
          <cell r="J502">
            <v>1228.5</v>
          </cell>
          <cell r="M502">
            <v>0</v>
          </cell>
          <cell r="N502">
            <v>0</v>
          </cell>
          <cell r="P502">
            <v>180</v>
          </cell>
          <cell r="R502">
            <v>1265.7254648988001</v>
          </cell>
          <cell r="S502">
            <v>0</v>
          </cell>
          <cell r="T502">
            <v>0</v>
          </cell>
          <cell r="U502">
            <v>8</v>
          </cell>
          <cell r="V502">
            <v>6.3468168872000001</v>
          </cell>
          <cell r="W502">
            <v>50.774535097600001</v>
          </cell>
          <cell r="X502">
            <v>2.47444</v>
          </cell>
          <cell r="Y502">
            <v>0</v>
          </cell>
          <cell r="Z502">
            <v>6.3468168872000001</v>
          </cell>
          <cell r="AA502">
            <v>50.774535097600001</v>
          </cell>
        </row>
        <row r="503">
          <cell r="B503" t="str">
            <v>S-01-18</v>
          </cell>
          <cell r="C503" t="str">
            <v>LAGRIMAS ARTIFICIALES .:. 0,3% o 1%</v>
          </cell>
          <cell r="D503" t="str">
            <v>Solución oftálmica</v>
          </cell>
          <cell r="E503">
            <v>146</v>
          </cell>
          <cell r="F503">
            <v>2282.0468679999999</v>
          </cell>
          <cell r="H503">
            <v>1200</v>
          </cell>
          <cell r="J503">
            <v>17999</v>
          </cell>
          <cell r="M503">
            <v>0</v>
          </cell>
          <cell r="N503">
            <v>0</v>
          </cell>
          <cell r="P503">
            <v>1117</v>
          </cell>
          <cell r="R503">
            <v>16846.1521325504</v>
          </cell>
          <cell r="S503">
            <v>0</v>
          </cell>
          <cell r="T503">
            <v>0</v>
          </cell>
          <cell r="U503">
            <v>229</v>
          </cell>
          <cell r="V503">
            <v>14.9995403296</v>
          </cell>
          <cell r="W503">
            <v>3434.8947354784</v>
          </cell>
          <cell r="X503">
            <v>2.47444</v>
          </cell>
          <cell r="Y503">
            <v>0</v>
          </cell>
          <cell r="Z503">
            <v>14.9995403296</v>
          </cell>
          <cell r="AA503">
            <v>3434.8947354784</v>
          </cell>
        </row>
        <row r="504">
          <cell r="B504" t="str">
            <v>S-01-19</v>
          </cell>
          <cell r="C504" t="str">
            <v>NAFAZOLINA CLORHIDRATO .:. 0,1%</v>
          </cell>
          <cell r="D504" t="str">
            <v>Solución oftálmica</v>
          </cell>
          <cell r="E504">
            <v>0</v>
          </cell>
          <cell r="F504">
            <v>0</v>
          </cell>
          <cell r="H504">
            <v>100</v>
          </cell>
          <cell r="J504">
            <v>2020</v>
          </cell>
          <cell r="M504">
            <v>0</v>
          </cell>
          <cell r="N504">
            <v>0</v>
          </cell>
          <cell r="P504">
            <v>79</v>
          </cell>
          <cell r="R504">
            <v>1606.3</v>
          </cell>
          <cell r="S504">
            <v>0</v>
          </cell>
          <cell r="T504">
            <v>0</v>
          </cell>
          <cell r="U504">
            <v>21</v>
          </cell>
          <cell r="V504">
            <v>19.7</v>
          </cell>
          <cell r="W504">
            <v>413.7</v>
          </cell>
          <cell r="X504">
            <v>2.47444</v>
          </cell>
          <cell r="Y504">
            <v>0</v>
          </cell>
          <cell r="Z504">
            <v>19.7</v>
          </cell>
          <cell r="AA504">
            <v>413.7</v>
          </cell>
        </row>
        <row r="505">
          <cell r="B505" t="str">
            <v>S-01-22</v>
          </cell>
          <cell r="C505" t="str">
            <v>TIMOLOL MALEATO .:. 0,5%</v>
          </cell>
          <cell r="D505" t="str">
            <v>Solución oftálmica</v>
          </cell>
          <cell r="E505">
            <v>74</v>
          </cell>
          <cell r="F505">
            <v>1527.966134</v>
          </cell>
          <cell r="H505">
            <v>320</v>
          </cell>
          <cell r="J505">
            <v>6720</v>
          </cell>
          <cell r="M505">
            <v>0</v>
          </cell>
          <cell r="N505">
            <v>0</v>
          </cell>
          <cell r="P505">
            <v>355</v>
          </cell>
          <cell r="R505">
            <v>7428.9661340000002</v>
          </cell>
          <cell r="S505">
            <v>0</v>
          </cell>
          <cell r="T505">
            <v>0</v>
          </cell>
          <cell r="U505">
            <v>39</v>
          </cell>
          <cell r="V505">
            <v>21</v>
          </cell>
          <cell r="W505">
            <v>819</v>
          </cell>
          <cell r="X505">
            <v>2.47444</v>
          </cell>
          <cell r="Y505">
            <v>0</v>
          </cell>
          <cell r="Z505">
            <v>21</v>
          </cell>
          <cell r="AA505">
            <v>819</v>
          </cell>
        </row>
        <row r="506">
          <cell r="B506" t="str">
            <v>S-01-24</v>
          </cell>
          <cell r="C506" t="str">
            <v>CORTICOIDE  (DEXAMETASONA) + ANTIINFECCIOSO (CIPROFLOXACINO) DE ACCION TOPICA .:. Según disponibilidad</v>
          </cell>
          <cell r="D506" t="str">
            <v>Solución oftálmica</v>
          </cell>
          <cell r="E506">
            <v>6</v>
          </cell>
          <cell r="F506">
            <v>135.06</v>
          </cell>
          <cell r="H506">
            <v>150</v>
          </cell>
          <cell r="J506">
            <v>2838.3</v>
          </cell>
          <cell r="M506">
            <v>0</v>
          </cell>
          <cell r="N506">
            <v>0</v>
          </cell>
          <cell r="P506">
            <v>121</v>
          </cell>
          <cell r="R506">
            <v>2381.86</v>
          </cell>
          <cell r="S506">
            <v>0</v>
          </cell>
          <cell r="T506">
            <v>0</v>
          </cell>
          <cell r="U506">
            <v>35</v>
          </cell>
          <cell r="V506">
            <v>16.899999999999999</v>
          </cell>
          <cell r="W506">
            <v>591.5</v>
          </cell>
          <cell r="X506">
            <v>2.47444</v>
          </cell>
          <cell r="Y506">
            <v>0</v>
          </cell>
          <cell r="Z506">
            <v>16.899999999999999</v>
          </cell>
          <cell r="AA506">
            <v>591.5</v>
          </cell>
        </row>
        <row r="507">
          <cell r="B507" t="str">
            <v>S-01-26</v>
          </cell>
          <cell r="C507" t="str">
            <v>LAGRIMAS ARTIFICIALES .:. 0,3% o 1%</v>
          </cell>
          <cell r="D507" t="str">
            <v>Gel</v>
          </cell>
          <cell r="E507">
            <v>14</v>
          </cell>
          <cell r="F507">
            <v>668.67229799999996</v>
          </cell>
          <cell r="H507">
            <v>0</v>
          </cell>
          <cell r="J507">
            <v>0</v>
          </cell>
          <cell r="M507">
            <v>0</v>
          </cell>
          <cell r="N507">
            <v>0</v>
          </cell>
          <cell r="P507">
            <v>14</v>
          </cell>
          <cell r="R507">
            <v>668.67229799999996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2.47444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S-01-27</v>
          </cell>
          <cell r="C508" t="str">
            <v>LATANOPROST .:. 50 mcg/ml</v>
          </cell>
          <cell r="D508" t="str">
            <v>Solución oftálmica</v>
          </cell>
          <cell r="E508">
            <v>12</v>
          </cell>
          <cell r="F508">
            <v>1059.2142839999999</v>
          </cell>
          <cell r="H508">
            <v>275</v>
          </cell>
          <cell r="J508">
            <v>16850</v>
          </cell>
          <cell r="M508">
            <v>0</v>
          </cell>
          <cell r="N508">
            <v>0</v>
          </cell>
          <cell r="P508">
            <v>259</v>
          </cell>
          <cell r="R508">
            <v>16092.6289181465</v>
          </cell>
          <cell r="S508">
            <v>0</v>
          </cell>
          <cell r="T508">
            <v>0</v>
          </cell>
          <cell r="U508">
            <v>28</v>
          </cell>
          <cell r="V508">
            <v>64.878048780499995</v>
          </cell>
          <cell r="W508">
            <v>1816.585365854</v>
          </cell>
          <cell r="X508">
            <v>2.47444</v>
          </cell>
          <cell r="Y508">
            <v>0</v>
          </cell>
          <cell r="Z508">
            <v>64.878048780499995</v>
          </cell>
          <cell r="AA508">
            <v>1816.585365854</v>
          </cell>
        </row>
        <row r="509">
          <cell r="B509" t="str">
            <v>S-02-01</v>
          </cell>
          <cell r="C509" t="str">
            <v>GLICERINA + CARBONATO DE SODIO .:. Según disponibilidad</v>
          </cell>
          <cell r="D509" t="str">
            <v>Gotas óticas</v>
          </cell>
          <cell r="E509">
            <v>24</v>
          </cell>
          <cell r="F509">
            <v>597.6</v>
          </cell>
          <cell r="H509">
            <v>30</v>
          </cell>
          <cell r="J509">
            <v>747</v>
          </cell>
          <cell r="M509">
            <v>0</v>
          </cell>
          <cell r="N509">
            <v>0</v>
          </cell>
          <cell r="P509">
            <v>38</v>
          </cell>
          <cell r="R509">
            <v>946.2</v>
          </cell>
          <cell r="S509">
            <v>0</v>
          </cell>
          <cell r="T509">
            <v>0</v>
          </cell>
          <cell r="U509">
            <v>16</v>
          </cell>
          <cell r="V509">
            <v>24.9</v>
          </cell>
          <cell r="W509">
            <v>398.4</v>
          </cell>
          <cell r="X509">
            <v>2.47444</v>
          </cell>
          <cell r="Y509">
            <v>0</v>
          </cell>
          <cell r="Z509">
            <v>24.9</v>
          </cell>
          <cell r="AA509">
            <v>398.4</v>
          </cell>
        </row>
        <row r="510">
          <cell r="B510" t="str">
            <v>V-03-01</v>
          </cell>
          <cell r="C510" t="str">
            <v>ACETIL CISTEINA .:. 0.1</v>
          </cell>
          <cell r="D510" t="str">
            <v>Inyectable</v>
          </cell>
          <cell r="E510">
            <v>325</v>
          </cell>
          <cell r="F510">
            <v>3228.1869750000001</v>
          </cell>
          <cell r="H510">
            <v>3900</v>
          </cell>
          <cell r="J510">
            <v>23888</v>
          </cell>
          <cell r="M510">
            <v>46</v>
          </cell>
          <cell r="N510">
            <v>352.40248500000001</v>
          </cell>
          <cell r="P510">
            <v>3077</v>
          </cell>
          <cell r="R510">
            <v>20279.500240642901</v>
          </cell>
          <cell r="S510">
            <v>0</v>
          </cell>
          <cell r="T510">
            <v>0</v>
          </cell>
          <cell r="U510">
            <v>1194</v>
          </cell>
          <cell r="V510">
            <v>6.0210127466000003</v>
          </cell>
          <cell r="W510">
            <v>7189.0892194403996</v>
          </cell>
          <cell r="X510">
            <v>2.47444</v>
          </cell>
          <cell r="Y510">
            <v>0</v>
          </cell>
          <cell r="Z510">
            <v>6.0210127466000003</v>
          </cell>
          <cell r="AA510">
            <v>7189.0892194403996</v>
          </cell>
        </row>
        <row r="511">
          <cell r="B511" t="str">
            <v>V-03-07</v>
          </cell>
          <cell r="C511" t="str">
            <v>LEUCOVORINA .:. 50 mg</v>
          </cell>
          <cell r="D511" t="str">
            <v>Inyectable</v>
          </cell>
          <cell r="E511">
            <v>0</v>
          </cell>
          <cell r="F511">
            <v>0</v>
          </cell>
          <cell r="H511">
            <v>313</v>
          </cell>
          <cell r="J511">
            <v>13525.75</v>
          </cell>
          <cell r="M511">
            <v>15</v>
          </cell>
          <cell r="N511">
            <v>600</v>
          </cell>
          <cell r="P511">
            <v>328</v>
          </cell>
          <cell r="R511">
            <v>14125.75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2.47444</v>
          </cell>
          <cell r="Y511">
            <v>0</v>
          </cell>
          <cell r="Z511">
            <v>0</v>
          </cell>
          <cell r="AA511">
            <v>0</v>
          </cell>
        </row>
        <row r="512">
          <cell r="B512" t="str">
            <v>V-03-08</v>
          </cell>
          <cell r="C512" t="str">
            <v>MESNA (MERCAPTO ETILSULFONATO SODICO) .:. 400 mg</v>
          </cell>
          <cell r="D512" t="str">
            <v>Inyectable</v>
          </cell>
          <cell r="E512">
            <v>0</v>
          </cell>
          <cell r="F512">
            <v>0</v>
          </cell>
          <cell r="H512">
            <v>4</v>
          </cell>
          <cell r="J512">
            <v>258.27999999999997</v>
          </cell>
          <cell r="M512">
            <v>0</v>
          </cell>
          <cell r="N512">
            <v>0</v>
          </cell>
          <cell r="P512">
            <v>2</v>
          </cell>
          <cell r="R512">
            <v>129.13999999999999</v>
          </cell>
          <cell r="S512">
            <v>0</v>
          </cell>
          <cell r="T512">
            <v>0</v>
          </cell>
          <cell r="U512">
            <v>2</v>
          </cell>
          <cell r="V512">
            <v>64.569999999999993</v>
          </cell>
          <cell r="W512">
            <v>129.13999999999999</v>
          </cell>
          <cell r="X512">
            <v>2.47444</v>
          </cell>
          <cell r="Y512">
            <v>0</v>
          </cell>
          <cell r="Z512">
            <v>64.569999999999993</v>
          </cell>
          <cell r="AA512">
            <v>129.13999999999999</v>
          </cell>
        </row>
        <row r="513">
          <cell r="B513" t="str">
            <v>V-06-01</v>
          </cell>
          <cell r="C513" t="str">
            <v>PROTEINAS PARA ALIMENTACION ENTERAL (ALIMENTO) .:. Según disponibilidad</v>
          </cell>
          <cell r="D513" t="str">
            <v>Polvo</v>
          </cell>
          <cell r="E513">
            <v>58</v>
          </cell>
          <cell r="F513">
            <v>5785.5</v>
          </cell>
          <cell r="H513">
            <v>0</v>
          </cell>
          <cell r="J513">
            <v>0</v>
          </cell>
          <cell r="M513">
            <v>0</v>
          </cell>
          <cell r="N513">
            <v>0</v>
          </cell>
          <cell r="P513">
            <v>42</v>
          </cell>
          <cell r="R513">
            <v>4189.5</v>
          </cell>
          <cell r="S513">
            <v>0</v>
          </cell>
          <cell r="T513">
            <v>0</v>
          </cell>
          <cell r="U513">
            <v>16</v>
          </cell>
          <cell r="V513">
            <v>99.75</v>
          </cell>
          <cell r="W513">
            <v>1596</v>
          </cell>
          <cell r="X513">
            <v>2.47444</v>
          </cell>
          <cell r="Y513">
            <v>0</v>
          </cell>
          <cell r="Z513">
            <v>99.75</v>
          </cell>
          <cell r="AA513">
            <v>1596</v>
          </cell>
        </row>
        <row r="514">
          <cell r="B514" t="str">
            <v>V-06-04</v>
          </cell>
          <cell r="C514" t="str">
            <v>COMPLEMENTO NUTRICIONAL (CARMELO) .:. Según concentración</v>
          </cell>
          <cell r="D514" t="str">
            <v>Polvo</v>
          </cell>
          <cell r="E514">
            <v>105</v>
          </cell>
          <cell r="F514">
            <v>5668.744095</v>
          </cell>
          <cell r="H514">
            <v>350</v>
          </cell>
          <cell r="J514">
            <v>18894.5</v>
          </cell>
          <cell r="M514">
            <v>0</v>
          </cell>
          <cell r="N514">
            <v>0</v>
          </cell>
          <cell r="P514">
            <v>353</v>
          </cell>
          <cell r="R514">
            <v>19057.269170785399</v>
          </cell>
          <cell r="S514">
            <v>0</v>
          </cell>
          <cell r="T514">
            <v>0</v>
          </cell>
          <cell r="U514">
            <v>102</v>
          </cell>
          <cell r="V514">
            <v>53.980146315900001</v>
          </cell>
          <cell r="W514">
            <v>5505.9749242218004</v>
          </cell>
          <cell r="X514">
            <v>2.47444</v>
          </cell>
          <cell r="Y514">
            <v>0</v>
          </cell>
          <cell r="Z514">
            <v>53.980146315900001</v>
          </cell>
          <cell r="AA514">
            <v>5505.9749242218004</v>
          </cell>
        </row>
        <row r="515">
          <cell r="B515" t="str">
            <v>V-06-05</v>
          </cell>
          <cell r="C515" t="str">
            <v>COMPLEMENTO NUTRICIONAL .:. Según concentración</v>
          </cell>
          <cell r="D515" t="str">
            <v>Polvo</v>
          </cell>
          <cell r="E515">
            <v>3</v>
          </cell>
          <cell r="F515">
            <v>491.97</v>
          </cell>
          <cell r="H515">
            <v>70</v>
          </cell>
          <cell r="J515">
            <v>12523</v>
          </cell>
          <cell r="M515">
            <v>0</v>
          </cell>
          <cell r="N515">
            <v>0</v>
          </cell>
          <cell r="P515">
            <v>72</v>
          </cell>
          <cell r="R515">
            <v>12836.07</v>
          </cell>
          <cell r="S515">
            <v>0</v>
          </cell>
          <cell r="T515">
            <v>0</v>
          </cell>
          <cell r="U515">
            <v>1</v>
          </cell>
          <cell r="V515">
            <v>178.9</v>
          </cell>
          <cell r="W515">
            <v>178.9</v>
          </cell>
          <cell r="X515">
            <v>2.47444</v>
          </cell>
          <cell r="Y515">
            <v>0</v>
          </cell>
          <cell r="Z515">
            <v>178.9</v>
          </cell>
          <cell r="AA515">
            <v>178.9</v>
          </cell>
        </row>
        <row r="516">
          <cell r="B516" t="str">
            <v>V-06-06</v>
          </cell>
          <cell r="C516" t="str">
            <v>COMPLEMENTO NUTRICIONAL (DIABETICO) .:. Según concentración</v>
          </cell>
          <cell r="D516" t="str">
            <v>Polvo</v>
          </cell>
          <cell r="E516">
            <v>0</v>
          </cell>
          <cell r="F516">
            <v>0</v>
          </cell>
          <cell r="H516">
            <v>50</v>
          </cell>
          <cell r="J516">
            <v>2856.5</v>
          </cell>
          <cell r="M516">
            <v>0</v>
          </cell>
          <cell r="N516">
            <v>0</v>
          </cell>
          <cell r="P516">
            <v>24</v>
          </cell>
          <cell r="R516">
            <v>1371.12</v>
          </cell>
          <cell r="S516">
            <v>0</v>
          </cell>
          <cell r="T516">
            <v>0</v>
          </cell>
          <cell r="U516">
            <v>26</v>
          </cell>
          <cell r="V516">
            <v>57.13</v>
          </cell>
          <cell r="W516">
            <v>1485.38</v>
          </cell>
          <cell r="X516">
            <v>2.47444</v>
          </cell>
          <cell r="Y516">
            <v>0</v>
          </cell>
          <cell r="Z516">
            <v>57.13</v>
          </cell>
          <cell r="AA516">
            <v>1485.38</v>
          </cell>
        </row>
        <row r="517">
          <cell r="B517" t="str">
            <v>V-08-02</v>
          </cell>
          <cell r="C517" t="str">
            <v>CONTRASTE IODADO .:. Según disponibilidad (50 ml)</v>
          </cell>
          <cell r="D517" t="str">
            <v>Inyectable</v>
          </cell>
          <cell r="E517">
            <v>16</v>
          </cell>
          <cell r="F517">
            <v>4877.92</v>
          </cell>
          <cell r="H517">
            <v>72</v>
          </cell>
          <cell r="J517">
            <v>20948.61</v>
          </cell>
          <cell r="M517">
            <v>5</v>
          </cell>
          <cell r="N517">
            <v>1524.4</v>
          </cell>
          <cell r="P517">
            <v>70</v>
          </cell>
          <cell r="R517">
            <v>20851.13</v>
          </cell>
          <cell r="S517">
            <v>0</v>
          </cell>
          <cell r="T517">
            <v>0</v>
          </cell>
          <cell r="U517">
            <v>23</v>
          </cell>
          <cell r="V517">
            <v>282.60000000000002</v>
          </cell>
          <cell r="W517">
            <v>6499.8</v>
          </cell>
          <cell r="X517">
            <v>2.47444</v>
          </cell>
          <cell r="Y517">
            <v>0</v>
          </cell>
          <cell r="Z517">
            <v>282.60000000000002</v>
          </cell>
          <cell r="AA517">
            <v>6499.8</v>
          </cell>
        </row>
        <row r="518">
          <cell r="B518" t="str">
            <v>V-08-05</v>
          </cell>
          <cell r="C518" t="str">
            <v>GADOPENTATO DE DIMEGLUMINA .:. 469 mg/ml</v>
          </cell>
          <cell r="D518" t="str">
            <v>Inyectable</v>
          </cell>
          <cell r="E518">
            <v>4</v>
          </cell>
          <cell r="F518">
            <v>1799.96</v>
          </cell>
          <cell r="H518">
            <v>25</v>
          </cell>
          <cell r="J518">
            <v>11249.75</v>
          </cell>
          <cell r="M518">
            <v>0</v>
          </cell>
          <cell r="N518">
            <v>0</v>
          </cell>
          <cell r="P518">
            <v>24</v>
          </cell>
          <cell r="R518">
            <v>10799.76</v>
          </cell>
          <cell r="S518">
            <v>0</v>
          </cell>
          <cell r="T518">
            <v>0</v>
          </cell>
          <cell r="U518">
            <v>5</v>
          </cell>
          <cell r="V518">
            <v>449.99</v>
          </cell>
          <cell r="W518">
            <v>2249.9499999999998</v>
          </cell>
          <cell r="X518">
            <v>2.47444</v>
          </cell>
          <cell r="Y518">
            <v>0</v>
          </cell>
          <cell r="Z518">
            <v>449.99</v>
          </cell>
          <cell r="AA518">
            <v>2249.9499999999998</v>
          </cell>
        </row>
        <row r="519">
          <cell r="B519" t="str">
            <v>V-08-06</v>
          </cell>
          <cell r="C519" t="str">
            <v>MEGLUMINA DIATRIZOATO .:. 70% o 76% (20 ml)</v>
          </cell>
          <cell r="D519" t="str">
            <v>Inyectable</v>
          </cell>
          <cell r="E519">
            <v>22</v>
          </cell>
          <cell r="F519">
            <v>2861.7746520000001</v>
          </cell>
          <cell r="H519">
            <v>0</v>
          </cell>
          <cell r="J519">
            <v>0</v>
          </cell>
          <cell r="M519">
            <v>0</v>
          </cell>
          <cell r="N519">
            <v>0</v>
          </cell>
          <cell r="P519">
            <v>9</v>
          </cell>
          <cell r="R519">
            <v>1170.7259939999999</v>
          </cell>
          <cell r="S519">
            <v>0</v>
          </cell>
          <cell r="T519">
            <v>0</v>
          </cell>
          <cell r="U519">
            <v>13</v>
          </cell>
          <cell r="V519">
            <v>130.08066600000001</v>
          </cell>
          <cell r="W519">
            <v>1691.0486579999999</v>
          </cell>
          <cell r="X519">
            <v>2.47444</v>
          </cell>
          <cell r="Y519">
            <v>0</v>
          </cell>
          <cell r="Z519">
            <v>130.08066600000001</v>
          </cell>
          <cell r="AA519">
            <v>1691.0486579999999</v>
          </cell>
        </row>
        <row r="520">
          <cell r="B520" t="str">
            <v>V-08-07</v>
          </cell>
          <cell r="C520" t="str">
            <v>MEGLUMINA DIATRIZOATO .:. 70% o 76% (50 ml)</v>
          </cell>
          <cell r="D520" t="str">
            <v>Inyectable</v>
          </cell>
          <cell r="E520">
            <v>14</v>
          </cell>
          <cell r="F520">
            <v>2195.1999999999998</v>
          </cell>
          <cell r="H520">
            <v>20</v>
          </cell>
          <cell r="J520">
            <v>3136</v>
          </cell>
          <cell r="M520">
            <v>1</v>
          </cell>
          <cell r="N520">
            <v>156.80000000000001</v>
          </cell>
          <cell r="P520">
            <v>33</v>
          </cell>
          <cell r="R520">
            <v>5174.3999999999996</v>
          </cell>
          <cell r="S520">
            <v>0</v>
          </cell>
          <cell r="T520">
            <v>0</v>
          </cell>
          <cell r="U520">
            <v>2</v>
          </cell>
          <cell r="V520">
            <v>156.80000000000001</v>
          </cell>
          <cell r="W520">
            <v>313.60000000000002</v>
          </cell>
          <cell r="X520">
            <v>2.47444</v>
          </cell>
          <cell r="Y520">
            <v>0</v>
          </cell>
          <cell r="Z520">
            <v>156.80000000000001</v>
          </cell>
          <cell r="AA520">
            <v>313.60000000000002</v>
          </cell>
        </row>
        <row r="521">
          <cell r="B521" t="str">
            <v>V-08-08</v>
          </cell>
          <cell r="C521" t="str">
            <v>SULFATO DE BARIO .:. Según disponibilidad</v>
          </cell>
          <cell r="D521" t="str">
            <v>Suspensión</v>
          </cell>
          <cell r="E521">
            <v>3</v>
          </cell>
          <cell r="F521">
            <v>702.98181599999998</v>
          </cell>
          <cell r="H521">
            <v>0</v>
          </cell>
          <cell r="J521">
            <v>0</v>
          </cell>
          <cell r="M521">
            <v>2</v>
          </cell>
          <cell r="N521">
            <v>468.65</v>
          </cell>
          <cell r="P521">
            <v>3</v>
          </cell>
          <cell r="R521">
            <v>702.97727199999997</v>
          </cell>
          <cell r="S521">
            <v>2</v>
          </cell>
          <cell r="T521">
            <v>468.65454399999999</v>
          </cell>
          <cell r="U521">
            <v>0</v>
          </cell>
          <cell r="V521">
            <v>0</v>
          </cell>
          <cell r="W521">
            <v>0</v>
          </cell>
          <cell r="X521">
            <v>2.47444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>TOTAL:</v>
          </cell>
          <cell r="H522" t="str">
            <v/>
          </cell>
          <cell r="J522" t="str">
            <v>TOTAL:</v>
          </cell>
          <cell r="M522" t="str">
            <v/>
          </cell>
          <cell r="N522" t="str">
            <v>TOTAL:</v>
          </cell>
          <cell r="P522" t="str">
            <v/>
          </cell>
          <cell r="R522" t="str">
            <v>TOTAL:</v>
          </cell>
          <cell r="S522" t="str">
            <v/>
          </cell>
          <cell r="T522" t="str">
            <v>TOTAL:</v>
          </cell>
          <cell r="U522" t="str">
            <v/>
          </cell>
          <cell r="V522" t="str">
            <v/>
          </cell>
          <cell r="W522" t="str">
            <v>TOTAL:</v>
          </cell>
          <cell r="X522" t="str">
            <v/>
          </cell>
          <cell r="Y522" t="str">
            <v>TOTAL:</v>
          </cell>
          <cell r="Z522" t="str">
            <v/>
          </cell>
          <cell r="AA522" t="str">
            <v>TOTAL:</v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>
            <v>562601.78661399998</v>
          </cell>
          <cell r="H523" t="str">
            <v/>
          </cell>
          <cell r="J523">
            <v>2052820.53</v>
          </cell>
          <cell r="M523" t="str">
            <v/>
          </cell>
          <cell r="N523">
            <v>34888.940709000002</v>
          </cell>
          <cell r="P523" t="str">
            <v/>
          </cell>
          <cell r="R523">
            <v>2167678.6672782372</v>
          </cell>
          <cell r="S523" t="str">
            <v/>
          </cell>
          <cell r="T523">
            <v>20169.991151647999</v>
          </cell>
          <cell r="U523" t="str">
            <v/>
          </cell>
          <cell r="V523" t="str">
            <v/>
          </cell>
          <cell r="W523">
            <v>462942.59889437788</v>
          </cell>
          <cell r="X523" t="str">
            <v/>
          </cell>
          <cell r="Y523">
            <v>0</v>
          </cell>
          <cell r="Z523" t="str">
            <v/>
          </cell>
          <cell r="AA523">
            <v>462942.59889437788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0">
          <cell r="B10" t="str">
            <v>Codigo</v>
          </cell>
          <cell r="C10" t="str">
            <v>Detalle</v>
          </cell>
          <cell r="D10" t="str">
            <v>Unidad</v>
          </cell>
          <cell r="E10" t="str">
            <v>Cant. Inicial</v>
          </cell>
          <cell r="F10" t="str">
            <v>Importe Inicial</v>
          </cell>
          <cell r="H10" t="str">
            <v>Cant. Entrada</v>
          </cell>
          <cell r="J10" t="str">
            <v>Imp. Entrada</v>
          </cell>
          <cell r="M10" t="str">
            <v>Cant. Ajuste(+)</v>
          </cell>
          <cell r="N10" t="str">
            <v>Imp. Ajuste(+)</v>
          </cell>
          <cell r="P10" t="str">
            <v>Cant. Salida</v>
          </cell>
          <cell r="R10" t="str">
            <v>Imp. Salida</v>
          </cell>
          <cell r="S10" t="str">
            <v>Cant. Ajuste(-)</v>
          </cell>
          <cell r="T10" t="str">
            <v>Imp. Ajuste(-)</v>
          </cell>
          <cell r="U10" t="str">
            <v>Cant. Saldo</v>
          </cell>
          <cell r="V10" t="str">
            <v>Imp/Unit Saldo</v>
          </cell>
          <cell r="W10" t="str">
            <v>Importe Total Saldo</v>
          </cell>
          <cell r="X10" t="str">
            <v>Ult. Tipo Camb</v>
          </cell>
          <cell r="Y10" t="str">
            <v>Ajuste</v>
          </cell>
          <cell r="Z10" t="str">
            <v>Costo Actualizado</v>
          </cell>
          <cell r="AA10" t="str">
            <v>Total Actualizado</v>
          </cell>
        </row>
        <row r="11">
          <cell r="B11" t="str">
            <v>A-02-01</v>
          </cell>
          <cell r="C11" t="str">
            <v>HIDROXIDO DE ALUMINIO Y MAGNESIO .:. 1 : 1</v>
          </cell>
          <cell r="D11" t="str">
            <v>Suspensión</v>
          </cell>
          <cell r="E11">
            <v>79</v>
          </cell>
          <cell r="F11">
            <v>601.7245509009</v>
          </cell>
          <cell r="H11">
            <v>960</v>
          </cell>
          <cell r="J11">
            <v>5815</v>
          </cell>
          <cell r="M11">
            <v>3</v>
          </cell>
          <cell r="N11">
            <v>16.074624</v>
          </cell>
          <cell r="P11">
            <v>928</v>
          </cell>
          <cell r="R11">
            <v>5503.0500438889003</v>
          </cell>
          <cell r="S11">
            <v>0</v>
          </cell>
          <cell r="T11">
            <v>0</v>
          </cell>
          <cell r="U11">
            <v>114</v>
          </cell>
          <cell r="V11">
            <v>8.1556941316000007</v>
          </cell>
          <cell r="W11">
            <v>929.74913100239996</v>
          </cell>
          <cell r="X11">
            <v>2.5783299999999998</v>
          </cell>
          <cell r="Y11">
            <v>0</v>
          </cell>
          <cell r="Z11">
            <v>8.1556941316000007</v>
          </cell>
          <cell r="AA11">
            <v>929.74913100239996</v>
          </cell>
        </row>
        <row r="12">
          <cell r="B12" t="str">
            <v>A-02-02</v>
          </cell>
          <cell r="C12" t="str">
            <v>OMEPRAZOL .:. 20 mg</v>
          </cell>
          <cell r="D12" t="str">
            <v>Cápsula</v>
          </cell>
          <cell r="E12">
            <v>6378</v>
          </cell>
          <cell r="F12">
            <v>1149.120905172</v>
          </cell>
          <cell r="H12">
            <v>64000</v>
          </cell>
          <cell r="J12">
            <v>13060</v>
          </cell>
          <cell r="M12">
            <v>20</v>
          </cell>
          <cell r="N12">
            <v>4.0722800000000001</v>
          </cell>
          <cell r="P12">
            <v>52824</v>
          </cell>
          <cell r="R12">
            <v>10222.842272501601</v>
          </cell>
          <cell r="S12">
            <v>0</v>
          </cell>
          <cell r="T12">
            <v>0</v>
          </cell>
          <cell r="U12">
            <v>17574</v>
          </cell>
          <cell r="V12">
            <v>0.227059913</v>
          </cell>
          <cell r="W12">
            <v>3990.3509110619998</v>
          </cell>
          <cell r="X12">
            <v>2.5783299999999998</v>
          </cell>
          <cell r="Y12">
            <v>0</v>
          </cell>
          <cell r="Z12">
            <v>0.227059913</v>
          </cell>
          <cell r="AA12">
            <v>3990.3509110619998</v>
          </cell>
        </row>
        <row r="13">
          <cell r="B13" t="str">
            <v>A-02-03</v>
          </cell>
          <cell r="C13" t="str">
            <v>RANITIDINA .:. 150 mg</v>
          </cell>
          <cell r="D13" t="str">
            <v>Comprimido</v>
          </cell>
          <cell r="E13">
            <v>960</v>
          </cell>
          <cell r="F13">
            <v>235.59255724799999</v>
          </cell>
          <cell r="H13">
            <v>1500</v>
          </cell>
          <cell r="J13">
            <v>450</v>
          </cell>
          <cell r="M13">
            <v>0</v>
          </cell>
          <cell r="N13">
            <v>0</v>
          </cell>
          <cell r="P13">
            <v>2246</v>
          </cell>
          <cell r="R13">
            <v>621.392557248</v>
          </cell>
          <cell r="S13">
            <v>0</v>
          </cell>
          <cell r="T13">
            <v>0</v>
          </cell>
          <cell r="U13">
            <v>214</v>
          </cell>
          <cell r="V13">
            <v>0.3</v>
          </cell>
          <cell r="W13">
            <v>64.2</v>
          </cell>
          <cell r="X13">
            <v>2.5783299999999998</v>
          </cell>
          <cell r="Y13">
            <v>0</v>
          </cell>
          <cell r="Z13">
            <v>0.3</v>
          </cell>
          <cell r="AA13">
            <v>64.2</v>
          </cell>
        </row>
        <row r="14">
          <cell r="B14" t="str">
            <v>A-02-04</v>
          </cell>
          <cell r="C14" t="str">
            <v>RANITIDINA .:. 50 mg</v>
          </cell>
          <cell r="D14" t="str">
            <v>Inyectable</v>
          </cell>
          <cell r="E14">
            <v>129</v>
          </cell>
          <cell r="F14">
            <v>123.95136922170001</v>
          </cell>
          <cell r="H14">
            <v>300</v>
          </cell>
          <cell r="J14">
            <v>330</v>
          </cell>
          <cell r="M14">
            <v>18</v>
          </cell>
          <cell r="N14">
            <v>19.226987999999999</v>
          </cell>
          <cell r="P14">
            <v>267</v>
          </cell>
          <cell r="R14">
            <v>280.9083644369</v>
          </cell>
          <cell r="S14">
            <v>0</v>
          </cell>
          <cell r="T14">
            <v>0</v>
          </cell>
          <cell r="U14">
            <v>180</v>
          </cell>
          <cell r="V14">
            <v>1.0681666268000001</v>
          </cell>
          <cell r="W14">
            <v>192.26999282400001</v>
          </cell>
          <cell r="X14">
            <v>2.5783299999999998</v>
          </cell>
          <cell r="Y14">
            <v>0</v>
          </cell>
          <cell r="Z14">
            <v>1.0681666268000001</v>
          </cell>
          <cell r="AA14">
            <v>192.26999282400001</v>
          </cell>
        </row>
        <row r="15">
          <cell r="B15" t="str">
            <v>A-02-05</v>
          </cell>
          <cell r="C15" t="str">
            <v>OMEPRAZOL .:. 40 mg/ml</v>
          </cell>
          <cell r="D15" t="str">
            <v>Inyectable</v>
          </cell>
          <cell r="E15">
            <v>997</v>
          </cell>
          <cell r="F15">
            <v>4394.9226412525004</v>
          </cell>
          <cell r="H15">
            <v>2300</v>
          </cell>
          <cell r="J15">
            <v>16200</v>
          </cell>
          <cell r="M15">
            <v>366</v>
          </cell>
          <cell r="N15">
            <v>2069.8896340000001</v>
          </cell>
          <cell r="P15">
            <v>3244</v>
          </cell>
          <cell r="R15">
            <v>19541.676246373401</v>
          </cell>
          <cell r="S15">
            <v>62</v>
          </cell>
          <cell r="T15">
            <v>273.30511988379999</v>
          </cell>
          <cell r="U15">
            <v>357</v>
          </cell>
          <cell r="V15">
            <v>7.9827196333000003</v>
          </cell>
          <cell r="W15">
            <v>2849.8309090880998</v>
          </cell>
          <cell r="X15">
            <v>2.5783299999999998</v>
          </cell>
          <cell r="Y15">
            <v>0</v>
          </cell>
          <cell r="Z15">
            <v>7.9827196333000003</v>
          </cell>
          <cell r="AA15">
            <v>2849.8309090880998</v>
          </cell>
        </row>
        <row r="16">
          <cell r="B16" t="str">
            <v>A-03-01</v>
          </cell>
          <cell r="C16" t="str">
            <v>ATROPINA SULFATO .:. 1 mg/ml</v>
          </cell>
          <cell r="D16" t="str">
            <v>Inyectable</v>
          </cell>
          <cell r="E16">
            <v>16</v>
          </cell>
          <cell r="F16">
            <v>38.08</v>
          </cell>
          <cell r="H16">
            <v>100</v>
          </cell>
          <cell r="J16">
            <v>240</v>
          </cell>
          <cell r="M16">
            <v>2</v>
          </cell>
          <cell r="N16">
            <v>4.76</v>
          </cell>
          <cell r="P16">
            <v>71</v>
          </cell>
          <cell r="R16">
            <v>170.04</v>
          </cell>
          <cell r="S16">
            <v>0</v>
          </cell>
          <cell r="T16">
            <v>0</v>
          </cell>
          <cell r="U16">
            <v>47</v>
          </cell>
          <cell r="V16">
            <v>2.4</v>
          </cell>
          <cell r="W16">
            <v>112.8</v>
          </cell>
          <cell r="X16">
            <v>2.5783299999999998</v>
          </cell>
          <cell r="Y16">
            <v>0</v>
          </cell>
          <cell r="Z16">
            <v>2.4</v>
          </cell>
          <cell r="AA16">
            <v>112.8</v>
          </cell>
        </row>
        <row r="17">
          <cell r="B17" t="str">
            <v>A-03-02</v>
          </cell>
          <cell r="C17" t="str">
            <v>BUTILBROMURO DE HIOSCINA (BUTILESCOPOLAMINA) .:. 10 mg</v>
          </cell>
          <cell r="D17" t="str">
            <v>Comprimido</v>
          </cell>
          <cell r="E17">
            <v>433</v>
          </cell>
          <cell r="F17">
            <v>822.7</v>
          </cell>
          <cell r="H17">
            <v>1300</v>
          </cell>
          <cell r="J17">
            <v>2011</v>
          </cell>
          <cell r="M17">
            <v>0</v>
          </cell>
          <cell r="N17">
            <v>0</v>
          </cell>
          <cell r="P17">
            <v>683</v>
          </cell>
          <cell r="R17">
            <v>1210.0817005536001</v>
          </cell>
          <cell r="S17">
            <v>0</v>
          </cell>
          <cell r="T17">
            <v>0</v>
          </cell>
          <cell r="U17">
            <v>1050</v>
          </cell>
          <cell r="V17">
            <v>1.5463031423</v>
          </cell>
          <cell r="W17">
            <v>1623.6182994149999</v>
          </cell>
          <cell r="X17">
            <v>2.5783299999999998</v>
          </cell>
          <cell r="Y17">
            <v>0</v>
          </cell>
          <cell r="Z17">
            <v>1.5463031423</v>
          </cell>
          <cell r="AA17">
            <v>1623.6182994149999</v>
          </cell>
        </row>
        <row r="18">
          <cell r="B18" t="str">
            <v>A-03-04</v>
          </cell>
          <cell r="C18" t="str">
            <v>BUTILBROMURO DE HIOSCINA (BUTILESCOPOLAMINA) .:. 20 mg/ml</v>
          </cell>
          <cell r="D18" t="str">
            <v>Inyectable</v>
          </cell>
          <cell r="E18">
            <v>194</v>
          </cell>
          <cell r="F18">
            <v>700.06716334700002</v>
          </cell>
          <cell r="H18">
            <v>400</v>
          </cell>
          <cell r="J18">
            <v>1380</v>
          </cell>
          <cell r="M18">
            <v>33</v>
          </cell>
          <cell r="N18">
            <v>112.967657</v>
          </cell>
          <cell r="P18">
            <v>459</v>
          </cell>
          <cell r="R18">
            <v>1584.4412742433001</v>
          </cell>
          <cell r="S18">
            <v>0</v>
          </cell>
          <cell r="T18">
            <v>0</v>
          </cell>
          <cell r="U18">
            <v>168</v>
          </cell>
          <cell r="V18">
            <v>3.6225806315</v>
          </cell>
          <cell r="W18">
            <v>608.593546092</v>
          </cell>
          <cell r="X18">
            <v>2.5783299999999998</v>
          </cell>
          <cell r="Y18">
            <v>0</v>
          </cell>
          <cell r="Z18">
            <v>3.6225806315</v>
          </cell>
          <cell r="AA18">
            <v>608.593546092</v>
          </cell>
        </row>
        <row r="19">
          <cell r="B19" t="str">
            <v>A-03-06</v>
          </cell>
          <cell r="C19" t="str">
            <v>DOMPERIDONA .:. 10 mg</v>
          </cell>
          <cell r="D19" t="str">
            <v>Comprimido</v>
          </cell>
          <cell r="E19">
            <v>5446</v>
          </cell>
          <cell r="F19">
            <v>892.03156082880002</v>
          </cell>
          <cell r="H19">
            <v>27500</v>
          </cell>
          <cell r="J19">
            <v>5330</v>
          </cell>
          <cell r="M19">
            <v>153</v>
          </cell>
          <cell r="N19">
            <v>29.262933</v>
          </cell>
          <cell r="P19">
            <v>22343</v>
          </cell>
          <cell r="R19">
            <v>4194.0820886730999</v>
          </cell>
          <cell r="S19">
            <v>0</v>
          </cell>
          <cell r="T19">
            <v>0</v>
          </cell>
          <cell r="U19">
            <v>10756</v>
          </cell>
          <cell r="V19">
            <v>0.19126184509999999</v>
          </cell>
          <cell r="W19">
            <v>2057.2124058956001</v>
          </cell>
          <cell r="X19">
            <v>2.5783299999999998</v>
          </cell>
          <cell r="Y19">
            <v>0</v>
          </cell>
          <cell r="Z19">
            <v>0.19126184509999999</v>
          </cell>
          <cell r="AA19">
            <v>2057.2124058956001</v>
          </cell>
        </row>
        <row r="20">
          <cell r="B20" t="str">
            <v>A-03-07</v>
          </cell>
          <cell r="C20" t="str">
            <v>METOCLOPRAMIDA .:. 10 mg</v>
          </cell>
          <cell r="D20" t="str">
            <v>Comprimido</v>
          </cell>
          <cell r="E20">
            <v>1093</v>
          </cell>
          <cell r="F20">
            <v>200.06613365760001</v>
          </cell>
          <cell r="H20">
            <v>1300</v>
          </cell>
          <cell r="J20">
            <v>260</v>
          </cell>
          <cell r="M20">
            <v>0</v>
          </cell>
          <cell r="N20">
            <v>0</v>
          </cell>
          <cell r="P20">
            <v>1875</v>
          </cell>
          <cell r="R20">
            <v>357.58619796599999</v>
          </cell>
          <cell r="S20">
            <v>0</v>
          </cell>
          <cell r="T20">
            <v>0</v>
          </cell>
          <cell r="U20">
            <v>518</v>
          </cell>
          <cell r="V20">
            <v>0.1978377137</v>
          </cell>
          <cell r="W20">
            <v>102.47993569659999</v>
          </cell>
          <cell r="X20">
            <v>2.5783299999999998</v>
          </cell>
          <cell r="Y20">
            <v>0</v>
          </cell>
          <cell r="Z20">
            <v>0.1978377137</v>
          </cell>
          <cell r="AA20">
            <v>102.47993569659999</v>
          </cell>
        </row>
        <row r="21">
          <cell r="B21" t="str">
            <v>A-03-08</v>
          </cell>
          <cell r="C21" t="str">
            <v>METOCLOPRAMIDA .:. 10 mg/2ml</v>
          </cell>
          <cell r="D21" t="str">
            <v>Inyectable</v>
          </cell>
          <cell r="E21">
            <v>243</v>
          </cell>
          <cell r="F21">
            <v>386.62638927569998</v>
          </cell>
          <cell r="H21">
            <v>1600</v>
          </cell>
          <cell r="J21">
            <v>1920</v>
          </cell>
          <cell r="M21">
            <v>275</v>
          </cell>
          <cell r="N21">
            <v>350.864935</v>
          </cell>
          <cell r="P21">
            <v>1643</v>
          </cell>
          <cell r="R21">
            <v>2072.0107960662999</v>
          </cell>
          <cell r="S21">
            <v>0</v>
          </cell>
          <cell r="T21">
            <v>0</v>
          </cell>
          <cell r="U21">
            <v>475</v>
          </cell>
          <cell r="V21">
            <v>1.2325905849000001</v>
          </cell>
          <cell r="W21">
            <v>585.48052782750005</v>
          </cell>
          <cell r="X21">
            <v>2.5783299999999998</v>
          </cell>
          <cell r="Y21">
            <v>0</v>
          </cell>
          <cell r="Z21">
            <v>1.2325905849000001</v>
          </cell>
          <cell r="AA21">
            <v>585.48052782750005</v>
          </cell>
        </row>
        <row r="22">
          <cell r="B22" t="str">
            <v>A-03-09</v>
          </cell>
          <cell r="C22" t="str">
            <v>METOCLOPRAMIDA .:. 0,35% o 0,5%</v>
          </cell>
          <cell r="D22" t="str">
            <v>Solución oral gotas</v>
          </cell>
          <cell r="E22">
            <v>55</v>
          </cell>
          <cell r="F22">
            <v>385</v>
          </cell>
          <cell r="H22">
            <v>0</v>
          </cell>
          <cell r="J22">
            <v>0</v>
          </cell>
          <cell r="M22">
            <v>1</v>
          </cell>
          <cell r="N22">
            <v>7</v>
          </cell>
          <cell r="P22">
            <v>25</v>
          </cell>
          <cell r="R22">
            <v>175</v>
          </cell>
          <cell r="S22">
            <v>0</v>
          </cell>
          <cell r="T22">
            <v>0</v>
          </cell>
          <cell r="U22">
            <v>31</v>
          </cell>
          <cell r="V22">
            <v>7</v>
          </cell>
          <cell r="W22">
            <v>217</v>
          </cell>
          <cell r="X22">
            <v>2.5783299999999998</v>
          </cell>
          <cell r="Y22">
            <v>0</v>
          </cell>
          <cell r="Z22">
            <v>7</v>
          </cell>
          <cell r="AA22">
            <v>217</v>
          </cell>
        </row>
        <row r="23">
          <cell r="B23" t="str">
            <v>A-03-10</v>
          </cell>
          <cell r="C23" t="str">
            <v>PROPINOXATO .:. 10 mg</v>
          </cell>
          <cell r="D23" t="str">
            <v>Comprimido</v>
          </cell>
          <cell r="E23">
            <v>453</v>
          </cell>
          <cell r="F23">
            <v>860.7</v>
          </cell>
          <cell r="H23">
            <v>1600</v>
          </cell>
          <cell r="J23">
            <v>2560</v>
          </cell>
          <cell r="M23">
            <v>0</v>
          </cell>
          <cell r="N23">
            <v>0</v>
          </cell>
          <cell r="P23">
            <v>1478</v>
          </cell>
          <cell r="R23">
            <v>2499.3097333862002</v>
          </cell>
          <cell r="S23">
            <v>0</v>
          </cell>
          <cell r="T23">
            <v>0</v>
          </cell>
          <cell r="U23">
            <v>575</v>
          </cell>
          <cell r="V23">
            <v>1.6024178549000001</v>
          </cell>
          <cell r="W23">
            <v>921.39026656750002</v>
          </cell>
          <cell r="X23">
            <v>2.5783299999999998</v>
          </cell>
          <cell r="Y23">
            <v>0</v>
          </cell>
          <cell r="Z23">
            <v>1.6024178549000001</v>
          </cell>
          <cell r="AA23">
            <v>921.39026656750002</v>
          </cell>
        </row>
        <row r="24">
          <cell r="B24" t="str">
            <v>A-03-11</v>
          </cell>
          <cell r="C24" t="str">
            <v>PROPINOXATO .:. 5 mg/ml</v>
          </cell>
          <cell r="D24" t="str">
            <v>Inyectable</v>
          </cell>
          <cell r="E24">
            <v>98</v>
          </cell>
          <cell r="F24">
            <v>607.27058671999998</v>
          </cell>
          <cell r="H24">
            <v>500</v>
          </cell>
          <cell r="J24">
            <v>3020</v>
          </cell>
          <cell r="M24">
            <v>22</v>
          </cell>
          <cell r="N24">
            <v>135.34036</v>
          </cell>
          <cell r="P24">
            <v>487</v>
          </cell>
          <cell r="R24">
            <v>2946.1828273084998</v>
          </cell>
          <cell r="S24">
            <v>0</v>
          </cell>
          <cell r="T24">
            <v>0</v>
          </cell>
          <cell r="U24">
            <v>133</v>
          </cell>
          <cell r="V24">
            <v>6.1385572886000004</v>
          </cell>
          <cell r="W24">
            <v>816.42811938379998</v>
          </cell>
          <cell r="X24">
            <v>2.5783299999999998</v>
          </cell>
          <cell r="Y24">
            <v>0</v>
          </cell>
          <cell r="Z24">
            <v>6.1385572886000004</v>
          </cell>
          <cell r="AA24">
            <v>816.42811938379998</v>
          </cell>
        </row>
        <row r="25">
          <cell r="B25" t="str">
            <v>A-03-12</v>
          </cell>
          <cell r="C25" t="str">
            <v>SIMETICONA .:. 3% o 4%</v>
          </cell>
          <cell r="D25" t="str">
            <v>Suspensión</v>
          </cell>
          <cell r="E25">
            <v>31</v>
          </cell>
          <cell r="F25">
            <v>496</v>
          </cell>
          <cell r="H25">
            <v>35</v>
          </cell>
          <cell r="J25">
            <v>700</v>
          </cell>
          <cell r="M25">
            <v>0</v>
          </cell>
          <cell r="N25">
            <v>0</v>
          </cell>
          <cell r="P25">
            <v>39</v>
          </cell>
          <cell r="R25">
            <v>661.83783783800004</v>
          </cell>
          <cell r="S25">
            <v>0</v>
          </cell>
          <cell r="T25">
            <v>0</v>
          </cell>
          <cell r="U25">
            <v>27</v>
          </cell>
          <cell r="V25">
            <v>19.783783783800001</v>
          </cell>
          <cell r="W25">
            <v>534.1621621626</v>
          </cell>
          <cell r="X25">
            <v>2.5783299999999998</v>
          </cell>
          <cell r="Y25">
            <v>0</v>
          </cell>
          <cell r="Z25">
            <v>19.783783783800001</v>
          </cell>
          <cell r="AA25">
            <v>534.1621621626</v>
          </cell>
        </row>
        <row r="26">
          <cell r="B26" t="str">
            <v>A-03-13</v>
          </cell>
          <cell r="C26" t="str">
            <v>SIMETICONA .:. 100 mg</v>
          </cell>
          <cell r="D26" t="str">
            <v>Comprimido</v>
          </cell>
          <cell r="E26">
            <v>11726</v>
          </cell>
          <cell r="F26">
            <v>13484.9</v>
          </cell>
          <cell r="H26">
            <v>15500</v>
          </cell>
          <cell r="J26">
            <v>17715</v>
          </cell>
          <cell r="M26">
            <v>9</v>
          </cell>
          <cell r="N26">
            <v>10.301310000000001</v>
          </cell>
          <cell r="P26">
            <v>20533</v>
          </cell>
          <cell r="R26">
            <v>23520.370733844698</v>
          </cell>
          <cell r="S26">
            <v>0</v>
          </cell>
          <cell r="T26">
            <v>0</v>
          </cell>
          <cell r="U26">
            <v>6702</v>
          </cell>
          <cell r="V26">
            <v>1.1473934012</v>
          </cell>
          <cell r="W26">
            <v>7689.8305748424</v>
          </cell>
          <cell r="X26">
            <v>2.5783299999999998</v>
          </cell>
          <cell r="Y26">
            <v>0</v>
          </cell>
          <cell r="Z26">
            <v>1.1473934012</v>
          </cell>
          <cell r="AA26">
            <v>7689.8305748424</v>
          </cell>
        </row>
        <row r="27">
          <cell r="B27" t="str">
            <v>A-04-01</v>
          </cell>
          <cell r="C27" t="str">
            <v>ONDANSETRON .:. 8 mg</v>
          </cell>
          <cell r="D27" t="str">
            <v>Inyectable</v>
          </cell>
          <cell r="E27">
            <v>47</v>
          </cell>
          <cell r="F27">
            <v>300.30389359150001</v>
          </cell>
          <cell r="H27">
            <v>800</v>
          </cell>
          <cell r="J27">
            <v>5792</v>
          </cell>
          <cell r="M27">
            <v>85</v>
          </cell>
          <cell r="N27">
            <v>539.33121500000004</v>
          </cell>
          <cell r="P27">
            <v>826</v>
          </cell>
          <cell r="R27">
            <v>5678.8478062451004</v>
          </cell>
          <cell r="S27">
            <v>0</v>
          </cell>
          <cell r="T27">
            <v>0</v>
          </cell>
          <cell r="U27">
            <v>106</v>
          </cell>
          <cell r="V27">
            <v>8.9885594556000008</v>
          </cell>
          <cell r="W27">
            <v>952.78730229359996</v>
          </cell>
          <cell r="X27">
            <v>2.5783299999999998</v>
          </cell>
          <cell r="Y27">
            <v>0</v>
          </cell>
          <cell r="Z27">
            <v>8.9885594556000008</v>
          </cell>
          <cell r="AA27">
            <v>952.78730229359996</v>
          </cell>
        </row>
        <row r="28">
          <cell r="B28" t="str">
            <v>A-04-02</v>
          </cell>
          <cell r="C28" t="str">
            <v>ONDANSETRON .:. 8 mg</v>
          </cell>
          <cell r="D28" t="str">
            <v>Comprimido</v>
          </cell>
          <cell r="E28">
            <v>101</v>
          </cell>
          <cell r="F28">
            <v>696.9</v>
          </cell>
          <cell r="H28">
            <v>770</v>
          </cell>
          <cell r="J28">
            <v>3280</v>
          </cell>
          <cell r="M28">
            <v>443</v>
          </cell>
          <cell r="N28">
            <v>1771.9960369999999</v>
          </cell>
          <cell r="P28">
            <v>1118</v>
          </cell>
          <cell r="R28">
            <v>4964.8976623722001</v>
          </cell>
          <cell r="S28">
            <v>0</v>
          </cell>
          <cell r="T28">
            <v>0</v>
          </cell>
          <cell r="U28">
            <v>196</v>
          </cell>
          <cell r="V28">
            <v>3.9999917071</v>
          </cell>
          <cell r="W28">
            <v>783.99837459160005</v>
          </cell>
          <cell r="X28">
            <v>2.5783299999999998</v>
          </cell>
          <cell r="Y28">
            <v>0</v>
          </cell>
          <cell r="Z28">
            <v>3.9999917071</v>
          </cell>
          <cell r="AA28">
            <v>783.99837459160005</v>
          </cell>
        </row>
        <row r="29">
          <cell r="B29" t="str">
            <v>A-05-01</v>
          </cell>
          <cell r="C29" t="str">
            <v xml:space="preserve">ACIDO URSODEOXICOLICO  250 MG .:. 250 MG. </v>
          </cell>
          <cell r="D29" t="str">
            <v>Comprimido o Cápsula</v>
          </cell>
          <cell r="E29">
            <v>610</v>
          </cell>
          <cell r="F29">
            <v>5483.9</v>
          </cell>
          <cell r="H29">
            <v>3180</v>
          </cell>
          <cell r="J29">
            <v>24118.2</v>
          </cell>
          <cell r="M29">
            <v>0</v>
          </cell>
          <cell r="N29">
            <v>0</v>
          </cell>
          <cell r="P29">
            <v>2890</v>
          </cell>
          <cell r="R29">
            <v>22841.017355399999</v>
          </cell>
          <cell r="S29">
            <v>0</v>
          </cell>
          <cell r="T29">
            <v>0</v>
          </cell>
          <cell r="U29">
            <v>900</v>
          </cell>
          <cell r="V29">
            <v>7.5123140495999996</v>
          </cell>
          <cell r="W29">
            <v>6761.0826446399997</v>
          </cell>
          <cell r="X29">
            <v>2.5783299999999998</v>
          </cell>
          <cell r="Y29">
            <v>0</v>
          </cell>
          <cell r="Z29">
            <v>7.5123140495999996</v>
          </cell>
          <cell r="AA29">
            <v>6761.0826446399997</v>
          </cell>
        </row>
        <row r="30">
          <cell r="B30" t="str">
            <v>A-06-01</v>
          </cell>
          <cell r="C30" t="str">
            <v>ACEITE MINERAL .:. 0.4</v>
          </cell>
          <cell r="D30" t="str">
            <v>Emulsión oral</v>
          </cell>
          <cell r="E30">
            <v>114</v>
          </cell>
          <cell r="F30">
            <v>1482.1239130409999</v>
          </cell>
          <cell r="H30">
            <v>140</v>
          </cell>
          <cell r="J30">
            <v>2086</v>
          </cell>
          <cell r="M30">
            <v>2</v>
          </cell>
          <cell r="N30">
            <v>27.901085999999999</v>
          </cell>
          <cell r="P30">
            <v>224</v>
          </cell>
          <cell r="R30">
            <v>3119.2249990404998</v>
          </cell>
          <cell r="S30">
            <v>0</v>
          </cell>
          <cell r="T30">
            <v>0</v>
          </cell>
          <cell r="U30">
            <v>32</v>
          </cell>
          <cell r="V30">
            <v>14.9</v>
          </cell>
          <cell r="W30">
            <v>476.8</v>
          </cell>
          <cell r="X30">
            <v>2.5783299999999998</v>
          </cell>
          <cell r="Y30">
            <v>0</v>
          </cell>
          <cell r="Z30">
            <v>14.9</v>
          </cell>
          <cell r="AA30">
            <v>476.8</v>
          </cell>
        </row>
        <row r="31">
          <cell r="B31" t="str">
            <v>A-06-02</v>
          </cell>
          <cell r="C31" t="str">
            <v>BISACODILO .:. 5 mg</v>
          </cell>
          <cell r="D31" t="str">
            <v>Comprimido</v>
          </cell>
          <cell r="E31">
            <v>242</v>
          </cell>
          <cell r="F31">
            <v>234.74</v>
          </cell>
          <cell r="H31">
            <v>500</v>
          </cell>
          <cell r="J31">
            <v>275</v>
          </cell>
          <cell r="M31">
            <v>132</v>
          </cell>
          <cell r="N31">
            <v>128.04</v>
          </cell>
          <cell r="P31">
            <v>467</v>
          </cell>
          <cell r="R31">
            <v>362.88004525050002</v>
          </cell>
          <cell r="S31">
            <v>0</v>
          </cell>
          <cell r="T31">
            <v>0</v>
          </cell>
          <cell r="U31">
            <v>407</v>
          </cell>
          <cell r="V31">
            <v>0.67542986429999996</v>
          </cell>
          <cell r="W31">
            <v>274.89995477010001</v>
          </cell>
          <cell r="X31">
            <v>2.5783299999999998</v>
          </cell>
          <cell r="Y31">
            <v>0</v>
          </cell>
          <cell r="Z31">
            <v>0.67542986429999996</v>
          </cell>
          <cell r="AA31">
            <v>274.89995477010001</v>
          </cell>
        </row>
        <row r="32">
          <cell r="B32" t="str">
            <v>A-06-04</v>
          </cell>
          <cell r="C32" t="str">
            <v>FIBRA NATURAL .:. Según disponibilidad</v>
          </cell>
          <cell r="D32" t="str">
            <v>Polvo o granulado</v>
          </cell>
          <cell r="E32">
            <v>1193</v>
          </cell>
          <cell r="F32">
            <v>3541.0148166517001</v>
          </cell>
          <cell r="H32">
            <v>5100</v>
          </cell>
          <cell r="J32">
            <v>15195</v>
          </cell>
          <cell r="M32">
            <v>9</v>
          </cell>
          <cell r="N32">
            <v>26.91</v>
          </cell>
          <cell r="P32">
            <v>6287</v>
          </cell>
          <cell r="R32">
            <v>18718.078698912599</v>
          </cell>
          <cell r="S32">
            <v>0</v>
          </cell>
          <cell r="T32">
            <v>0</v>
          </cell>
          <cell r="U32">
            <v>15</v>
          </cell>
          <cell r="V32">
            <v>2.9897411769</v>
          </cell>
          <cell r="W32">
            <v>44.846117653500002</v>
          </cell>
          <cell r="X32">
            <v>2.5783299999999998</v>
          </cell>
          <cell r="Y32">
            <v>0</v>
          </cell>
          <cell r="Z32">
            <v>2.9897411769</v>
          </cell>
          <cell r="AA32">
            <v>44.846117653500002</v>
          </cell>
        </row>
        <row r="33">
          <cell r="B33" t="str">
            <v>A-06-05</v>
          </cell>
          <cell r="C33" t="str">
            <v>GLICEROL (GLICERINA) .:. 2 g a 4 g (adulto)</v>
          </cell>
          <cell r="D33" t="str">
            <v>Supositorio</v>
          </cell>
          <cell r="E33">
            <v>82</v>
          </cell>
          <cell r="F33">
            <v>171.28067169440001</v>
          </cell>
          <cell r="H33">
            <v>0</v>
          </cell>
          <cell r="J33">
            <v>0</v>
          </cell>
          <cell r="M33">
            <v>65</v>
          </cell>
          <cell r="N33">
            <v>135.77000000000001</v>
          </cell>
          <cell r="P33">
            <v>82</v>
          </cell>
          <cell r="R33">
            <v>171.27940754689999</v>
          </cell>
          <cell r="S33">
            <v>65</v>
          </cell>
          <cell r="T33">
            <v>135.771264148</v>
          </cell>
          <cell r="U33">
            <v>0</v>
          </cell>
          <cell r="V33">
            <v>0</v>
          </cell>
          <cell r="W33">
            <v>0</v>
          </cell>
          <cell r="X33">
            <v>2.5783299999999998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A-06-06</v>
          </cell>
          <cell r="C34" t="str">
            <v>GLICEROL (GLICERINA) .:. 1 g a 1,80 g (infantil)</v>
          </cell>
          <cell r="D34" t="str">
            <v>Supositorio</v>
          </cell>
          <cell r="E34">
            <v>22</v>
          </cell>
          <cell r="F34">
            <v>33.962499999999999</v>
          </cell>
          <cell r="H34">
            <v>0</v>
          </cell>
          <cell r="J34">
            <v>0</v>
          </cell>
          <cell r="M34">
            <v>0</v>
          </cell>
          <cell r="N34">
            <v>0</v>
          </cell>
          <cell r="P34">
            <v>5</v>
          </cell>
          <cell r="R34">
            <v>7.71875</v>
          </cell>
          <cell r="S34">
            <v>0</v>
          </cell>
          <cell r="T34">
            <v>0</v>
          </cell>
          <cell r="U34">
            <v>17</v>
          </cell>
          <cell r="V34">
            <v>1.54375</v>
          </cell>
          <cell r="W34">
            <v>26.243749999999999</v>
          </cell>
          <cell r="X34">
            <v>2.5783299999999998</v>
          </cell>
          <cell r="Y34">
            <v>0</v>
          </cell>
          <cell r="Z34">
            <v>1.54375</v>
          </cell>
          <cell r="AA34">
            <v>26.243749999999999</v>
          </cell>
        </row>
        <row r="35">
          <cell r="B35" t="str">
            <v>A-06-07</v>
          </cell>
          <cell r="C35" t="str">
            <v>LACTULOSA .:. 65% hasta 66.7%</v>
          </cell>
          <cell r="D35" t="str">
            <v>Solución oral</v>
          </cell>
          <cell r="E35">
            <v>37</v>
          </cell>
          <cell r="F35">
            <v>1479.6636363632999</v>
          </cell>
          <cell r="H35">
            <v>343</v>
          </cell>
          <cell r="J35">
            <v>9447</v>
          </cell>
          <cell r="M35">
            <v>2</v>
          </cell>
          <cell r="N35">
            <v>52.059404000000001</v>
          </cell>
          <cell r="P35">
            <v>307</v>
          </cell>
          <cell r="R35">
            <v>9026.4953193533001</v>
          </cell>
          <cell r="S35">
            <v>0</v>
          </cell>
          <cell r="T35">
            <v>0</v>
          </cell>
          <cell r="U35">
            <v>75</v>
          </cell>
          <cell r="V35">
            <v>26.029702946800001</v>
          </cell>
          <cell r="W35">
            <v>1952.2277210100001</v>
          </cell>
          <cell r="X35">
            <v>2.5783299999999998</v>
          </cell>
          <cell r="Y35">
            <v>0</v>
          </cell>
          <cell r="Z35">
            <v>26.029702946800001</v>
          </cell>
          <cell r="AA35">
            <v>1952.2277210100001</v>
          </cell>
        </row>
        <row r="36">
          <cell r="B36" t="str">
            <v>A-07-02</v>
          </cell>
          <cell r="C36" t="str">
            <v>LOPERAMIDA .:. 2 mg</v>
          </cell>
          <cell r="D36" t="str">
            <v>Cápsula o Comprimido</v>
          </cell>
          <cell r="E36">
            <v>0</v>
          </cell>
          <cell r="F36">
            <v>0</v>
          </cell>
          <cell r="H36">
            <v>1500</v>
          </cell>
          <cell r="J36">
            <v>300</v>
          </cell>
          <cell r="M36">
            <v>0</v>
          </cell>
          <cell r="N36">
            <v>0</v>
          </cell>
          <cell r="P36">
            <v>570</v>
          </cell>
          <cell r="R36">
            <v>114</v>
          </cell>
          <cell r="S36">
            <v>0</v>
          </cell>
          <cell r="T36">
            <v>0</v>
          </cell>
          <cell r="U36">
            <v>930</v>
          </cell>
          <cell r="V36">
            <v>0.2</v>
          </cell>
          <cell r="W36">
            <v>186</v>
          </cell>
          <cell r="X36">
            <v>2.5783299999999998</v>
          </cell>
          <cell r="Y36">
            <v>0</v>
          </cell>
          <cell r="Z36">
            <v>0.2</v>
          </cell>
          <cell r="AA36">
            <v>186</v>
          </cell>
        </row>
        <row r="37">
          <cell r="B37" t="str">
            <v>A-07-04</v>
          </cell>
          <cell r="C37" t="str">
            <v>NISTATINA .:. 500.000 UI/5 ml</v>
          </cell>
          <cell r="D37" t="str">
            <v>Suspensión</v>
          </cell>
          <cell r="E37">
            <v>32</v>
          </cell>
          <cell r="F37">
            <v>423.43661955200002</v>
          </cell>
          <cell r="H37">
            <v>70</v>
          </cell>
          <cell r="J37">
            <v>910</v>
          </cell>
          <cell r="M37">
            <v>2</v>
          </cell>
          <cell r="N37">
            <v>26.025122</v>
          </cell>
          <cell r="P37">
            <v>90</v>
          </cell>
          <cell r="R37">
            <v>1177.2858765271001</v>
          </cell>
          <cell r="S37">
            <v>0</v>
          </cell>
          <cell r="T37">
            <v>0</v>
          </cell>
          <cell r="U37">
            <v>14</v>
          </cell>
          <cell r="V37">
            <v>13.012561787699999</v>
          </cell>
          <cell r="W37">
            <v>182.1758650278</v>
          </cell>
          <cell r="X37">
            <v>2.5783299999999998</v>
          </cell>
          <cell r="Y37">
            <v>0</v>
          </cell>
          <cell r="Z37">
            <v>13.012561787699999</v>
          </cell>
          <cell r="AA37">
            <v>182.1758650278</v>
          </cell>
        </row>
        <row r="38">
          <cell r="B38" t="str">
            <v>A-07-06</v>
          </cell>
          <cell r="C38" t="str">
            <v>SALES DE REHIDRATACION ORAL (SRO) BAJA OSMOLARIDAD .:. Según concentración eestándar</v>
          </cell>
          <cell r="D38" t="str">
            <v>Sobres</v>
          </cell>
          <cell r="E38">
            <v>680</v>
          </cell>
          <cell r="F38">
            <v>809.2</v>
          </cell>
          <cell r="H38">
            <v>250</v>
          </cell>
          <cell r="J38">
            <v>375</v>
          </cell>
          <cell r="M38">
            <v>0</v>
          </cell>
          <cell r="N38">
            <v>0</v>
          </cell>
          <cell r="P38">
            <v>744</v>
          </cell>
          <cell r="R38">
            <v>907.41769230939997</v>
          </cell>
          <cell r="S38">
            <v>0</v>
          </cell>
          <cell r="T38">
            <v>0</v>
          </cell>
          <cell r="U38">
            <v>186</v>
          </cell>
          <cell r="V38">
            <v>1.4880769230999999</v>
          </cell>
          <cell r="W38">
            <v>276.78230769660001</v>
          </cell>
          <cell r="X38">
            <v>2.5783299999999998</v>
          </cell>
          <cell r="Y38">
            <v>0</v>
          </cell>
          <cell r="Z38">
            <v>1.4880769230999999</v>
          </cell>
          <cell r="AA38">
            <v>276.78230769660001</v>
          </cell>
        </row>
        <row r="39">
          <cell r="B39" t="str">
            <v>A-07-07</v>
          </cell>
          <cell r="C39" t="str">
            <v>MESALAZINA .:. 500 mg</v>
          </cell>
          <cell r="D39" t="str">
            <v>Comprimido</v>
          </cell>
          <cell r="E39">
            <v>191</v>
          </cell>
          <cell r="F39">
            <v>1528</v>
          </cell>
          <cell r="H39">
            <v>2250</v>
          </cell>
          <cell r="J39">
            <v>18360</v>
          </cell>
          <cell r="M39">
            <v>0</v>
          </cell>
          <cell r="N39">
            <v>0</v>
          </cell>
          <cell r="P39">
            <v>2073</v>
          </cell>
          <cell r="R39">
            <v>16763.255215392001</v>
          </cell>
          <cell r="S39">
            <v>0</v>
          </cell>
          <cell r="T39">
            <v>0</v>
          </cell>
          <cell r="U39">
            <v>368</v>
          </cell>
          <cell r="V39">
            <v>8.4911543062000003</v>
          </cell>
          <cell r="W39">
            <v>3124.7447846815999</v>
          </cell>
          <cell r="X39">
            <v>2.5783299999999998</v>
          </cell>
          <cell r="Y39">
            <v>0</v>
          </cell>
          <cell r="Z39">
            <v>8.4911543062000003</v>
          </cell>
          <cell r="AA39">
            <v>3124.7447846815999</v>
          </cell>
        </row>
        <row r="40">
          <cell r="B40" t="str">
            <v>A-09-01</v>
          </cell>
          <cell r="C40" t="str">
            <v>ENZIMAS PANCREATICAS (LIPASA, PROTEASA Y AMILASA EN COMBINACION) .:. Según disponibilidad</v>
          </cell>
          <cell r="D40" t="str">
            <v>Comprimido</v>
          </cell>
          <cell r="E40">
            <v>1600</v>
          </cell>
          <cell r="F40">
            <v>1491.6636851200001</v>
          </cell>
          <cell r="H40">
            <v>6900</v>
          </cell>
          <cell r="J40">
            <v>6441</v>
          </cell>
          <cell r="M40">
            <v>0</v>
          </cell>
          <cell r="N40">
            <v>0</v>
          </cell>
          <cell r="P40">
            <v>8113</v>
          </cell>
          <cell r="R40">
            <v>7568.8836850997995</v>
          </cell>
          <cell r="S40">
            <v>0</v>
          </cell>
          <cell r="T40">
            <v>0</v>
          </cell>
          <cell r="U40">
            <v>387</v>
          </cell>
          <cell r="V40">
            <v>0.94</v>
          </cell>
          <cell r="W40">
            <v>363.78</v>
          </cell>
          <cell r="X40">
            <v>2.5783299999999998</v>
          </cell>
          <cell r="Y40">
            <v>0</v>
          </cell>
          <cell r="Z40">
            <v>0.94</v>
          </cell>
          <cell r="AA40">
            <v>363.78</v>
          </cell>
        </row>
        <row r="41">
          <cell r="B41" t="str">
            <v>A-10-01</v>
          </cell>
          <cell r="C41" t="str">
            <v>GLIBENCLAMIDA .:. 5 mg</v>
          </cell>
          <cell r="D41" t="str">
            <v>Comprimido</v>
          </cell>
          <cell r="E41">
            <v>3005</v>
          </cell>
          <cell r="F41">
            <v>155.725610633</v>
          </cell>
          <cell r="H41">
            <v>16000</v>
          </cell>
          <cell r="J41">
            <v>1130</v>
          </cell>
          <cell r="M41">
            <v>9</v>
          </cell>
          <cell r="N41">
            <v>0.71953199999999995</v>
          </cell>
          <cell r="P41">
            <v>14797</v>
          </cell>
          <cell r="R41">
            <v>949.30320536279999</v>
          </cell>
          <cell r="S41">
            <v>0</v>
          </cell>
          <cell r="T41">
            <v>0</v>
          </cell>
          <cell r="U41">
            <v>4217</v>
          </cell>
          <cell r="V41">
            <v>7.99482896E-2</v>
          </cell>
          <cell r="W41">
            <v>337.1419372432</v>
          </cell>
          <cell r="X41">
            <v>2.5783299999999998</v>
          </cell>
          <cell r="Y41">
            <v>0</v>
          </cell>
          <cell r="Z41">
            <v>7.99482896E-2</v>
          </cell>
          <cell r="AA41">
            <v>337.1419372432</v>
          </cell>
        </row>
        <row r="42">
          <cell r="B42" t="str">
            <v>A-10-02</v>
          </cell>
          <cell r="C42" t="str">
            <v>INSULINA RECOMBINANTE HUMANA NPH .:. 100 UI/ml</v>
          </cell>
          <cell r="D42" t="str">
            <v>Inyectable</v>
          </cell>
          <cell r="E42">
            <v>62</v>
          </cell>
          <cell r="F42">
            <v>3782</v>
          </cell>
          <cell r="H42">
            <v>328</v>
          </cell>
          <cell r="J42">
            <v>24942</v>
          </cell>
          <cell r="M42">
            <v>0</v>
          </cell>
          <cell r="N42">
            <v>0</v>
          </cell>
          <cell r="P42">
            <v>334</v>
          </cell>
          <cell r="R42">
            <v>23272.327735291801</v>
          </cell>
          <cell r="S42">
            <v>0</v>
          </cell>
          <cell r="T42">
            <v>0</v>
          </cell>
          <cell r="U42">
            <v>56</v>
          </cell>
          <cell r="V42">
            <v>97.351290441200007</v>
          </cell>
          <cell r="W42">
            <v>5451.6722647072002</v>
          </cell>
          <cell r="X42">
            <v>2.5783299999999998</v>
          </cell>
          <cell r="Y42">
            <v>0</v>
          </cell>
          <cell r="Z42">
            <v>97.351290441200007</v>
          </cell>
          <cell r="AA42">
            <v>5451.6722647072002</v>
          </cell>
        </row>
        <row r="43">
          <cell r="B43" t="str">
            <v>A-10-03</v>
          </cell>
          <cell r="C43" t="str">
            <v>INSULINA ZINC CRISTALINA  RECOMBINANTE HUMANA .:. 100 UI/ml</v>
          </cell>
          <cell r="D43" t="str">
            <v>Inyectable</v>
          </cell>
          <cell r="E43">
            <v>28</v>
          </cell>
          <cell r="F43">
            <v>2364.25</v>
          </cell>
          <cell r="H43">
            <v>90</v>
          </cell>
          <cell r="J43">
            <v>7865.3</v>
          </cell>
          <cell r="M43">
            <v>1</v>
          </cell>
          <cell r="N43">
            <v>84.99</v>
          </cell>
          <cell r="P43">
            <v>97</v>
          </cell>
          <cell r="R43">
            <v>8237.9599999999991</v>
          </cell>
          <cell r="S43">
            <v>0</v>
          </cell>
          <cell r="T43">
            <v>0</v>
          </cell>
          <cell r="U43">
            <v>22</v>
          </cell>
          <cell r="V43">
            <v>94.39</v>
          </cell>
          <cell r="W43">
            <v>2076.58</v>
          </cell>
          <cell r="X43">
            <v>2.5783299999999998</v>
          </cell>
          <cell r="Y43">
            <v>0</v>
          </cell>
          <cell r="Z43">
            <v>94.39</v>
          </cell>
          <cell r="AA43">
            <v>2076.58</v>
          </cell>
        </row>
        <row r="44">
          <cell r="B44" t="str">
            <v>A-10-04</v>
          </cell>
          <cell r="C44" t="str">
            <v>METFORMINA .:. 850 mg</v>
          </cell>
          <cell r="D44" t="str">
            <v>Comprimido</v>
          </cell>
          <cell r="E44">
            <v>18420</v>
          </cell>
          <cell r="F44">
            <v>4052.4</v>
          </cell>
          <cell r="H44">
            <v>83000</v>
          </cell>
          <cell r="J44">
            <v>23240</v>
          </cell>
          <cell r="M44">
            <v>69</v>
          </cell>
          <cell r="N44">
            <v>19.32</v>
          </cell>
          <cell r="P44">
            <v>87744</v>
          </cell>
          <cell r="R44">
            <v>23463.119999999999</v>
          </cell>
          <cell r="S44">
            <v>0</v>
          </cell>
          <cell r="T44">
            <v>0</v>
          </cell>
          <cell r="U44">
            <v>13745</v>
          </cell>
          <cell r="V44">
            <v>0.28000000000000003</v>
          </cell>
          <cell r="W44">
            <v>3848.6</v>
          </cell>
          <cell r="X44">
            <v>2.5783299999999998</v>
          </cell>
          <cell r="Y44">
            <v>0</v>
          </cell>
          <cell r="Z44">
            <v>0.28000000000000003</v>
          </cell>
          <cell r="AA44">
            <v>3848.6</v>
          </cell>
        </row>
        <row r="45">
          <cell r="B45" t="str">
            <v>A-10-05</v>
          </cell>
          <cell r="C45" t="str">
            <v>INSULINA GLARGINA .:. 100 U.I / ml</v>
          </cell>
          <cell r="D45" t="str">
            <v>Inyectable</v>
          </cell>
          <cell r="E45">
            <v>12</v>
          </cell>
          <cell r="F45">
            <v>2846.9195769227999</v>
          </cell>
          <cell r="H45">
            <v>155</v>
          </cell>
          <cell r="J45">
            <v>37158.699999999997</v>
          </cell>
          <cell r="M45">
            <v>0</v>
          </cell>
          <cell r="N45">
            <v>0</v>
          </cell>
          <cell r="P45">
            <v>151</v>
          </cell>
          <cell r="R45">
            <v>36165.779576922803</v>
          </cell>
          <cell r="S45">
            <v>0</v>
          </cell>
          <cell r="T45">
            <v>0</v>
          </cell>
          <cell r="U45">
            <v>16</v>
          </cell>
          <cell r="V45">
            <v>239.99</v>
          </cell>
          <cell r="W45">
            <v>3839.84</v>
          </cell>
          <cell r="X45">
            <v>2.5783299999999998</v>
          </cell>
          <cell r="Y45">
            <v>0</v>
          </cell>
          <cell r="Z45">
            <v>239.99</v>
          </cell>
          <cell r="AA45">
            <v>3839.84</v>
          </cell>
        </row>
        <row r="46">
          <cell r="B46" t="str">
            <v>A-10-07</v>
          </cell>
          <cell r="C46" t="str">
            <v>METFORMINA .:. 500 mg</v>
          </cell>
          <cell r="D46" t="str">
            <v>Comprimido</v>
          </cell>
          <cell r="E46">
            <v>0</v>
          </cell>
          <cell r="F46">
            <v>0</v>
          </cell>
          <cell r="H46">
            <v>4450</v>
          </cell>
          <cell r="J46">
            <v>3026</v>
          </cell>
          <cell r="M46">
            <v>0</v>
          </cell>
          <cell r="N46">
            <v>0</v>
          </cell>
          <cell r="P46">
            <v>4449</v>
          </cell>
          <cell r="R46">
            <v>3025.32</v>
          </cell>
          <cell r="S46">
            <v>0</v>
          </cell>
          <cell r="T46">
            <v>0</v>
          </cell>
          <cell r="U46">
            <v>1</v>
          </cell>
          <cell r="V46">
            <v>0.68</v>
          </cell>
          <cell r="W46">
            <v>0.68</v>
          </cell>
          <cell r="X46">
            <v>2.5783299999999998</v>
          </cell>
          <cell r="Y46">
            <v>0</v>
          </cell>
          <cell r="Z46">
            <v>0.68</v>
          </cell>
          <cell r="AA46">
            <v>0.68</v>
          </cell>
        </row>
        <row r="47">
          <cell r="B47" t="str">
            <v>A-11-02</v>
          </cell>
          <cell r="C47" t="str">
            <v>ACIDO ASCORBICO (VITAMINA C) .:. 500 mg/ml (2 ml)</v>
          </cell>
          <cell r="D47" t="str">
            <v>Inyectable</v>
          </cell>
          <cell r="E47">
            <v>90</v>
          </cell>
          <cell r="F47">
            <v>223.378352874</v>
          </cell>
          <cell r="H47">
            <v>1600</v>
          </cell>
          <cell r="J47">
            <v>1537</v>
          </cell>
          <cell r="M47">
            <v>126</v>
          </cell>
          <cell r="N47">
            <v>151.04564300000001</v>
          </cell>
          <cell r="P47">
            <v>1621</v>
          </cell>
          <cell r="R47">
            <v>1486.4434951807</v>
          </cell>
          <cell r="S47">
            <v>0</v>
          </cell>
          <cell r="T47">
            <v>0</v>
          </cell>
          <cell r="U47">
            <v>195</v>
          </cell>
          <cell r="V47">
            <v>2.1793871833999998</v>
          </cell>
          <cell r="W47">
            <v>424.98050076300001</v>
          </cell>
          <cell r="X47">
            <v>2.5783299999999998</v>
          </cell>
          <cell r="Y47">
            <v>0</v>
          </cell>
          <cell r="Z47">
            <v>2.1793871833999998</v>
          </cell>
          <cell r="AA47">
            <v>424.98050076300001</v>
          </cell>
        </row>
        <row r="48">
          <cell r="B48" t="str">
            <v>A-11-03</v>
          </cell>
          <cell r="C48" t="str">
            <v>ACIDO ASCORBICO (VITAMINA C) .:. Según disponibilidad</v>
          </cell>
          <cell r="D48" t="str">
            <v>Solución oral gotas</v>
          </cell>
          <cell r="E48">
            <v>8</v>
          </cell>
          <cell r="F48">
            <v>123.84</v>
          </cell>
          <cell r="H48">
            <v>10</v>
          </cell>
          <cell r="J48">
            <v>203</v>
          </cell>
          <cell r="M48">
            <v>3</v>
          </cell>
          <cell r="N48">
            <v>46.44</v>
          </cell>
          <cell r="P48">
            <v>8</v>
          </cell>
          <cell r="R48">
            <v>123.84</v>
          </cell>
          <cell r="S48">
            <v>3</v>
          </cell>
          <cell r="T48">
            <v>46.44</v>
          </cell>
          <cell r="U48">
            <v>10</v>
          </cell>
          <cell r="V48">
            <v>20.3</v>
          </cell>
          <cell r="W48">
            <v>203</v>
          </cell>
          <cell r="X48">
            <v>2.5783299999999998</v>
          </cell>
          <cell r="Y48">
            <v>0</v>
          </cell>
          <cell r="Z48">
            <v>20.3</v>
          </cell>
          <cell r="AA48">
            <v>203</v>
          </cell>
        </row>
        <row r="49">
          <cell r="B49" t="str">
            <v>A-11-04</v>
          </cell>
          <cell r="C49" t="str">
            <v>CIANOCOBALAMINA (VITAMINA B12) .:. 1 mg/ml</v>
          </cell>
          <cell r="D49" t="str">
            <v>Inyectable</v>
          </cell>
          <cell r="E49">
            <v>550</v>
          </cell>
          <cell r="F49">
            <v>2482.3760210700002</v>
          </cell>
          <cell r="H49">
            <v>1500</v>
          </cell>
          <cell r="J49">
            <v>7335</v>
          </cell>
          <cell r="M49">
            <v>0</v>
          </cell>
          <cell r="N49">
            <v>0</v>
          </cell>
          <cell r="P49">
            <v>1175</v>
          </cell>
          <cell r="R49">
            <v>5538.8455516679996</v>
          </cell>
          <cell r="S49">
            <v>0</v>
          </cell>
          <cell r="T49">
            <v>0</v>
          </cell>
          <cell r="U49">
            <v>875</v>
          </cell>
          <cell r="V49">
            <v>4.8897491079000002</v>
          </cell>
          <cell r="W49">
            <v>4278.5304694124998</v>
          </cell>
          <cell r="X49">
            <v>2.5783299999999998</v>
          </cell>
          <cell r="Y49">
            <v>0</v>
          </cell>
          <cell r="Z49">
            <v>4.8897491079000002</v>
          </cell>
          <cell r="AA49">
            <v>4278.5304694124998</v>
          </cell>
        </row>
        <row r="50">
          <cell r="B50" t="str">
            <v>A-11-06</v>
          </cell>
          <cell r="C50" t="str">
            <v>COMPLEJO  B (B1 + B6 + B12) .:. Según concentración eestándar</v>
          </cell>
          <cell r="D50" t="str">
            <v>Comprimido</v>
          </cell>
          <cell r="E50">
            <v>2512</v>
          </cell>
          <cell r="F50">
            <v>326.56</v>
          </cell>
          <cell r="H50">
            <v>19200</v>
          </cell>
          <cell r="J50">
            <v>3444</v>
          </cell>
          <cell r="M50">
            <v>1479</v>
          </cell>
          <cell r="N50">
            <v>192.27</v>
          </cell>
          <cell r="P50">
            <v>15412</v>
          </cell>
          <cell r="R50">
            <v>2596.9355657999999</v>
          </cell>
          <cell r="S50">
            <v>1479</v>
          </cell>
          <cell r="T50">
            <v>192.27</v>
          </cell>
          <cell r="U50">
            <v>6300</v>
          </cell>
          <cell r="V50">
            <v>0.18628959279999999</v>
          </cell>
          <cell r="W50">
            <v>1173.6244346399999</v>
          </cell>
          <cell r="X50">
            <v>2.5783299999999998</v>
          </cell>
          <cell r="Y50">
            <v>0</v>
          </cell>
          <cell r="Z50">
            <v>0.18628959279999999</v>
          </cell>
          <cell r="AA50">
            <v>1173.6244346399999</v>
          </cell>
        </row>
        <row r="51">
          <cell r="B51" t="str">
            <v>A-11-07</v>
          </cell>
          <cell r="C51" t="str">
            <v>COMPLEJO  B (B1 + B6 + B12) .:. Según concentración eestándar</v>
          </cell>
          <cell r="D51" t="str">
            <v>Inyectable</v>
          </cell>
          <cell r="E51">
            <v>928</v>
          </cell>
          <cell r="F51">
            <v>1278.118564608</v>
          </cell>
          <cell r="H51">
            <v>3300</v>
          </cell>
          <cell r="J51">
            <v>4870</v>
          </cell>
          <cell r="M51">
            <v>143</v>
          </cell>
          <cell r="N51">
            <v>204.194942</v>
          </cell>
          <cell r="P51">
            <v>3669</v>
          </cell>
          <cell r="R51">
            <v>5024.1574797069998</v>
          </cell>
          <cell r="S51">
            <v>0</v>
          </cell>
          <cell r="T51">
            <v>0</v>
          </cell>
          <cell r="U51">
            <v>702</v>
          </cell>
          <cell r="V51">
            <v>1.8919601523</v>
          </cell>
          <cell r="W51">
            <v>1328.1560269146</v>
          </cell>
          <cell r="X51">
            <v>2.5783299999999998</v>
          </cell>
          <cell r="Y51">
            <v>0</v>
          </cell>
          <cell r="Z51">
            <v>1.8919601523</v>
          </cell>
          <cell r="AA51">
            <v>1328.1560269146</v>
          </cell>
        </row>
        <row r="52">
          <cell r="B52" t="str">
            <v>A-11-09</v>
          </cell>
          <cell r="C52" t="str">
            <v>MULTIVITAMINAS .:. Según concentración estándar</v>
          </cell>
          <cell r="D52" t="str">
            <v>Comprimido</v>
          </cell>
          <cell r="E52">
            <v>3197</v>
          </cell>
          <cell r="F52">
            <v>1044.8435400000001</v>
          </cell>
          <cell r="H52">
            <v>13500</v>
          </cell>
          <cell r="J52">
            <v>4125</v>
          </cell>
          <cell r="M52">
            <v>2194</v>
          </cell>
          <cell r="N52">
            <v>717.04</v>
          </cell>
          <cell r="P52">
            <v>11565</v>
          </cell>
          <cell r="R52">
            <v>3505.3646845032999</v>
          </cell>
          <cell r="S52">
            <v>2194</v>
          </cell>
          <cell r="T52">
            <v>717.04308000000003</v>
          </cell>
          <cell r="U52">
            <v>5132</v>
          </cell>
          <cell r="V52">
            <v>0.32433276989999998</v>
          </cell>
          <cell r="W52">
            <v>1664.4757751268</v>
          </cell>
          <cell r="X52">
            <v>2.5783299999999998</v>
          </cell>
          <cell r="Y52">
            <v>0</v>
          </cell>
          <cell r="Z52">
            <v>0.32433276989999998</v>
          </cell>
          <cell r="AA52">
            <v>1664.4757751268</v>
          </cell>
        </row>
        <row r="53">
          <cell r="B53" t="str">
            <v>A-11-10</v>
          </cell>
          <cell r="C53" t="str">
            <v>MULTIVITAMINAS .:. Según concentración estándar</v>
          </cell>
          <cell r="D53" t="str">
            <v>Jarabe</v>
          </cell>
          <cell r="E53">
            <v>48</v>
          </cell>
          <cell r="F53">
            <v>720</v>
          </cell>
          <cell r="H53">
            <v>0</v>
          </cell>
          <cell r="J53">
            <v>0</v>
          </cell>
          <cell r="M53">
            <v>0</v>
          </cell>
          <cell r="N53">
            <v>0</v>
          </cell>
          <cell r="P53">
            <v>10</v>
          </cell>
          <cell r="R53">
            <v>150</v>
          </cell>
          <cell r="S53">
            <v>0</v>
          </cell>
          <cell r="T53">
            <v>0</v>
          </cell>
          <cell r="U53">
            <v>38</v>
          </cell>
          <cell r="V53">
            <v>15</v>
          </cell>
          <cell r="W53">
            <v>570</v>
          </cell>
          <cell r="X53">
            <v>2.5783299999999998</v>
          </cell>
          <cell r="Y53">
            <v>0</v>
          </cell>
          <cell r="Z53">
            <v>15</v>
          </cell>
          <cell r="AA53">
            <v>570</v>
          </cell>
        </row>
        <row r="54">
          <cell r="B54" t="str">
            <v>A-11-13</v>
          </cell>
          <cell r="C54" t="str">
            <v>RETINOL (VITAMINA A) .:. 10.000 UI</v>
          </cell>
          <cell r="D54" t="str">
            <v>Cápsula o Perla</v>
          </cell>
          <cell r="E54">
            <v>12</v>
          </cell>
          <cell r="F54">
            <v>6.7198768127999999</v>
          </cell>
          <cell r="H54">
            <v>300</v>
          </cell>
          <cell r="J54">
            <v>240</v>
          </cell>
          <cell r="M54">
            <v>0</v>
          </cell>
          <cell r="N54">
            <v>0</v>
          </cell>
          <cell r="P54">
            <v>112</v>
          </cell>
          <cell r="R54">
            <v>86.719876816799996</v>
          </cell>
          <cell r="S54">
            <v>0</v>
          </cell>
          <cell r="T54">
            <v>0</v>
          </cell>
          <cell r="U54">
            <v>200</v>
          </cell>
          <cell r="V54">
            <v>0.8</v>
          </cell>
          <cell r="W54">
            <v>160</v>
          </cell>
          <cell r="X54">
            <v>2.5783299999999998</v>
          </cell>
          <cell r="Y54">
            <v>0</v>
          </cell>
          <cell r="Z54">
            <v>0.8</v>
          </cell>
          <cell r="AA54">
            <v>160</v>
          </cell>
        </row>
        <row r="55">
          <cell r="B55" t="str">
            <v>A-11-18</v>
          </cell>
          <cell r="C55" t="str">
            <v>TIAMINA (VITAMINA B 1) .:. 100 mg/ml</v>
          </cell>
          <cell r="D55" t="str">
            <v>Inyectable</v>
          </cell>
          <cell r="E55">
            <v>89</v>
          </cell>
          <cell r="F55">
            <v>270.56</v>
          </cell>
          <cell r="H55">
            <v>150</v>
          </cell>
          <cell r="J55">
            <v>456</v>
          </cell>
          <cell r="M55">
            <v>18</v>
          </cell>
          <cell r="N55">
            <v>54.72</v>
          </cell>
          <cell r="P55">
            <v>163</v>
          </cell>
          <cell r="R55">
            <v>495.52</v>
          </cell>
          <cell r="S55">
            <v>0</v>
          </cell>
          <cell r="T55">
            <v>0</v>
          </cell>
          <cell r="U55">
            <v>94</v>
          </cell>
          <cell r="V55">
            <v>3.04</v>
          </cell>
          <cell r="W55">
            <v>285.76</v>
          </cell>
          <cell r="X55">
            <v>2.5783299999999998</v>
          </cell>
          <cell r="Y55">
            <v>0</v>
          </cell>
          <cell r="Z55">
            <v>3.04</v>
          </cell>
          <cell r="AA55">
            <v>285.76</v>
          </cell>
        </row>
        <row r="56">
          <cell r="B56" t="str">
            <v>A-11-19</v>
          </cell>
          <cell r="C56" t="str">
            <v>TOCOFEROL (VITAMINA E) .:. 1.000 UI</v>
          </cell>
          <cell r="D56" t="str">
            <v>Cápsula blanda</v>
          </cell>
          <cell r="E56">
            <v>3700</v>
          </cell>
          <cell r="F56">
            <v>5329.1098823399998</v>
          </cell>
          <cell r="H56">
            <v>20500</v>
          </cell>
          <cell r="J56">
            <v>33240</v>
          </cell>
          <cell r="M56">
            <v>0</v>
          </cell>
          <cell r="N56">
            <v>0</v>
          </cell>
          <cell r="P56">
            <v>21978</v>
          </cell>
          <cell r="R56">
            <v>34969.469882349898</v>
          </cell>
          <cell r="S56">
            <v>0</v>
          </cell>
          <cell r="T56">
            <v>0</v>
          </cell>
          <cell r="U56">
            <v>2222</v>
          </cell>
          <cell r="V56">
            <v>1.62</v>
          </cell>
          <cell r="W56">
            <v>3599.64</v>
          </cell>
          <cell r="X56">
            <v>2.5783299999999998</v>
          </cell>
          <cell r="Y56">
            <v>0</v>
          </cell>
          <cell r="Z56">
            <v>1.62</v>
          </cell>
          <cell r="AA56">
            <v>3599.64</v>
          </cell>
        </row>
        <row r="57">
          <cell r="B57" t="str">
            <v>A-12-01</v>
          </cell>
          <cell r="C57" t="str">
            <v>CALCIO (CARBONATO O CITRATO) .:. 500 mg (ión calcio)</v>
          </cell>
          <cell r="D57" t="str">
            <v>Comprimido</v>
          </cell>
          <cell r="E57">
            <v>379</v>
          </cell>
          <cell r="F57">
            <v>206.11769229020001</v>
          </cell>
          <cell r="H57">
            <v>4800</v>
          </cell>
          <cell r="J57">
            <v>3404</v>
          </cell>
          <cell r="M57">
            <v>0</v>
          </cell>
          <cell r="N57">
            <v>0</v>
          </cell>
          <cell r="P57">
            <v>5179</v>
          </cell>
          <cell r="R57">
            <v>3610.1176922902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2.5783299999999998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A-12-02</v>
          </cell>
          <cell r="C58" t="str">
            <v>CALCIO + VITAMINA D .:. 500 mg (ión calcio); Según disponibilidad</v>
          </cell>
          <cell r="D58" t="str">
            <v>Comprimido o Cápsula</v>
          </cell>
          <cell r="E58">
            <v>6310</v>
          </cell>
          <cell r="F58">
            <v>2461.161516057</v>
          </cell>
          <cell r="H58">
            <v>18000</v>
          </cell>
          <cell r="J58">
            <v>5940</v>
          </cell>
          <cell r="M58">
            <v>50</v>
          </cell>
          <cell r="N58">
            <v>19.502050000000001</v>
          </cell>
          <cell r="P58">
            <v>24360</v>
          </cell>
          <cell r="R58">
            <v>8420.6635660569991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2.5783299999999998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A-12-03</v>
          </cell>
          <cell r="C59" t="str">
            <v>CLORURO DE POTASIO .:. 1,3 mEq/ml</v>
          </cell>
          <cell r="D59" t="str">
            <v>Solución oral</v>
          </cell>
          <cell r="E59">
            <v>1</v>
          </cell>
          <cell r="F59">
            <v>26.02</v>
          </cell>
          <cell r="H59">
            <v>0</v>
          </cell>
          <cell r="J59">
            <v>0</v>
          </cell>
          <cell r="M59">
            <v>0</v>
          </cell>
          <cell r="N59">
            <v>0</v>
          </cell>
          <cell r="P59">
            <v>1</v>
          </cell>
          <cell r="R59">
            <v>26.02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2.5783299999999998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A-12-05</v>
          </cell>
          <cell r="C60" t="str">
            <v>ZINC .:. 20 mg/5 ml (Como zinc elemental)</v>
          </cell>
          <cell r="D60" t="str">
            <v>Jarabe</v>
          </cell>
          <cell r="E60">
            <v>25</v>
          </cell>
          <cell r="F60">
            <v>200</v>
          </cell>
          <cell r="H60">
            <v>75</v>
          </cell>
          <cell r="J60">
            <v>674.25</v>
          </cell>
          <cell r="M60">
            <v>0</v>
          </cell>
          <cell r="N60">
            <v>0</v>
          </cell>
          <cell r="P60">
            <v>80</v>
          </cell>
          <cell r="R60">
            <v>696.14024390379996</v>
          </cell>
          <cell r="S60">
            <v>0</v>
          </cell>
          <cell r="T60">
            <v>0</v>
          </cell>
          <cell r="U60">
            <v>20</v>
          </cell>
          <cell r="V60">
            <v>8.9054878048999999</v>
          </cell>
          <cell r="W60">
            <v>178.10975609799999</v>
          </cell>
          <cell r="X60">
            <v>2.5783299999999998</v>
          </cell>
          <cell r="Y60">
            <v>0</v>
          </cell>
          <cell r="Z60">
            <v>8.9054878048999999</v>
          </cell>
          <cell r="AA60">
            <v>178.10975609799999</v>
          </cell>
        </row>
        <row r="61">
          <cell r="B61" t="str">
            <v>A-12-06</v>
          </cell>
          <cell r="C61" t="str">
            <v>ZINC (COMO SULFATO) .:. 20 mg</v>
          </cell>
          <cell r="D61" t="str">
            <v>Comprimido</v>
          </cell>
          <cell r="E61">
            <v>1330</v>
          </cell>
          <cell r="F61">
            <v>385.7</v>
          </cell>
          <cell r="H61">
            <v>3000</v>
          </cell>
          <cell r="J61">
            <v>870</v>
          </cell>
          <cell r="M61">
            <v>0</v>
          </cell>
          <cell r="N61">
            <v>0</v>
          </cell>
          <cell r="P61">
            <v>1883</v>
          </cell>
          <cell r="R61">
            <v>546.07000000000005</v>
          </cell>
          <cell r="S61">
            <v>0</v>
          </cell>
          <cell r="T61">
            <v>0</v>
          </cell>
          <cell r="U61">
            <v>2447</v>
          </cell>
          <cell r="V61">
            <v>0.28999999999999998</v>
          </cell>
          <cell r="W61">
            <v>709.63</v>
          </cell>
          <cell r="X61">
            <v>2.5783299999999998</v>
          </cell>
          <cell r="Y61">
            <v>0</v>
          </cell>
          <cell r="Z61">
            <v>0.28999999999999998</v>
          </cell>
          <cell r="AA61">
            <v>709.63</v>
          </cell>
        </row>
        <row r="62">
          <cell r="B62" t="str">
            <v>B-01-01</v>
          </cell>
          <cell r="C62" t="str">
            <v>ACIDO ACETIL SALICILICO .:. 100 mg</v>
          </cell>
          <cell r="D62" t="str">
            <v>Comprimido</v>
          </cell>
          <cell r="E62">
            <v>5044</v>
          </cell>
          <cell r="F62">
            <v>758.68606221200002</v>
          </cell>
          <cell r="H62">
            <v>40000</v>
          </cell>
          <cell r="J62">
            <v>6800</v>
          </cell>
          <cell r="M62">
            <v>23</v>
          </cell>
          <cell r="N62">
            <v>3.9034219999999999</v>
          </cell>
          <cell r="P62">
            <v>35287</v>
          </cell>
          <cell r="R62">
            <v>5902.7785123248004</v>
          </cell>
          <cell r="S62">
            <v>0</v>
          </cell>
          <cell r="T62">
            <v>0</v>
          </cell>
          <cell r="U62">
            <v>9780</v>
          </cell>
          <cell r="V62">
            <v>0.1697148231</v>
          </cell>
          <cell r="W62">
            <v>1659.810969918</v>
          </cell>
          <cell r="X62">
            <v>2.5783299999999998</v>
          </cell>
          <cell r="Y62">
            <v>0</v>
          </cell>
          <cell r="Z62">
            <v>0.1697148231</v>
          </cell>
          <cell r="AA62">
            <v>1659.810969918</v>
          </cell>
        </row>
        <row r="63">
          <cell r="B63" t="str">
            <v>B-01-03</v>
          </cell>
          <cell r="C63" t="str">
            <v>HEPARINA DE BAJO PESO MOLECULAR .:. 40 M.G.</v>
          </cell>
          <cell r="D63" t="str">
            <v>Inyectable</v>
          </cell>
          <cell r="E63">
            <v>72</v>
          </cell>
          <cell r="F63">
            <v>2628</v>
          </cell>
          <cell r="H63">
            <v>158</v>
          </cell>
          <cell r="J63">
            <v>6660</v>
          </cell>
          <cell r="M63">
            <v>29</v>
          </cell>
          <cell r="N63">
            <v>1176.7827339999999</v>
          </cell>
          <cell r="P63">
            <v>256</v>
          </cell>
          <cell r="R63">
            <v>10320.884304453701</v>
          </cell>
          <cell r="S63">
            <v>0</v>
          </cell>
          <cell r="T63">
            <v>0</v>
          </cell>
          <cell r="U63">
            <v>3</v>
          </cell>
          <cell r="V63">
            <v>47.966143183100002</v>
          </cell>
          <cell r="W63">
            <v>143.8984295493</v>
          </cell>
          <cell r="X63">
            <v>2.5783299999999998</v>
          </cell>
          <cell r="Y63">
            <v>0</v>
          </cell>
          <cell r="Z63">
            <v>47.966143183100002</v>
          </cell>
          <cell r="AA63">
            <v>143.8984295493</v>
          </cell>
        </row>
        <row r="64">
          <cell r="B64" t="str">
            <v>B-01-031</v>
          </cell>
          <cell r="C64" t="str">
            <v>HEPARINA DE BAJO PESO MOLECULAR  60 MG .:. 60 MG</v>
          </cell>
          <cell r="D64" t="str">
            <v>Inyectable</v>
          </cell>
          <cell r="E64">
            <v>0</v>
          </cell>
          <cell r="F64">
            <v>0</v>
          </cell>
          <cell r="H64">
            <v>330</v>
          </cell>
          <cell r="J64">
            <v>17137.5</v>
          </cell>
          <cell r="M64">
            <v>29</v>
          </cell>
          <cell r="N64">
            <v>1489.2655549999999</v>
          </cell>
          <cell r="P64">
            <v>298</v>
          </cell>
          <cell r="R64">
            <v>15100.2684292498</v>
          </cell>
          <cell r="S64">
            <v>0</v>
          </cell>
          <cell r="T64">
            <v>0</v>
          </cell>
          <cell r="U64">
            <v>61</v>
          </cell>
          <cell r="V64">
            <v>57.811428290899997</v>
          </cell>
          <cell r="W64">
            <v>3526.4971257449001</v>
          </cell>
          <cell r="X64">
            <v>2.5783299999999998</v>
          </cell>
          <cell r="Y64">
            <v>0</v>
          </cell>
          <cell r="Z64">
            <v>57.811428290899997</v>
          </cell>
          <cell r="AA64">
            <v>3526.4971257449001</v>
          </cell>
        </row>
        <row r="65">
          <cell r="B65" t="str">
            <v>B-01-04</v>
          </cell>
          <cell r="C65" t="str">
            <v>HEPARINA SODICA .:. 5.000 UI/ml</v>
          </cell>
          <cell r="D65" t="str">
            <v>Inyectable</v>
          </cell>
          <cell r="E65">
            <v>16</v>
          </cell>
          <cell r="F65">
            <v>544</v>
          </cell>
          <cell r="H65">
            <v>25</v>
          </cell>
          <cell r="J65">
            <v>1103</v>
          </cell>
          <cell r="M65">
            <v>1</v>
          </cell>
          <cell r="N65">
            <v>34</v>
          </cell>
          <cell r="P65">
            <v>31</v>
          </cell>
          <cell r="R65">
            <v>1195.68</v>
          </cell>
          <cell r="S65">
            <v>0</v>
          </cell>
          <cell r="T65">
            <v>0</v>
          </cell>
          <cell r="U65">
            <v>11</v>
          </cell>
          <cell r="V65">
            <v>44.12</v>
          </cell>
          <cell r="W65">
            <v>485.32</v>
          </cell>
          <cell r="X65">
            <v>2.5783299999999998</v>
          </cell>
          <cell r="Y65">
            <v>0</v>
          </cell>
          <cell r="Z65">
            <v>44.12</v>
          </cell>
          <cell r="AA65">
            <v>485.32</v>
          </cell>
        </row>
        <row r="66">
          <cell r="B66" t="str">
            <v>B-01-05</v>
          </cell>
          <cell r="C66" t="str">
            <v>WARFARINA .:. 5 mg</v>
          </cell>
          <cell r="D66" t="str">
            <v>Comprimido ranurado</v>
          </cell>
          <cell r="E66">
            <v>459</v>
          </cell>
          <cell r="F66">
            <v>229.4997248295</v>
          </cell>
          <cell r="H66">
            <v>2400</v>
          </cell>
          <cell r="J66">
            <v>1176</v>
          </cell>
          <cell r="M66">
            <v>0</v>
          </cell>
          <cell r="N66">
            <v>0</v>
          </cell>
          <cell r="P66">
            <v>2685</v>
          </cell>
          <cell r="R66">
            <v>1320.2397248294999</v>
          </cell>
          <cell r="S66">
            <v>0</v>
          </cell>
          <cell r="T66">
            <v>0</v>
          </cell>
          <cell r="U66">
            <v>174</v>
          </cell>
          <cell r="V66">
            <v>0.49</v>
          </cell>
          <cell r="W66">
            <v>85.26</v>
          </cell>
          <cell r="X66">
            <v>2.5783299999999998</v>
          </cell>
          <cell r="Y66">
            <v>0</v>
          </cell>
          <cell r="Z66">
            <v>0.49</v>
          </cell>
          <cell r="AA66">
            <v>85.26</v>
          </cell>
        </row>
        <row r="67">
          <cell r="B67" t="str">
            <v>B-01-06</v>
          </cell>
          <cell r="C67" t="str">
            <v>CLOPIDOGREL .:. 75 mg</v>
          </cell>
          <cell r="D67" t="str">
            <v>Comprimido</v>
          </cell>
          <cell r="E67">
            <v>1734</v>
          </cell>
          <cell r="F67">
            <v>2451.1471583573998</v>
          </cell>
          <cell r="H67">
            <v>11400</v>
          </cell>
          <cell r="J67">
            <v>13860</v>
          </cell>
          <cell r="M67">
            <v>81</v>
          </cell>
          <cell r="N67">
            <v>108.6</v>
          </cell>
          <cell r="P67">
            <v>12202</v>
          </cell>
          <cell r="R67">
            <v>15204.1471583574</v>
          </cell>
          <cell r="S67">
            <v>0</v>
          </cell>
          <cell r="T67">
            <v>0</v>
          </cell>
          <cell r="U67">
            <v>1013</v>
          </cell>
          <cell r="V67">
            <v>1.2</v>
          </cell>
          <cell r="W67">
            <v>1215.5999999999999</v>
          </cell>
          <cell r="X67">
            <v>2.5783299999999998</v>
          </cell>
          <cell r="Y67">
            <v>0</v>
          </cell>
          <cell r="Z67">
            <v>1.2</v>
          </cell>
          <cell r="AA67">
            <v>1215.5999999999999</v>
          </cell>
        </row>
        <row r="68">
          <cell r="B68" t="str">
            <v>B-01-07</v>
          </cell>
          <cell r="C68" t="str">
            <v xml:space="preserve">RIBAROXABAN  .:. 10 MG </v>
          </cell>
          <cell r="D68" t="str">
            <v>Comprimido</v>
          </cell>
          <cell r="E68">
            <v>744</v>
          </cell>
          <cell r="F68">
            <v>4727.4370920720003</v>
          </cell>
          <cell r="H68">
            <v>4500</v>
          </cell>
          <cell r="J68">
            <v>17385</v>
          </cell>
          <cell r="M68">
            <v>35</v>
          </cell>
          <cell r="N68">
            <v>222.39286999999999</v>
          </cell>
          <cell r="P68">
            <v>4479</v>
          </cell>
          <cell r="R68">
            <v>20480.0399649057</v>
          </cell>
          <cell r="S68">
            <v>0</v>
          </cell>
          <cell r="T68">
            <v>0</v>
          </cell>
          <cell r="U68">
            <v>800</v>
          </cell>
          <cell r="V68">
            <v>2.3184874967</v>
          </cell>
          <cell r="W68">
            <v>1854.7899973599999</v>
          </cell>
          <cell r="X68">
            <v>2.5783299999999998</v>
          </cell>
          <cell r="Y68">
            <v>0</v>
          </cell>
          <cell r="Z68">
            <v>2.3184874967</v>
          </cell>
          <cell r="AA68">
            <v>1854.7899973599999</v>
          </cell>
        </row>
        <row r="69">
          <cell r="B69" t="str">
            <v>B-02-02</v>
          </cell>
          <cell r="C69" t="str">
            <v>FITOMENADIONA  (VITAMINA K1) .:. 10 mg/ml</v>
          </cell>
          <cell r="D69" t="str">
            <v>Inyectable</v>
          </cell>
          <cell r="E69">
            <v>26</v>
          </cell>
          <cell r="F69">
            <v>62.335571999999999</v>
          </cell>
          <cell r="H69">
            <v>200</v>
          </cell>
          <cell r="J69">
            <v>460</v>
          </cell>
          <cell r="M69">
            <v>14</v>
          </cell>
          <cell r="N69">
            <v>32.714005999999998</v>
          </cell>
          <cell r="P69">
            <v>146</v>
          </cell>
          <cell r="R69">
            <v>338.84266726440001</v>
          </cell>
          <cell r="S69">
            <v>0</v>
          </cell>
          <cell r="T69">
            <v>0</v>
          </cell>
          <cell r="U69">
            <v>94</v>
          </cell>
          <cell r="V69">
            <v>2.3000735185000001</v>
          </cell>
          <cell r="W69">
            <v>216.20691073899999</v>
          </cell>
          <cell r="X69">
            <v>2.5783299999999998</v>
          </cell>
          <cell r="Y69">
            <v>0</v>
          </cell>
          <cell r="Z69">
            <v>2.3000735185000001</v>
          </cell>
          <cell r="AA69">
            <v>216.20691073899999</v>
          </cell>
        </row>
        <row r="70">
          <cell r="B70" t="str">
            <v>B-02-06</v>
          </cell>
          <cell r="C70" t="str">
            <v>ACIDO TRANEXAMICO .:. 500 mg</v>
          </cell>
          <cell r="D70" t="str">
            <v>Inyectable</v>
          </cell>
          <cell r="E70">
            <v>53</v>
          </cell>
          <cell r="F70">
            <v>1367.1237954131</v>
          </cell>
          <cell r="H70">
            <v>195</v>
          </cell>
          <cell r="J70">
            <v>5063</v>
          </cell>
          <cell r="M70">
            <v>33</v>
          </cell>
          <cell r="N70">
            <v>855.4</v>
          </cell>
          <cell r="P70">
            <v>245</v>
          </cell>
          <cell r="R70">
            <v>6349.5237954130998</v>
          </cell>
          <cell r="S70">
            <v>0</v>
          </cell>
          <cell r="T70">
            <v>0</v>
          </cell>
          <cell r="U70">
            <v>36</v>
          </cell>
          <cell r="V70">
            <v>26</v>
          </cell>
          <cell r="W70">
            <v>936</v>
          </cell>
          <cell r="X70">
            <v>2.5783299999999998</v>
          </cell>
          <cell r="Y70">
            <v>0</v>
          </cell>
          <cell r="Z70">
            <v>26</v>
          </cell>
          <cell r="AA70">
            <v>936</v>
          </cell>
        </row>
        <row r="71">
          <cell r="B71" t="str">
            <v>B-03-01</v>
          </cell>
          <cell r="C71" t="str">
            <v>ACIDO FOLICO .:. 5 mg</v>
          </cell>
          <cell r="D71" t="str">
            <v>Comprimido</v>
          </cell>
          <cell r="E71">
            <v>1990</v>
          </cell>
          <cell r="F71">
            <v>497.5</v>
          </cell>
          <cell r="H71">
            <v>8200</v>
          </cell>
          <cell r="J71">
            <v>1100</v>
          </cell>
          <cell r="M71">
            <v>0</v>
          </cell>
          <cell r="N71">
            <v>0</v>
          </cell>
          <cell r="P71">
            <v>8133</v>
          </cell>
          <cell r="R71">
            <v>1234.9426480029999</v>
          </cell>
          <cell r="S71">
            <v>0</v>
          </cell>
          <cell r="T71">
            <v>0</v>
          </cell>
          <cell r="U71">
            <v>2057</v>
          </cell>
          <cell r="V71">
            <v>0.17625539709999999</v>
          </cell>
          <cell r="W71">
            <v>362.5573518347</v>
          </cell>
          <cell r="X71">
            <v>2.5783299999999998</v>
          </cell>
          <cell r="Y71">
            <v>0</v>
          </cell>
          <cell r="Z71">
            <v>0.17625539709999999</v>
          </cell>
          <cell r="AA71">
            <v>362.5573518347</v>
          </cell>
        </row>
        <row r="72">
          <cell r="B72" t="str">
            <v>B-03-02</v>
          </cell>
          <cell r="C72" t="str">
            <v>ERITROPOYETINA .:. 10.000 UI</v>
          </cell>
          <cell r="D72" t="str">
            <v>Inyectable</v>
          </cell>
          <cell r="E72">
            <v>28</v>
          </cell>
          <cell r="F72">
            <v>1512</v>
          </cell>
          <cell r="H72">
            <v>60</v>
          </cell>
          <cell r="J72">
            <v>2880</v>
          </cell>
          <cell r="M72">
            <v>0</v>
          </cell>
          <cell r="N72">
            <v>0</v>
          </cell>
          <cell r="P72">
            <v>75</v>
          </cell>
          <cell r="R72">
            <v>3751.5789473660998</v>
          </cell>
          <cell r="S72">
            <v>0</v>
          </cell>
          <cell r="T72">
            <v>0</v>
          </cell>
          <cell r="U72">
            <v>13</v>
          </cell>
          <cell r="V72">
            <v>49.263157894700001</v>
          </cell>
          <cell r="W72">
            <v>640.4210526311</v>
          </cell>
          <cell r="X72">
            <v>2.5783299999999998</v>
          </cell>
          <cell r="Y72">
            <v>0</v>
          </cell>
          <cell r="Z72">
            <v>49.263157894700001</v>
          </cell>
          <cell r="AA72">
            <v>640.4210526311</v>
          </cell>
        </row>
        <row r="73">
          <cell r="B73" t="str">
            <v>B-03-04</v>
          </cell>
          <cell r="C73" t="str">
            <v>HIERRO .:. 100 mg - IM o IV</v>
          </cell>
          <cell r="D73" t="str">
            <v>Inyectable</v>
          </cell>
          <cell r="E73">
            <v>26</v>
          </cell>
          <cell r="F73">
            <v>644.22222222280004</v>
          </cell>
          <cell r="H73">
            <v>100</v>
          </cell>
          <cell r="J73">
            <v>2200</v>
          </cell>
          <cell r="M73">
            <v>7</v>
          </cell>
          <cell r="N73">
            <v>154</v>
          </cell>
          <cell r="P73">
            <v>104</v>
          </cell>
          <cell r="R73">
            <v>2360.2222222228002</v>
          </cell>
          <cell r="S73">
            <v>0</v>
          </cell>
          <cell r="T73">
            <v>0</v>
          </cell>
          <cell r="U73">
            <v>29</v>
          </cell>
          <cell r="V73">
            <v>22</v>
          </cell>
          <cell r="W73">
            <v>638</v>
          </cell>
          <cell r="X73">
            <v>2.5783299999999998</v>
          </cell>
          <cell r="Y73">
            <v>0</v>
          </cell>
          <cell r="Z73">
            <v>22</v>
          </cell>
          <cell r="AA73">
            <v>638</v>
          </cell>
        </row>
        <row r="74">
          <cell r="B74" t="str">
            <v>B-03-05</v>
          </cell>
          <cell r="C74" t="str">
            <v>MICRONUTRIENTES (VIT. C + VIT A + FE + ZN + AC. FOLICO) (CHISPITAS NUTRICIONALES) .:. Según concentración estándard</v>
          </cell>
          <cell r="D74" t="str">
            <v>Polvo</v>
          </cell>
          <cell r="E74">
            <v>0</v>
          </cell>
          <cell r="F74">
            <v>0</v>
          </cell>
          <cell r="H74">
            <v>200</v>
          </cell>
          <cell r="J74">
            <v>82</v>
          </cell>
          <cell r="M74">
            <v>0</v>
          </cell>
          <cell r="N74">
            <v>0</v>
          </cell>
          <cell r="P74">
            <v>0</v>
          </cell>
          <cell r="R74">
            <v>0</v>
          </cell>
          <cell r="S74">
            <v>0</v>
          </cell>
          <cell r="T74">
            <v>0</v>
          </cell>
          <cell r="U74">
            <v>200</v>
          </cell>
          <cell r="V74">
            <v>0.41</v>
          </cell>
          <cell r="W74">
            <v>82</v>
          </cell>
          <cell r="X74">
            <v>2.5783299999999998</v>
          </cell>
          <cell r="Y74">
            <v>0</v>
          </cell>
          <cell r="Z74">
            <v>0.41</v>
          </cell>
          <cell r="AA74">
            <v>82</v>
          </cell>
        </row>
        <row r="75">
          <cell r="B75" t="str">
            <v>B-03-08</v>
          </cell>
          <cell r="C75" t="str">
            <v>SULFATO FERROSO + AC. FOLICO + VITAMINA C .:. 200 mg + 0,5 mg + 150 mg</v>
          </cell>
          <cell r="D75" t="str">
            <v>Comprimido</v>
          </cell>
          <cell r="E75">
            <v>1380</v>
          </cell>
          <cell r="F75">
            <v>179.4</v>
          </cell>
          <cell r="H75">
            <v>4000</v>
          </cell>
          <cell r="J75">
            <v>600</v>
          </cell>
          <cell r="M75">
            <v>0</v>
          </cell>
          <cell r="N75">
            <v>0</v>
          </cell>
          <cell r="P75">
            <v>3270</v>
          </cell>
          <cell r="R75">
            <v>462.9</v>
          </cell>
          <cell r="S75">
            <v>0</v>
          </cell>
          <cell r="T75">
            <v>0</v>
          </cell>
          <cell r="U75">
            <v>2110</v>
          </cell>
          <cell r="V75">
            <v>0.15</v>
          </cell>
          <cell r="W75">
            <v>316.5</v>
          </cell>
          <cell r="X75">
            <v>2.5783299999999998</v>
          </cell>
          <cell r="Y75">
            <v>0</v>
          </cell>
          <cell r="Z75">
            <v>0.15</v>
          </cell>
          <cell r="AA75">
            <v>316.5</v>
          </cell>
        </row>
        <row r="76">
          <cell r="B76" t="str">
            <v>B-05-01</v>
          </cell>
          <cell r="C76" t="str">
            <v>AGUA PARA INYECCION .:. 5 ml</v>
          </cell>
          <cell r="D76" t="str">
            <v>Inyectable</v>
          </cell>
          <cell r="E76">
            <v>1605</v>
          </cell>
          <cell r="F76">
            <v>963.49609924050003</v>
          </cell>
          <cell r="H76">
            <v>2500</v>
          </cell>
          <cell r="J76">
            <v>1975</v>
          </cell>
          <cell r="M76">
            <v>234</v>
          </cell>
          <cell r="N76">
            <v>167.51845800000001</v>
          </cell>
          <cell r="P76">
            <v>3878</v>
          </cell>
          <cell r="R76">
            <v>2768.7463990509</v>
          </cell>
          <cell r="S76">
            <v>0</v>
          </cell>
          <cell r="T76">
            <v>0</v>
          </cell>
          <cell r="U76">
            <v>461</v>
          </cell>
          <cell r="V76">
            <v>0.73160121180000004</v>
          </cell>
          <cell r="W76">
            <v>337.26815863979999</v>
          </cell>
          <cell r="X76">
            <v>2.5783299999999998</v>
          </cell>
          <cell r="Y76">
            <v>0</v>
          </cell>
          <cell r="Z76">
            <v>0.73160121180000004</v>
          </cell>
          <cell r="AA76">
            <v>337.26815863979999</v>
          </cell>
        </row>
        <row r="77">
          <cell r="B77" t="str">
            <v>B-05-02</v>
          </cell>
          <cell r="C77" t="str">
            <v>ALBUMINA HUMANA .:. 0.2</v>
          </cell>
          <cell r="D77" t="str">
            <v>Inyectable</v>
          </cell>
          <cell r="E77">
            <v>80</v>
          </cell>
          <cell r="F77">
            <v>22255.73770492</v>
          </cell>
          <cell r="H77">
            <v>182</v>
          </cell>
          <cell r="J77">
            <v>56632.5</v>
          </cell>
          <cell r="M77">
            <v>2</v>
          </cell>
          <cell r="N77">
            <v>590</v>
          </cell>
          <cell r="P77">
            <v>264</v>
          </cell>
          <cell r="R77">
            <v>79478.237704920495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2.5783299999999998</v>
          </cell>
          <cell r="Y77">
            <v>0</v>
          </cell>
          <cell r="Z77">
            <v>0</v>
          </cell>
          <cell r="AA77">
            <v>0</v>
          </cell>
        </row>
        <row r="78">
          <cell r="B78" t="str">
            <v>B-05-03</v>
          </cell>
          <cell r="C78" t="str">
            <v>AMINOACIDOS .:. 0.1</v>
          </cell>
          <cell r="D78" t="str">
            <v>Solución parenteral de gran volumen</v>
          </cell>
          <cell r="E78">
            <v>5</v>
          </cell>
          <cell r="F78">
            <v>585</v>
          </cell>
          <cell r="H78">
            <v>34</v>
          </cell>
          <cell r="J78">
            <v>4812.1000000000004</v>
          </cell>
          <cell r="M78">
            <v>13</v>
          </cell>
          <cell r="N78">
            <v>1613.7</v>
          </cell>
          <cell r="P78">
            <v>42</v>
          </cell>
          <cell r="R78">
            <v>5686.3</v>
          </cell>
          <cell r="S78">
            <v>5</v>
          </cell>
          <cell r="T78">
            <v>585</v>
          </cell>
          <cell r="U78">
            <v>5</v>
          </cell>
          <cell r="V78">
            <v>147.9</v>
          </cell>
          <cell r="W78">
            <v>739.5</v>
          </cell>
          <cell r="X78">
            <v>2.5783299999999998</v>
          </cell>
          <cell r="Y78">
            <v>0</v>
          </cell>
          <cell r="Z78">
            <v>147.9</v>
          </cell>
          <cell r="AA78">
            <v>739.5</v>
          </cell>
        </row>
        <row r="79">
          <cell r="B79" t="str">
            <v>B-05-04</v>
          </cell>
          <cell r="C79" t="str">
            <v>BICARBONATO DE SODIO .:. 0.08</v>
          </cell>
          <cell r="D79" t="str">
            <v>Inyectable</v>
          </cell>
          <cell r="E79">
            <v>205</v>
          </cell>
          <cell r="F79">
            <v>1640</v>
          </cell>
          <cell r="H79">
            <v>0</v>
          </cell>
          <cell r="J79">
            <v>0</v>
          </cell>
          <cell r="M79">
            <v>2</v>
          </cell>
          <cell r="N79">
            <v>16</v>
          </cell>
          <cell r="P79">
            <v>83</v>
          </cell>
          <cell r="R79">
            <v>664</v>
          </cell>
          <cell r="S79">
            <v>0</v>
          </cell>
          <cell r="T79">
            <v>0</v>
          </cell>
          <cell r="U79">
            <v>124</v>
          </cell>
          <cell r="V79">
            <v>8</v>
          </cell>
          <cell r="W79">
            <v>992</v>
          </cell>
          <cell r="X79">
            <v>2.5783299999999998</v>
          </cell>
          <cell r="Y79">
            <v>0</v>
          </cell>
          <cell r="Z79">
            <v>8</v>
          </cell>
          <cell r="AA79">
            <v>992</v>
          </cell>
        </row>
        <row r="80">
          <cell r="B80" t="str">
            <v>B-05-06</v>
          </cell>
          <cell r="C80" t="str">
            <v>CLORURO DE POTASIO .:. 0.2</v>
          </cell>
          <cell r="D80" t="str">
            <v>Inyectable</v>
          </cell>
          <cell r="E80">
            <v>73</v>
          </cell>
          <cell r="F80">
            <v>160.6</v>
          </cell>
          <cell r="H80">
            <v>700</v>
          </cell>
          <cell r="J80">
            <v>2450</v>
          </cell>
          <cell r="M80">
            <v>71</v>
          </cell>
          <cell r="N80">
            <v>192.34183999999999</v>
          </cell>
          <cell r="P80">
            <v>507</v>
          </cell>
          <cell r="R80">
            <v>1626.5489348864</v>
          </cell>
          <cell r="S80">
            <v>0</v>
          </cell>
          <cell r="T80">
            <v>0</v>
          </cell>
          <cell r="U80">
            <v>337</v>
          </cell>
          <cell r="V80">
            <v>3.4907801338</v>
          </cell>
          <cell r="W80">
            <v>1176.3929050905999</v>
          </cell>
          <cell r="X80">
            <v>2.5783299999999998</v>
          </cell>
          <cell r="Y80">
            <v>0</v>
          </cell>
          <cell r="Z80">
            <v>3.4907801338</v>
          </cell>
          <cell r="AA80">
            <v>1176.3929050905999</v>
          </cell>
        </row>
        <row r="81">
          <cell r="B81" t="str">
            <v>B-05-07</v>
          </cell>
          <cell r="C81" t="str">
            <v>CLORURO DE SODIO .:. 0.2</v>
          </cell>
          <cell r="D81" t="str">
            <v>Inyectable</v>
          </cell>
          <cell r="E81">
            <v>39</v>
          </cell>
          <cell r="F81">
            <v>126.60528996959999</v>
          </cell>
          <cell r="H81">
            <v>100</v>
          </cell>
          <cell r="J81">
            <v>350</v>
          </cell>
          <cell r="M81">
            <v>7</v>
          </cell>
          <cell r="N81">
            <v>24.5</v>
          </cell>
          <cell r="P81">
            <v>146</v>
          </cell>
          <cell r="R81">
            <v>501.10528996959999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2.5783299999999998</v>
          </cell>
          <cell r="Y81">
            <v>0</v>
          </cell>
          <cell r="Z81">
            <v>0</v>
          </cell>
          <cell r="AA81">
            <v>0</v>
          </cell>
        </row>
        <row r="82">
          <cell r="B82" t="str">
            <v>B-05-09</v>
          </cell>
          <cell r="C82" t="str">
            <v>EMULSION DE LIPIDOS .:. Según disponibilidad</v>
          </cell>
          <cell r="D82" t="str">
            <v>Emulsión inyectable</v>
          </cell>
          <cell r="E82">
            <v>4</v>
          </cell>
          <cell r="F82">
            <v>560</v>
          </cell>
          <cell r="H82">
            <v>10</v>
          </cell>
          <cell r="J82">
            <v>1460</v>
          </cell>
          <cell r="M82">
            <v>10</v>
          </cell>
          <cell r="N82">
            <v>1400</v>
          </cell>
          <cell r="P82">
            <v>11</v>
          </cell>
          <cell r="R82">
            <v>1555</v>
          </cell>
          <cell r="S82">
            <v>4</v>
          </cell>
          <cell r="T82">
            <v>560</v>
          </cell>
          <cell r="U82">
            <v>9</v>
          </cell>
          <cell r="V82">
            <v>145</v>
          </cell>
          <cell r="W82">
            <v>1305</v>
          </cell>
          <cell r="X82">
            <v>2.5783299999999998</v>
          </cell>
          <cell r="Y82">
            <v>0</v>
          </cell>
          <cell r="Z82">
            <v>145</v>
          </cell>
          <cell r="AA82">
            <v>1305</v>
          </cell>
        </row>
        <row r="83">
          <cell r="B83" t="str">
            <v>B-05-10</v>
          </cell>
          <cell r="C83" t="str">
            <v>GLUCONATO CALCICO (CALCIO GLUCONATO) .:. 0.1</v>
          </cell>
          <cell r="D83" t="str">
            <v>Inyectable</v>
          </cell>
          <cell r="E83">
            <v>121</v>
          </cell>
          <cell r="F83">
            <v>363</v>
          </cell>
          <cell r="H83">
            <v>0</v>
          </cell>
          <cell r="J83">
            <v>0</v>
          </cell>
          <cell r="M83">
            <v>9</v>
          </cell>
          <cell r="N83">
            <v>27</v>
          </cell>
          <cell r="P83">
            <v>80</v>
          </cell>
          <cell r="R83">
            <v>240</v>
          </cell>
          <cell r="S83">
            <v>0</v>
          </cell>
          <cell r="T83">
            <v>0</v>
          </cell>
          <cell r="U83">
            <v>50</v>
          </cell>
          <cell r="V83">
            <v>3</v>
          </cell>
          <cell r="W83">
            <v>150</v>
          </cell>
          <cell r="X83">
            <v>2.5783299999999998</v>
          </cell>
          <cell r="Y83">
            <v>0</v>
          </cell>
          <cell r="Z83">
            <v>3</v>
          </cell>
          <cell r="AA83">
            <v>150</v>
          </cell>
        </row>
        <row r="84">
          <cell r="B84" t="str">
            <v>B-05-11</v>
          </cell>
          <cell r="C84" t="str">
            <v>OLIGOELEMENTOS PARA NUTRICION PARENTERAL .:. Según disponibilidad</v>
          </cell>
          <cell r="D84" t="str">
            <v>Solucion parenteral de gran volumen</v>
          </cell>
          <cell r="E84">
            <v>16</v>
          </cell>
          <cell r="F84">
            <v>799.04</v>
          </cell>
          <cell r="H84">
            <v>15</v>
          </cell>
          <cell r="J84">
            <v>687.45</v>
          </cell>
          <cell r="M84">
            <v>0</v>
          </cell>
          <cell r="N84">
            <v>0</v>
          </cell>
          <cell r="P84">
            <v>25</v>
          </cell>
          <cell r="R84">
            <v>1211.51</v>
          </cell>
          <cell r="S84">
            <v>0</v>
          </cell>
          <cell r="T84">
            <v>0</v>
          </cell>
          <cell r="U84">
            <v>6</v>
          </cell>
          <cell r="V84">
            <v>45.83</v>
          </cell>
          <cell r="W84">
            <v>274.98</v>
          </cell>
          <cell r="X84">
            <v>2.5783299999999998</v>
          </cell>
          <cell r="Y84">
            <v>0</v>
          </cell>
          <cell r="Z84">
            <v>45.83</v>
          </cell>
          <cell r="AA84">
            <v>274.98</v>
          </cell>
        </row>
        <row r="85">
          <cell r="B85" t="str">
            <v>B-05-15</v>
          </cell>
          <cell r="C85" t="str">
            <v>SOLUCION DE GLUCOSA .:. 5% (500 ml)</v>
          </cell>
          <cell r="D85" t="str">
            <v>Solución parenteral de gran volumen</v>
          </cell>
          <cell r="E85">
            <v>36</v>
          </cell>
          <cell r="F85">
            <v>309.24598511160002</v>
          </cell>
          <cell r="H85">
            <v>250</v>
          </cell>
          <cell r="J85">
            <v>2200</v>
          </cell>
          <cell r="M85">
            <v>31</v>
          </cell>
          <cell r="N85">
            <v>272.14708999999999</v>
          </cell>
          <cell r="P85">
            <v>248</v>
          </cell>
          <cell r="R85">
            <v>2174.2507586902998</v>
          </cell>
          <cell r="S85">
            <v>0</v>
          </cell>
          <cell r="T85">
            <v>0</v>
          </cell>
          <cell r="U85">
            <v>69</v>
          </cell>
          <cell r="V85">
            <v>8.7991640061999998</v>
          </cell>
          <cell r="W85">
            <v>607.14231642779998</v>
          </cell>
          <cell r="X85">
            <v>2.5783299999999998</v>
          </cell>
          <cell r="Y85">
            <v>0</v>
          </cell>
          <cell r="Z85">
            <v>8.7991640061999998</v>
          </cell>
          <cell r="AA85">
            <v>607.14231642779998</v>
          </cell>
        </row>
        <row r="86">
          <cell r="B86" t="str">
            <v>B-05-16</v>
          </cell>
          <cell r="C86" t="str">
            <v>SOLUCION DE GLUCOSA .:. 5% (1.000 ml)</v>
          </cell>
          <cell r="D86" t="str">
            <v>Solución parenteral de gran volumen</v>
          </cell>
          <cell r="E86">
            <v>82</v>
          </cell>
          <cell r="F86">
            <v>952.19580800000006</v>
          </cell>
          <cell r="H86">
            <v>190</v>
          </cell>
          <cell r="J86">
            <v>2149.4</v>
          </cell>
          <cell r="M86">
            <v>59</v>
          </cell>
          <cell r="N86">
            <v>665.30741599999999</v>
          </cell>
          <cell r="P86">
            <v>283</v>
          </cell>
          <cell r="R86">
            <v>3194.3749464877001</v>
          </cell>
          <cell r="S86">
            <v>0</v>
          </cell>
          <cell r="T86">
            <v>0</v>
          </cell>
          <cell r="U86">
            <v>48</v>
          </cell>
          <cell r="V86">
            <v>11.927672448499999</v>
          </cell>
          <cell r="W86">
            <v>572.52827752799999</v>
          </cell>
          <cell r="X86">
            <v>2.5783299999999998</v>
          </cell>
          <cell r="Y86">
            <v>0</v>
          </cell>
          <cell r="Z86">
            <v>11.927672448499999</v>
          </cell>
          <cell r="AA86">
            <v>572.52827752799999</v>
          </cell>
        </row>
        <row r="87">
          <cell r="B87" t="str">
            <v>B-05-17</v>
          </cell>
          <cell r="C87" t="str">
            <v>SOLUCION DE GLUCOSA .:. 10% (500 ml)</v>
          </cell>
          <cell r="D87" t="str">
            <v>Solución parenteral de gran volumen</v>
          </cell>
          <cell r="E87">
            <v>34</v>
          </cell>
          <cell r="F87">
            <v>301.58</v>
          </cell>
          <cell r="H87">
            <v>60</v>
          </cell>
          <cell r="J87">
            <v>532.20000000000005</v>
          </cell>
          <cell r="M87">
            <v>19</v>
          </cell>
          <cell r="N87">
            <v>168.53</v>
          </cell>
          <cell r="P87">
            <v>75</v>
          </cell>
          <cell r="R87">
            <v>665.25</v>
          </cell>
          <cell r="S87">
            <v>0</v>
          </cell>
          <cell r="T87">
            <v>0</v>
          </cell>
          <cell r="U87">
            <v>38</v>
          </cell>
          <cell r="V87">
            <v>8.8699999999999992</v>
          </cell>
          <cell r="W87">
            <v>337.06</v>
          </cell>
          <cell r="X87">
            <v>2.5783299999999998</v>
          </cell>
          <cell r="Y87">
            <v>0</v>
          </cell>
          <cell r="Z87">
            <v>8.8699999999999992</v>
          </cell>
          <cell r="AA87">
            <v>337.06</v>
          </cell>
        </row>
        <row r="88">
          <cell r="B88" t="str">
            <v>B-05-18</v>
          </cell>
          <cell r="C88" t="str">
            <v>SOLUCION DE GLUCOSA .:. 10% (1.000 ml)</v>
          </cell>
          <cell r="D88" t="str">
            <v>Solución parenteral de gran volumen</v>
          </cell>
          <cell r="E88">
            <v>40</v>
          </cell>
          <cell r="F88">
            <v>500.06200000000001</v>
          </cell>
          <cell r="H88">
            <v>0</v>
          </cell>
          <cell r="J88">
            <v>0</v>
          </cell>
          <cell r="M88">
            <v>10</v>
          </cell>
          <cell r="N88">
            <v>125.0155</v>
          </cell>
          <cell r="P88">
            <v>50</v>
          </cell>
          <cell r="R88">
            <v>625.07749999999999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2.5783299999999998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B-05-19</v>
          </cell>
          <cell r="C89" t="str">
            <v>SOLUCION DE GLUCOSA .:. 50% (500 ml)</v>
          </cell>
          <cell r="D89" t="str">
            <v>Solución parenteral de gran volumen</v>
          </cell>
          <cell r="E89">
            <v>92</v>
          </cell>
          <cell r="F89">
            <v>1784.8</v>
          </cell>
          <cell r="H89">
            <v>0</v>
          </cell>
          <cell r="J89">
            <v>0</v>
          </cell>
          <cell r="M89">
            <v>16</v>
          </cell>
          <cell r="N89">
            <v>310.39999999999998</v>
          </cell>
          <cell r="P89">
            <v>51</v>
          </cell>
          <cell r="R89">
            <v>989.4</v>
          </cell>
          <cell r="S89">
            <v>0</v>
          </cell>
          <cell r="T89">
            <v>0</v>
          </cell>
          <cell r="U89">
            <v>57</v>
          </cell>
          <cell r="V89">
            <v>19.399999999999999</v>
          </cell>
          <cell r="W89">
            <v>1105.8</v>
          </cell>
          <cell r="X89">
            <v>2.5783299999999998</v>
          </cell>
          <cell r="Y89">
            <v>0</v>
          </cell>
          <cell r="Z89">
            <v>19.399999999999999</v>
          </cell>
          <cell r="AA89">
            <v>1105.8</v>
          </cell>
        </row>
        <row r="90">
          <cell r="B90" t="str">
            <v>B-05-20</v>
          </cell>
          <cell r="C90" t="str">
            <v>SOLUCION DE GLUCOSA .:. 50% (20 ml)</v>
          </cell>
          <cell r="D90" t="str">
            <v>Inyectable</v>
          </cell>
          <cell r="E90">
            <v>17</v>
          </cell>
          <cell r="F90">
            <v>114.24</v>
          </cell>
          <cell r="H90">
            <v>0</v>
          </cell>
          <cell r="J90">
            <v>0</v>
          </cell>
          <cell r="M90">
            <v>0</v>
          </cell>
          <cell r="N90">
            <v>0</v>
          </cell>
          <cell r="P90">
            <v>0</v>
          </cell>
          <cell r="R90">
            <v>0</v>
          </cell>
          <cell r="S90">
            <v>0</v>
          </cell>
          <cell r="T90">
            <v>0</v>
          </cell>
          <cell r="U90">
            <v>17</v>
          </cell>
          <cell r="V90">
            <v>6.72</v>
          </cell>
          <cell r="W90">
            <v>114.24</v>
          </cell>
          <cell r="X90">
            <v>2.5783299999999998</v>
          </cell>
          <cell r="Y90">
            <v>0</v>
          </cell>
          <cell r="Z90">
            <v>6.72</v>
          </cell>
          <cell r="AA90">
            <v>114.24</v>
          </cell>
        </row>
        <row r="91">
          <cell r="B91" t="str">
            <v>B-05-21</v>
          </cell>
          <cell r="C91" t="str">
            <v>SOLUCION DE MANITOL .:. 20% (500 ml)</v>
          </cell>
          <cell r="D91" t="str">
            <v>Solución parenteral de gran volumen</v>
          </cell>
          <cell r="E91">
            <v>26</v>
          </cell>
          <cell r="F91">
            <v>621.4</v>
          </cell>
          <cell r="H91">
            <v>30</v>
          </cell>
          <cell r="J91">
            <v>717</v>
          </cell>
          <cell r="M91">
            <v>5</v>
          </cell>
          <cell r="N91">
            <v>119.5</v>
          </cell>
          <cell r="P91">
            <v>48</v>
          </cell>
          <cell r="R91">
            <v>1147.2</v>
          </cell>
          <cell r="S91">
            <v>1</v>
          </cell>
          <cell r="T91">
            <v>23.9</v>
          </cell>
          <cell r="U91">
            <v>12</v>
          </cell>
          <cell r="V91">
            <v>23.9</v>
          </cell>
          <cell r="W91">
            <v>286.8</v>
          </cell>
          <cell r="X91">
            <v>2.5783299999999998</v>
          </cell>
          <cell r="Y91">
            <v>0</v>
          </cell>
          <cell r="Z91">
            <v>23.9</v>
          </cell>
          <cell r="AA91">
            <v>286.8</v>
          </cell>
        </row>
        <row r="92">
          <cell r="B92" t="str">
            <v>B-05-22</v>
          </cell>
          <cell r="C92" t="str">
            <v>SOLUCION FISIOLOGICA .:. 0,9% (500 ml)</v>
          </cell>
          <cell r="D92" t="str">
            <v>Solución parenteral de gran volumen</v>
          </cell>
          <cell r="E92">
            <v>231</v>
          </cell>
          <cell r="F92">
            <v>1930.282158882</v>
          </cell>
          <cell r="H92">
            <v>1200</v>
          </cell>
          <cell r="J92">
            <v>10712</v>
          </cell>
          <cell r="M92">
            <v>48</v>
          </cell>
          <cell r="N92">
            <v>426.070941</v>
          </cell>
          <cell r="P92">
            <v>1225</v>
          </cell>
          <cell r="R92">
            <v>10831.885815481901</v>
          </cell>
          <cell r="S92">
            <v>0</v>
          </cell>
          <cell r="T92">
            <v>0</v>
          </cell>
          <cell r="U92">
            <v>254</v>
          </cell>
          <cell r="V92">
            <v>8.8049893086999997</v>
          </cell>
          <cell r="W92">
            <v>2236.4672844098</v>
          </cell>
          <cell r="X92">
            <v>2.5783299999999998</v>
          </cell>
          <cell r="Y92">
            <v>0</v>
          </cell>
          <cell r="Z92">
            <v>8.8049893086999997</v>
          </cell>
          <cell r="AA92">
            <v>2236.4672844098</v>
          </cell>
        </row>
        <row r="93">
          <cell r="B93" t="str">
            <v>B-05-23</v>
          </cell>
          <cell r="C93" t="str">
            <v>SOLUCION FISIOLOGICA .:. 0,9% (1.000 ml)</v>
          </cell>
          <cell r="D93" t="str">
            <v>Solución parenteral de gran volumen</v>
          </cell>
          <cell r="E93">
            <v>103</v>
          </cell>
          <cell r="F93">
            <v>991.7075969704</v>
          </cell>
          <cell r="H93">
            <v>1900</v>
          </cell>
          <cell r="J93">
            <v>18278</v>
          </cell>
          <cell r="M93">
            <v>111</v>
          </cell>
          <cell r="N93">
            <v>1067.957355</v>
          </cell>
          <cell r="P93">
            <v>1737</v>
          </cell>
          <cell r="R93">
            <v>16710.925998438299</v>
          </cell>
          <cell r="S93">
            <v>0</v>
          </cell>
          <cell r="T93">
            <v>0</v>
          </cell>
          <cell r="U93">
            <v>377</v>
          </cell>
          <cell r="V93">
            <v>9.6199972241000005</v>
          </cell>
          <cell r="W93">
            <v>3626.7389534857002</v>
          </cell>
          <cell r="X93">
            <v>2.5783299999999998</v>
          </cell>
          <cell r="Y93">
            <v>0</v>
          </cell>
          <cell r="Z93">
            <v>9.6199972241000005</v>
          </cell>
          <cell r="AA93">
            <v>3626.7389534857002</v>
          </cell>
        </row>
        <row r="94">
          <cell r="B94" t="str">
            <v>B-05-25</v>
          </cell>
          <cell r="C94" t="str">
            <v>SOLUCION GLUCOSADA CLORURADA .:. 1.000 ml</v>
          </cell>
          <cell r="D94" t="str">
            <v>Solución parenteral de gran volumen</v>
          </cell>
          <cell r="E94">
            <v>2</v>
          </cell>
          <cell r="F94">
            <v>18.096</v>
          </cell>
          <cell r="H94">
            <v>0</v>
          </cell>
          <cell r="J94">
            <v>0</v>
          </cell>
          <cell r="M94">
            <v>0</v>
          </cell>
          <cell r="N94">
            <v>0</v>
          </cell>
          <cell r="P94">
            <v>0</v>
          </cell>
          <cell r="R94">
            <v>0</v>
          </cell>
          <cell r="S94">
            <v>0</v>
          </cell>
          <cell r="T94">
            <v>0</v>
          </cell>
          <cell r="U94">
            <v>2</v>
          </cell>
          <cell r="V94">
            <v>9.048</v>
          </cell>
          <cell r="W94">
            <v>18.096</v>
          </cell>
          <cell r="X94">
            <v>2.5783299999999998</v>
          </cell>
          <cell r="Y94">
            <v>0</v>
          </cell>
          <cell r="Z94">
            <v>9.048</v>
          </cell>
          <cell r="AA94">
            <v>18.096</v>
          </cell>
        </row>
        <row r="95">
          <cell r="B95" t="str">
            <v>B-05-29</v>
          </cell>
          <cell r="C95" t="str">
            <v>SOLUCION RINGER LACTATO .:. 500 ml</v>
          </cell>
          <cell r="D95" t="str">
            <v>Solución parenteral de gran volumen</v>
          </cell>
          <cell r="E95">
            <v>24</v>
          </cell>
          <cell r="F95">
            <v>192.24</v>
          </cell>
          <cell r="H95">
            <v>0</v>
          </cell>
          <cell r="J95">
            <v>0</v>
          </cell>
          <cell r="M95">
            <v>3</v>
          </cell>
          <cell r="N95">
            <v>24.03</v>
          </cell>
          <cell r="P95">
            <v>19</v>
          </cell>
          <cell r="R95">
            <v>152.19</v>
          </cell>
          <cell r="S95">
            <v>0</v>
          </cell>
          <cell r="T95">
            <v>0</v>
          </cell>
          <cell r="U95">
            <v>8</v>
          </cell>
          <cell r="V95">
            <v>8.01</v>
          </cell>
          <cell r="W95">
            <v>64.08</v>
          </cell>
          <cell r="X95">
            <v>2.5783299999999998</v>
          </cell>
          <cell r="Y95">
            <v>0</v>
          </cell>
          <cell r="Z95">
            <v>8.01</v>
          </cell>
          <cell r="AA95">
            <v>64.08</v>
          </cell>
        </row>
        <row r="96">
          <cell r="B96" t="str">
            <v>B-05-30</v>
          </cell>
          <cell r="C96" t="str">
            <v>SOLUCION RINGER LACTATO .:. 1.000 ml</v>
          </cell>
          <cell r="D96" t="str">
            <v>Solución parenteral de gran volumen</v>
          </cell>
          <cell r="E96">
            <v>96</v>
          </cell>
          <cell r="F96">
            <v>1045.4401270368</v>
          </cell>
          <cell r="H96">
            <v>110</v>
          </cell>
          <cell r="J96">
            <v>1208.9000000000001</v>
          </cell>
          <cell r="M96">
            <v>18</v>
          </cell>
          <cell r="N96">
            <v>196.62804299999999</v>
          </cell>
          <cell r="P96">
            <v>128</v>
          </cell>
          <cell r="R96">
            <v>1400.221588136</v>
          </cell>
          <cell r="S96">
            <v>0</v>
          </cell>
          <cell r="T96">
            <v>0</v>
          </cell>
          <cell r="U96">
            <v>96</v>
          </cell>
          <cell r="V96">
            <v>10.945276894999999</v>
          </cell>
          <cell r="W96">
            <v>1050.7465819199999</v>
          </cell>
          <cell r="X96">
            <v>2.5783299999999998</v>
          </cell>
          <cell r="Y96">
            <v>0</v>
          </cell>
          <cell r="Z96">
            <v>10.945276894999999</v>
          </cell>
          <cell r="AA96">
            <v>1050.7465819199999</v>
          </cell>
        </row>
        <row r="97">
          <cell r="B97" t="str">
            <v>B-05-31</v>
          </cell>
          <cell r="C97" t="str">
            <v>SOLUCION RINGER NORMAL .:. 500 ml</v>
          </cell>
          <cell r="D97" t="str">
            <v>Solución parenteral de gran volumen</v>
          </cell>
          <cell r="E97">
            <v>58</v>
          </cell>
          <cell r="F97">
            <v>510.4</v>
          </cell>
          <cell r="H97">
            <v>150</v>
          </cell>
          <cell r="J97">
            <v>1318.5</v>
          </cell>
          <cell r="M97">
            <v>27</v>
          </cell>
          <cell r="N97">
            <v>237.39887999999999</v>
          </cell>
          <cell r="P97">
            <v>181</v>
          </cell>
          <cell r="R97">
            <v>1591.551395363</v>
          </cell>
          <cell r="S97">
            <v>0</v>
          </cell>
          <cell r="T97">
            <v>0</v>
          </cell>
          <cell r="U97">
            <v>54</v>
          </cell>
          <cell r="V97">
            <v>8.7916200858</v>
          </cell>
          <cell r="W97">
            <v>474.74748463319997</v>
          </cell>
          <cell r="X97">
            <v>2.5783299999999998</v>
          </cell>
          <cell r="Y97">
            <v>0</v>
          </cell>
          <cell r="Z97">
            <v>8.7916200858</v>
          </cell>
          <cell r="AA97">
            <v>474.74748463319997</v>
          </cell>
        </row>
        <row r="98">
          <cell r="B98" t="str">
            <v>B-05-32</v>
          </cell>
          <cell r="C98" t="str">
            <v>SOLUCION RINGER NORMAL .:. 1.000 ml</v>
          </cell>
          <cell r="D98" t="str">
            <v>Solución parenteral de gran volumen</v>
          </cell>
          <cell r="E98">
            <v>295</v>
          </cell>
          <cell r="F98">
            <v>3082.8580988855001</v>
          </cell>
          <cell r="H98">
            <v>1700</v>
          </cell>
          <cell r="J98">
            <v>18140</v>
          </cell>
          <cell r="M98">
            <v>263</v>
          </cell>
          <cell r="N98">
            <v>2790.9968840000001</v>
          </cell>
          <cell r="P98">
            <v>1952</v>
          </cell>
          <cell r="R98">
            <v>20694.207149707399</v>
          </cell>
          <cell r="S98">
            <v>0</v>
          </cell>
          <cell r="T98">
            <v>0</v>
          </cell>
          <cell r="U98">
            <v>306</v>
          </cell>
          <cell r="V98">
            <v>10.8485223311</v>
          </cell>
          <cell r="W98">
            <v>3319.6478333166001</v>
          </cell>
          <cell r="X98">
            <v>2.5783299999999998</v>
          </cell>
          <cell r="Y98">
            <v>0</v>
          </cell>
          <cell r="Z98">
            <v>10.8485223311</v>
          </cell>
          <cell r="AA98">
            <v>3319.6478333166001</v>
          </cell>
        </row>
        <row r="99">
          <cell r="B99" t="str">
            <v>B-05-33</v>
          </cell>
          <cell r="C99" t="str">
            <v>SULFATO DE MAGNESIO .:. 0.1</v>
          </cell>
          <cell r="D99" t="str">
            <v>Inyectable</v>
          </cell>
          <cell r="E99">
            <v>29</v>
          </cell>
          <cell r="F99">
            <v>144.71000231709999</v>
          </cell>
          <cell r="H99">
            <v>500</v>
          </cell>
          <cell r="J99">
            <v>2495</v>
          </cell>
          <cell r="M99">
            <v>59</v>
          </cell>
          <cell r="N99">
            <v>294.41000000000003</v>
          </cell>
          <cell r="P99">
            <v>292</v>
          </cell>
          <cell r="R99">
            <v>1457.0800022794001</v>
          </cell>
          <cell r="S99">
            <v>0</v>
          </cell>
          <cell r="T99">
            <v>0</v>
          </cell>
          <cell r="U99">
            <v>296</v>
          </cell>
          <cell r="V99">
            <v>4.9900000001000002</v>
          </cell>
          <cell r="W99">
            <v>1477.0400000295999</v>
          </cell>
          <cell r="X99">
            <v>2.5783299999999998</v>
          </cell>
          <cell r="Y99">
            <v>0</v>
          </cell>
          <cell r="Z99">
            <v>4.9900000001000002</v>
          </cell>
          <cell r="AA99">
            <v>1477.0400000295999</v>
          </cell>
        </row>
        <row r="100">
          <cell r="B100" t="str">
            <v>C-01-02</v>
          </cell>
          <cell r="C100" t="str">
            <v>AMIODARONA (CLORHIDRATO) .:. 200 mg</v>
          </cell>
          <cell r="D100" t="str">
            <v>Comprimido</v>
          </cell>
          <cell r="E100">
            <v>22</v>
          </cell>
          <cell r="F100">
            <v>22</v>
          </cell>
          <cell r="H100">
            <v>8000</v>
          </cell>
          <cell r="J100">
            <v>9140</v>
          </cell>
          <cell r="M100">
            <v>2</v>
          </cell>
          <cell r="N100">
            <v>2.2999999999999998</v>
          </cell>
          <cell r="P100">
            <v>5810</v>
          </cell>
          <cell r="R100">
            <v>6618.2</v>
          </cell>
          <cell r="S100">
            <v>0</v>
          </cell>
          <cell r="T100">
            <v>0</v>
          </cell>
          <cell r="U100">
            <v>2214</v>
          </cell>
          <cell r="V100">
            <v>1.1499999999999999</v>
          </cell>
          <cell r="W100">
            <v>2546.1</v>
          </cell>
          <cell r="X100">
            <v>2.5783299999999998</v>
          </cell>
          <cell r="Y100">
            <v>0</v>
          </cell>
          <cell r="Z100">
            <v>1.1499999999999999</v>
          </cell>
          <cell r="AA100">
            <v>2546.1</v>
          </cell>
        </row>
        <row r="101">
          <cell r="B101" t="str">
            <v>C-01-03</v>
          </cell>
          <cell r="C101" t="str">
            <v>AMIODARONA (CLORHIDRATO) .:. 50 mg/ml</v>
          </cell>
          <cell r="D101" t="str">
            <v>Inyectable</v>
          </cell>
          <cell r="E101">
            <v>29</v>
          </cell>
          <cell r="F101">
            <v>200.1</v>
          </cell>
          <cell r="H101">
            <v>0</v>
          </cell>
          <cell r="J101">
            <v>0</v>
          </cell>
          <cell r="M101">
            <v>0</v>
          </cell>
          <cell r="N101">
            <v>0</v>
          </cell>
          <cell r="P101">
            <v>29</v>
          </cell>
          <cell r="R101">
            <v>200.1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2.5783299999999998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C-01-06</v>
          </cell>
          <cell r="C102" t="str">
            <v>DIGOXINA .:. 0,25 mg</v>
          </cell>
          <cell r="D102" t="str">
            <v>Comprimido ranurado</v>
          </cell>
          <cell r="E102">
            <v>102</v>
          </cell>
          <cell r="F102">
            <v>34.68</v>
          </cell>
          <cell r="H102">
            <v>500</v>
          </cell>
          <cell r="J102">
            <v>170</v>
          </cell>
          <cell r="M102">
            <v>60</v>
          </cell>
          <cell r="N102">
            <v>20.399999999999999</v>
          </cell>
          <cell r="P102">
            <v>470</v>
          </cell>
          <cell r="R102">
            <v>159.80000000000001</v>
          </cell>
          <cell r="S102">
            <v>0</v>
          </cell>
          <cell r="T102">
            <v>0</v>
          </cell>
          <cell r="U102">
            <v>192</v>
          </cell>
          <cell r="V102">
            <v>0.34</v>
          </cell>
          <cell r="W102">
            <v>65.28</v>
          </cell>
          <cell r="X102">
            <v>2.5783299999999998</v>
          </cell>
          <cell r="Y102">
            <v>0</v>
          </cell>
          <cell r="Z102">
            <v>0.34</v>
          </cell>
          <cell r="AA102">
            <v>65.28</v>
          </cell>
        </row>
        <row r="103">
          <cell r="B103" t="str">
            <v>C-01-10</v>
          </cell>
          <cell r="C103" t="str">
            <v>EPINEFRINA (ADRENALINA) .:. 1 mg/ml</v>
          </cell>
          <cell r="D103" t="str">
            <v>Inyectable</v>
          </cell>
          <cell r="E103">
            <v>15</v>
          </cell>
          <cell r="F103">
            <v>88.5</v>
          </cell>
          <cell r="H103">
            <v>130</v>
          </cell>
          <cell r="J103">
            <v>819</v>
          </cell>
          <cell r="M103">
            <v>0</v>
          </cell>
          <cell r="N103">
            <v>0</v>
          </cell>
          <cell r="P103">
            <v>107</v>
          </cell>
          <cell r="R103">
            <v>668.1</v>
          </cell>
          <cell r="S103">
            <v>0</v>
          </cell>
          <cell r="T103">
            <v>0</v>
          </cell>
          <cell r="U103">
            <v>38</v>
          </cell>
          <cell r="V103">
            <v>6.3</v>
          </cell>
          <cell r="W103">
            <v>239.4</v>
          </cell>
          <cell r="X103">
            <v>2.5783299999999998</v>
          </cell>
          <cell r="Y103">
            <v>0</v>
          </cell>
          <cell r="Z103">
            <v>6.3</v>
          </cell>
          <cell r="AA103">
            <v>239.4</v>
          </cell>
        </row>
        <row r="104">
          <cell r="B104" t="str">
            <v>C-01-13</v>
          </cell>
          <cell r="C104" t="str">
            <v>ETILEFRINA .:. 10 mg/ml</v>
          </cell>
          <cell r="D104" t="str">
            <v>Inyectable</v>
          </cell>
          <cell r="E104">
            <v>48</v>
          </cell>
          <cell r="F104">
            <v>662.4</v>
          </cell>
          <cell r="H104">
            <v>0</v>
          </cell>
          <cell r="J104">
            <v>0</v>
          </cell>
          <cell r="M104">
            <v>0</v>
          </cell>
          <cell r="N104">
            <v>0</v>
          </cell>
          <cell r="P104">
            <v>38</v>
          </cell>
          <cell r="R104">
            <v>524.4</v>
          </cell>
          <cell r="S104">
            <v>0</v>
          </cell>
          <cell r="T104">
            <v>0</v>
          </cell>
          <cell r="U104">
            <v>10</v>
          </cell>
          <cell r="V104">
            <v>13.8</v>
          </cell>
          <cell r="W104">
            <v>138</v>
          </cell>
          <cell r="X104">
            <v>2.5783299999999998</v>
          </cell>
          <cell r="Y104">
            <v>0</v>
          </cell>
          <cell r="Z104">
            <v>13.8</v>
          </cell>
          <cell r="AA104">
            <v>138</v>
          </cell>
        </row>
        <row r="105">
          <cell r="B105" t="str">
            <v>C-01-15</v>
          </cell>
          <cell r="C105" t="str">
            <v>NORADRENALINA .:. 1 mg/ml</v>
          </cell>
          <cell r="D105" t="str">
            <v>Inyectable</v>
          </cell>
          <cell r="E105">
            <v>58</v>
          </cell>
          <cell r="F105">
            <v>446.65043478159998</v>
          </cell>
          <cell r="H105">
            <v>240</v>
          </cell>
          <cell r="J105">
            <v>2397.6</v>
          </cell>
          <cell r="M105">
            <v>44</v>
          </cell>
          <cell r="N105">
            <v>407.99239999999998</v>
          </cell>
          <cell r="P105">
            <v>284</v>
          </cell>
          <cell r="R105">
            <v>2694.1773859735999</v>
          </cell>
          <cell r="S105">
            <v>0</v>
          </cell>
          <cell r="T105">
            <v>0</v>
          </cell>
          <cell r="U105">
            <v>58</v>
          </cell>
          <cell r="V105">
            <v>9.6218180830000009</v>
          </cell>
          <cell r="W105">
            <v>558.06544881399998</v>
          </cell>
          <cell r="X105">
            <v>2.5783299999999998</v>
          </cell>
          <cell r="Y105">
            <v>0</v>
          </cell>
          <cell r="Z105">
            <v>9.6218180830000009</v>
          </cell>
          <cell r="AA105">
            <v>558.06544881399998</v>
          </cell>
        </row>
        <row r="106">
          <cell r="B106" t="str">
            <v>C-02-04</v>
          </cell>
          <cell r="C106" t="str">
            <v>METILDOPA (ALFAMETILDOPA) .:. 500 mg</v>
          </cell>
          <cell r="D106" t="str">
            <v>Comprimido</v>
          </cell>
          <cell r="E106">
            <v>29</v>
          </cell>
          <cell r="F106">
            <v>33.878815000000003</v>
          </cell>
          <cell r="H106">
            <v>0</v>
          </cell>
          <cell r="J106">
            <v>0</v>
          </cell>
          <cell r="M106">
            <v>0</v>
          </cell>
          <cell r="N106">
            <v>0</v>
          </cell>
          <cell r="P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29</v>
          </cell>
          <cell r="V106">
            <v>1.1682349999999999</v>
          </cell>
          <cell r="W106">
            <v>33.878815000000003</v>
          </cell>
          <cell r="X106">
            <v>2.5783299999999998</v>
          </cell>
          <cell r="Y106">
            <v>0</v>
          </cell>
          <cell r="Z106">
            <v>1.1682349999999999</v>
          </cell>
          <cell r="AA106">
            <v>33.878815000000003</v>
          </cell>
        </row>
        <row r="107">
          <cell r="B107" t="str">
            <v>C-02-08</v>
          </cell>
          <cell r="C107" t="str">
            <v>SILDENAFILO .:. 50 mg</v>
          </cell>
          <cell r="D107" t="str">
            <v>Comprimido</v>
          </cell>
          <cell r="E107">
            <v>90</v>
          </cell>
          <cell r="F107">
            <v>112.5</v>
          </cell>
          <cell r="H107">
            <v>0</v>
          </cell>
          <cell r="J107">
            <v>0</v>
          </cell>
          <cell r="M107">
            <v>0</v>
          </cell>
          <cell r="N107">
            <v>0</v>
          </cell>
          <cell r="P107">
            <v>90</v>
          </cell>
          <cell r="R107">
            <v>112.5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2.5783299999999998</v>
          </cell>
          <cell r="Y107">
            <v>0</v>
          </cell>
          <cell r="Z107">
            <v>0</v>
          </cell>
          <cell r="AA107">
            <v>0</v>
          </cell>
        </row>
        <row r="108">
          <cell r="B108" t="str">
            <v>C-03-01</v>
          </cell>
          <cell r="C108" t="str">
            <v>ACETAZOLAMIDA .:. 250 mg</v>
          </cell>
          <cell r="D108" t="str">
            <v>Comprimido</v>
          </cell>
          <cell r="E108">
            <v>40</v>
          </cell>
          <cell r="F108">
            <v>48.185679999999998</v>
          </cell>
          <cell r="H108">
            <v>0</v>
          </cell>
          <cell r="J108">
            <v>0</v>
          </cell>
          <cell r="M108">
            <v>40</v>
          </cell>
          <cell r="N108">
            <v>48.19</v>
          </cell>
          <cell r="P108">
            <v>20</v>
          </cell>
          <cell r="R108">
            <v>24.094999999999999</v>
          </cell>
          <cell r="S108">
            <v>40</v>
          </cell>
          <cell r="T108">
            <v>48.185679999999998</v>
          </cell>
          <cell r="U108">
            <v>20</v>
          </cell>
          <cell r="V108">
            <v>1.20475</v>
          </cell>
          <cell r="W108">
            <v>24.094999999999999</v>
          </cell>
          <cell r="X108">
            <v>2.5783299999999998</v>
          </cell>
          <cell r="Y108">
            <v>0</v>
          </cell>
          <cell r="Z108">
            <v>1.20475</v>
          </cell>
          <cell r="AA108">
            <v>24.094999999999999</v>
          </cell>
        </row>
        <row r="109">
          <cell r="B109" t="str">
            <v>C-03-02</v>
          </cell>
          <cell r="C109" t="str">
            <v>ESPIRONOLACTONA .:. 100 mg</v>
          </cell>
          <cell r="D109" t="str">
            <v>Comprimido</v>
          </cell>
          <cell r="E109">
            <v>312</v>
          </cell>
          <cell r="F109">
            <v>250.9897391664</v>
          </cell>
          <cell r="H109">
            <v>3000</v>
          </cell>
          <cell r="J109">
            <v>3570</v>
          </cell>
          <cell r="M109">
            <v>5</v>
          </cell>
          <cell r="N109">
            <v>5.9432749999999999</v>
          </cell>
          <cell r="P109">
            <v>2857</v>
          </cell>
          <cell r="R109">
            <v>3279.5562332799</v>
          </cell>
          <cell r="S109">
            <v>0</v>
          </cell>
          <cell r="T109">
            <v>0</v>
          </cell>
          <cell r="U109">
            <v>460</v>
          </cell>
          <cell r="V109">
            <v>1.1899495235999999</v>
          </cell>
          <cell r="W109">
            <v>547.37678085599998</v>
          </cell>
          <cell r="X109">
            <v>2.5783299999999998</v>
          </cell>
          <cell r="Y109">
            <v>0</v>
          </cell>
          <cell r="Z109">
            <v>1.1899495235999999</v>
          </cell>
          <cell r="AA109">
            <v>547.37678085599998</v>
          </cell>
        </row>
        <row r="110">
          <cell r="B110" t="str">
            <v>C-03-03</v>
          </cell>
          <cell r="C110" t="str">
            <v>ESPIRONOLACTONA .:. 25 mg</v>
          </cell>
          <cell r="D110" t="str">
            <v>Comprimido</v>
          </cell>
          <cell r="E110">
            <v>4872</v>
          </cell>
          <cell r="F110">
            <v>3800.16</v>
          </cell>
          <cell r="H110">
            <v>2000</v>
          </cell>
          <cell r="J110">
            <v>1200</v>
          </cell>
          <cell r="M110">
            <v>10</v>
          </cell>
          <cell r="N110">
            <v>7.8</v>
          </cell>
          <cell r="P110">
            <v>6543</v>
          </cell>
          <cell r="R110">
            <v>4804.52950521</v>
          </cell>
          <cell r="S110">
            <v>0</v>
          </cell>
          <cell r="T110">
            <v>0</v>
          </cell>
          <cell r="U110">
            <v>339</v>
          </cell>
          <cell r="V110">
            <v>0.60008995499999995</v>
          </cell>
          <cell r="W110">
            <v>203.430494745</v>
          </cell>
          <cell r="X110">
            <v>2.5783299999999998</v>
          </cell>
          <cell r="Y110">
            <v>0</v>
          </cell>
          <cell r="Z110">
            <v>0.60008995499999995</v>
          </cell>
          <cell r="AA110">
            <v>203.430494745</v>
          </cell>
        </row>
        <row r="111">
          <cell r="B111" t="str">
            <v>C-03-04</v>
          </cell>
          <cell r="C111" t="str">
            <v>FUROSEMIDA .:. 40 mg</v>
          </cell>
          <cell r="D111" t="str">
            <v>Comprimido ranurado</v>
          </cell>
          <cell r="E111">
            <v>4892</v>
          </cell>
          <cell r="F111">
            <v>929.48</v>
          </cell>
          <cell r="H111">
            <v>0</v>
          </cell>
          <cell r="J111">
            <v>0</v>
          </cell>
          <cell r="M111">
            <v>0</v>
          </cell>
          <cell r="N111">
            <v>0</v>
          </cell>
          <cell r="P111">
            <v>3123</v>
          </cell>
          <cell r="R111">
            <v>593.37</v>
          </cell>
          <cell r="S111">
            <v>0</v>
          </cell>
          <cell r="T111">
            <v>0</v>
          </cell>
          <cell r="U111">
            <v>1769</v>
          </cell>
          <cell r="V111">
            <v>0.19</v>
          </cell>
          <cell r="W111">
            <v>336.11</v>
          </cell>
          <cell r="X111">
            <v>2.5783299999999998</v>
          </cell>
          <cell r="Y111">
            <v>0</v>
          </cell>
          <cell r="Z111">
            <v>0.19</v>
          </cell>
          <cell r="AA111">
            <v>336.11</v>
          </cell>
        </row>
        <row r="112">
          <cell r="B112" t="str">
            <v>C-03-05</v>
          </cell>
          <cell r="C112" t="str">
            <v>FUROSEMIDA .:. 10 mg/ml</v>
          </cell>
          <cell r="D112" t="str">
            <v>Inyectable</v>
          </cell>
          <cell r="E112">
            <v>286</v>
          </cell>
          <cell r="F112">
            <v>514.78741702959996</v>
          </cell>
          <cell r="H112">
            <v>500</v>
          </cell>
          <cell r="J112">
            <v>650</v>
          </cell>
          <cell r="M112">
            <v>313</v>
          </cell>
          <cell r="N112">
            <v>425.89832799999999</v>
          </cell>
          <cell r="P112">
            <v>705</v>
          </cell>
          <cell r="R112">
            <v>1078.4857450234001</v>
          </cell>
          <cell r="S112">
            <v>248</v>
          </cell>
          <cell r="T112">
            <v>322.39999999999998</v>
          </cell>
          <cell r="U112">
            <v>146</v>
          </cell>
          <cell r="V112">
            <v>1.3</v>
          </cell>
          <cell r="W112">
            <v>189.8</v>
          </cell>
          <cell r="X112">
            <v>2.5783299999999998</v>
          </cell>
          <cell r="Y112">
            <v>0</v>
          </cell>
          <cell r="Z112">
            <v>1.3</v>
          </cell>
          <cell r="AA112">
            <v>189.8</v>
          </cell>
        </row>
        <row r="113">
          <cell r="B113" t="str">
            <v>C-03-06</v>
          </cell>
          <cell r="C113" t="str">
            <v>HIDROCLOROTIAZIDA .:. 50 mg</v>
          </cell>
          <cell r="D113" t="str">
            <v>Comprimido ranurado</v>
          </cell>
          <cell r="E113">
            <v>336</v>
          </cell>
          <cell r="F113">
            <v>50.4011116896</v>
          </cell>
          <cell r="H113">
            <v>6500</v>
          </cell>
          <cell r="J113">
            <v>1205</v>
          </cell>
          <cell r="M113">
            <v>4</v>
          </cell>
          <cell r="N113">
            <v>0.74235200000000001</v>
          </cell>
          <cell r="P113">
            <v>5157</v>
          </cell>
          <cell r="R113">
            <v>943.7982273934</v>
          </cell>
          <cell r="S113">
            <v>0</v>
          </cell>
          <cell r="T113">
            <v>0</v>
          </cell>
          <cell r="U113">
            <v>1683</v>
          </cell>
          <cell r="V113">
            <v>0.1855883757</v>
          </cell>
          <cell r="W113">
            <v>312.34523630310002</v>
          </cell>
          <cell r="X113">
            <v>2.5783299999999998</v>
          </cell>
          <cell r="Y113">
            <v>0</v>
          </cell>
          <cell r="Z113">
            <v>0.1855883757</v>
          </cell>
          <cell r="AA113">
            <v>312.34523630310002</v>
          </cell>
        </row>
        <row r="114">
          <cell r="B114" t="str">
            <v>C-03-07</v>
          </cell>
          <cell r="C114" t="str">
            <v>HIDROCLOROTIAZIDA + AMILORIDA .:. 50 mg + 5 mg</v>
          </cell>
          <cell r="D114" t="str">
            <v>Comprimido</v>
          </cell>
          <cell r="E114">
            <v>214</v>
          </cell>
          <cell r="F114">
            <v>160.351484</v>
          </cell>
          <cell r="H114">
            <v>300</v>
          </cell>
          <cell r="J114">
            <v>300</v>
          </cell>
          <cell r="M114">
            <v>161</v>
          </cell>
          <cell r="N114">
            <v>123.412656</v>
          </cell>
          <cell r="P114">
            <v>311</v>
          </cell>
          <cell r="R114">
            <v>263.16150659819999</v>
          </cell>
          <cell r="S114">
            <v>149</v>
          </cell>
          <cell r="T114">
            <v>111.64659399999999</v>
          </cell>
          <cell r="U114">
            <v>215</v>
          </cell>
          <cell r="V114">
            <v>0.97188855539999996</v>
          </cell>
          <cell r="W114">
            <v>208.95603941100001</v>
          </cell>
          <cell r="X114">
            <v>2.5783299999999998</v>
          </cell>
          <cell r="Y114">
            <v>0</v>
          </cell>
          <cell r="Z114">
            <v>0.97188855539999996</v>
          </cell>
          <cell r="AA114">
            <v>208.95603941100001</v>
          </cell>
        </row>
        <row r="115">
          <cell r="B115" t="str">
            <v>C-05-01</v>
          </cell>
          <cell r="C115" t="str">
            <v>CORTICOIDE + ANESTESICO .:. Según disponibilidad</v>
          </cell>
          <cell r="D115" t="str">
            <v>Supositorio</v>
          </cell>
          <cell r="E115">
            <v>630</v>
          </cell>
          <cell r="F115">
            <v>1890</v>
          </cell>
          <cell r="H115">
            <v>450</v>
          </cell>
          <cell r="J115">
            <v>1350</v>
          </cell>
          <cell r="M115">
            <v>0</v>
          </cell>
          <cell r="N115">
            <v>0</v>
          </cell>
          <cell r="P115">
            <v>796</v>
          </cell>
          <cell r="R115">
            <v>2388</v>
          </cell>
          <cell r="S115">
            <v>0</v>
          </cell>
          <cell r="T115">
            <v>0</v>
          </cell>
          <cell r="U115">
            <v>284</v>
          </cell>
          <cell r="V115">
            <v>3</v>
          </cell>
          <cell r="W115">
            <v>852</v>
          </cell>
          <cell r="X115">
            <v>2.5783299999999998</v>
          </cell>
          <cell r="Y115">
            <v>0</v>
          </cell>
          <cell r="Z115">
            <v>3</v>
          </cell>
          <cell r="AA115">
            <v>852</v>
          </cell>
        </row>
        <row r="116">
          <cell r="B116" t="str">
            <v>C-05-02</v>
          </cell>
          <cell r="C116" t="str">
            <v>CORTICOIDE + ANESTESICO .:. Según disponibilidad</v>
          </cell>
          <cell r="D116" t="str">
            <v>Crema o Pomada</v>
          </cell>
          <cell r="E116">
            <v>23</v>
          </cell>
          <cell r="F116">
            <v>967.15</v>
          </cell>
          <cell r="H116">
            <v>43</v>
          </cell>
          <cell r="J116">
            <v>1817.15</v>
          </cell>
          <cell r="M116">
            <v>0</v>
          </cell>
          <cell r="N116">
            <v>0</v>
          </cell>
          <cell r="P116">
            <v>47</v>
          </cell>
          <cell r="R116">
            <v>1978.2249999999999</v>
          </cell>
          <cell r="S116">
            <v>19</v>
          </cell>
          <cell r="T116">
            <v>806.07500000000005</v>
          </cell>
          <cell r="U116">
            <v>0</v>
          </cell>
          <cell r="V116">
            <v>0</v>
          </cell>
          <cell r="W116">
            <v>0</v>
          </cell>
          <cell r="X116">
            <v>2.5783299999999998</v>
          </cell>
          <cell r="Y116">
            <v>0</v>
          </cell>
          <cell r="Z116">
            <v>0</v>
          </cell>
          <cell r="AA116">
            <v>0</v>
          </cell>
        </row>
        <row r="117">
          <cell r="B117" t="str">
            <v>C-07-01</v>
          </cell>
          <cell r="C117" t="str">
            <v>ATENOLOL .:. 100 mg</v>
          </cell>
          <cell r="D117" t="str">
            <v>Comprimido ranurado</v>
          </cell>
          <cell r="E117">
            <v>173</v>
          </cell>
          <cell r="F117">
            <v>46.600217141000002</v>
          </cell>
          <cell r="H117">
            <v>700</v>
          </cell>
          <cell r="J117">
            <v>126</v>
          </cell>
          <cell r="M117">
            <v>0</v>
          </cell>
          <cell r="N117">
            <v>0</v>
          </cell>
          <cell r="P117">
            <v>873</v>
          </cell>
          <cell r="R117">
            <v>172.60021711440001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2.5783299999999998</v>
          </cell>
          <cell r="Y117">
            <v>0</v>
          </cell>
          <cell r="Z117">
            <v>0</v>
          </cell>
          <cell r="AA117">
            <v>0</v>
          </cell>
        </row>
        <row r="118">
          <cell r="B118" t="str">
            <v>C-07-02</v>
          </cell>
          <cell r="C118" t="str">
            <v>PROPRANOLOL .:. 40 mg</v>
          </cell>
          <cell r="D118" t="str">
            <v>Comprimido</v>
          </cell>
          <cell r="E118">
            <v>545</v>
          </cell>
          <cell r="F118">
            <v>163.38566434099999</v>
          </cell>
          <cell r="H118">
            <v>0</v>
          </cell>
          <cell r="J118">
            <v>0</v>
          </cell>
          <cell r="M118">
            <v>245</v>
          </cell>
          <cell r="N118">
            <v>73.5</v>
          </cell>
          <cell r="P118">
            <v>470</v>
          </cell>
          <cell r="R118">
            <v>140.93706294</v>
          </cell>
          <cell r="S118">
            <v>245</v>
          </cell>
          <cell r="T118">
            <v>73.448601401000005</v>
          </cell>
          <cell r="U118">
            <v>75</v>
          </cell>
          <cell r="V118">
            <v>0.3</v>
          </cell>
          <cell r="W118">
            <v>22.5</v>
          </cell>
          <cell r="X118">
            <v>2.5783299999999998</v>
          </cell>
          <cell r="Y118">
            <v>0</v>
          </cell>
          <cell r="Z118">
            <v>0.3</v>
          </cell>
          <cell r="AA118">
            <v>22.5</v>
          </cell>
        </row>
        <row r="119">
          <cell r="B119" t="str">
            <v>C-07-04</v>
          </cell>
          <cell r="C119" t="str">
            <v>CARVEDILOL .:. 6,25 mg</v>
          </cell>
          <cell r="D119" t="str">
            <v>Comprimido</v>
          </cell>
          <cell r="E119">
            <v>5691</v>
          </cell>
          <cell r="F119">
            <v>2504.4652309509001</v>
          </cell>
          <cell r="H119">
            <v>24420</v>
          </cell>
          <cell r="J119">
            <v>11702.4</v>
          </cell>
          <cell r="M119">
            <v>0</v>
          </cell>
          <cell r="N119">
            <v>0</v>
          </cell>
          <cell r="P119">
            <v>27031</v>
          </cell>
          <cell r="R119">
            <v>12152.753373728099</v>
          </cell>
          <cell r="S119">
            <v>0</v>
          </cell>
          <cell r="T119">
            <v>0</v>
          </cell>
          <cell r="U119">
            <v>3080</v>
          </cell>
          <cell r="V119">
            <v>0.66691943399999998</v>
          </cell>
          <cell r="W119">
            <v>2054.1118567200001</v>
          </cell>
          <cell r="X119">
            <v>2.5783299999999998</v>
          </cell>
          <cell r="Y119">
            <v>0</v>
          </cell>
          <cell r="Z119">
            <v>0.66691943399999998</v>
          </cell>
          <cell r="AA119">
            <v>2054.1118567200001</v>
          </cell>
        </row>
        <row r="120">
          <cell r="B120" t="str">
            <v>C-07-05</v>
          </cell>
          <cell r="C120" t="str">
            <v>CARVEDILOL .:. 12,5 mg</v>
          </cell>
          <cell r="D120" t="str">
            <v>Comprimido</v>
          </cell>
          <cell r="E120">
            <v>2881</v>
          </cell>
          <cell r="F120">
            <v>2823.38</v>
          </cell>
          <cell r="H120">
            <v>17300</v>
          </cell>
          <cell r="J120">
            <v>14420</v>
          </cell>
          <cell r="M120">
            <v>28</v>
          </cell>
          <cell r="N120">
            <v>26.96</v>
          </cell>
          <cell r="P120">
            <v>16555</v>
          </cell>
          <cell r="R120">
            <v>14274.06</v>
          </cell>
          <cell r="S120">
            <v>0</v>
          </cell>
          <cell r="T120">
            <v>0</v>
          </cell>
          <cell r="U120">
            <v>3654</v>
          </cell>
          <cell r="V120">
            <v>0.82</v>
          </cell>
          <cell r="W120">
            <v>2996.28</v>
          </cell>
          <cell r="X120">
            <v>2.5783299999999998</v>
          </cell>
          <cell r="Y120">
            <v>0</v>
          </cell>
          <cell r="Z120">
            <v>0.82</v>
          </cell>
          <cell r="AA120">
            <v>2996.28</v>
          </cell>
        </row>
        <row r="121">
          <cell r="B121" t="str">
            <v>C-07-06</v>
          </cell>
          <cell r="C121" t="str">
            <v>BISOPROLOL .:. 5 mg</v>
          </cell>
          <cell r="D121" t="str">
            <v>Comprimido</v>
          </cell>
          <cell r="E121">
            <v>1230</v>
          </cell>
          <cell r="F121">
            <v>909.59212219200003</v>
          </cell>
          <cell r="H121">
            <v>8500</v>
          </cell>
          <cell r="J121">
            <v>5100</v>
          </cell>
          <cell r="M121">
            <v>12</v>
          </cell>
          <cell r="N121">
            <v>7.2</v>
          </cell>
          <cell r="P121">
            <v>7623</v>
          </cell>
          <cell r="R121">
            <v>4745.392122192</v>
          </cell>
          <cell r="S121">
            <v>0</v>
          </cell>
          <cell r="T121">
            <v>0</v>
          </cell>
          <cell r="U121">
            <v>2119</v>
          </cell>
          <cell r="V121">
            <v>0.6</v>
          </cell>
          <cell r="W121">
            <v>1271.4000000000001</v>
          </cell>
          <cell r="X121">
            <v>2.5783299999999998</v>
          </cell>
          <cell r="Y121">
            <v>0</v>
          </cell>
          <cell r="Z121">
            <v>0.6</v>
          </cell>
          <cell r="AA121">
            <v>1271.4000000000001</v>
          </cell>
        </row>
        <row r="122">
          <cell r="B122" t="str">
            <v>C-08-02</v>
          </cell>
          <cell r="C122" t="str">
            <v>NIMODIPINA .:. 30 mg</v>
          </cell>
          <cell r="D122" t="str">
            <v>Comprimido</v>
          </cell>
          <cell r="E122">
            <v>1492</v>
          </cell>
          <cell r="F122">
            <v>526.59462363440002</v>
          </cell>
          <cell r="H122">
            <v>9000</v>
          </cell>
          <cell r="J122">
            <v>2700</v>
          </cell>
          <cell r="M122">
            <v>55</v>
          </cell>
          <cell r="N122">
            <v>18.161175</v>
          </cell>
          <cell r="P122">
            <v>9178</v>
          </cell>
          <cell r="R122">
            <v>2830.0679012240998</v>
          </cell>
          <cell r="S122">
            <v>0</v>
          </cell>
          <cell r="T122">
            <v>0</v>
          </cell>
          <cell r="U122">
            <v>1369</v>
          </cell>
          <cell r="V122">
            <v>0.3029130001</v>
          </cell>
          <cell r="W122">
            <v>414.68789713690001</v>
          </cell>
          <cell r="X122">
            <v>2.5783299999999998</v>
          </cell>
          <cell r="Y122">
            <v>0</v>
          </cell>
          <cell r="Z122">
            <v>0.3029130001</v>
          </cell>
          <cell r="AA122">
            <v>414.68789713690001</v>
          </cell>
        </row>
        <row r="123">
          <cell r="B123" t="str">
            <v>C-08-04</v>
          </cell>
          <cell r="C123" t="str">
            <v>VERAPAMILO .:. 80 mg</v>
          </cell>
          <cell r="D123" t="str">
            <v>Comprimido</v>
          </cell>
          <cell r="E123">
            <v>36</v>
          </cell>
          <cell r="F123">
            <v>69.309972000000002</v>
          </cell>
          <cell r="H123">
            <v>0</v>
          </cell>
          <cell r="J123">
            <v>0</v>
          </cell>
          <cell r="M123">
            <v>36</v>
          </cell>
          <cell r="N123">
            <v>69.31</v>
          </cell>
          <cell r="P123">
            <v>0</v>
          </cell>
          <cell r="R123">
            <v>0</v>
          </cell>
          <cell r="S123">
            <v>72</v>
          </cell>
          <cell r="T123">
            <v>138.6199720008</v>
          </cell>
          <cell r="U123">
            <v>0</v>
          </cell>
          <cell r="V123">
            <v>0</v>
          </cell>
          <cell r="W123">
            <v>0</v>
          </cell>
          <cell r="X123">
            <v>2.5783299999999998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C-08-07</v>
          </cell>
          <cell r="C124" t="str">
            <v>AMLODIPINA .:. 10 mg</v>
          </cell>
          <cell r="D124" t="str">
            <v>Comprimido</v>
          </cell>
          <cell r="E124">
            <v>2929</v>
          </cell>
          <cell r="F124">
            <v>380.77</v>
          </cell>
          <cell r="H124">
            <v>20500</v>
          </cell>
          <cell r="J124">
            <v>2870</v>
          </cell>
          <cell r="M124">
            <v>55</v>
          </cell>
          <cell r="N124">
            <v>7.6058529999999998</v>
          </cell>
          <cell r="P124">
            <v>19626</v>
          </cell>
          <cell r="R124">
            <v>2719.4151427217998</v>
          </cell>
          <cell r="S124">
            <v>0</v>
          </cell>
          <cell r="T124">
            <v>0</v>
          </cell>
          <cell r="U124">
            <v>3858</v>
          </cell>
          <cell r="V124">
            <v>0.13969951059999999</v>
          </cell>
          <cell r="W124">
            <v>538.96071189480006</v>
          </cell>
          <cell r="X124">
            <v>2.5783299999999998</v>
          </cell>
          <cell r="Y124">
            <v>0</v>
          </cell>
          <cell r="Z124">
            <v>0.13969951059999999</v>
          </cell>
          <cell r="AA124">
            <v>538.96071189480006</v>
          </cell>
        </row>
        <row r="125">
          <cell r="B125" t="str">
            <v>C-09-01</v>
          </cell>
          <cell r="C125" t="str">
            <v>ENALAPRIL MALEATO .:. 10 mg</v>
          </cell>
          <cell r="D125" t="str">
            <v>Comprimido ranurado</v>
          </cell>
          <cell r="E125">
            <v>2296</v>
          </cell>
          <cell r="F125">
            <v>321.46754648960001</v>
          </cell>
          <cell r="H125">
            <v>5000</v>
          </cell>
          <cell r="J125">
            <v>1000</v>
          </cell>
          <cell r="M125">
            <v>30</v>
          </cell>
          <cell r="N125">
            <v>5.9650499999999997</v>
          </cell>
          <cell r="P125">
            <v>5260</v>
          </cell>
          <cell r="R125">
            <v>916.6388748992</v>
          </cell>
          <cell r="S125">
            <v>0</v>
          </cell>
          <cell r="T125">
            <v>0</v>
          </cell>
          <cell r="U125">
            <v>2066</v>
          </cell>
          <cell r="V125">
            <v>0.19883529599999999</v>
          </cell>
          <cell r="W125">
            <v>410.79372153600002</v>
          </cell>
          <cell r="X125">
            <v>2.5783299999999998</v>
          </cell>
          <cell r="Y125">
            <v>0</v>
          </cell>
          <cell r="Z125">
            <v>0.19883529599999999</v>
          </cell>
          <cell r="AA125">
            <v>410.79372153600002</v>
          </cell>
        </row>
        <row r="126">
          <cell r="B126" t="str">
            <v>C-09-02</v>
          </cell>
          <cell r="C126" t="str">
            <v>LOSARTAN .:. 50 mg</v>
          </cell>
          <cell r="D126" t="str">
            <v>Comprimido</v>
          </cell>
          <cell r="E126">
            <v>14117</v>
          </cell>
          <cell r="F126">
            <v>9316.5169790468008</v>
          </cell>
          <cell r="H126">
            <v>156500</v>
          </cell>
          <cell r="J126">
            <v>62450</v>
          </cell>
          <cell r="M126">
            <v>57</v>
          </cell>
          <cell r="N126">
            <v>25.338367000000002</v>
          </cell>
          <cell r="P126">
            <v>146382</v>
          </cell>
          <cell r="R126">
            <v>62164.291007298598</v>
          </cell>
          <cell r="S126">
            <v>0</v>
          </cell>
          <cell r="T126">
            <v>0</v>
          </cell>
          <cell r="U126">
            <v>24292</v>
          </cell>
          <cell r="V126">
            <v>0.39632654119999999</v>
          </cell>
          <cell r="W126">
            <v>9627.5643388303997</v>
          </cell>
          <cell r="X126">
            <v>2.5783299999999998</v>
          </cell>
          <cell r="Y126">
            <v>0</v>
          </cell>
          <cell r="Z126">
            <v>0.39632654119999999</v>
          </cell>
          <cell r="AA126">
            <v>9627.5643388303997</v>
          </cell>
        </row>
        <row r="127">
          <cell r="B127" t="str">
            <v>C-10-01</v>
          </cell>
          <cell r="C127" t="str">
            <v>ATORVASTATINA .:. 10 mg</v>
          </cell>
          <cell r="D127" t="str">
            <v>Comprimido</v>
          </cell>
          <cell r="E127">
            <v>964</v>
          </cell>
          <cell r="F127">
            <v>96.4</v>
          </cell>
          <cell r="H127">
            <v>18300</v>
          </cell>
          <cell r="J127">
            <v>4607</v>
          </cell>
          <cell r="M127">
            <v>4</v>
          </cell>
          <cell r="N127">
            <v>0.99624000000000001</v>
          </cell>
          <cell r="P127">
            <v>11537</v>
          </cell>
          <cell r="R127">
            <v>2778.905818144</v>
          </cell>
          <cell r="S127">
            <v>0</v>
          </cell>
          <cell r="T127">
            <v>0</v>
          </cell>
          <cell r="U127">
            <v>7731</v>
          </cell>
          <cell r="V127">
            <v>0.2490609782</v>
          </cell>
          <cell r="W127">
            <v>1925.4904224642</v>
          </cell>
          <cell r="X127">
            <v>2.5783299999999998</v>
          </cell>
          <cell r="Y127">
            <v>0</v>
          </cell>
          <cell r="Z127">
            <v>0.2490609782</v>
          </cell>
          <cell r="AA127">
            <v>1925.4904224642</v>
          </cell>
        </row>
        <row r="128">
          <cell r="B128" t="str">
            <v>C-10-02</v>
          </cell>
          <cell r="C128" t="str">
            <v>GENFIBROZILO .:. 600 mg</v>
          </cell>
          <cell r="D128" t="str">
            <v>Comprimido</v>
          </cell>
          <cell r="E128">
            <v>1111</v>
          </cell>
          <cell r="F128">
            <v>1087.8971878456</v>
          </cell>
          <cell r="H128">
            <v>8400</v>
          </cell>
          <cell r="J128">
            <v>7476</v>
          </cell>
          <cell r="M128">
            <v>0</v>
          </cell>
          <cell r="N128">
            <v>0</v>
          </cell>
          <cell r="P128">
            <v>6278</v>
          </cell>
          <cell r="R128">
            <v>5678.8084257436003</v>
          </cell>
          <cell r="S128">
            <v>0</v>
          </cell>
          <cell r="T128">
            <v>0</v>
          </cell>
          <cell r="U128">
            <v>3233</v>
          </cell>
          <cell r="V128">
            <v>0.89238749220000002</v>
          </cell>
          <cell r="W128">
            <v>2885.0887622825999</v>
          </cell>
          <cell r="X128">
            <v>2.5783299999999998</v>
          </cell>
          <cell r="Y128">
            <v>0</v>
          </cell>
          <cell r="Z128">
            <v>0.89238749220000002</v>
          </cell>
          <cell r="AA128">
            <v>2885.0887622825999</v>
          </cell>
        </row>
        <row r="129">
          <cell r="B129" t="str">
            <v>C-10-03</v>
          </cell>
          <cell r="C129" t="str">
            <v>ROSUVASTATINA .:. 20 mg</v>
          </cell>
          <cell r="D129" t="str">
            <v>Comprimido</v>
          </cell>
          <cell r="E129">
            <v>145</v>
          </cell>
          <cell r="F129">
            <v>429.08163265749999</v>
          </cell>
          <cell r="H129">
            <v>8300</v>
          </cell>
          <cell r="J129">
            <v>16190</v>
          </cell>
          <cell r="M129">
            <v>40</v>
          </cell>
          <cell r="N129">
            <v>64.330439999999996</v>
          </cell>
          <cell r="P129">
            <v>6314</v>
          </cell>
          <cell r="R129">
            <v>11113.696392935801</v>
          </cell>
          <cell r="S129">
            <v>0</v>
          </cell>
          <cell r="T129">
            <v>0</v>
          </cell>
          <cell r="U129">
            <v>2171</v>
          </cell>
          <cell r="V129">
            <v>2.5655069919</v>
          </cell>
          <cell r="W129">
            <v>5569.7156794148996</v>
          </cell>
          <cell r="X129">
            <v>2.5783299999999998</v>
          </cell>
          <cell r="Y129">
            <v>0</v>
          </cell>
          <cell r="Z129">
            <v>2.5655069919</v>
          </cell>
          <cell r="AA129">
            <v>5569.7156794148996</v>
          </cell>
        </row>
        <row r="130">
          <cell r="B130" t="str">
            <v>C-10-04</v>
          </cell>
          <cell r="C130" t="str">
            <v>FENOFIBRATO .:. 200 mg</v>
          </cell>
          <cell r="D130" t="str">
            <v>Cápsula o Comprimido</v>
          </cell>
          <cell r="E130">
            <v>207</v>
          </cell>
          <cell r="F130">
            <v>808.46937224910005</v>
          </cell>
          <cell r="H130">
            <v>7400</v>
          </cell>
          <cell r="J130">
            <v>28510</v>
          </cell>
          <cell r="M130">
            <v>0</v>
          </cell>
          <cell r="N130">
            <v>0</v>
          </cell>
          <cell r="P130">
            <v>6923</v>
          </cell>
          <cell r="R130">
            <v>26718.123280481599</v>
          </cell>
          <cell r="S130">
            <v>0</v>
          </cell>
          <cell r="T130">
            <v>0</v>
          </cell>
          <cell r="U130">
            <v>684</v>
          </cell>
          <cell r="V130">
            <v>3.8016755729999998</v>
          </cell>
          <cell r="W130">
            <v>2600.346091932</v>
          </cell>
          <cell r="X130">
            <v>2.5783299999999998</v>
          </cell>
          <cell r="Y130">
            <v>0</v>
          </cell>
          <cell r="Z130">
            <v>3.8016755729999998</v>
          </cell>
          <cell r="AA130">
            <v>2600.346091932</v>
          </cell>
        </row>
        <row r="131">
          <cell r="B131" t="str">
            <v>C-10-05</v>
          </cell>
          <cell r="C131" t="str">
            <v>ATORVASTATINA .:. 20 mg.</v>
          </cell>
          <cell r="D131" t="str">
            <v>Comprimido</v>
          </cell>
          <cell r="E131">
            <v>9188</v>
          </cell>
          <cell r="F131">
            <v>4595.2101358604004</v>
          </cell>
          <cell r="H131">
            <v>62000</v>
          </cell>
          <cell r="J131">
            <v>32540</v>
          </cell>
          <cell r="M131">
            <v>86</v>
          </cell>
          <cell r="N131">
            <v>44.070785999999998</v>
          </cell>
          <cell r="P131">
            <v>64759</v>
          </cell>
          <cell r="R131">
            <v>33661.317263934499</v>
          </cell>
          <cell r="S131">
            <v>0</v>
          </cell>
          <cell r="T131">
            <v>0</v>
          </cell>
          <cell r="U131">
            <v>6515</v>
          </cell>
          <cell r="V131">
            <v>0.53997907290000002</v>
          </cell>
          <cell r="W131">
            <v>3517.9636599434998</v>
          </cell>
          <cell r="X131">
            <v>2.5783299999999998</v>
          </cell>
          <cell r="Y131">
            <v>0</v>
          </cell>
          <cell r="Z131">
            <v>0.53997907290000002</v>
          </cell>
          <cell r="AA131">
            <v>3517.9636599434998</v>
          </cell>
        </row>
        <row r="132">
          <cell r="B132" t="str">
            <v>D-01-02</v>
          </cell>
          <cell r="C132" t="str">
            <v>BACITRACINA + NEOMICINA SULFATO .:. 500 UI + 5 mg/g</v>
          </cell>
          <cell r="D132" t="str">
            <v>Crema o Pomada</v>
          </cell>
          <cell r="E132">
            <v>14</v>
          </cell>
          <cell r="F132">
            <v>93.8</v>
          </cell>
          <cell r="H132">
            <v>170</v>
          </cell>
          <cell r="J132">
            <v>1115</v>
          </cell>
          <cell r="M132">
            <v>1</v>
          </cell>
          <cell r="N132">
            <v>6.5055550000000002</v>
          </cell>
          <cell r="P132">
            <v>154</v>
          </cell>
          <cell r="R132">
            <v>1010.7055550026</v>
          </cell>
          <cell r="S132">
            <v>0</v>
          </cell>
          <cell r="T132">
            <v>0</v>
          </cell>
          <cell r="U132">
            <v>31</v>
          </cell>
          <cell r="V132">
            <v>6.6</v>
          </cell>
          <cell r="W132">
            <v>204.6</v>
          </cell>
          <cell r="X132">
            <v>2.5783299999999998</v>
          </cell>
          <cell r="Y132">
            <v>0</v>
          </cell>
          <cell r="Z132">
            <v>6.6</v>
          </cell>
          <cell r="AA132">
            <v>204.6</v>
          </cell>
        </row>
        <row r="133">
          <cell r="B133" t="str">
            <v>D-01-03</v>
          </cell>
          <cell r="C133" t="str">
            <v>CLOTRIMAZOL .:. 0.01</v>
          </cell>
          <cell r="D133" t="str">
            <v>Crema o Pomada</v>
          </cell>
          <cell r="E133">
            <v>60</v>
          </cell>
          <cell r="F133">
            <v>210</v>
          </cell>
          <cell r="H133">
            <v>250</v>
          </cell>
          <cell r="J133">
            <v>800</v>
          </cell>
          <cell r="M133">
            <v>0</v>
          </cell>
          <cell r="N133">
            <v>0</v>
          </cell>
          <cell r="P133">
            <v>292</v>
          </cell>
          <cell r="R133">
            <v>952.4</v>
          </cell>
          <cell r="S133">
            <v>0</v>
          </cell>
          <cell r="T133">
            <v>0</v>
          </cell>
          <cell r="U133">
            <v>18</v>
          </cell>
          <cell r="V133">
            <v>3.2</v>
          </cell>
          <cell r="W133">
            <v>57.6</v>
          </cell>
          <cell r="X133">
            <v>2.5783299999999998</v>
          </cell>
          <cell r="Y133">
            <v>0</v>
          </cell>
          <cell r="Z133">
            <v>3.2</v>
          </cell>
          <cell r="AA133">
            <v>57.6</v>
          </cell>
        </row>
        <row r="134">
          <cell r="B134" t="str">
            <v>D-01-06</v>
          </cell>
          <cell r="C134" t="str">
            <v>TOLNAFTATO .:. 0.01</v>
          </cell>
          <cell r="D134" t="str">
            <v>Solución</v>
          </cell>
          <cell r="E134">
            <v>11</v>
          </cell>
          <cell r="F134">
            <v>253</v>
          </cell>
          <cell r="H134">
            <v>0</v>
          </cell>
          <cell r="J134">
            <v>0</v>
          </cell>
          <cell r="M134">
            <v>0</v>
          </cell>
          <cell r="N134">
            <v>0</v>
          </cell>
          <cell r="P134">
            <v>11</v>
          </cell>
          <cell r="R134">
            <v>253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2.5783299999999998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D-01-07</v>
          </cell>
          <cell r="C135" t="str">
            <v>VIOLETA DE GENCIANA (CLORURO DE METILROSANILINA) .:. 0.01</v>
          </cell>
          <cell r="D135" t="str">
            <v>Solución</v>
          </cell>
          <cell r="E135">
            <v>7</v>
          </cell>
          <cell r="F135">
            <v>18.899999999999999</v>
          </cell>
          <cell r="H135">
            <v>0</v>
          </cell>
          <cell r="J135">
            <v>0</v>
          </cell>
          <cell r="M135">
            <v>0</v>
          </cell>
          <cell r="N135">
            <v>0</v>
          </cell>
          <cell r="P135">
            <v>7</v>
          </cell>
          <cell r="R135">
            <v>18.899999999999999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2.5783299999999998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D-02-02</v>
          </cell>
          <cell r="C136" t="str">
            <v>OXIDO DE ZINC CON O SIN ACEITE .:. Según disponibilidad</v>
          </cell>
          <cell r="D136" t="str">
            <v>Pasta o Pomada</v>
          </cell>
          <cell r="E136">
            <v>12</v>
          </cell>
          <cell r="F136">
            <v>81.48</v>
          </cell>
          <cell r="H136">
            <v>35</v>
          </cell>
          <cell r="J136">
            <v>274.75</v>
          </cell>
          <cell r="M136">
            <v>0</v>
          </cell>
          <cell r="N136">
            <v>0</v>
          </cell>
          <cell r="P136">
            <v>38</v>
          </cell>
          <cell r="R136">
            <v>285.58</v>
          </cell>
          <cell r="S136">
            <v>0</v>
          </cell>
          <cell r="T136">
            <v>0</v>
          </cell>
          <cell r="U136">
            <v>9</v>
          </cell>
          <cell r="V136">
            <v>7.85</v>
          </cell>
          <cell r="W136">
            <v>70.650000000000006</v>
          </cell>
          <cell r="X136">
            <v>2.5783299999999998</v>
          </cell>
          <cell r="Y136">
            <v>0</v>
          </cell>
          <cell r="Z136">
            <v>7.85</v>
          </cell>
          <cell r="AA136">
            <v>70.650000000000006</v>
          </cell>
        </row>
        <row r="137">
          <cell r="B137" t="str">
            <v>D-02-04</v>
          </cell>
          <cell r="C137" t="str">
            <v>VASELINA LIQUIDA .:. Según disponibilidad</v>
          </cell>
          <cell r="D137" t="str">
            <v>Solución 1 l</v>
          </cell>
          <cell r="E137">
            <v>2</v>
          </cell>
          <cell r="F137">
            <v>70</v>
          </cell>
          <cell r="H137">
            <v>35</v>
          </cell>
          <cell r="J137">
            <v>1469.65</v>
          </cell>
          <cell r="M137">
            <v>0</v>
          </cell>
          <cell r="N137">
            <v>0</v>
          </cell>
          <cell r="P137">
            <v>37</v>
          </cell>
          <cell r="R137">
            <v>1539.65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2.5783299999999998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D-04-01</v>
          </cell>
          <cell r="C138" t="str">
            <v>LIDOCAINA .:. 0.02</v>
          </cell>
          <cell r="D138" t="str">
            <v>Gel o Jalea</v>
          </cell>
          <cell r="E138">
            <v>0</v>
          </cell>
          <cell r="F138">
            <v>0</v>
          </cell>
          <cell r="H138">
            <v>2</v>
          </cell>
          <cell r="J138">
            <v>66</v>
          </cell>
          <cell r="M138">
            <v>0</v>
          </cell>
          <cell r="N138">
            <v>0</v>
          </cell>
          <cell r="P138">
            <v>2</v>
          </cell>
          <cell r="R138">
            <v>66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2.5783299999999998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D-04-011</v>
          </cell>
          <cell r="C139" t="str">
            <v>LIDOCAINA  2%  ANESTESICO TOPICO (ODONTOLOGICO) .:. 2%</v>
          </cell>
          <cell r="D139" t="str">
            <v>Frasco</v>
          </cell>
          <cell r="E139">
            <v>0</v>
          </cell>
          <cell r="F139">
            <v>0</v>
          </cell>
          <cell r="H139">
            <v>2</v>
          </cell>
          <cell r="J139">
            <v>64</v>
          </cell>
          <cell r="M139">
            <v>0</v>
          </cell>
          <cell r="N139">
            <v>0</v>
          </cell>
          <cell r="P139">
            <v>2</v>
          </cell>
          <cell r="R139">
            <v>64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2.5783299999999998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D-06-02</v>
          </cell>
          <cell r="C140" t="str">
            <v>SULFADIAZINA DE PLATA .:. 0.01</v>
          </cell>
          <cell r="D140" t="str">
            <v>Crema o Pomada</v>
          </cell>
          <cell r="E140">
            <v>10</v>
          </cell>
          <cell r="F140">
            <v>385.51323000000002</v>
          </cell>
          <cell r="H140">
            <v>25</v>
          </cell>
          <cell r="J140">
            <v>1075</v>
          </cell>
          <cell r="M140">
            <v>0</v>
          </cell>
          <cell r="N140">
            <v>0</v>
          </cell>
          <cell r="P140">
            <v>22</v>
          </cell>
          <cell r="R140">
            <v>903.73756850049995</v>
          </cell>
          <cell r="S140">
            <v>0</v>
          </cell>
          <cell r="T140">
            <v>0</v>
          </cell>
          <cell r="U140">
            <v>13</v>
          </cell>
          <cell r="V140">
            <v>42.828897038500003</v>
          </cell>
          <cell r="W140">
            <v>556.77566150049995</v>
          </cell>
          <cell r="X140">
            <v>2.5783299999999998</v>
          </cell>
          <cell r="Y140">
            <v>0</v>
          </cell>
          <cell r="Z140">
            <v>42.828897038500003</v>
          </cell>
          <cell r="AA140">
            <v>556.77566150049995</v>
          </cell>
        </row>
        <row r="141">
          <cell r="B141" t="str">
            <v>D-06-03</v>
          </cell>
          <cell r="C141" t="str">
            <v>ACICLOVIR .:. 0.05</v>
          </cell>
          <cell r="D141" t="str">
            <v>Crema dermica</v>
          </cell>
          <cell r="E141">
            <v>22</v>
          </cell>
          <cell r="F141">
            <v>176</v>
          </cell>
          <cell r="H141">
            <v>70</v>
          </cell>
          <cell r="J141">
            <v>504</v>
          </cell>
          <cell r="M141">
            <v>0</v>
          </cell>
          <cell r="N141">
            <v>0</v>
          </cell>
          <cell r="P141">
            <v>46</v>
          </cell>
          <cell r="R141">
            <v>348.8</v>
          </cell>
          <cell r="S141">
            <v>0</v>
          </cell>
          <cell r="T141">
            <v>0</v>
          </cell>
          <cell r="U141">
            <v>46</v>
          </cell>
          <cell r="V141">
            <v>7.2</v>
          </cell>
          <cell r="W141">
            <v>331.2</v>
          </cell>
          <cell r="X141">
            <v>2.5783299999999998</v>
          </cell>
          <cell r="Y141">
            <v>0</v>
          </cell>
          <cell r="Z141">
            <v>7.2</v>
          </cell>
          <cell r="AA141">
            <v>331.2</v>
          </cell>
        </row>
        <row r="142">
          <cell r="B142" t="str">
            <v>D-07-01</v>
          </cell>
          <cell r="C142" t="str">
            <v>BETAMETASONA (VALERATO) .:. 0,1%</v>
          </cell>
          <cell r="D142" t="str">
            <v>Crema o Pomada</v>
          </cell>
          <cell r="E142">
            <v>19</v>
          </cell>
          <cell r="F142">
            <v>149.6038897745</v>
          </cell>
          <cell r="H142">
            <v>200</v>
          </cell>
          <cell r="J142">
            <v>1800</v>
          </cell>
          <cell r="M142">
            <v>0</v>
          </cell>
          <cell r="N142">
            <v>0</v>
          </cell>
          <cell r="P142">
            <v>165</v>
          </cell>
          <cell r="R142">
            <v>1463.6038897745</v>
          </cell>
          <cell r="S142">
            <v>0</v>
          </cell>
          <cell r="T142">
            <v>0</v>
          </cell>
          <cell r="U142">
            <v>54</v>
          </cell>
          <cell r="V142">
            <v>9</v>
          </cell>
          <cell r="W142">
            <v>486</v>
          </cell>
          <cell r="X142">
            <v>2.5783299999999998</v>
          </cell>
          <cell r="Y142">
            <v>0</v>
          </cell>
          <cell r="Z142">
            <v>9</v>
          </cell>
          <cell r="AA142">
            <v>486</v>
          </cell>
        </row>
        <row r="143">
          <cell r="B143" t="str">
            <v>D-07-02</v>
          </cell>
          <cell r="C143" t="str">
            <v>CLOBETASOL .:. 0,05%</v>
          </cell>
          <cell r="D143" t="str">
            <v>Crema o Pomada</v>
          </cell>
          <cell r="E143">
            <v>39</v>
          </cell>
          <cell r="F143">
            <v>444.6</v>
          </cell>
          <cell r="H143">
            <v>60</v>
          </cell>
          <cell r="J143">
            <v>678</v>
          </cell>
          <cell r="M143">
            <v>0</v>
          </cell>
          <cell r="N143">
            <v>0</v>
          </cell>
          <cell r="P143">
            <v>78</v>
          </cell>
          <cell r="R143">
            <v>885.3</v>
          </cell>
          <cell r="S143">
            <v>0</v>
          </cell>
          <cell r="T143">
            <v>0</v>
          </cell>
          <cell r="U143">
            <v>21</v>
          </cell>
          <cell r="V143">
            <v>11.3</v>
          </cell>
          <cell r="W143">
            <v>237.3</v>
          </cell>
          <cell r="X143">
            <v>2.5783299999999998</v>
          </cell>
          <cell r="Y143">
            <v>0</v>
          </cell>
          <cell r="Z143">
            <v>11.3</v>
          </cell>
          <cell r="AA143">
            <v>237.3</v>
          </cell>
        </row>
        <row r="144">
          <cell r="B144" t="str">
            <v>D-07-03</v>
          </cell>
          <cell r="C144" t="str">
            <v>CLOBETASOL .:. 0,05%</v>
          </cell>
          <cell r="D144" t="str">
            <v>Solución</v>
          </cell>
          <cell r="E144">
            <v>6</v>
          </cell>
          <cell r="F144">
            <v>326.66666666639998</v>
          </cell>
          <cell r="H144">
            <v>50</v>
          </cell>
          <cell r="J144">
            <v>2818</v>
          </cell>
          <cell r="M144">
            <v>0</v>
          </cell>
          <cell r="N144">
            <v>0</v>
          </cell>
          <cell r="P144">
            <v>41</v>
          </cell>
          <cell r="R144">
            <v>2291.1666666664</v>
          </cell>
          <cell r="S144">
            <v>0</v>
          </cell>
          <cell r="T144">
            <v>0</v>
          </cell>
          <cell r="U144">
            <v>15</v>
          </cell>
          <cell r="V144">
            <v>56.9</v>
          </cell>
          <cell r="W144">
            <v>853.5</v>
          </cell>
          <cell r="X144">
            <v>2.5783299999999998</v>
          </cell>
          <cell r="Y144">
            <v>0</v>
          </cell>
          <cell r="Z144">
            <v>56.9</v>
          </cell>
          <cell r="AA144">
            <v>853.5</v>
          </cell>
        </row>
        <row r="145">
          <cell r="B145" t="str">
            <v>D-07-04</v>
          </cell>
          <cell r="C145" t="str">
            <v>HIDROCORTISONA ACETATO .:. 0.01</v>
          </cell>
          <cell r="D145" t="str">
            <v>Crema o Pomada</v>
          </cell>
          <cell r="E145">
            <v>10</v>
          </cell>
          <cell r="F145">
            <v>80</v>
          </cell>
          <cell r="H145">
            <v>150</v>
          </cell>
          <cell r="J145">
            <v>1050</v>
          </cell>
          <cell r="M145">
            <v>0</v>
          </cell>
          <cell r="N145">
            <v>0</v>
          </cell>
          <cell r="P145">
            <v>77</v>
          </cell>
          <cell r="R145">
            <v>549</v>
          </cell>
          <cell r="S145">
            <v>0</v>
          </cell>
          <cell r="T145">
            <v>0</v>
          </cell>
          <cell r="U145">
            <v>83</v>
          </cell>
          <cell r="V145">
            <v>7</v>
          </cell>
          <cell r="W145">
            <v>581</v>
          </cell>
          <cell r="X145">
            <v>2.5783299999999998</v>
          </cell>
          <cell r="Y145">
            <v>0</v>
          </cell>
          <cell r="Z145">
            <v>7</v>
          </cell>
          <cell r="AA145">
            <v>581</v>
          </cell>
        </row>
        <row r="146">
          <cell r="B146" t="str">
            <v>D-08-01</v>
          </cell>
          <cell r="C146" t="str">
            <v>ALCOHOL ETILICO (ETANOL) .:. 70% a 95%</v>
          </cell>
          <cell r="D146" t="str">
            <v>Solución 1 l</v>
          </cell>
          <cell r="E146">
            <v>435</v>
          </cell>
          <cell r="F146">
            <v>8114.3538386054997</v>
          </cell>
          <cell r="H146">
            <v>0</v>
          </cell>
          <cell r="J146">
            <v>0</v>
          </cell>
          <cell r="M146">
            <v>0</v>
          </cell>
          <cell r="N146">
            <v>0</v>
          </cell>
          <cell r="P146">
            <v>275</v>
          </cell>
          <cell r="R146">
            <v>5129.7639209575</v>
          </cell>
          <cell r="S146">
            <v>0</v>
          </cell>
          <cell r="T146">
            <v>0</v>
          </cell>
          <cell r="U146">
            <v>160</v>
          </cell>
          <cell r="V146">
            <v>18.653686985299998</v>
          </cell>
          <cell r="W146">
            <v>2984.5899176480002</v>
          </cell>
          <cell r="X146">
            <v>2.5783299999999998</v>
          </cell>
          <cell r="Y146">
            <v>0</v>
          </cell>
          <cell r="Z146">
            <v>18.653686985299998</v>
          </cell>
          <cell r="AA146">
            <v>2984.5899176480002</v>
          </cell>
        </row>
        <row r="147">
          <cell r="B147" t="str">
            <v>D-08-02</v>
          </cell>
          <cell r="C147" t="str">
            <v>CLORHEXIDINA GLUCONATO .:. Según disponibilidad</v>
          </cell>
          <cell r="D147" t="str">
            <v>Solución</v>
          </cell>
          <cell r="E147">
            <v>5</v>
          </cell>
          <cell r="F147">
            <v>528.16287499999999</v>
          </cell>
          <cell r="H147">
            <v>5</v>
          </cell>
          <cell r="J147">
            <v>343</v>
          </cell>
          <cell r="M147">
            <v>5</v>
          </cell>
          <cell r="N147">
            <v>528.16</v>
          </cell>
          <cell r="P147">
            <v>5</v>
          </cell>
          <cell r="R147">
            <v>528.16</v>
          </cell>
          <cell r="S147">
            <v>5</v>
          </cell>
          <cell r="T147">
            <v>528.16287499999999</v>
          </cell>
          <cell r="U147">
            <v>5</v>
          </cell>
          <cell r="V147">
            <v>68.599999999999994</v>
          </cell>
          <cell r="W147">
            <v>343</v>
          </cell>
          <cell r="X147">
            <v>2.5783299999999998</v>
          </cell>
          <cell r="Y147">
            <v>0</v>
          </cell>
          <cell r="Z147">
            <v>68.599999999999994</v>
          </cell>
          <cell r="AA147">
            <v>343</v>
          </cell>
        </row>
        <row r="148">
          <cell r="B148" t="str">
            <v>D-08-021</v>
          </cell>
          <cell r="C148" t="str">
            <v>CLORHEXIDINA (ODONTOLOGIA) .:. SEGUN DISPONIBILIDAD</v>
          </cell>
          <cell r="D148" t="str">
            <v>Frasco</v>
          </cell>
          <cell r="E148">
            <v>0</v>
          </cell>
          <cell r="F148">
            <v>0</v>
          </cell>
          <cell r="H148">
            <v>1</v>
          </cell>
          <cell r="J148">
            <v>120</v>
          </cell>
          <cell r="M148">
            <v>0</v>
          </cell>
          <cell r="N148">
            <v>0</v>
          </cell>
          <cell r="P148">
            <v>1</v>
          </cell>
          <cell r="R148">
            <v>120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2.5783299999999998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D-08-03</v>
          </cell>
          <cell r="C149" t="str">
            <v>ETER ALIFATICO DIETILAMINO ETANOL .:. Según disponibilidad</v>
          </cell>
          <cell r="D149" t="str">
            <v>Solución 1 l</v>
          </cell>
          <cell r="E149">
            <v>4</v>
          </cell>
          <cell r="F149">
            <v>2459.6799999999998</v>
          </cell>
          <cell r="H149">
            <v>0</v>
          </cell>
          <cell r="J149">
            <v>0</v>
          </cell>
          <cell r="M149">
            <v>0</v>
          </cell>
          <cell r="N149">
            <v>0</v>
          </cell>
          <cell r="P149">
            <v>1</v>
          </cell>
          <cell r="R149">
            <v>614.91999999999996</v>
          </cell>
          <cell r="S149">
            <v>0</v>
          </cell>
          <cell r="T149">
            <v>0</v>
          </cell>
          <cell r="U149">
            <v>3</v>
          </cell>
          <cell r="V149">
            <v>614.91999999999996</v>
          </cell>
          <cell r="W149">
            <v>1844.76</v>
          </cell>
          <cell r="X149">
            <v>2.5783299999999998</v>
          </cell>
          <cell r="Y149">
            <v>0</v>
          </cell>
          <cell r="Z149">
            <v>614.91999999999996</v>
          </cell>
          <cell r="AA149">
            <v>1844.76</v>
          </cell>
        </row>
        <row r="150">
          <cell r="B150" t="str">
            <v>D-08-08</v>
          </cell>
          <cell r="C150" t="str">
            <v>IODO POVIDONA (YODOPOVIDONA) .:. 0.1</v>
          </cell>
          <cell r="D150" t="str">
            <v>Solución</v>
          </cell>
          <cell r="E150">
            <v>4</v>
          </cell>
          <cell r="F150">
            <v>208</v>
          </cell>
          <cell r="H150">
            <v>10</v>
          </cell>
          <cell r="J150">
            <v>550</v>
          </cell>
          <cell r="M150">
            <v>0</v>
          </cell>
          <cell r="N150">
            <v>0</v>
          </cell>
          <cell r="P150">
            <v>5</v>
          </cell>
          <cell r="R150">
            <v>265.45454545460001</v>
          </cell>
          <cell r="S150">
            <v>0</v>
          </cell>
          <cell r="T150">
            <v>0</v>
          </cell>
          <cell r="U150">
            <v>9</v>
          </cell>
          <cell r="V150">
            <v>54.727272727299997</v>
          </cell>
          <cell r="W150">
            <v>492.54545454570001</v>
          </cell>
          <cell r="X150">
            <v>2.5783299999999998</v>
          </cell>
          <cell r="Y150">
            <v>0</v>
          </cell>
          <cell r="Z150">
            <v>54.727272727299997</v>
          </cell>
          <cell r="AA150">
            <v>492.54545454570001</v>
          </cell>
        </row>
        <row r="151">
          <cell r="B151" t="str">
            <v>D-08-10</v>
          </cell>
          <cell r="C151" t="str">
            <v>PEROXIDO DE HIDROGENO (AGUA OXIGENADA) .:. 2% o 3%</v>
          </cell>
          <cell r="D151" t="str">
            <v>Solución</v>
          </cell>
          <cell r="E151">
            <v>3</v>
          </cell>
          <cell r="F151">
            <v>39.57</v>
          </cell>
          <cell r="H151">
            <v>10</v>
          </cell>
          <cell r="J151">
            <v>120</v>
          </cell>
          <cell r="M151">
            <v>0</v>
          </cell>
          <cell r="N151">
            <v>0</v>
          </cell>
          <cell r="P151">
            <v>6</v>
          </cell>
          <cell r="R151">
            <v>75.569999999999993</v>
          </cell>
          <cell r="S151">
            <v>0</v>
          </cell>
          <cell r="T151">
            <v>0</v>
          </cell>
          <cell r="U151">
            <v>7</v>
          </cell>
          <cell r="V151">
            <v>12</v>
          </cell>
          <cell r="W151">
            <v>84</v>
          </cell>
          <cell r="X151">
            <v>2.5783299999999998</v>
          </cell>
          <cell r="Y151">
            <v>0</v>
          </cell>
          <cell r="Z151">
            <v>12</v>
          </cell>
          <cell r="AA151">
            <v>84</v>
          </cell>
        </row>
        <row r="152">
          <cell r="B152" t="str">
            <v>D-10-01</v>
          </cell>
          <cell r="C152" t="str">
            <v>ERITROMICINA .:. 2% a 4%</v>
          </cell>
          <cell r="D152" t="str">
            <v>Loción</v>
          </cell>
          <cell r="E152">
            <v>23</v>
          </cell>
          <cell r="F152">
            <v>1299.96</v>
          </cell>
          <cell r="H152">
            <v>0</v>
          </cell>
          <cell r="J152">
            <v>0</v>
          </cell>
          <cell r="M152">
            <v>0</v>
          </cell>
          <cell r="N152">
            <v>0</v>
          </cell>
          <cell r="P152">
            <v>23</v>
          </cell>
          <cell r="R152">
            <v>1299.96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2.5783299999999998</v>
          </cell>
          <cell r="Y152">
            <v>0</v>
          </cell>
          <cell r="Z152">
            <v>0</v>
          </cell>
          <cell r="AA152">
            <v>0</v>
          </cell>
        </row>
        <row r="153">
          <cell r="B153" t="str">
            <v>D-10-03</v>
          </cell>
          <cell r="C153" t="str">
            <v>PEROXIDO DE BENZOILO .:. 0.05</v>
          </cell>
          <cell r="D153" t="str">
            <v>Crema, Pomada o Gel</v>
          </cell>
          <cell r="E153">
            <v>21</v>
          </cell>
          <cell r="F153">
            <v>1354.5</v>
          </cell>
          <cell r="H153">
            <v>30</v>
          </cell>
          <cell r="J153">
            <v>420</v>
          </cell>
          <cell r="M153">
            <v>0</v>
          </cell>
          <cell r="N153">
            <v>0</v>
          </cell>
          <cell r="P153">
            <v>25</v>
          </cell>
          <cell r="R153">
            <v>1410.5</v>
          </cell>
          <cell r="S153">
            <v>0</v>
          </cell>
          <cell r="T153">
            <v>0</v>
          </cell>
          <cell r="U153">
            <v>26</v>
          </cell>
          <cell r="V153">
            <v>14</v>
          </cell>
          <cell r="W153">
            <v>364</v>
          </cell>
          <cell r="X153">
            <v>2.5783299999999998</v>
          </cell>
          <cell r="Y153">
            <v>0</v>
          </cell>
          <cell r="Z153">
            <v>14</v>
          </cell>
          <cell r="AA153">
            <v>364</v>
          </cell>
        </row>
        <row r="154">
          <cell r="B154" t="str">
            <v>D-10-04</v>
          </cell>
          <cell r="C154" t="str">
            <v>RESORCINOL .:. 0.1</v>
          </cell>
          <cell r="D154" t="str">
            <v>Crema o Pomada</v>
          </cell>
          <cell r="E154">
            <v>8</v>
          </cell>
          <cell r="F154">
            <v>171.013328</v>
          </cell>
          <cell r="H154">
            <v>0</v>
          </cell>
          <cell r="J154">
            <v>0</v>
          </cell>
          <cell r="M154">
            <v>8</v>
          </cell>
          <cell r="N154">
            <v>171.01</v>
          </cell>
          <cell r="P154">
            <v>0</v>
          </cell>
          <cell r="R154">
            <v>0</v>
          </cell>
          <cell r="S154">
            <v>8</v>
          </cell>
          <cell r="T154">
            <v>171.013328</v>
          </cell>
          <cell r="U154">
            <v>8</v>
          </cell>
          <cell r="V154">
            <v>21.376249999999999</v>
          </cell>
          <cell r="W154">
            <v>171.01</v>
          </cell>
          <cell r="X154">
            <v>2.5783299999999998</v>
          </cell>
          <cell r="Y154">
            <v>0</v>
          </cell>
          <cell r="Z154">
            <v>21.376249999999999</v>
          </cell>
          <cell r="AA154">
            <v>171.01</v>
          </cell>
        </row>
        <row r="155">
          <cell r="B155" t="str">
            <v>DAC001</v>
          </cell>
          <cell r="C155" t="str">
            <v>AGUJA DESCARTABLE .:. 18 * 1 1/2 "</v>
          </cell>
          <cell r="D155" t="str">
            <v>Sobre estéril</v>
          </cell>
          <cell r="E155">
            <v>193</v>
          </cell>
          <cell r="F155">
            <v>41.494999999999997</v>
          </cell>
          <cell r="H155">
            <v>200</v>
          </cell>
          <cell r="J155">
            <v>48</v>
          </cell>
          <cell r="M155">
            <v>5</v>
          </cell>
          <cell r="N155">
            <v>1.2</v>
          </cell>
          <cell r="P155">
            <v>385</v>
          </cell>
          <cell r="R155">
            <v>87.575000000000003</v>
          </cell>
          <cell r="S155">
            <v>0</v>
          </cell>
          <cell r="T155">
            <v>0</v>
          </cell>
          <cell r="U155">
            <v>13</v>
          </cell>
          <cell r="V155">
            <v>0.24</v>
          </cell>
          <cell r="W155">
            <v>3.12</v>
          </cell>
          <cell r="X155">
            <v>2.5783299999999998</v>
          </cell>
          <cell r="Y155">
            <v>0</v>
          </cell>
          <cell r="Z155">
            <v>0.24</v>
          </cell>
          <cell r="AA155">
            <v>3.12</v>
          </cell>
        </row>
        <row r="156">
          <cell r="B156" t="str">
            <v>DAC007</v>
          </cell>
          <cell r="C156" t="str">
            <v>AGUJA DESCARTABLE .:. N° 25 * 5/8"</v>
          </cell>
          <cell r="D156" t="str">
            <v>Sobre estéril</v>
          </cell>
          <cell r="E156">
            <v>897</v>
          </cell>
          <cell r="F156">
            <v>189.12788767859999</v>
          </cell>
          <cell r="H156">
            <v>1400</v>
          </cell>
          <cell r="J156">
            <v>336</v>
          </cell>
          <cell r="M156">
            <v>3</v>
          </cell>
          <cell r="N156">
            <v>0.70920899999999998</v>
          </cell>
          <cell r="P156">
            <v>1556</v>
          </cell>
          <cell r="R156">
            <v>349.95286642259998</v>
          </cell>
          <cell r="S156">
            <v>0</v>
          </cell>
          <cell r="T156">
            <v>0</v>
          </cell>
          <cell r="U156">
            <v>744</v>
          </cell>
          <cell r="V156">
            <v>0.23640353519999999</v>
          </cell>
          <cell r="W156">
            <v>175.88423018879999</v>
          </cell>
          <cell r="X156">
            <v>2.5783299999999998</v>
          </cell>
          <cell r="Y156">
            <v>0</v>
          </cell>
          <cell r="Z156">
            <v>0.23640353519999999</v>
          </cell>
          <cell r="AA156">
            <v>175.88423018879999</v>
          </cell>
        </row>
        <row r="157">
          <cell r="B157" t="str">
            <v>DAC008</v>
          </cell>
          <cell r="C157" t="str">
            <v>AGUJA DESCARTABLE .:. N° 21 * 1 1/2"</v>
          </cell>
          <cell r="D157" t="str">
            <v>Sobre estéril</v>
          </cell>
          <cell r="E157">
            <v>597</v>
          </cell>
          <cell r="F157">
            <v>131.34</v>
          </cell>
          <cell r="H157">
            <v>2000</v>
          </cell>
          <cell r="J157">
            <v>420</v>
          </cell>
          <cell r="M157">
            <v>0</v>
          </cell>
          <cell r="N157">
            <v>0</v>
          </cell>
          <cell r="P157">
            <v>1834</v>
          </cell>
          <cell r="R157">
            <v>391.11</v>
          </cell>
          <cell r="S157">
            <v>0</v>
          </cell>
          <cell r="T157">
            <v>0</v>
          </cell>
          <cell r="U157">
            <v>763</v>
          </cell>
          <cell r="V157">
            <v>0.21</v>
          </cell>
          <cell r="W157">
            <v>160.22999999999999</v>
          </cell>
          <cell r="X157">
            <v>2.5783299999999998</v>
          </cell>
          <cell r="Y157">
            <v>0</v>
          </cell>
          <cell r="Z157">
            <v>0.21</v>
          </cell>
          <cell r="AA157">
            <v>160.22999999999999</v>
          </cell>
        </row>
        <row r="158">
          <cell r="B158" t="str">
            <v>DAC010</v>
          </cell>
          <cell r="C158" t="str">
            <v>AGUJA DESCARTABLE .:. N° 23 * 1 1/2"</v>
          </cell>
          <cell r="D158" t="str">
            <v>Sobre estéril</v>
          </cell>
          <cell r="E158">
            <v>1498</v>
          </cell>
          <cell r="F158">
            <v>314.58</v>
          </cell>
          <cell r="H158">
            <v>1200</v>
          </cell>
          <cell r="J158">
            <v>348</v>
          </cell>
          <cell r="M158">
            <v>0</v>
          </cell>
          <cell r="N158">
            <v>0</v>
          </cell>
          <cell r="P158">
            <v>2216</v>
          </cell>
          <cell r="R158">
            <v>522.79999999999995</v>
          </cell>
          <cell r="S158">
            <v>0</v>
          </cell>
          <cell r="T158">
            <v>0</v>
          </cell>
          <cell r="U158">
            <v>482</v>
          </cell>
          <cell r="V158">
            <v>0.28999999999999998</v>
          </cell>
          <cell r="W158">
            <v>139.78</v>
          </cell>
          <cell r="X158">
            <v>2.5783299999999998</v>
          </cell>
          <cell r="Y158">
            <v>0</v>
          </cell>
          <cell r="Z158">
            <v>0.28999999999999998</v>
          </cell>
          <cell r="AA158">
            <v>139.78</v>
          </cell>
        </row>
        <row r="159">
          <cell r="B159" t="str">
            <v>DAC013</v>
          </cell>
          <cell r="C159" t="str">
            <v>AGUJA PARA ANESTESIA RAQUIDEA .:. N° 25 PUNTA DE LAPIZ</v>
          </cell>
          <cell r="D159" t="str">
            <v>Sobre estéril</v>
          </cell>
          <cell r="E159">
            <v>18</v>
          </cell>
          <cell r="F159">
            <v>684</v>
          </cell>
          <cell r="H159">
            <v>25</v>
          </cell>
          <cell r="J159">
            <v>1300</v>
          </cell>
          <cell r="M159">
            <v>0</v>
          </cell>
          <cell r="N159">
            <v>0</v>
          </cell>
          <cell r="P159">
            <v>13</v>
          </cell>
          <cell r="R159">
            <v>525.81818181829999</v>
          </cell>
          <cell r="S159">
            <v>0</v>
          </cell>
          <cell r="T159">
            <v>0</v>
          </cell>
          <cell r="U159">
            <v>30</v>
          </cell>
          <cell r="V159">
            <v>48.606060606100002</v>
          </cell>
          <cell r="W159">
            <v>1458.1818181829999</v>
          </cell>
          <cell r="X159">
            <v>2.5783299999999998</v>
          </cell>
          <cell r="Y159">
            <v>0</v>
          </cell>
          <cell r="Z159">
            <v>48.606060606100002</v>
          </cell>
          <cell r="AA159">
            <v>1458.1818181829999</v>
          </cell>
        </row>
        <row r="160">
          <cell r="B160" t="str">
            <v>DAC014</v>
          </cell>
          <cell r="C160" t="str">
            <v>AGUJA PARA ANESTESIA RAQUIDEA .:. N° 27 PUNTA DE LAPIZ</v>
          </cell>
          <cell r="D160" t="str">
            <v>Sobre estéril</v>
          </cell>
          <cell r="E160">
            <v>25</v>
          </cell>
          <cell r="F160">
            <v>1000</v>
          </cell>
          <cell r="H160">
            <v>102</v>
          </cell>
          <cell r="J160">
            <v>5202</v>
          </cell>
          <cell r="M160">
            <v>6</v>
          </cell>
          <cell r="N160">
            <v>306</v>
          </cell>
          <cell r="P160">
            <v>80</v>
          </cell>
          <cell r="R160">
            <v>3805</v>
          </cell>
          <cell r="S160">
            <v>0</v>
          </cell>
          <cell r="T160">
            <v>0</v>
          </cell>
          <cell r="U160">
            <v>53</v>
          </cell>
          <cell r="V160">
            <v>51</v>
          </cell>
          <cell r="W160">
            <v>2703</v>
          </cell>
          <cell r="X160">
            <v>2.5783299999999998</v>
          </cell>
          <cell r="Y160">
            <v>0</v>
          </cell>
          <cell r="Z160">
            <v>51</v>
          </cell>
          <cell r="AA160">
            <v>2703</v>
          </cell>
        </row>
        <row r="161">
          <cell r="B161" t="str">
            <v>DAC040</v>
          </cell>
          <cell r="C161" t="str">
            <v>CATETER DOBLE "J" .:. Nº  6.0 FR X 24 CM CON GUIA HIDROFILICA</v>
          </cell>
          <cell r="D161" t="str">
            <v>Sobre estéril</v>
          </cell>
          <cell r="E161">
            <v>0</v>
          </cell>
          <cell r="F161">
            <v>0</v>
          </cell>
          <cell r="H161">
            <v>1</v>
          </cell>
          <cell r="J161">
            <v>1185</v>
          </cell>
          <cell r="M161">
            <v>0</v>
          </cell>
          <cell r="N161">
            <v>0</v>
          </cell>
          <cell r="P161">
            <v>1</v>
          </cell>
          <cell r="R161">
            <v>1185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2.5783299999999998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DAC055</v>
          </cell>
          <cell r="C162" t="str">
            <v>CATETER VENOSO CENTRAL .:. DOBLE LUMEN 7 X 20 (PARA CANALIZACION DE VENA SUBCLAVIA)</v>
          </cell>
          <cell r="D162" t="str">
            <v>Sobre estéril</v>
          </cell>
          <cell r="E162">
            <v>0</v>
          </cell>
          <cell r="F162">
            <v>0</v>
          </cell>
          <cell r="H162">
            <v>20</v>
          </cell>
          <cell r="J162">
            <v>6999.8</v>
          </cell>
          <cell r="M162">
            <v>10</v>
          </cell>
          <cell r="N162">
            <v>3499.9</v>
          </cell>
          <cell r="P162">
            <v>15</v>
          </cell>
          <cell r="R162">
            <v>5249.85</v>
          </cell>
          <cell r="S162">
            <v>9</v>
          </cell>
          <cell r="T162">
            <v>3149.91</v>
          </cell>
          <cell r="U162">
            <v>6</v>
          </cell>
          <cell r="V162">
            <v>349.99</v>
          </cell>
          <cell r="W162">
            <v>2099.94</v>
          </cell>
          <cell r="X162">
            <v>2.5783299999999998</v>
          </cell>
          <cell r="Y162">
            <v>0</v>
          </cell>
          <cell r="Z162">
            <v>349.99</v>
          </cell>
          <cell r="AA162">
            <v>2099.94</v>
          </cell>
        </row>
        <row r="163">
          <cell r="B163" t="str">
            <v>DAC065</v>
          </cell>
          <cell r="C163" t="str">
            <v>CATETER VENOSO PERIFERICO .:. Nº  18  CON ALETAS DE FIJACION</v>
          </cell>
          <cell r="D163" t="str">
            <v>Sobre estéril</v>
          </cell>
          <cell r="E163">
            <v>26</v>
          </cell>
          <cell r="F163">
            <v>104</v>
          </cell>
          <cell r="H163">
            <v>100</v>
          </cell>
          <cell r="J163">
            <v>385</v>
          </cell>
          <cell r="M163">
            <v>3</v>
          </cell>
          <cell r="N163">
            <v>11.55</v>
          </cell>
          <cell r="P163">
            <v>128</v>
          </cell>
          <cell r="R163">
            <v>496.7</v>
          </cell>
          <cell r="S163">
            <v>0</v>
          </cell>
          <cell r="T163">
            <v>0</v>
          </cell>
          <cell r="U163">
            <v>1</v>
          </cell>
          <cell r="V163">
            <v>3.85</v>
          </cell>
          <cell r="W163">
            <v>3.85</v>
          </cell>
          <cell r="X163">
            <v>2.5783299999999998</v>
          </cell>
          <cell r="Y163">
            <v>0</v>
          </cell>
          <cell r="Z163">
            <v>3.85</v>
          </cell>
          <cell r="AA163">
            <v>3.85</v>
          </cell>
        </row>
        <row r="164">
          <cell r="B164" t="str">
            <v>DAC066</v>
          </cell>
          <cell r="C164" t="str">
            <v>CATETER VENOSO PERIFERICO .:. Nº 20 CON ALETAS DE FIJACION</v>
          </cell>
          <cell r="D164" t="str">
            <v>Sobre estéril</v>
          </cell>
          <cell r="E164">
            <v>119</v>
          </cell>
          <cell r="F164">
            <v>456.96</v>
          </cell>
          <cell r="H164">
            <v>600</v>
          </cell>
          <cell r="J164">
            <v>2412</v>
          </cell>
          <cell r="M164">
            <v>17</v>
          </cell>
          <cell r="N164">
            <v>66.714684000000005</v>
          </cell>
          <cell r="P164">
            <v>589</v>
          </cell>
          <cell r="R164">
            <v>2318.64109852</v>
          </cell>
          <cell r="S164">
            <v>0</v>
          </cell>
          <cell r="T164">
            <v>0</v>
          </cell>
          <cell r="U164">
            <v>147</v>
          </cell>
          <cell r="V164">
            <v>4.1975073842999997</v>
          </cell>
          <cell r="W164">
            <v>617.03358549209997</v>
          </cell>
          <cell r="X164">
            <v>2.5783299999999998</v>
          </cell>
          <cell r="Y164">
            <v>0</v>
          </cell>
          <cell r="Z164">
            <v>4.1975073842999997</v>
          </cell>
          <cell r="AA164">
            <v>617.03358549209997</v>
          </cell>
        </row>
        <row r="165">
          <cell r="B165" t="str">
            <v>DAC067</v>
          </cell>
          <cell r="C165" t="str">
            <v>CATETER VENOSO PERIFERICO .:. Nº  22 CON ALETAS DE FIJACION</v>
          </cell>
          <cell r="D165" t="str">
            <v>Sobre estéril</v>
          </cell>
          <cell r="E165">
            <v>125</v>
          </cell>
          <cell r="F165">
            <v>475.20760085000001</v>
          </cell>
          <cell r="H165">
            <v>1250</v>
          </cell>
          <cell r="J165">
            <v>4750</v>
          </cell>
          <cell r="M165">
            <v>43</v>
          </cell>
          <cell r="N165">
            <v>163.40165999999999</v>
          </cell>
          <cell r="P165">
            <v>1288</v>
          </cell>
          <cell r="R165">
            <v>4894.6092608516001</v>
          </cell>
          <cell r="S165">
            <v>0</v>
          </cell>
          <cell r="T165">
            <v>0</v>
          </cell>
          <cell r="U165">
            <v>130</v>
          </cell>
          <cell r="V165">
            <v>3.8</v>
          </cell>
          <cell r="W165">
            <v>494</v>
          </cell>
          <cell r="X165">
            <v>2.5783299999999998</v>
          </cell>
          <cell r="Y165">
            <v>0</v>
          </cell>
          <cell r="Z165">
            <v>3.8</v>
          </cell>
          <cell r="AA165">
            <v>494</v>
          </cell>
        </row>
        <row r="166">
          <cell r="B166" t="str">
            <v>DAC068</v>
          </cell>
          <cell r="C166" t="str">
            <v>CATETER VENOSO PERIFERICO .:. Nº  24 CON ALETAS DE FIJACION</v>
          </cell>
          <cell r="D166" t="str">
            <v>Sobre estéril</v>
          </cell>
          <cell r="E166">
            <v>72</v>
          </cell>
          <cell r="F166">
            <v>273.37452911280002</v>
          </cell>
          <cell r="H166">
            <v>200</v>
          </cell>
          <cell r="J166">
            <v>760</v>
          </cell>
          <cell r="M166">
            <v>9</v>
          </cell>
          <cell r="N166">
            <v>34.193736000000001</v>
          </cell>
          <cell r="P166">
            <v>150</v>
          </cell>
          <cell r="R166">
            <v>569.76826511399997</v>
          </cell>
          <cell r="S166">
            <v>0</v>
          </cell>
          <cell r="T166">
            <v>0</v>
          </cell>
          <cell r="U166">
            <v>131</v>
          </cell>
          <cell r="V166">
            <v>3.8</v>
          </cell>
          <cell r="W166">
            <v>497.8</v>
          </cell>
          <cell r="X166">
            <v>2.5783299999999998</v>
          </cell>
          <cell r="Y166">
            <v>0</v>
          </cell>
          <cell r="Z166">
            <v>3.8</v>
          </cell>
          <cell r="AA166">
            <v>497.8</v>
          </cell>
        </row>
        <row r="167">
          <cell r="B167" t="str">
            <v>DAC069</v>
          </cell>
          <cell r="C167" t="str">
            <v>DISPOSITIVO BIDIRECCIONAL .:. PARA TRANSFERENCIA DE MEDICAMENTOS</v>
          </cell>
          <cell r="D167" t="str">
            <v>Sobre estéril</v>
          </cell>
          <cell r="E167">
            <v>22</v>
          </cell>
          <cell r="F167">
            <v>109.149986</v>
          </cell>
          <cell r="H167">
            <v>0</v>
          </cell>
          <cell r="J167">
            <v>0</v>
          </cell>
          <cell r="M167">
            <v>0</v>
          </cell>
          <cell r="N167">
            <v>0</v>
          </cell>
          <cell r="P167">
            <v>2</v>
          </cell>
          <cell r="R167">
            <v>9.9227260000000008</v>
          </cell>
          <cell r="S167">
            <v>0</v>
          </cell>
          <cell r="T167">
            <v>0</v>
          </cell>
          <cell r="U167">
            <v>20</v>
          </cell>
          <cell r="V167">
            <v>4.9613630000000004</v>
          </cell>
          <cell r="W167">
            <v>99.227260000000001</v>
          </cell>
          <cell r="X167">
            <v>2.5783299999999998</v>
          </cell>
          <cell r="Y167">
            <v>0</v>
          </cell>
          <cell r="Z167">
            <v>4.9613630000000004</v>
          </cell>
          <cell r="AA167">
            <v>99.227260000000001</v>
          </cell>
        </row>
        <row r="168">
          <cell r="B168" t="str">
            <v>DAC074</v>
          </cell>
          <cell r="C168" t="str">
            <v>EQUIPO DE VENOCLISIS .:. CON AGUJA Nº 21</v>
          </cell>
          <cell r="D168" t="str">
            <v>Sobre estéril</v>
          </cell>
          <cell r="E168">
            <v>138</v>
          </cell>
          <cell r="F168">
            <v>327.29288122380001</v>
          </cell>
          <cell r="H168">
            <v>2180</v>
          </cell>
          <cell r="J168">
            <v>4360</v>
          </cell>
          <cell r="M168">
            <v>85</v>
          </cell>
          <cell r="N168">
            <v>163.98310000000001</v>
          </cell>
          <cell r="P168">
            <v>2002</v>
          </cell>
          <cell r="R168">
            <v>3791.1759218747002</v>
          </cell>
          <cell r="S168">
            <v>0</v>
          </cell>
          <cell r="T168">
            <v>0</v>
          </cell>
          <cell r="U168">
            <v>401</v>
          </cell>
          <cell r="V168">
            <v>2.6436410455999999</v>
          </cell>
          <cell r="W168">
            <v>1060.1000592856001</v>
          </cell>
          <cell r="X168">
            <v>2.5783299999999998</v>
          </cell>
          <cell r="Y168">
            <v>0</v>
          </cell>
          <cell r="Z168">
            <v>2.6436410455999999</v>
          </cell>
          <cell r="AA168">
            <v>1060.1000592856001</v>
          </cell>
        </row>
        <row r="169">
          <cell r="B169" t="str">
            <v>DAC076</v>
          </cell>
          <cell r="C169" t="str">
            <v>EQUIPO VENOCLISIS .:. COLOR AMBAR</v>
          </cell>
          <cell r="D169" t="str">
            <v>Sobre estéril</v>
          </cell>
          <cell r="E169">
            <v>14</v>
          </cell>
          <cell r="F169">
            <v>320.60000000000002</v>
          </cell>
          <cell r="H169">
            <v>67</v>
          </cell>
          <cell r="J169">
            <v>2163.9</v>
          </cell>
          <cell r="M169">
            <v>0</v>
          </cell>
          <cell r="N169">
            <v>0</v>
          </cell>
          <cell r="P169">
            <v>60</v>
          </cell>
          <cell r="R169">
            <v>1739.0749999998</v>
          </cell>
          <cell r="S169">
            <v>0</v>
          </cell>
          <cell r="T169">
            <v>0</v>
          </cell>
          <cell r="U169">
            <v>21</v>
          </cell>
          <cell r="V169">
            <v>35.496428571400003</v>
          </cell>
          <cell r="W169">
            <v>745.42499999940003</v>
          </cell>
          <cell r="X169">
            <v>2.5783299999999998</v>
          </cell>
          <cell r="Y169">
            <v>0</v>
          </cell>
          <cell r="Z169">
            <v>35.496428571400003</v>
          </cell>
          <cell r="AA169">
            <v>745.42499999940003</v>
          </cell>
        </row>
        <row r="170">
          <cell r="B170" t="str">
            <v>DAC088</v>
          </cell>
          <cell r="C170" t="str">
            <v>LLAVE DE 3 VIAS .:. CON ALARGADOR 50 CM - 10CM</v>
          </cell>
          <cell r="D170" t="str">
            <v>Sobre estéril</v>
          </cell>
          <cell r="E170">
            <v>80</v>
          </cell>
          <cell r="F170">
            <v>302.80836295199998</v>
          </cell>
          <cell r="H170">
            <v>300</v>
          </cell>
          <cell r="J170">
            <v>1278</v>
          </cell>
          <cell r="M170">
            <v>4</v>
          </cell>
          <cell r="N170">
            <v>15.845103999999999</v>
          </cell>
          <cell r="P170">
            <v>250</v>
          </cell>
          <cell r="R170">
            <v>993.65346695200003</v>
          </cell>
          <cell r="S170">
            <v>0</v>
          </cell>
          <cell r="T170">
            <v>0</v>
          </cell>
          <cell r="U170">
            <v>134</v>
          </cell>
          <cell r="V170">
            <v>4.5</v>
          </cell>
          <cell r="W170">
            <v>603</v>
          </cell>
          <cell r="X170">
            <v>2.5783299999999998</v>
          </cell>
          <cell r="Y170">
            <v>0</v>
          </cell>
          <cell r="Z170">
            <v>4.5</v>
          </cell>
          <cell r="AA170">
            <v>603</v>
          </cell>
        </row>
        <row r="171">
          <cell r="B171" t="str">
            <v>DAC089</v>
          </cell>
          <cell r="C171" t="str">
            <v>LLAVE DE 3 VIAS .:. SIN ALARGADOR</v>
          </cell>
          <cell r="D171" t="str">
            <v>Sobre estéril</v>
          </cell>
          <cell r="E171">
            <v>58</v>
          </cell>
          <cell r="F171">
            <v>203</v>
          </cell>
          <cell r="H171">
            <v>100</v>
          </cell>
          <cell r="J171">
            <v>350</v>
          </cell>
          <cell r="M171">
            <v>4</v>
          </cell>
          <cell r="N171">
            <v>14</v>
          </cell>
          <cell r="P171">
            <v>156</v>
          </cell>
          <cell r="R171">
            <v>546</v>
          </cell>
          <cell r="S171">
            <v>0</v>
          </cell>
          <cell r="T171">
            <v>0</v>
          </cell>
          <cell r="U171">
            <v>6</v>
          </cell>
          <cell r="V171">
            <v>3.5</v>
          </cell>
          <cell r="W171">
            <v>21</v>
          </cell>
          <cell r="X171">
            <v>2.5783299999999998</v>
          </cell>
          <cell r="Y171">
            <v>0</v>
          </cell>
          <cell r="Z171">
            <v>3.5</v>
          </cell>
          <cell r="AA171">
            <v>21</v>
          </cell>
        </row>
        <row r="172">
          <cell r="B172" t="str">
            <v>DAC091</v>
          </cell>
          <cell r="C172" t="str">
            <v>MICROGOTERO .:. CON DEPOSITO RIGIDO 100 ML - 150ML</v>
          </cell>
          <cell r="D172" t="str">
            <v>Sobre estéril</v>
          </cell>
          <cell r="E172">
            <v>47</v>
          </cell>
          <cell r="F172">
            <v>489.78947368519999</v>
          </cell>
          <cell r="H172">
            <v>250</v>
          </cell>
          <cell r="J172">
            <v>1762.5</v>
          </cell>
          <cell r="M172">
            <v>10</v>
          </cell>
          <cell r="N172">
            <v>73.871052000000006</v>
          </cell>
          <cell r="P172">
            <v>263</v>
          </cell>
          <cell r="R172">
            <v>2015.9605256853999</v>
          </cell>
          <cell r="S172">
            <v>0</v>
          </cell>
          <cell r="T172">
            <v>0</v>
          </cell>
          <cell r="U172">
            <v>44</v>
          </cell>
          <cell r="V172">
            <v>7.05</v>
          </cell>
          <cell r="W172">
            <v>310.2</v>
          </cell>
          <cell r="X172">
            <v>2.5783299999999998</v>
          </cell>
          <cell r="Y172">
            <v>0</v>
          </cell>
          <cell r="Z172">
            <v>7.05</v>
          </cell>
          <cell r="AA172">
            <v>310.2</v>
          </cell>
        </row>
        <row r="173">
          <cell r="B173" t="str">
            <v>DAC093</v>
          </cell>
          <cell r="C173" t="str">
            <v>TAPON HEPARINIZADO .:. PIEZA</v>
          </cell>
          <cell r="D173" t="str">
            <v>Pieza</v>
          </cell>
          <cell r="E173">
            <v>232</v>
          </cell>
          <cell r="F173">
            <v>406</v>
          </cell>
          <cell r="H173">
            <v>100</v>
          </cell>
          <cell r="J173">
            <v>200</v>
          </cell>
          <cell r="M173">
            <v>5</v>
          </cell>
          <cell r="N173">
            <v>8.75</v>
          </cell>
          <cell r="P173">
            <v>235</v>
          </cell>
          <cell r="R173">
            <v>412.41822429899997</v>
          </cell>
          <cell r="S173">
            <v>0</v>
          </cell>
          <cell r="T173">
            <v>0</v>
          </cell>
          <cell r="U173">
            <v>102</v>
          </cell>
          <cell r="V173">
            <v>1.9836448598</v>
          </cell>
          <cell r="W173">
            <v>202.3317756996</v>
          </cell>
          <cell r="X173">
            <v>2.5783299999999998</v>
          </cell>
          <cell r="Y173">
            <v>0</v>
          </cell>
          <cell r="Z173">
            <v>1.9836448598</v>
          </cell>
          <cell r="AA173">
            <v>202.3317756996</v>
          </cell>
        </row>
        <row r="174">
          <cell r="B174" t="str">
            <v>DB002</v>
          </cell>
          <cell r="C174" t="str">
            <v>BOLSA COLECTORA DE ORINA .:. 2000 ML. CON VALVULA ANTIRREFLUJO</v>
          </cell>
          <cell r="D174" t="str">
            <v>Bolsa esteril</v>
          </cell>
          <cell r="E174">
            <v>50</v>
          </cell>
          <cell r="F174">
            <v>168</v>
          </cell>
          <cell r="H174">
            <v>100</v>
          </cell>
          <cell r="J174">
            <v>336</v>
          </cell>
          <cell r="M174">
            <v>0</v>
          </cell>
          <cell r="N174">
            <v>0</v>
          </cell>
          <cell r="P174">
            <v>130</v>
          </cell>
          <cell r="R174">
            <v>436.8</v>
          </cell>
          <cell r="S174">
            <v>0</v>
          </cell>
          <cell r="T174">
            <v>0</v>
          </cell>
          <cell r="U174">
            <v>20</v>
          </cell>
          <cell r="V174">
            <v>3.36</v>
          </cell>
          <cell r="W174">
            <v>67.2</v>
          </cell>
          <cell r="X174">
            <v>2.5783299999999998</v>
          </cell>
          <cell r="Y174">
            <v>0</v>
          </cell>
          <cell r="Z174">
            <v>3.36</v>
          </cell>
          <cell r="AA174">
            <v>67.2</v>
          </cell>
        </row>
        <row r="175">
          <cell r="B175" t="str">
            <v>DB009</v>
          </cell>
          <cell r="C175" t="str">
            <v>BOLSA DE NUTRICION PARENTERAL .:. 500 ML.</v>
          </cell>
          <cell r="D175" t="str">
            <v>Sobre estéril</v>
          </cell>
          <cell r="E175">
            <v>0</v>
          </cell>
          <cell r="F175">
            <v>0</v>
          </cell>
          <cell r="H175">
            <v>60</v>
          </cell>
          <cell r="J175">
            <v>6403.5</v>
          </cell>
          <cell r="M175">
            <v>1</v>
          </cell>
          <cell r="N175">
            <v>122.6</v>
          </cell>
          <cell r="P175">
            <v>50</v>
          </cell>
          <cell r="R175">
            <v>5596.6</v>
          </cell>
          <cell r="S175">
            <v>0</v>
          </cell>
          <cell r="T175">
            <v>0</v>
          </cell>
          <cell r="U175">
            <v>11</v>
          </cell>
          <cell r="V175">
            <v>84.5</v>
          </cell>
          <cell r="W175">
            <v>929.5</v>
          </cell>
          <cell r="X175">
            <v>2.5783299999999998</v>
          </cell>
          <cell r="Y175">
            <v>0</v>
          </cell>
          <cell r="Z175">
            <v>84.5</v>
          </cell>
          <cell r="AA175">
            <v>929.5</v>
          </cell>
        </row>
        <row r="176">
          <cell r="B176" t="str">
            <v>DB011</v>
          </cell>
          <cell r="C176" t="str">
            <v>BOLSA DE NUTRICION PARENTERAL .:. 2000 ML.</v>
          </cell>
          <cell r="D176" t="str">
            <v>Sobre estéril</v>
          </cell>
          <cell r="E176">
            <v>0</v>
          </cell>
          <cell r="F176">
            <v>0</v>
          </cell>
          <cell r="H176">
            <v>5</v>
          </cell>
          <cell r="J176">
            <v>442</v>
          </cell>
          <cell r="M176">
            <v>0</v>
          </cell>
          <cell r="N176">
            <v>0</v>
          </cell>
          <cell r="P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5</v>
          </cell>
          <cell r="V176">
            <v>88.4</v>
          </cell>
          <cell r="W176">
            <v>442</v>
          </cell>
          <cell r="X176">
            <v>2.5783299999999998</v>
          </cell>
          <cell r="Y176">
            <v>0</v>
          </cell>
          <cell r="Z176">
            <v>88.4</v>
          </cell>
          <cell r="AA176">
            <v>442</v>
          </cell>
        </row>
        <row r="177">
          <cell r="B177" t="str">
            <v>DI-01-00</v>
          </cell>
          <cell r="C177" t="str">
            <v>MARCAPASO CARDIACO DEFINITIVO DOBLE CAMARA DDDR .:. PIEZAS</v>
          </cell>
          <cell r="D177" t="str">
            <v>Pieza</v>
          </cell>
          <cell r="E177">
            <v>0</v>
          </cell>
          <cell r="F177">
            <v>0</v>
          </cell>
          <cell r="H177">
            <v>1</v>
          </cell>
          <cell r="J177">
            <v>16500</v>
          </cell>
          <cell r="M177">
            <v>0</v>
          </cell>
          <cell r="N177">
            <v>0</v>
          </cell>
          <cell r="P177">
            <v>1</v>
          </cell>
          <cell r="R177">
            <v>16500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2.5783299999999998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DI-01-01</v>
          </cell>
          <cell r="C178" t="str">
            <v>GENERADOR DE  MARCAPASO  CARDIACO DOBLE CAMARA (DDDR) .:. s/d</v>
          </cell>
          <cell r="D178" t="str">
            <v>Pieza</v>
          </cell>
          <cell r="E178">
            <v>0</v>
          </cell>
          <cell r="F178">
            <v>0</v>
          </cell>
          <cell r="H178">
            <v>1</v>
          </cell>
          <cell r="J178">
            <v>10537</v>
          </cell>
          <cell r="M178">
            <v>0</v>
          </cell>
          <cell r="N178">
            <v>0</v>
          </cell>
          <cell r="P178">
            <v>1</v>
          </cell>
          <cell r="R178">
            <v>10537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2.5783299999999998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 t="str">
            <v>DI-01-03</v>
          </cell>
          <cell r="C179" t="str">
            <v>MARCAPASO UNICAMERAL VVI .:. SEGUN CONCENTRACION</v>
          </cell>
          <cell r="D179" t="str">
            <v>Pieza</v>
          </cell>
          <cell r="E179">
            <v>0</v>
          </cell>
          <cell r="F179">
            <v>0</v>
          </cell>
          <cell r="H179">
            <v>1</v>
          </cell>
          <cell r="J179">
            <v>15153</v>
          </cell>
          <cell r="M179">
            <v>0</v>
          </cell>
          <cell r="N179">
            <v>0</v>
          </cell>
          <cell r="P179">
            <v>1</v>
          </cell>
          <cell r="R179">
            <v>15153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2.5783299999999998</v>
          </cell>
          <cell r="Y179">
            <v>0</v>
          </cell>
          <cell r="Z179">
            <v>0</v>
          </cell>
          <cell r="AA179">
            <v>0</v>
          </cell>
        </row>
        <row r="180">
          <cell r="B180" t="str">
            <v>DJ003</v>
          </cell>
          <cell r="C180" t="str">
            <v>JERINGA DESCARTABLE .:. 3 ML CON AGUJA 21 X 1 1/2" C/ROSCA</v>
          </cell>
          <cell r="D180" t="str">
            <v>Sobre estéril</v>
          </cell>
          <cell r="E180">
            <v>978</v>
          </cell>
          <cell r="F180">
            <v>336.88186484099998</v>
          </cell>
          <cell r="H180">
            <v>1600</v>
          </cell>
          <cell r="J180">
            <v>560</v>
          </cell>
          <cell r="M180">
            <v>0</v>
          </cell>
          <cell r="N180">
            <v>0</v>
          </cell>
          <cell r="P180">
            <v>2578</v>
          </cell>
          <cell r="R180">
            <v>896.88186484100004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2.5783299999999998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DJ004</v>
          </cell>
          <cell r="C181" t="str">
            <v>JERINGA DESCARTABLE .:. 5 ML CON AGUJA 21 X 1 1/2" C/ROSCA</v>
          </cell>
          <cell r="D181" t="str">
            <v>Sobre estéril</v>
          </cell>
          <cell r="E181">
            <v>459</v>
          </cell>
          <cell r="F181">
            <v>160.65</v>
          </cell>
          <cell r="H181">
            <v>5500</v>
          </cell>
          <cell r="J181">
            <v>1575</v>
          </cell>
          <cell r="M181">
            <v>22</v>
          </cell>
          <cell r="N181">
            <v>6.2135040000000004</v>
          </cell>
          <cell r="P181">
            <v>5050</v>
          </cell>
          <cell r="R181">
            <v>1478.9189130063</v>
          </cell>
          <cell r="S181">
            <v>0</v>
          </cell>
          <cell r="T181">
            <v>0</v>
          </cell>
          <cell r="U181">
            <v>931</v>
          </cell>
          <cell r="V181">
            <v>0.28243242819999997</v>
          </cell>
          <cell r="W181">
            <v>262.9445906542</v>
          </cell>
          <cell r="X181">
            <v>2.5783299999999998</v>
          </cell>
          <cell r="Y181">
            <v>0</v>
          </cell>
          <cell r="Z181">
            <v>0.28243242819999997</v>
          </cell>
          <cell r="AA181">
            <v>262.9445906542</v>
          </cell>
        </row>
        <row r="182">
          <cell r="B182" t="str">
            <v>DJ005</v>
          </cell>
          <cell r="C182" t="str">
            <v>JERINGA DESCARTABLE .:. 10 ML CON AGUJA 21 X 1 1/2" C/ROSCA</v>
          </cell>
          <cell r="D182" t="str">
            <v>Sobre estéril</v>
          </cell>
          <cell r="E182">
            <v>3016</v>
          </cell>
          <cell r="F182">
            <v>1258.1293103496</v>
          </cell>
          <cell r="H182">
            <v>15500</v>
          </cell>
          <cell r="J182">
            <v>5795</v>
          </cell>
          <cell r="M182">
            <v>649</v>
          </cell>
          <cell r="N182">
            <v>247.46421699999999</v>
          </cell>
          <cell r="P182">
            <v>18713</v>
          </cell>
          <cell r="R182">
            <v>7131.7532104766997</v>
          </cell>
          <cell r="S182">
            <v>0</v>
          </cell>
          <cell r="T182">
            <v>0</v>
          </cell>
          <cell r="U182">
            <v>452</v>
          </cell>
          <cell r="V182">
            <v>0.37354051449999998</v>
          </cell>
          <cell r="W182">
            <v>168.84031255400001</v>
          </cell>
          <cell r="X182">
            <v>2.5783299999999998</v>
          </cell>
          <cell r="Y182">
            <v>0</v>
          </cell>
          <cell r="Z182">
            <v>0.37354051449999998</v>
          </cell>
          <cell r="AA182">
            <v>168.84031255400001</v>
          </cell>
        </row>
        <row r="183">
          <cell r="B183" t="str">
            <v>DJ006</v>
          </cell>
          <cell r="C183" t="str">
            <v>JERINGA DESCARTABLE .:. 20 ML CON AGUJA 21X 1 1/2" C/ ROSCA</v>
          </cell>
          <cell r="D183" t="str">
            <v>Sobre estéril</v>
          </cell>
          <cell r="E183">
            <v>417</v>
          </cell>
          <cell r="F183">
            <v>303.2544081405</v>
          </cell>
          <cell r="H183">
            <v>4500</v>
          </cell>
          <cell r="J183">
            <v>2670</v>
          </cell>
          <cell r="M183">
            <v>224</v>
          </cell>
          <cell r="N183">
            <v>137.88037</v>
          </cell>
          <cell r="P183">
            <v>3874</v>
          </cell>
          <cell r="R183">
            <v>2366.5897686887001</v>
          </cell>
          <cell r="S183">
            <v>0</v>
          </cell>
          <cell r="T183">
            <v>0</v>
          </cell>
          <cell r="U183">
            <v>1267</v>
          </cell>
          <cell r="V183">
            <v>0.587644049</v>
          </cell>
          <cell r="W183">
            <v>744.54501008299997</v>
          </cell>
          <cell r="X183">
            <v>2.5783299999999998</v>
          </cell>
          <cell r="Y183">
            <v>0</v>
          </cell>
          <cell r="Z183">
            <v>0.587644049</v>
          </cell>
          <cell r="AA183">
            <v>744.54501008299997</v>
          </cell>
        </row>
        <row r="184">
          <cell r="B184" t="str">
            <v>DJ007</v>
          </cell>
          <cell r="C184" t="str">
            <v>JERINGA DESCARTABLE 50 ML LUER .:. 50 ML LUER</v>
          </cell>
          <cell r="D184" t="str">
            <v>Sobre estéril</v>
          </cell>
          <cell r="E184">
            <v>59</v>
          </cell>
          <cell r="F184">
            <v>105.61</v>
          </cell>
          <cell r="H184">
            <v>500</v>
          </cell>
          <cell r="J184">
            <v>1087</v>
          </cell>
          <cell r="M184">
            <v>4</v>
          </cell>
          <cell r="N184">
            <v>8.44</v>
          </cell>
          <cell r="P184">
            <v>353</v>
          </cell>
          <cell r="R184">
            <v>690.75</v>
          </cell>
          <cell r="S184">
            <v>0</v>
          </cell>
          <cell r="T184">
            <v>0</v>
          </cell>
          <cell r="U184">
            <v>210</v>
          </cell>
          <cell r="V184">
            <v>2.4300000000000002</v>
          </cell>
          <cell r="W184">
            <v>510.3</v>
          </cell>
          <cell r="X184">
            <v>2.5783299999999998</v>
          </cell>
          <cell r="Y184">
            <v>0</v>
          </cell>
          <cell r="Z184">
            <v>2.4300000000000002</v>
          </cell>
          <cell r="AA184">
            <v>510.3</v>
          </cell>
        </row>
        <row r="185">
          <cell r="B185" t="str">
            <v>DJ009</v>
          </cell>
          <cell r="C185" t="str">
            <v>JERINGA INSULINA DESCARTABLE .:. 1 ML C/AGUJA DESMONTABLE N° 28</v>
          </cell>
          <cell r="D185" t="str">
            <v>Sobre estéril</v>
          </cell>
          <cell r="E185">
            <v>200</v>
          </cell>
          <cell r="F185">
            <v>120</v>
          </cell>
          <cell r="H185">
            <v>1200</v>
          </cell>
          <cell r="J185">
            <v>741</v>
          </cell>
          <cell r="M185">
            <v>88</v>
          </cell>
          <cell r="N185">
            <v>53.757247999999997</v>
          </cell>
          <cell r="P185">
            <v>1188</v>
          </cell>
          <cell r="R185">
            <v>725.78289942180004</v>
          </cell>
          <cell r="S185">
            <v>0</v>
          </cell>
          <cell r="T185">
            <v>0</v>
          </cell>
          <cell r="U185">
            <v>300</v>
          </cell>
          <cell r="V185">
            <v>0.62991449529999999</v>
          </cell>
          <cell r="W185">
            <v>188.97434859000001</v>
          </cell>
          <cell r="X185">
            <v>2.5783299999999998</v>
          </cell>
          <cell r="Y185">
            <v>0</v>
          </cell>
          <cell r="Z185">
            <v>0.62991449529999999</v>
          </cell>
          <cell r="AA185">
            <v>188.97434859000001</v>
          </cell>
        </row>
        <row r="186">
          <cell r="B186" t="str">
            <v>DL315</v>
          </cell>
          <cell r="C186" t="str">
            <v>PORTA OBJETOS  ESMERILADO .:. POR 50 PIEZAS O  MAS CON BORDE ESMERILADO</v>
          </cell>
          <cell r="D186" t="str">
            <v>Caja</v>
          </cell>
          <cell r="E186">
            <v>1</v>
          </cell>
          <cell r="F186">
            <v>15.118333</v>
          </cell>
          <cell r="H186">
            <v>0</v>
          </cell>
          <cell r="J186">
            <v>0</v>
          </cell>
          <cell r="M186">
            <v>0</v>
          </cell>
          <cell r="N186">
            <v>0</v>
          </cell>
          <cell r="P186">
            <v>1</v>
          </cell>
          <cell r="R186">
            <v>15.118333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2.5783299999999998</v>
          </cell>
          <cell r="Y186">
            <v>0</v>
          </cell>
          <cell r="Z186">
            <v>0</v>
          </cell>
          <cell r="AA186">
            <v>0</v>
          </cell>
        </row>
        <row r="187">
          <cell r="B187" t="str">
            <v>DL3661</v>
          </cell>
          <cell r="C187" t="str">
            <v>TIRAS REACTIVAS PARA GLUCOMETRO .:. TIRAS DE BUENA REPRODUCIBILIDAD REPETITIVIDAD TENGA ESTABILIDAD EXACTITUD APTA PARA USO A DIFERENTES ALTURAS, HASTA 4000 M. DE ALTURA SOBRE EL NIVEL DE MAR (PRESENTAR CERTIFICADO DE CALIBRACION DE ALTURA DE LA FABRICA DE ORIGEN).</v>
          </cell>
          <cell r="D187" t="str">
            <v>Pieza</v>
          </cell>
          <cell r="E187">
            <v>92</v>
          </cell>
          <cell r="F187">
            <v>533.71454708399995</v>
          </cell>
          <cell r="H187">
            <v>550</v>
          </cell>
          <cell r="J187">
            <v>2200</v>
          </cell>
          <cell r="M187">
            <v>24</v>
          </cell>
          <cell r="N187">
            <v>96</v>
          </cell>
          <cell r="P187">
            <v>509</v>
          </cell>
          <cell r="R187">
            <v>2201.7145470840001</v>
          </cell>
          <cell r="S187">
            <v>18</v>
          </cell>
          <cell r="T187">
            <v>72</v>
          </cell>
          <cell r="U187">
            <v>139</v>
          </cell>
          <cell r="V187">
            <v>4</v>
          </cell>
          <cell r="W187">
            <v>556</v>
          </cell>
          <cell r="X187">
            <v>2.5783299999999998</v>
          </cell>
          <cell r="Y187">
            <v>0</v>
          </cell>
          <cell r="Z187">
            <v>4</v>
          </cell>
          <cell r="AA187">
            <v>556</v>
          </cell>
        </row>
        <row r="188">
          <cell r="B188" t="str">
            <v>DMQ0051</v>
          </cell>
          <cell r="C188" t="str">
            <v xml:space="preserve">CAMPOS OPERATORIOS DESECHABLES (ODONTOLOGIA  .::. PIEZA .:. CAMPOS OPERATORIOS DESECHABLES </v>
          </cell>
          <cell r="D188" t="str">
            <v>Pieza</v>
          </cell>
          <cell r="E188">
            <v>0</v>
          </cell>
          <cell r="F188">
            <v>0</v>
          </cell>
          <cell r="H188">
            <v>10</v>
          </cell>
          <cell r="J188">
            <v>400</v>
          </cell>
          <cell r="M188">
            <v>0</v>
          </cell>
          <cell r="N188">
            <v>0</v>
          </cell>
          <cell r="P188">
            <v>10</v>
          </cell>
          <cell r="R188">
            <v>400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2.5783299999999998</v>
          </cell>
          <cell r="Y188">
            <v>0</v>
          </cell>
          <cell r="Z188">
            <v>0</v>
          </cell>
          <cell r="AA188">
            <v>0</v>
          </cell>
        </row>
        <row r="189">
          <cell r="B189" t="str">
            <v>DMQ-01-01</v>
          </cell>
          <cell r="C189" t="str">
            <v>TORPEDO 4 MM X 13 CM .:. DISPOSITIVO MEDICO QUIRURGICO</v>
          </cell>
          <cell r="D189" t="str">
            <v>Pieza</v>
          </cell>
          <cell r="E189">
            <v>0</v>
          </cell>
          <cell r="F189">
            <v>0</v>
          </cell>
          <cell r="H189">
            <v>1</v>
          </cell>
          <cell r="J189">
            <v>1223</v>
          </cell>
          <cell r="M189">
            <v>0</v>
          </cell>
          <cell r="N189">
            <v>0</v>
          </cell>
          <cell r="P189">
            <v>1</v>
          </cell>
          <cell r="R189">
            <v>1223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2.5783299999999998</v>
          </cell>
          <cell r="Y189">
            <v>0</v>
          </cell>
          <cell r="Z189">
            <v>0</v>
          </cell>
          <cell r="AA189">
            <v>0</v>
          </cell>
        </row>
        <row r="190">
          <cell r="B190" t="str">
            <v>DMQ012</v>
          </cell>
          <cell r="C190" t="str">
            <v>ELECTRODOS .:. DE ESPUMA PARA ADULTO</v>
          </cell>
          <cell r="D190" t="str">
            <v>Sobre</v>
          </cell>
          <cell r="E190">
            <v>146</v>
          </cell>
          <cell r="F190">
            <v>189.8</v>
          </cell>
          <cell r="H190">
            <v>1300</v>
          </cell>
          <cell r="J190">
            <v>2442</v>
          </cell>
          <cell r="M190">
            <v>8</v>
          </cell>
          <cell r="N190">
            <v>20</v>
          </cell>
          <cell r="P190">
            <v>1194</v>
          </cell>
          <cell r="R190">
            <v>2263.0935323263998</v>
          </cell>
          <cell r="S190">
            <v>0</v>
          </cell>
          <cell r="T190">
            <v>0</v>
          </cell>
          <cell r="U190">
            <v>260</v>
          </cell>
          <cell r="V190">
            <v>1.4950248756</v>
          </cell>
          <cell r="W190">
            <v>388.70646765599997</v>
          </cell>
          <cell r="X190">
            <v>2.5783299999999998</v>
          </cell>
          <cell r="Y190">
            <v>0</v>
          </cell>
          <cell r="Z190">
            <v>1.4950248756</v>
          </cell>
          <cell r="AA190">
            <v>388.70646765599997</v>
          </cell>
        </row>
        <row r="191">
          <cell r="B191" t="str">
            <v>DMQ020</v>
          </cell>
          <cell r="C191" t="str">
            <v>GUANTES QUIRURGICOS ESTERIL .:. N° 6 1/2 PUNO LARGO</v>
          </cell>
          <cell r="D191" t="str">
            <v>Sobre estéril</v>
          </cell>
          <cell r="E191">
            <v>584</v>
          </cell>
          <cell r="F191">
            <v>1392.9081265784</v>
          </cell>
          <cell r="H191">
            <v>100</v>
          </cell>
          <cell r="J191">
            <v>280</v>
          </cell>
          <cell r="M191">
            <v>0</v>
          </cell>
          <cell r="N191">
            <v>0</v>
          </cell>
          <cell r="P191">
            <v>468</v>
          </cell>
          <cell r="R191">
            <v>1122.5798692719</v>
          </cell>
          <cell r="S191">
            <v>0</v>
          </cell>
          <cell r="T191">
            <v>0</v>
          </cell>
          <cell r="U191">
            <v>216</v>
          </cell>
          <cell r="V191">
            <v>2.5478160060000001</v>
          </cell>
          <cell r="W191">
            <v>550.32825729599995</v>
          </cell>
          <cell r="X191">
            <v>2.5783299999999998</v>
          </cell>
          <cell r="Y191">
            <v>0</v>
          </cell>
          <cell r="Z191">
            <v>2.5478160060000001</v>
          </cell>
          <cell r="AA191">
            <v>550.32825729599995</v>
          </cell>
        </row>
        <row r="192">
          <cell r="B192" t="str">
            <v>DMQ021</v>
          </cell>
          <cell r="C192" t="str">
            <v>GUANTES QUIRURGICOS ESTERIL .:. N° 7 PUNO LARGO</v>
          </cell>
          <cell r="D192" t="str">
            <v>Sobre estéril</v>
          </cell>
          <cell r="E192">
            <v>398</v>
          </cell>
          <cell r="F192">
            <v>955.81769599999996</v>
          </cell>
          <cell r="H192">
            <v>50</v>
          </cell>
          <cell r="J192">
            <v>140</v>
          </cell>
          <cell r="M192">
            <v>1</v>
          </cell>
          <cell r="N192">
            <v>2.4015520000000001</v>
          </cell>
          <cell r="P192">
            <v>382</v>
          </cell>
          <cell r="R192">
            <v>923.55443101000003</v>
          </cell>
          <cell r="S192">
            <v>0</v>
          </cell>
          <cell r="T192">
            <v>0</v>
          </cell>
          <cell r="U192">
            <v>67</v>
          </cell>
          <cell r="V192">
            <v>2.6069375670000001</v>
          </cell>
          <cell r="W192">
            <v>174.664816989</v>
          </cell>
          <cell r="X192">
            <v>2.5783299999999998</v>
          </cell>
          <cell r="Y192">
            <v>0</v>
          </cell>
          <cell r="Z192">
            <v>2.6069375670000001</v>
          </cell>
          <cell r="AA192">
            <v>174.664816989</v>
          </cell>
        </row>
        <row r="193">
          <cell r="B193" t="str">
            <v>DMQ022</v>
          </cell>
          <cell r="C193" t="str">
            <v>GUANTES QUIRURGICOS ESTERIL .:. N° 7 1/2 PUNO LARGO</v>
          </cell>
          <cell r="D193" t="str">
            <v>Sobre estéril</v>
          </cell>
          <cell r="E193">
            <v>189</v>
          </cell>
          <cell r="F193">
            <v>454.84702199999998</v>
          </cell>
          <cell r="H193">
            <v>500</v>
          </cell>
          <cell r="J193">
            <v>1240</v>
          </cell>
          <cell r="M193">
            <v>270</v>
          </cell>
          <cell r="N193">
            <v>648</v>
          </cell>
          <cell r="P193">
            <v>583</v>
          </cell>
          <cell r="R193">
            <v>1416.7107582652</v>
          </cell>
          <cell r="S193">
            <v>268</v>
          </cell>
          <cell r="T193">
            <v>643.20000000000005</v>
          </cell>
          <cell r="U193">
            <v>108</v>
          </cell>
          <cell r="V193">
            <v>2.6197802198</v>
          </cell>
          <cell r="W193">
            <v>282.93626373839999</v>
          </cell>
          <cell r="X193">
            <v>2.5783299999999998</v>
          </cell>
          <cell r="Y193">
            <v>0</v>
          </cell>
          <cell r="Z193">
            <v>2.6197802198</v>
          </cell>
          <cell r="AA193">
            <v>282.93626373839999</v>
          </cell>
        </row>
        <row r="194">
          <cell r="B194" t="str">
            <v>DMQ023</v>
          </cell>
          <cell r="C194" t="str">
            <v>GUANTES QUIRURGICOS ESTERIL .:. N° 8 PUNO LARGO</v>
          </cell>
          <cell r="D194" t="str">
            <v>Sobre estéril</v>
          </cell>
          <cell r="E194">
            <v>288</v>
          </cell>
          <cell r="F194">
            <v>692.30649600000004</v>
          </cell>
          <cell r="H194">
            <v>0</v>
          </cell>
          <cell r="J194">
            <v>0</v>
          </cell>
          <cell r="M194">
            <v>61</v>
          </cell>
          <cell r="N194">
            <v>146.63</v>
          </cell>
          <cell r="P194">
            <v>251</v>
          </cell>
          <cell r="R194">
            <v>603.36262580319999</v>
          </cell>
          <cell r="S194">
            <v>61</v>
          </cell>
          <cell r="T194">
            <v>146.63436200000001</v>
          </cell>
          <cell r="U194">
            <v>37</v>
          </cell>
          <cell r="V194">
            <v>2.4037704918</v>
          </cell>
          <cell r="W194">
            <v>88.939508196600002</v>
          </cell>
          <cell r="X194">
            <v>2.5783299999999998</v>
          </cell>
          <cell r="Y194">
            <v>0</v>
          </cell>
          <cell r="Z194">
            <v>2.4037704918</v>
          </cell>
          <cell r="AA194">
            <v>88.939508196600002</v>
          </cell>
        </row>
        <row r="195">
          <cell r="B195" t="str">
            <v>DMQ028</v>
          </cell>
          <cell r="C195" t="str">
            <v>HOJAS DE BISTURI .:. N° 11</v>
          </cell>
          <cell r="D195" t="str">
            <v>Sobre estéril</v>
          </cell>
          <cell r="E195">
            <v>100</v>
          </cell>
          <cell r="F195">
            <v>49</v>
          </cell>
          <cell r="H195">
            <v>100</v>
          </cell>
          <cell r="J195">
            <v>65</v>
          </cell>
          <cell r="M195">
            <v>1</v>
          </cell>
          <cell r="N195">
            <v>0.49</v>
          </cell>
          <cell r="P195">
            <v>135</v>
          </cell>
          <cell r="R195">
            <v>71.59</v>
          </cell>
          <cell r="S195">
            <v>0</v>
          </cell>
          <cell r="T195">
            <v>0</v>
          </cell>
          <cell r="U195">
            <v>66</v>
          </cell>
          <cell r="V195">
            <v>0.65</v>
          </cell>
          <cell r="W195">
            <v>42.9</v>
          </cell>
          <cell r="X195">
            <v>2.5783299999999998</v>
          </cell>
          <cell r="Y195">
            <v>0</v>
          </cell>
          <cell r="Z195">
            <v>0.65</v>
          </cell>
          <cell r="AA195">
            <v>42.9</v>
          </cell>
        </row>
        <row r="196">
          <cell r="B196" t="str">
            <v>DMQ030</v>
          </cell>
          <cell r="C196" t="str">
            <v>HOJAS DE BISTURI N° 15 .:. N° 15</v>
          </cell>
          <cell r="D196" t="str">
            <v>Sobre estéril</v>
          </cell>
          <cell r="E196">
            <v>62</v>
          </cell>
          <cell r="F196">
            <v>35.96</v>
          </cell>
          <cell r="H196">
            <v>100</v>
          </cell>
          <cell r="J196">
            <v>65</v>
          </cell>
          <cell r="M196">
            <v>1</v>
          </cell>
          <cell r="N196">
            <v>0.57999999999999996</v>
          </cell>
          <cell r="P196">
            <v>71</v>
          </cell>
          <cell r="R196">
            <v>41.74</v>
          </cell>
          <cell r="S196">
            <v>0</v>
          </cell>
          <cell r="T196">
            <v>0</v>
          </cell>
          <cell r="U196">
            <v>92</v>
          </cell>
          <cell r="V196">
            <v>0.65</v>
          </cell>
          <cell r="W196">
            <v>59.8</v>
          </cell>
          <cell r="X196">
            <v>2.5783299999999998</v>
          </cell>
          <cell r="Y196">
            <v>0</v>
          </cell>
          <cell r="Z196">
            <v>0.65</v>
          </cell>
          <cell r="AA196">
            <v>59.8</v>
          </cell>
        </row>
        <row r="197">
          <cell r="B197" t="str">
            <v>DMQ034</v>
          </cell>
          <cell r="C197" t="str">
            <v>MALLA DE POLIPROPILENO .:. 15 X 15 CM</v>
          </cell>
          <cell r="D197" t="str">
            <v>Sobre estéril</v>
          </cell>
          <cell r="E197">
            <v>4</v>
          </cell>
          <cell r="F197">
            <v>1840</v>
          </cell>
          <cell r="H197">
            <v>0</v>
          </cell>
          <cell r="J197">
            <v>0</v>
          </cell>
          <cell r="M197">
            <v>0</v>
          </cell>
          <cell r="N197">
            <v>0</v>
          </cell>
          <cell r="P197">
            <v>2</v>
          </cell>
          <cell r="R197">
            <v>920</v>
          </cell>
          <cell r="S197">
            <v>0</v>
          </cell>
          <cell r="T197">
            <v>0</v>
          </cell>
          <cell r="U197">
            <v>2</v>
          </cell>
          <cell r="V197">
            <v>460</v>
          </cell>
          <cell r="W197">
            <v>920</v>
          </cell>
          <cell r="X197">
            <v>2.5783299999999998</v>
          </cell>
          <cell r="Y197">
            <v>0</v>
          </cell>
          <cell r="Z197">
            <v>460</v>
          </cell>
          <cell r="AA197">
            <v>920</v>
          </cell>
        </row>
        <row r="198">
          <cell r="B198" t="str">
            <v>DMQ067</v>
          </cell>
          <cell r="C198" t="str">
            <v>PLACA PEQUEÑA DCP .:. 3.5 MM X 7 ORIF</v>
          </cell>
          <cell r="D198" t="str">
            <v>Pieza</v>
          </cell>
          <cell r="E198">
            <v>0</v>
          </cell>
          <cell r="F198">
            <v>0</v>
          </cell>
          <cell r="H198">
            <v>1</v>
          </cell>
          <cell r="J198">
            <v>1252</v>
          </cell>
          <cell r="M198">
            <v>0</v>
          </cell>
          <cell r="N198">
            <v>0</v>
          </cell>
          <cell r="P198">
            <v>1</v>
          </cell>
          <cell r="R198">
            <v>1252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2.5783299999999998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DMQ099</v>
          </cell>
          <cell r="C199" t="str">
            <v>PLACA EN T OBLICUA IZQ .:. PIEZA</v>
          </cell>
          <cell r="D199" t="str">
            <v>Pieza</v>
          </cell>
          <cell r="E199">
            <v>0</v>
          </cell>
          <cell r="F199">
            <v>0</v>
          </cell>
          <cell r="H199">
            <v>1</v>
          </cell>
          <cell r="J199">
            <v>6500</v>
          </cell>
          <cell r="M199">
            <v>0</v>
          </cell>
          <cell r="N199">
            <v>0</v>
          </cell>
          <cell r="P199">
            <v>1</v>
          </cell>
          <cell r="R199">
            <v>6500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2.5783299999999998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DMQ116</v>
          </cell>
          <cell r="C200" t="str">
            <v>TORNILLO CORTICAL .:. 3.5 MM X 14 MM</v>
          </cell>
          <cell r="D200" t="str">
            <v>Pieza</v>
          </cell>
          <cell r="E200">
            <v>0</v>
          </cell>
          <cell r="F200">
            <v>0</v>
          </cell>
          <cell r="H200">
            <v>2</v>
          </cell>
          <cell r="J200">
            <v>446</v>
          </cell>
          <cell r="M200">
            <v>0</v>
          </cell>
          <cell r="N200">
            <v>0</v>
          </cell>
          <cell r="P200">
            <v>2</v>
          </cell>
          <cell r="R200">
            <v>446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2.5783299999999998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DMQ119</v>
          </cell>
          <cell r="C201" t="str">
            <v>TORNILLO CORTICAL  .:. 3.5 MM X 20 MM</v>
          </cell>
          <cell r="D201" t="str">
            <v>Pieza</v>
          </cell>
          <cell r="E201">
            <v>0</v>
          </cell>
          <cell r="F201">
            <v>0</v>
          </cell>
          <cell r="H201">
            <v>3</v>
          </cell>
          <cell r="J201">
            <v>780</v>
          </cell>
          <cell r="M201">
            <v>0</v>
          </cell>
          <cell r="N201">
            <v>0</v>
          </cell>
          <cell r="P201">
            <v>3</v>
          </cell>
          <cell r="R201">
            <v>780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2.5783299999999998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DMQ129</v>
          </cell>
          <cell r="C202" t="str">
            <v>TORNILLO CORTICAL .:. 3.5 MM X 40 MM</v>
          </cell>
          <cell r="D202" t="str">
            <v>Pieza</v>
          </cell>
          <cell r="E202">
            <v>0</v>
          </cell>
          <cell r="F202">
            <v>0</v>
          </cell>
          <cell r="H202">
            <v>2</v>
          </cell>
          <cell r="J202">
            <v>364</v>
          </cell>
          <cell r="M202">
            <v>0</v>
          </cell>
          <cell r="N202">
            <v>0</v>
          </cell>
          <cell r="P202">
            <v>2</v>
          </cell>
          <cell r="R202">
            <v>364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2.5783299999999998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DMQ258</v>
          </cell>
          <cell r="C203" t="str">
            <v xml:space="preserve">TORNILLO CORTICAL LCP .:. </v>
          </cell>
          <cell r="D203" t="str">
            <v>Pieza</v>
          </cell>
          <cell r="E203">
            <v>0</v>
          </cell>
          <cell r="F203">
            <v>0</v>
          </cell>
          <cell r="H203">
            <v>6</v>
          </cell>
          <cell r="J203">
            <v>870</v>
          </cell>
          <cell r="M203">
            <v>0</v>
          </cell>
          <cell r="N203">
            <v>0</v>
          </cell>
          <cell r="P203">
            <v>6</v>
          </cell>
          <cell r="R203">
            <v>870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2.5783299999999998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DMQ278-1</v>
          </cell>
          <cell r="C204" t="str">
            <v>TORNILLO CORTICAL LCP .:. (TORNILLO DE TRACCION DHS/DCS DE 12 MM ACERTO L 90</v>
          </cell>
          <cell r="D204" t="str">
            <v>Pieza</v>
          </cell>
          <cell r="E204">
            <v>0</v>
          </cell>
          <cell r="F204">
            <v>0</v>
          </cell>
          <cell r="H204">
            <v>1</v>
          </cell>
          <cell r="J204">
            <v>405</v>
          </cell>
          <cell r="M204">
            <v>0</v>
          </cell>
          <cell r="N204">
            <v>0</v>
          </cell>
          <cell r="P204">
            <v>1</v>
          </cell>
          <cell r="R204">
            <v>405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2.5783299999999998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DMQ316-1</v>
          </cell>
          <cell r="C205" t="str">
            <v>CLAVOS TENSE TITANIO .:. CLAVOS TENSE TITANIO</v>
          </cell>
          <cell r="D205" t="str">
            <v>Pieza</v>
          </cell>
          <cell r="E205">
            <v>0</v>
          </cell>
          <cell r="F205">
            <v>0</v>
          </cell>
          <cell r="H205">
            <v>2</v>
          </cell>
          <cell r="J205">
            <v>3600</v>
          </cell>
          <cell r="M205">
            <v>0</v>
          </cell>
          <cell r="N205">
            <v>0</v>
          </cell>
          <cell r="P205">
            <v>2</v>
          </cell>
          <cell r="R205">
            <v>3600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2.5783299999999998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DMQ327-1</v>
          </cell>
          <cell r="C206" t="str">
            <v>PLACA PERT TITANIO .:. (PLACA DHS 135" DE 6 ORIFICIOS, ACERO)</v>
          </cell>
          <cell r="D206" t="str">
            <v>Pieza</v>
          </cell>
          <cell r="E206">
            <v>0</v>
          </cell>
          <cell r="F206">
            <v>0</v>
          </cell>
          <cell r="H206">
            <v>1</v>
          </cell>
          <cell r="J206">
            <v>2957</v>
          </cell>
          <cell r="M206">
            <v>0</v>
          </cell>
          <cell r="N206">
            <v>0</v>
          </cell>
          <cell r="P206">
            <v>1</v>
          </cell>
          <cell r="R206">
            <v>2957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2.5783299999999998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DMQ-400</v>
          </cell>
          <cell r="C207" t="str">
            <v xml:space="preserve">INMOVILIZADOR SHANZ .:. </v>
          </cell>
          <cell r="D207" t="str">
            <v>Pieza</v>
          </cell>
          <cell r="E207">
            <v>0</v>
          </cell>
          <cell r="F207">
            <v>0</v>
          </cell>
          <cell r="H207">
            <v>6</v>
          </cell>
          <cell r="J207">
            <v>2400</v>
          </cell>
          <cell r="M207">
            <v>0</v>
          </cell>
          <cell r="N207">
            <v>0</v>
          </cell>
          <cell r="P207">
            <v>6</v>
          </cell>
          <cell r="R207">
            <v>2400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2.5783299999999998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DO001</v>
          </cell>
          <cell r="C208" t="str">
            <v>ACIDO GRABADOR .:. GEL  37%</v>
          </cell>
          <cell r="D208" t="str">
            <v>Jeringa</v>
          </cell>
          <cell r="E208">
            <v>0</v>
          </cell>
          <cell r="F208">
            <v>0</v>
          </cell>
          <cell r="H208">
            <v>10</v>
          </cell>
          <cell r="J208">
            <v>305</v>
          </cell>
          <cell r="M208">
            <v>0</v>
          </cell>
          <cell r="N208">
            <v>0</v>
          </cell>
          <cell r="P208">
            <v>10</v>
          </cell>
          <cell r="R208">
            <v>305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2.5783299999999998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DO002</v>
          </cell>
          <cell r="C209" t="str">
            <v>ADHESIVO DENTINARIO .:. UNIDAD</v>
          </cell>
          <cell r="D209" t="str">
            <v>Frasco</v>
          </cell>
          <cell r="E209">
            <v>0</v>
          </cell>
          <cell r="F209">
            <v>0</v>
          </cell>
          <cell r="H209">
            <v>4</v>
          </cell>
          <cell r="J209">
            <v>670</v>
          </cell>
          <cell r="M209">
            <v>0</v>
          </cell>
          <cell r="N209">
            <v>0</v>
          </cell>
          <cell r="P209">
            <v>4</v>
          </cell>
          <cell r="R209">
            <v>670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2.5783299999999998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DO004</v>
          </cell>
          <cell r="C210" t="str">
            <v>AGUJA PARA CARPULE  LARGA .:. 27 G</v>
          </cell>
          <cell r="D210" t="str">
            <v>Caja</v>
          </cell>
          <cell r="E210">
            <v>0</v>
          </cell>
          <cell r="F210">
            <v>0</v>
          </cell>
          <cell r="H210">
            <v>2</v>
          </cell>
          <cell r="J210">
            <v>100</v>
          </cell>
          <cell r="M210">
            <v>0</v>
          </cell>
          <cell r="N210">
            <v>0</v>
          </cell>
          <cell r="P210">
            <v>2</v>
          </cell>
          <cell r="R210">
            <v>100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2.5783299999999998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DO005</v>
          </cell>
          <cell r="C211" t="str">
            <v>AGUJA PARA CARPULE CORTA .:. 30 G</v>
          </cell>
          <cell r="D211" t="str">
            <v>Caja</v>
          </cell>
          <cell r="E211">
            <v>1</v>
          </cell>
          <cell r="F211">
            <v>54</v>
          </cell>
          <cell r="H211">
            <v>6</v>
          </cell>
          <cell r="J211">
            <v>369</v>
          </cell>
          <cell r="M211">
            <v>0</v>
          </cell>
          <cell r="N211">
            <v>0</v>
          </cell>
          <cell r="P211">
            <v>7</v>
          </cell>
          <cell r="R211">
            <v>423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2.5783299999999998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DO006</v>
          </cell>
          <cell r="C212" t="str">
            <v>APLICADORES PARA ADHESIVO .:. DIFERENTES FORMAS</v>
          </cell>
          <cell r="D212" t="str">
            <v>Frasco</v>
          </cell>
          <cell r="E212">
            <v>0</v>
          </cell>
          <cell r="F212">
            <v>0</v>
          </cell>
          <cell r="H212">
            <v>7</v>
          </cell>
          <cell r="J212">
            <v>216</v>
          </cell>
          <cell r="M212">
            <v>0</v>
          </cell>
          <cell r="N212">
            <v>0</v>
          </cell>
          <cell r="P212">
            <v>7</v>
          </cell>
          <cell r="R212">
            <v>215.99999999970001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2.5783299999999998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DO011</v>
          </cell>
          <cell r="C213" t="str">
            <v>CEMENTO OXIFOSFATO .:. POLVO  LIQUIDO</v>
          </cell>
          <cell r="D213" t="str">
            <v>Caja</v>
          </cell>
          <cell r="E213">
            <v>0</v>
          </cell>
          <cell r="F213">
            <v>0</v>
          </cell>
          <cell r="H213">
            <v>4</v>
          </cell>
          <cell r="J213">
            <v>280</v>
          </cell>
          <cell r="M213">
            <v>0</v>
          </cell>
          <cell r="N213">
            <v>0</v>
          </cell>
          <cell r="P213">
            <v>4</v>
          </cell>
          <cell r="R213">
            <v>280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2.5783299999999998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DO012</v>
          </cell>
          <cell r="C214" t="str">
            <v>CEMENTO PROVISIONAL .:. LIBRE DE EUGENOL</v>
          </cell>
          <cell r="D214" t="str">
            <v>Frasco/TUBO</v>
          </cell>
          <cell r="E214">
            <v>0</v>
          </cell>
          <cell r="F214">
            <v>0</v>
          </cell>
          <cell r="H214">
            <v>2</v>
          </cell>
          <cell r="J214">
            <v>76</v>
          </cell>
          <cell r="M214">
            <v>0</v>
          </cell>
          <cell r="N214">
            <v>0</v>
          </cell>
          <cell r="P214">
            <v>2</v>
          </cell>
          <cell r="R214">
            <v>76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2.5783299999999998</v>
          </cell>
          <cell r="Y214">
            <v>0</v>
          </cell>
          <cell r="Z214">
            <v>0</v>
          </cell>
          <cell r="AA214">
            <v>0</v>
          </cell>
        </row>
        <row r="215">
          <cell r="B215" t="str">
            <v>DO017</v>
          </cell>
          <cell r="C215" t="str">
            <v>CEPILLO PROFILACTICO .:. DIFERENTES FORMAS</v>
          </cell>
          <cell r="D215" t="str">
            <v>Pieza</v>
          </cell>
          <cell r="E215">
            <v>0</v>
          </cell>
          <cell r="F215">
            <v>0</v>
          </cell>
          <cell r="H215">
            <v>10</v>
          </cell>
          <cell r="J215">
            <v>30</v>
          </cell>
          <cell r="M215">
            <v>0</v>
          </cell>
          <cell r="N215">
            <v>0</v>
          </cell>
          <cell r="P215">
            <v>10</v>
          </cell>
          <cell r="R215">
            <v>30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2.5783299999999998</v>
          </cell>
          <cell r="Y215">
            <v>0</v>
          </cell>
          <cell r="Z215">
            <v>0</v>
          </cell>
          <cell r="AA215">
            <v>0</v>
          </cell>
        </row>
        <row r="216">
          <cell r="B216" t="str">
            <v>DO026</v>
          </cell>
          <cell r="C216" t="str">
            <v>DESVITALIZANTE PULPAR SIN ARSENICO .:. PASTA</v>
          </cell>
          <cell r="D216" t="str">
            <v>Jeringa .</v>
          </cell>
          <cell r="E216">
            <v>0</v>
          </cell>
          <cell r="F216">
            <v>0</v>
          </cell>
          <cell r="H216">
            <v>1</v>
          </cell>
          <cell r="J216">
            <v>720</v>
          </cell>
          <cell r="M216">
            <v>0</v>
          </cell>
          <cell r="N216">
            <v>0</v>
          </cell>
          <cell r="P216">
            <v>1</v>
          </cell>
          <cell r="R216">
            <v>720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2.5783299999999998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DO033</v>
          </cell>
          <cell r="C217" t="str">
            <v>EUGENOL .:. SOLUCION</v>
          </cell>
          <cell r="D217" t="str">
            <v>Frasco</v>
          </cell>
          <cell r="E217">
            <v>0</v>
          </cell>
          <cell r="F217">
            <v>0</v>
          </cell>
          <cell r="H217">
            <v>6</v>
          </cell>
          <cell r="J217">
            <v>270</v>
          </cell>
          <cell r="M217">
            <v>0</v>
          </cell>
          <cell r="N217">
            <v>0</v>
          </cell>
          <cell r="P217">
            <v>6</v>
          </cell>
          <cell r="R217">
            <v>270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2.5783299999999998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DO034</v>
          </cell>
          <cell r="C218" t="str">
            <v>EYECTORES DE SALIVA .:. PIEZA</v>
          </cell>
          <cell r="D218" t="str">
            <v>Bolsa x 100 U</v>
          </cell>
          <cell r="E218">
            <v>0</v>
          </cell>
          <cell r="F218">
            <v>0</v>
          </cell>
          <cell r="H218">
            <v>10</v>
          </cell>
          <cell r="J218">
            <v>420</v>
          </cell>
          <cell r="M218">
            <v>0</v>
          </cell>
          <cell r="N218">
            <v>0</v>
          </cell>
          <cell r="P218">
            <v>10</v>
          </cell>
          <cell r="R218">
            <v>420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2.5783299999999998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DO035</v>
          </cell>
          <cell r="C219" t="str">
            <v>FLUOR ACIDULADO .:. GEL</v>
          </cell>
          <cell r="D219" t="str">
            <v>Frasco</v>
          </cell>
          <cell r="E219">
            <v>0</v>
          </cell>
          <cell r="F219">
            <v>0</v>
          </cell>
          <cell r="H219">
            <v>2</v>
          </cell>
          <cell r="J219">
            <v>60</v>
          </cell>
          <cell r="M219">
            <v>0</v>
          </cell>
          <cell r="N219">
            <v>0</v>
          </cell>
          <cell r="P219">
            <v>2</v>
          </cell>
          <cell r="R219">
            <v>60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2.5783299999999998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DO038</v>
          </cell>
          <cell r="C220" t="str">
            <v>FRESA  PARA PULIR RESINA .:. DIFRENTES FORMAS</v>
          </cell>
          <cell r="D220" t="str">
            <v>kit</v>
          </cell>
          <cell r="E220">
            <v>0</v>
          </cell>
          <cell r="F220">
            <v>0</v>
          </cell>
          <cell r="H220">
            <v>10</v>
          </cell>
          <cell r="J220">
            <v>100</v>
          </cell>
          <cell r="M220">
            <v>0</v>
          </cell>
          <cell r="N220">
            <v>0</v>
          </cell>
          <cell r="P220">
            <v>10</v>
          </cell>
          <cell r="R220">
            <v>100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2.5783299999999998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DO0402</v>
          </cell>
          <cell r="C221" t="str">
            <v xml:space="preserve">FRESAS DE CARBURO  .:. </v>
          </cell>
          <cell r="D221" t="str">
            <v>Pieza</v>
          </cell>
          <cell r="E221">
            <v>0</v>
          </cell>
          <cell r="F221">
            <v>0</v>
          </cell>
          <cell r="H221">
            <v>40</v>
          </cell>
          <cell r="J221">
            <v>480</v>
          </cell>
          <cell r="M221">
            <v>0</v>
          </cell>
          <cell r="N221">
            <v>0</v>
          </cell>
          <cell r="P221">
            <v>40</v>
          </cell>
          <cell r="R221">
            <v>480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2.5783299999999998</v>
          </cell>
          <cell r="Y221">
            <v>0</v>
          </cell>
          <cell r="Z221">
            <v>0</v>
          </cell>
          <cell r="AA221">
            <v>0</v>
          </cell>
        </row>
        <row r="222">
          <cell r="B222" t="str">
            <v>DO042</v>
          </cell>
          <cell r="C222" t="str">
            <v>FRESAS DE DIAMANTE AV .:. DIFERENTES FORMAS Y TAMANOS</v>
          </cell>
          <cell r="D222" t="str">
            <v>Pieza</v>
          </cell>
          <cell r="E222">
            <v>0</v>
          </cell>
          <cell r="F222">
            <v>0</v>
          </cell>
          <cell r="H222">
            <v>30</v>
          </cell>
          <cell r="J222">
            <v>270</v>
          </cell>
          <cell r="M222">
            <v>0</v>
          </cell>
          <cell r="N222">
            <v>0</v>
          </cell>
          <cell r="P222">
            <v>30</v>
          </cell>
          <cell r="R222">
            <v>270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2.5783299999999998</v>
          </cell>
          <cell r="Y222">
            <v>0</v>
          </cell>
          <cell r="Z222">
            <v>0</v>
          </cell>
          <cell r="AA222">
            <v>0</v>
          </cell>
        </row>
        <row r="223">
          <cell r="B223" t="str">
            <v>DO047</v>
          </cell>
          <cell r="C223" t="str">
            <v>GANCHOS PARA BABERO .:. METALICO</v>
          </cell>
          <cell r="D223" t="str">
            <v>Pieza</v>
          </cell>
          <cell r="E223">
            <v>0</v>
          </cell>
          <cell r="F223">
            <v>0</v>
          </cell>
          <cell r="H223">
            <v>3</v>
          </cell>
          <cell r="J223">
            <v>45</v>
          </cell>
          <cell r="M223">
            <v>0</v>
          </cell>
          <cell r="N223">
            <v>0</v>
          </cell>
          <cell r="P223">
            <v>3</v>
          </cell>
          <cell r="R223">
            <v>45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2.5783299999999998</v>
          </cell>
          <cell r="Y223">
            <v>0</v>
          </cell>
          <cell r="Z223">
            <v>0</v>
          </cell>
          <cell r="AA223">
            <v>0</v>
          </cell>
        </row>
        <row r="224">
          <cell r="B224" t="str">
            <v>DO050</v>
          </cell>
          <cell r="C224" t="str">
            <v>HEMOSTATICO .:. GEL</v>
          </cell>
          <cell r="D224" t="str">
            <v>Jeringa</v>
          </cell>
          <cell r="E224">
            <v>0</v>
          </cell>
          <cell r="F224">
            <v>0</v>
          </cell>
          <cell r="H224">
            <v>1</v>
          </cell>
          <cell r="J224">
            <v>60</v>
          </cell>
          <cell r="M224">
            <v>0</v>
          </cell>
          <cell r="N224">
            <v>0</v>
          </cell>
          <cell r="P224">
            <v>1</v>
          </cell>
          <cell r="R224">
            <v>60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2.5783299999999998</v>
          </cell>
          <cell r="Y224">
            <v>0</v>
          </cell>
          <cell r="Z224">
            <v>0</v>
          </cell>
          <cell r="AA224">
            <v>0</v>
          </cell>
        </row>
        <row r="225">
          <cell r="B225" t="str">
            <v>DO053</v>
          </cell>
          <cell r="C225" t="str">
            <v>HIDROXIDO DE CALCIO .:. PASTA/ BASE Y CATALIZADOR</v>
          </cell>
          <cell r="D225" t="str">
            <v>Caja</v>
          </cell>
          <cell r="E225">
            <v>0</v>
          </cell>
          <cell r="F225">
            <v>0</v>
          </cell>
          <cell r="H225">
            <v>1</v>
          </cell>
          <cell r="J225">
            <v>98</v>
          </cell>
          <cell r="M225">
            <v>0</v>
          </cell>
          <cell r="N225">
            <v>0</v>
          </cell>
          <cell r="P225">
            <v>1</v>
          </cell>
          <cell r="R225">
            <v>98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2.5783299999999998</v>
          </cell>
          <cell r="Y225">
            <v>0</v>
          </cell>
          <cell r="Z225">
            <v>0</v>
          </cell>
          <cell r="AA225">
            <v>0</v>
          </cell>
        </row>
        <row r="226">
          <cell r="B226" t="str">
            <v>DO054</v>
          </cell>
          <cell r="C226" t="str">
            <v>HIDROXIDO DE CALCIO QUIMICAMENTE PURO .:. POLVO .</v>
          </cell>
          <cell r="D226" t="str">
            <v>Frasco</v>
          </cell>
          <cell r="E226">
            <v>0</v>
          </cell>
          <cell r="F226">
            <v>0</v>
          </cell>
          <cell r="H226">
            <v>1</v>
          </cell>
          <cell r="J226">
            <v>25</v>
          </cell>
          <cell r="M226">
            <v>0</v>
          </cell>
          <cell r="N226">
            <v>0</v>
          </cell>
          <cell r="P226">
            <v>1</v>
          </cell>
          <cell r="R226">
            <v>25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2.5783299999999998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DO055</v>
          </cell>
          <cell r="C227" t="str">
            <v>HILO DENTAL .:. PIEZA</v>
          </cell>
          <cell r="D227" t="str">
            <v>Pieza</v>
          </cell>
          <cell r="E227">
            <v>0</v>
          </cell>
          <cell r="F227">
            <v>0</v>
          </cell>
          <cell r="H227">
            <v>2</v>
          </cell>
          <cell r="J227">
            <v>36</v>
          </cell>
          <cell r="M227">
            <v>0</v>
          </cell>
          <cell r="N227">
            <v>0</v>
          </cell>
          <cell r="P227">
            <v>2</v>
          </cell>
          <cell r="R227">
            <v>36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2.5783299999999998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DO056</v>
          </cell>
          <cell r="C228" t="str">
            <v>IODOFORMO .:. POLVO</v>
          </cell>
          <cell r="D228" t="str">
            <v>Frasco</v>
          </cell>
          <cell r="E228">
            <v>0</v>
          </cell>
          <cell r="F228">
            <v>0</v>
          </cell>
          <cell r="H228">
            <v>1</v>
          </cell>
          <cell r="J228">
            <v>90</v>
          </cell>
          <cell r="M228">
            <v>0</v>
          </cell>
          <cell r="N228">
            <v>0</v>
          </cell>
          <cell r="P228">
            <v>1</v>
          </cell>
          <cell r="R228">
            <v>90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2.5783299999999998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DO059</v>
          </cell>
          <cell r="C229" t="str">
            <v>IONOMERO DE VIDRIO BASE .:. AUTOPOLIMERIZABLE POLVO LIQUIDO</v>
          </cell>
          <cell r="D229" t="str">
            <v>Caja</v>
          </cell>
          <cell r="E229">
            <v>0</v>
          </cell>
          <cell r="F229">
            <v>0</v>
          </cell>
          <cell r="H229">
            <v>8</v>
          </cell>
          <cell r="J229">
            <v>1310</v>
          </cell>
          <cell r="M229">
            <v>0</v>
          </cell>
          <cell r="N229">
            <v>0</v>
          </cell>
          <cell r="P229">
            <v>8</v>
          </cell>
          <cell r="R229">
            <v>1310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2.5783299999999998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DO060</v>
          </cell>
          <cell r="C230" t="str">
            <v>IONOMERO DE VIDRIO DE  RESTAURACION .:. AUTOPOLIMERIZABLE POLVO LIQUIDO</v>
          </cell>
          <cell r="D230" t="str">
            <v>Caja</v>
          </cell>
          <cell r="E230">
            <v>0</v>
          </cell>
          <cell r="F230">
            <v>0</v>
          </cell>
          <cell r="H230">
            <v>8</v>
          </cell>
          <cell r="J230">
            <v>960</v>
          </cell>
          <cell r="M230">
            <v>0</v>
          </cell>
          <cell r="N230">
            <v>0</v>
          </cell>
          <cell r="P230">
            <v>8</v>
          </cell>
          <cell r="R230">
            <v>960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2.5783299999999998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DO063</v>
          </cell>
          <cell r="C231" t="str">
            <v>LIMA H .:. DE 15  40: 21MM, 25MM Y 31 MM</v>
          </cell>
          <cell r="D231" t="str">
            <v>Caja</v>
          </cell>
          <cell r="E231">
            <v>0</v>
          </cell>
          <cell r="F231">
            <v>0</v>
          </cell>
          <cell r="H231">
            <v>3</v>
          </cell>
          <cell r="J231">
            <v>105</v>
          </cell>
          <cell r="M231">
            <v>0</v>
          </cell>
          <cell r="N231">
            <v>0</v>
          </cell>
          <cell r="P231">
            <v>3</v>
          </cell>
          <cell r="R231">
            <v>105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2.5783299999999998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DO065</v>
          </cell>
          <cell r="C232" t="str">
            <v>LIMA K .:. DE 15  40: 21MM, 25MM Y 31 MM</v>
          </cell>
          <cell r="D232" t="str">
            <v>Caja</v>
          </cell>
          <cell r="E232">
            <v>0</v>
          </cell>
          <cell r="F232">
            <v>0</v>
          </cell>
          <cell r="H232">
            <v>3</v>
          </cell>
          <cell r="J232">
            <v>105</v>
          </cell>
          <cell r="M232">
            <v>0</v>
          </cell>
          <cell r="N232">
            <v>0</v>
          </cell>
          <cell r="P232">
            <v>3</v>
          </cell>
          <cell r="R232">
            <v>105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2.5783299999999998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DO067</v>
          </cell>
          <cell r="C233" t="str">
            <v>LIMA K .:. 21 MM: N° 06,08,10</v>
          </cell>
          <cell r="D233" t="str">
            <v>Caja</v>
          </cell>
          <cell r="E233">
            <v>0</v>
          </cell>
          <cell r="F233">
            <v>0</v>
          </cell>
          <cell r="H233">
            <v>4</v>
          </cell>
          <cell r="J233">
            <v>160</v>
          </cell>
          <cell r="M233">
            <v>0</v>
          </cell>
          <cell r="N233">
            <v>0</v>
          </cell>
          <cell r="P233">
            <v>4</v>
          </cell>
          <cell r="R233">
            <v>160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2.5783299999999998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DO068</v>
          </cell>
          <cell r="C234" t="str">
            <v>LIMA K .:. 25 MM: N° 06,08,10</v>
          </cell>
          <cell r="D234" t="str">
            <v>Caja</v>
          </cell>
          <cell r="E234">
            <v>0</v>
          </cell>
          <cell r="F234">
            <v>0</v>
          </cell>
          <cell r="H234">
            <v>3</v>
          </cell>
          <cell r="J234">
            <v>120</v>
          </cell>
          <cell r="M234">
            <v>0</v>
          </cell>
          <cell r="N234">
            <v>0</v>
          </cell>
          <cell r="P234">
            <v>3</v>
          </cell>
          <cell r="R234">
            <v>120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2.5783299999999998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DO072</v>
          </cell>
          <cell r="C235" t="str">
            <v>LUBRICANTE PARA AV  BV .:. SPRAY</v>
          </cell>
          <cell r="D235" t="str">
            <v>Frasco</v>
          </cell>
          <cell r="E235">
            <v>0</v>
          </cell>
          <cell r="F235">
            <v>0</v>
          </cell>
          <cell r="H235">
            <v>1</v>
          </cell>
          <cell r="J235">
            <v>95</v>
          </cell>
          <cell r="M235">
            <v>0</v>
          </cell>
          <cell r="N235">
            <v>0</v>
          </cell>
          <cell r="P235">
            <v>1</v>
          </cell>
          <cell r="R235">
            <v>95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2.5783299999999998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DO074</v>
          </cell>
          <cell r="C236" t="str">
            <v>MATRIZ METALICA .:. PIEZA</v>
          </cell>
          <cell r="D236" t="str">
            <v>CajaRollo</v>
          </cell>
          <cell r="E236">
            <v>0</v>
          </cell>
          <cell r="F236">
            <v>0</v>
          </cell>
          <cell r="H236">
            <v>4</v>
          </cell>
          <cell r="J236">
            <v>48</v>
          </cell>
          <cell r="M236">
            <v>0</v>
          </cell>
          <cell r="N236">
            <v>0</v>
          </cell>
          <cell r="P236">
            <v>4</v>
          </cell>
          <cell r="R236">
            <v>48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2.5783299999999998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DO076</v>
          </cell>
          <cell r="C237" t="str">
            <v>OXIDO DE ZINC .:. POLVO</v>
          </cell>
          <cell r="D237" t="str">
            <v>Frasco</v>
          </cell>
          <cell r="E237">
            <v>0</v>
          </cell>
          <cell r="F237">
            <v>0</v>
          </cell>
          <cell r="H237">
            <v>6</v>
          </cell>
          <cell r="J237">
            <v>150</v>
          </cell>
          <cell r="M237">
            <v>0</v>
          </cell>
          <cell r="N237">
            <v>0</v>
          </cell>
          <cell r="P237">
            <v>6</v>
          </cell>
          <cell r="R237">
            <v>150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2.5783299999999998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DO077</v>
          </cell>
          <cell r="C238" t="str">
            <v>PAPEL  DE ARTICULAR .:. BLOCK X12 LAMINAS</v>
          </cell>
          <cell r="D238" t="str">
            <v>Caja</v>
          </cell>
          <cell r="E238">
            <v>0</v>
          </cell>
          <cell r="F238">
            <v>0</v>
          </cell>
          <cell r="H238">
            <v>4</v>
          </cell>
          <cell r="J238">
            <v>260</v>
          </cell>
          <cell r="M238">
            <v>0</v>
          </cell>
          <cell r="N238">
            <v>0</v>
          </cell>
          <cell r="P238">
            <v>4</v>
          </cell>
          <cell r="R238">
            <v>260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2.5783299999999998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DO078</v>
          </cell>
          <cell r="C239" t="str">
            <v>PARAMONOCLOROFENOL .:. SOLUCION</v>
          </cell>
          <cell r="D239" t="str">
            <v>Frasco</v>
          </cell>
          <cell r="E239">
            <v>0</v>
          </cell>
          <cell r="F239">
            <v>0</v>
          </cell>
          <cell r="H239">
            <v>1</v>
          </cell>
          <cell r="J239">
            <v>38</v>
          </cell>
          <cell r="M239">
            <v>0</v>
          </cell>
          <cell r="N239">
            <v>0</v>
          </cell>
          <cell r="P239">
            <v>1</v>
          </cell>
          <cell r="R239">
            <v>38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2.5783299999999998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DO081</v>
          </cell>
          <cell r="C240" t="str">
            <v>PASTA ALVEOLAR ANTISEPTICA .:. ANTISEPTICA PASTA</v>
          </cell>
          <cell r="D240" t="str">
            <v>Frasco</v>
          </cell>
          <cell r="E240">
            <v>0</v>
          </cell>
          <cell r="F240">
            <v>0</v>
          </cell>
          <cell r="H240">
            <v>1</v>
          </cell>
          <cell r="J240">
            <v>397</v>
          </cell>
          <cell r="M240">
            <v>0</v>
          </cell>
          <cell r="N240">
            <v>0</v>
          </cell>
          <cell r="P240">
            <v>1</v>
          </cell>
          <cell r="R240">
            <v>397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2.5783299999999998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DO083</v>
          </cell>
          <cell r="C241" t="str">
            <v>PASTA PROFILACTICA .:. PASTA</v>
          </cell>
          <cell r="D241" t="str">
            <v>Frasco</v>
          </cell>
          <cell r="E241">
            <v>0</v>
          </cell>
          <cell r="F241">
            <v>0</v>
          </cell>
          <cell r="H241">
            <v>2</v>
          </cell>
          <cell r="J241">
            <v>56</v>
          </cell>
          <cell r="M241">
            <v>0</v>
          </cell>
          <cell r="N241">
            <v>0</v>
          </cell>
          <cell r="P241">
            <v>2</v>
          </cell>
          <cell r="R241">
            <v>56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2.5783299999999998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DO087</v>
          </cell>
          <cell r="C242" t="str">
            <v>RESINA FLUIDA .:. FOTOPOLIMERIZABLE A1A2 DE 2 G</v>
          </cell>
          <cell r="D242" t="str">
            <v>Jeringa .</v>
          </cell>
          <cell r="E242">
            <v>0</v>
          </cell>
          <cell r="F242">
            <v>0</v>
          </cell>
          <cell r="H242">
            <v>8</v>
          </cell>
          <cell r="J242">
            <v>581.70000000000005</v>
          </cell>
          <cell r="M242">
            <v>0</v>
          </cell>
          <cell r="N242">
            <v>0</v>
          </cell>
          <cell r="P242">
            <v>8</v>
          </cell>
          <cell r="R242">
            <v>581.70000000000005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2.5783299999999998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DO088</v>
          </cell>
          <cell r="C243" t="str">
            <v>RESINA FOTOPOLIMERIZABLE .:. A1,A2,A3</v>
          </cell>
          <cell r="D243" t="str">
            <v>Jeringa</v>
          </cell>
          <cell r="E243">
            <v>0</v>
          </cell>
          <cell r="F243">
            <v>0</v>
          </cell>
          <cell r="H243">
            <v>40</v>
          </cell>
          <cell r="J243">
            <v>6700</v>
          </cell>
          <cell r="M243">
            <v>0</v>
          </cell>
          <cell r="N243">
            <v>0</v>
          </cell>
          <cell r="P243">
            <v>40</v>
          </cell>
          <cell r="R243">
            <v>6700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2.5783299999999998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DO091</v>
          </cell>
          <cell r="C244" t="str">
            <v>ROLLOS DE ALGODON .:. TRENZADO</v>
          </cell>
          <cell r="D244" t="str">
            <v>Bolsa</v>
          </cell>
          <cell r="E244">
            <v>0</v>
          </cell>
          <cell r="F244">
            <v>0</v>
          </cell>
          <cell r="H244">
            <v>10</v>
          </cell>
          <cell r="J244">
            <v>500</v>
          </cell>
          <cell r="M244">
            <v>0</v>
          </cell>
          <cell r="N244">
            <v>0</v>
          </cell>
          <cell r="P244">
            <v>10</v>
          </cell>
          <cell r="R244">
            <v>500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2.5783299999999998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DO099</v>
          </cell>
          <cell r="C245" t="str">
            <v>TIRAS DE LIJA METALICA .:. UNIDAD DE 4 Y 6 MM</v>
          </cell>
          <cell r="D245" t="str">
            <v>Caja</v>
          </cell>
          <cell r="E245">
            <v>0</v>
          </cell>
          <cell r="F245">
            <v>0</v>
          </cell>
          <cell r="H245">
            <v>3</v>
          </cell>
          <cell r="J245">
            <v>165</v>
          </cell>
          <cell r="M245">
            <v>0</v>
          </cell>
          <cell r="N245">
            <v>0</v>
          </cell>
          <cell r="P245">
            <v>3</v>
          </cell>
          <cell r="R245">
            <v>165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2.5783299999999998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DO102</v>
          </cell>
          <cell r="C246" t="str">
            <v>VASOS DAPPEN .:. VIDRIO</v>
          </cell>
          <cell r="D246" t="str">
            <v>Pieza</v>
          </cell>
          <cell r="E246">
            <v>0</v>
          </cell>
          <cell r="F246">
            <v>0</v>
          </cell>
          <cell r="H246">
            <v>2</v>
          </cell>
          <cell r="J246">
            <v>18</v>
          </cell>
          <cell r="M246">
            <v>0</v>
          </cell>
          <cell r="N246">
            <v>0</v>
          </cell>
          <cell r="P246">
            <v>2</v>
          </cell>
          <cell r="R246">
            <v>18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2.5783299999999998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DOI008</v>
          </cell>
          <cell r="C247" t="str">
            <v>CAJA METALICA .:. 30X25X4 CM</v>
          </cell>
          <cell r="D247" t="str">
            <v>Pieza</v>
          </cell>
          <cell r="E247">
            <v>0</v>
          </cell>
          <cell r="F247">
            <v>0</v>
          </cell>
          <cell r="H247">
            <v>1</v>
          </cell>
          <cell r="J247">
            <v>190</v>
          </cell>
          <cell r="M247">
            <v>0</v>
          </cell>
          <cell r="N247">
            <v>0</v>
          </cell>
          <cell r="P247">
            <v>1</v>
          </cell>
          <cell r="R247">
            <v>190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2.5783299999999998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DOI023D</v>
          </cell>
          <cell r="C248" t="str">
            <v>ESPONJERO .:. PARA LIMAS</v>
          </cell>
          <cell r="D248" t="str">
            <v>Pieza</v>
          </cell>
          <cell r="E248">
            <v>0</v>
          </cell>
          <cell r="F248">
            <v>0</v>
          </cell>
          <cell r="H248">
            <v>2</v>
          </cell>
          <cell r="J248">
            <v>60</v>
          </cell>
          <cell r="M248">
            <v>0</v>
          </cell>
          <cell r="N248">
            <v>0</v>
          </cell>
          <cell r="P248">
            <v>2</v>
          </cell>
          <cell r="R248">
            <v>60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2.5783299999999998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DOI026</v>
          </cell>
          <cell r="C249" t="str">
            <v>FRESERO .:. METALICO AUTOCLAVABLE</v>
          </cell>
          <cell r="D249" t="str">
            <v>Pieza</v>
          </cell>
          <cell r="E249">
            <v>0</v>
          </cell>
          <cell r="F249">
            <v>0</v>
          </cell>
          <cell r="H249">
            <v>1</v>
          </cell>
          <cell r="J249">
            <v>55</v>
          </cell>
          <cell r="M249">
            <v>0</v>
          </cell>
          <cell r="N249">
            <v>0</v>
          </cell>
          <cell r="P249">
            <v>1</v>
          </cell>
          <cell r="R249">
            <v>55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2.5783299999999998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DOI037</v>
          </cell>
          <cell r="C250" t="str">
            <v>PIEZA DE ALTA VELOCIDAD .:. MICROMOTOR, CONTRANGULO Y PIEZA RECTA</v>
          </cell>
          <cell r="D250" t="str">
            <v>kit</v>
          </cell>
          <cell r="E250">
            <v>1</v>
          </cell>
          <cell r="F250">
            <v>2082.5</v>
          </cell>
          <cell r="H250">
            <v>0</v>
          </cell>
          <cell r="J250">
            <v>0</v>
          </cell>
          <cell r="M250">
            <v>0</v>
          </cell>
          <cell r="N250">
            <v>0</v>
          </cell>
          <cell r="P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1</v>
          </cell>
          <cell r="V250">
            <v>2082.5</v>
          </cell>
          <cell r="W250">
            <v>2082.5</v>
          </cell>
          <cell r="X250">
            <v>2.5783299999999998</v>
          </cell>
          <cell r="Y250">
            <v>0</v>
          </cell>
          <cell r="Z250">
            <v>2082.5</v>
          </cell>
          <cell r="AA250">
            <v>2082.5</v>
          </cell>
        </row>
        <row r="251">
          <cell r="B251" t="str">
            <v>DOT005</v>
          </cell>
          <cell r="C251" t="str">
            <v>ALGODON .:. 100 GRS.</v>
          </cell>
          <cell r="D251" t="str">
            <v>Paquete</v>
          </cell>
          <cell r="E251">
            <v>25</v>
          </cell>
          <cell r="F251">
            <v>200</v>
          </cell>
          <cell r="H251">
            <v>50</v>
          </cell>
          <cell r="J251">
            <v>400</v>
          </cell>
          <cell r="M251">
            <v>0</v>
          </cell>
          <cell r="N251">
            <v>0</v>
          </cell>
          <cell r="P251">
            <v>60</v>
          </cell>
          <cell r="R251">
            <v>480</v>
          </cell>
          <cell r="S251">
            <v>0</v>
          </cell>
          <cell r="T251">
            <v>0</v>
          </cell>
          <cell r="U251">
            <v>15</v>
          </cell>
          <cell r="V251">
            <v>8</v>
          </cell>
          <cell r="W251">
            <v>120</v>
          </cell>
          <cell r="X251">
            <v>2.5783299999999998</v>
          </cell>
          <cell r="Y251">
            <v>0</v>
          </cell>
          <cell r="Z251">
            <v>8</v>
          </cell>
          <cell r="AA251">
            <v>120</v>
          </cell>
        </row>
        <row r="252">
          <cell r="B252" t="str">
            <v>DOT006</v>
          </cell>
          <cell r="C252" t="str">
            <v>ALGODON .:. 400 GRS.</v>
          </cell>
          <cell r="D252" t="str">
            <v>Paquete</v>
          </cell>
          <cell r="E252">
            <v>18</v>
          </cell>
          <cell r="F252">
            <v>590.99999999939996</v>
          </cell>
          <cell r="H252">
            <v>30</v>
          </cell>
          <cell r="J252">
            <v>960</v>
          </cell>
          <cell r="M252">
            <v>0</v>
          </cell>
          <cell r="N252">
            <v>0</v>
          </cell>
          <cell r="P252">
            <v>32</v>
          </cell>
          <cell r="R252">
            <v>1038.9999999994</v>
          </cell>
          <cell r="S252">
            <v>0</v>
          </cell>
          <cell r="T252">
            <v>0</v>
          </cell>
          <cell r="U252">
            <v>16</v>
          </cell>
          <cell r="V252">
            <v>32</v>
          </cell>
          <cell r="W252">
            <v>512</v>
          </cell>
          <cell r="X252">
            <v>2.5783299999999998</v>
          </cell>
          <cell r="Y252">
            <v>0</v>
          </cell>
          <cell r="Z252">
            <v>32</v>
          </cell>
          <cell r="AA252">
            <v>512</v>
          </cell>
        </row>
        <row r="253">
          <cell r="B253" t="str">
            <v>DOT024</v>
          </cell>
          <cell r="C253" t="str">
            <v>BAJA LENGUA .:. DE MADERA ADULTOS</v>
          </cell>
          <cell r="D253" t="str">
            <v>Caja x 100</v>
          </cell>
          <cell r="E253">
            <v>58</v>
          </cell>
          <cell r="F253">
            <v>870</v>
          </cell>
          <cell r="H253">
            <v>50</v>
          </cell>
          <cell r="J253">
            <v>873</v>
          </cell>
          <cell r="M253">
            <v>0</v>
          </cell>
          <cell r="N253">
            <v>0</v>
          </cell>
          <cell r="P253">
            <v>74</v>
          </cell>
          <cell r="R253">
            <v>1149.3599999999999</v>
          </cell>
          <cell r="S253">
            <v>0</v>
          </cell>
          <cell r="T253">
            <v>0</v>
          </cell>
          <cell r="U253">
            <v>34</v>
          </cell>
          <cell r="V253">
            <v>17.46</v>
          </cell>
          <cell r="W253">
            <v>593.64</v>
          </cell>
          <cell r="X253">
            <v>2.5783299999999998</v>
          </cell>
          <cell r="Y253">
            <v>0</v>
          </cell>
          <cell r="Z253">
            <v>17.46</v>
          </cell>
          <cell r="AA253">
            <v>593.64</v>
          </cell>
        </row>
        <row r="254">
          <cell r="B254" t="str">
            <v>DOT031</v>
          </cell>
          <cell r="C254" t="str">
            <v>CURITAS REDONDAS .:. PARA LABORATORIO</v>
          </cell>
          <cell r="D254" t="str">
            <v>Caja</v>
          </cell>
          <cell r="E254">
            <v>1</v>
          </cell>
          <cell r="F254">
            <v>125</v>
          </cell>
          <cell r="H254">
            <v>0</v>
          </cell>
          <cell r="J254">
            <v>0</v>
          </cell>
          <cell r="M254">
            <v>0</v>
          </cell>
          <cell r="N254">
            <v>0</v>
          </cell>
          <cell r="P254">
            <v>1</v>
          </cell>
          <cell r="R254">
            <v>125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2.5783299999999998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DOT035</v>
          </cell>
          <cell r="C255" t="str">
            <v>FILTRO ANTIMICROBIANO .:. PARA RESPIRADORES PARA OXIGENO</v>
          </cell>
          <cell r="D255" t="str">
            <v>Sobre estéril</v>
          </cell>
          <cell r="E255">
            <v>53</v>
          </cell>
          <cell r="F255">
            <v>2226</v>
          </cell>
          <cell r="H255">
            <v>0</v>
          </cell>
          <cell r="J255">
            <v>0</v>
          </cell>
          <cell r="M255">
            <v>10</v>
          </cell>
          <cell r="N255">
            <v>420</v>
          </cell>
          <cell r="P255">
            <v>27</v>
          </cell>
          <cell r="R255">
            <v>1134</v>
          </cell>
          <cell r="S255">
            <v>10</v>
          </cell>
          <cell r="T255">
            <v>420</v>
          </cell>
          <cell r="U255">
            <v>26</v>
          </cell>
          <cell r="V255">
            <v>42</v>
          </cell>
          <cell r="W255">
            <v>1092</v>
          </cell>
          <cell r="X255">
            <v>2.5783299999999998</v>
          </cell>
          <cell r="Y255">
            <v>0</v>
          </cell>
          <cell r="Z255">
            <v>42</v>
          </cell>
          <cell r="AA255">
            <v>1092</v>
          </cell>
        </row>
        <row r="256">
          <cell r="B256" t="str">
            <v>DOT037</v>
          </cell>
          <cell r="C256" t="str">
            <v>GASA .:. 100 YARDAS MALLA 20  X  24 MM CON HILO RADIOPACO, CORTADA A REQUERIMIENTO</v>
          </cell>
          <cell r="D256" t="str">
            <v>Rollo</v>
          </cell>
          <cell r="E256">
            <v>1</v>
          </cell>
          <cell r="F256">
            <v>473.33</v>
          </cell>
          <cell r="H256">
            <v>3</v>
          </cell>
          <cell r="J256">
            <v>1545</v>
          </cell>
          <cell r="M256">
            <v>0</v>
          </cell>
          <cell r="N256">
            <v>0</v>
          </cell>
          <cell r="P256">
            <v>3</v>
          </cell>
          <cell r="R256">
            <v>1413.33</v>
          </cell>
          <cell r="S256">
            <v>0</v>
          </cell>
          <cell r="T256">
            <v>0</v>
          </cell>
          <cell r="U256">
            <v>1</v>
          </cell>
          <cell r="V256">
            <v>605</v>
          </cell>
          <cell r="W256">
            <v>605</v>
          </cell>
          <cell r="X256">
            <v>2.5783299999999998</v>
          </cell>
          <cell r="Y256">
            <v>0</v>
          </cell>
          <cell r="Z256">
            <v>605</v>
          </cell>
          <cell r="AA256">
            <v>605</v>
          </cell>
        </row>
        <row r="257">
          <cell r="B257" t="str">
            <v>DOT045</v>
          </cell>
          <cell r="C257" t="str">
            <v>PAPEL GRADO MEDICO .:. CON POLIETILENO 15 CM X 200 M SIN FUELLE PARASTERILIZAR A VAPOR</v>
          </cell>
          <cell r="D257" t="str">
            <v>Rollo</v>
          </cell>
          <cell r="E257">
            <v>0</v>
          </cell>
          <cell r="F257">
            <v>0</v>
          </cell>
          <cell r="H257">
            <v>1</v>
          </cell>
          <cell r="J257">
            <v>530</v>
          </cell>
          <cell r="M257">
            <v>0</v>
          </cell>
          <cell r="N257">
            <v>0</v>
          </cell>
          <cell r="P257">
            <v>1</v>
          </cell>
          <cell r="R257">
            <v>530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2.5783299999999998</v>
          </cell>
          <cell r="Y257">
            <v>0</v>
          </cell>
          <cell r="Z257">
            <v>0</v>
          </cell>
          <cell r="AA257">
            <v>0</v>
          </cell>
        </row>
        <row r="258">
          <cell r="B258" t="str">
            <v>DOT052</v>
          </cell>
          <cell r="C258" t="str">
            <v>TELA ADHESIVA .:. CORRIENTE 4 X 10 CM</v>
          </cell>
          <cell r="D258" t="str">
            <v>Rollo</v>
          </cell>
          <cell r="E258">
            <v>1</v>
          </cell>
          <cell r="F258">
            <v>40</v>
          </cell>
          <cell r="H258">
            <v>40</v>
          </cell>
          <cell r="J258">
            <v>1780</v>
          </cell>
          <cell r="M258">
            <v>0</v>
          </cell>
          <cell r="N258">
            <v>0</v>
          </cell>
          <cell r="P258">
            <v>27</v>
          </cell>
          <cell r="R258">
            <v>1197</v>
          </cell>
          <cell r="S258">
            <v>0</v>
          </cell>
          <cell r="T258">
            <v>0</v>
          </cell>
          <cell r="U258">
            <v>14</v>
          </cell>
          <cell r="V258">
            <v>44.5</v>
          </cell>
          <cell r="W258">
            <v>623</v>
          </cell>
          <cell r="X258">
            <v>2.5783299999999998</v>
          </cell>
          <cell r="Y258">
            <v>0</v>
          </cell>
          <cell r="Z258">
            <v>44.5</v>
          </cell>
          <cell r="AA258">
            <v>623</v>
          </cell>
        </row>
        <row r="259">
          <cell r="B259" t="str">
            <v>DOT054</v>
          </cell>
          <cell r="C259" t="str">
            <v>TELA ADHESIVA .:. ANTIALERGICA COLOR PIEL 1/2"</v>
          </cell>
          <cell r="D259" t="str">
            <v>Rollo</v>
          </cell>
          <cell r="E259">
            <v>3</v>
          </cell>
          <cell r="F259">
            <v>11.97</v>
          </cell>
          <cell r="H259">
            <v>30</v>
          </cell>
          <cell r="J259">
            <v>119.7</v>
          </cell>
          <cell r="M259">
            <v>0</v>
          </cell>
          <cell r="N259">
            <v>0</v>
          </cell>
          <cell r="P259">
            <v>31</v>
          </cell>
          <cell r="R259">
            <v>123.69</v>
          </cell>
          <cell r="S259">
            <v>0</v>
          </cell>
          <cell r="T259">
            <v>0</v>
          </cell>
          <cell r="U259">
            <v>2</v>
          </cell>
          <cell r="V259">
            <v>3.99</v>
          </cell>
          <cell r="W259">
            <v>7.98</v>
          </cell>
          <cell r="X259">
            <v>2.5783299999999998</v>
          </cell>
          <cell r="Y259">
            <v>0</v>
          </cell>
          <cell r="Z259">
            <v>3.99</v>
          </cell>
          <cell r="AA259">
            <v>7.98</v>
          </cell>
        </row>
        <row r="260">
          <cell r="B260" t="str">
            <v>DOT055</v>
          </cell>
          <cell r="C260" t="str">
            <v>TELA ADHESIVA .:. ANTIALERGICA COLOR PIEL 1 "</v>
          </cell>
          <cell r="D260" t="str">
            <v>Rollo</v>
          </cell>
          <cell r="E260">
            <v>3</v>
          </cell>
          <cell r="F260">
            <v>22.387499999999999</v>
          </cell>
          <cell r="H260">
            <v>25</v>
          </cell>
          <cell r="J260">
            <v>186.25</v>
          </cell>
          <cell r="M260">
            <v>0</v>
          </cell>
          <cell r="N260">
            <v>0</v>
          </cell>
          <cell r="P260">
            <v>22</v>
          </cell>
          <cell r="R260">
            <v>163.9375</v>
          </cell>
          <cell r="S260">
            <v>0</v>
          </cell>
          <cell r="T260">
            <v>0</v>
          </cell>
          <cell r="U260">
            <v>6</v>
          </cell>
          <cell r="V260">
            <v>7.45</v>
          </cell>
          <cell r="W260">
            <v>44.7</v>
          </cell>
          <cell r="X260">
            <v>2.5783299999999998</v>
          </cell>
          <cell r="Y260">
            <v>0</v>
          </cell>
          <cell r="Z260">
            <v>7.45</v>
          </cell>
          <cell r="AA260">
            <v>44.7</v>
          </cell>
        </row>
        <row r="261">
          <cell r="B261" t="str">
            <v>DOT070</v>
          </cell>
          <cell r="C261" t="str">
            <v>VENDA DE GASA .:. 3" (7.5 CENTIMETROS)</v>
          </cell>
          <cell r="D261" t="str">
            <v>Rollo</v>
          </cell>
          <cell r="E261">
            <v>27</v>
          </cell>
          <cell r="F261">
            <v>94.23</v>
          </cell>
          <cell r="H261">
            <v>30</v>
          </cell>
          <cell r="J261">
            <v>156</v>
          </cell>
          <cell r="M261">
            <v>0</v>
          </cell>
          <cell r="N261">
            <v>0</v>
          </cell>
          <cell r="P261">
            <v>39</v>
          </cell>
          <cell r="R261">
            <v>156.63</v>
          </cell>
          <cell r="S261">
            <v>0</v>
          </cell>
          <cell r="T261">
            <v>0</v>
          </cell>
          <cell r="U261">
            <v>18</v>
          </cell>
          <cell r="V261">
            <v>5.2</v>
          </cell>
          <cell r="W261">
            <v>93.6</v>
          </cell>
          <cell r="X261">
            <v>2.5783299999999998</v>
          </cell>
          <cell r="Y261">
            <v>0</v>
          </cell>
          <cell r="Z261">
            <v>5.2</v>
          </cell>
          <cell r="AA261">
            <v>93.6</v>
          </cell>
        </row>
        <row r="262">
          <cell r="B262" t="str">
            <v>DOT071</v>
          </cell>
          <cell r="C262" t="str">
            <v>VENDA DE GASA .:. 4" (10 CENTIMETROS)</v>
          </cell>
          <cell r="D262" t="str">
            <v>Rollo</v>
          </cell>
          <cell r="E262">
            <v>96</v>
          </cell>
          <cell r="F262">
            <v>529.4978723424</v>
          </cell>
          <cell r="H262">
            <v>150</v>
          </cell>
          <cell r="J262">
            <v>675</v>
          </cell>
          <cell r="M262">
            <v>2</v>
          </cell>
          <cell r="N262">
            <v>9</v>
          </cell>
          <cell r="P262">
            <v>248</v>
          </cell>
          <cell r="R262">
            <v>1213.4978723423999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2.5783299999999998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DOT072</v>
          </cell>
          <cell r="C263" t="str">
            <v>VENDA DE GASA .:. 1.5"</v>
          </cell>
          <cell r="D263" t="str">
            <v>Rollo</v>
          </cell>
          <cell r="E263">
            <v>20</v>
          </cell>
          <cell r="F263">
            <v>70</v>
          </cell>
          <cell r="H263">
            <v>0</v>
          </cell>
          <cell r="J263">
            <v>0</v>
          </cell>
          <cell r="M263">
            <v>0</v>
          </cell>
          <cell r="N263">
            <v>0</v>
          </cell>
          <cell r="P263">
            <v>20</v>
          </cell>
          <cell r="R263">
            <v>70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2.5783299999999998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DOT073</v>
          </cell>
          <cell r="C264" t="str">
            <v>VENDA DE GASA .:. 6"</v>
          </cell>
          <cell r="D264" t="str">
            <v>Rollo</v>
          </cell>
          <cell r="E264">
            <v>18</v>
          </cell>
          <cell r="F264">
            <v>153</v>
          </cell>
          <cell r="H264">
            <v>70</v>
          </cell>
          <cell r="J264">
            <v>560</v>
          </cell>
          <cell r="M264">
            <v>1</v>
          </cell>
          <cell r="N264">
            <v>8.5</v>
          </cell>
          <cell r="P264">
            <v>51</v>
          </cell>
          <cell r="R264">
            <v>417.5</v>
          </cell>
          <cell r="S264">
            <v>0</v>
          </cell>
          <cell r="T264">
            <v>0</v>
          </cell>
          <cell r="U264">
            <v>38</v>
          </cell>
          <cell r="V264">
            <v>8</v>
          </cell>
          <cell r="W264">
            <v>304</v>
          </cell>
          <cell r="X264">
            <v>2.5783299999999998</v>
          </cell>
          <cell r="Y264">
            <v>0</v>
          </cell>
          <cell r="Z264">
            <v>8</v>
          </cell>
          <cell r="AA264">
            <v>304</v>
          </cell>
        </row>
        <row r="265">
          <cell r="B265" t="str">
            <v>DOT074</v>
          </cell>
          <cell r="C265" t="str">
            <v>VENDA DE YESO .:. 6" (15 CENTIMETROS)</v>
          </cell>
          <cell r="D265" t="str">
            <v>Rollo</v>
          </cell>
          <cell r="E265">
            <v>4</v>
          </cell>
          <cell r="F265">
            <v>51.96</v>
          </cell>
          <cell r="H265">
            <v>35</v>
          </cell>
          <cell r="J265">
            <v>700</v>
          </cell>
          <cell r="M265">
            <v>0</v>
          </cell>
          <cell r="N265">
            <v>0</v>
          </cell>
          <cell r="P265">
            <v>12</v>
          </cell>
          <cell r="R265">
            <v>211.96</v>
          </cell>
          <cell r="S265">
            <v>0</v>
          </cell>
          <cell r="T265">
            <v>0</v>
          </cell>
          <cell r="U265">
            <v>27</v>
          </cell>
          <cell r="V265">
            <v>20</v>
          </cell>
          <cell r="W265">
            <v>540</v>
          </cell>
          <cell r="X265">
            <v>2.5783299999999998</v>
          </cell>
          <cell r="Y265">
            <v>0</v>
          </cell>
          <cell r="Z265">
            <v>20</v>
          </cell>
          <cell r="AA265">
            <v>540</v>
          </cell>
        </row>
        <row r="266">
          <cell r="B266" t="str">
            <v>DOT075</v>
          </cell>
          <cell r="C266" t="str">
            <v>VENDA DE YESO .:. 4" (10 CM)</v>
          </cell>
          <cell r="D266" t="str">
            <v>Rollo</v>
          </cell>
          <cell r="E266">
            <v>11</v>
          </cell>
          <cell r="F266">
            <v>124.38411764679999</v>
          </cell>
          <cell r="H266">
            <v>50</v>
          </cell>
          <cell r="J266">
            <v>577.5</v>
          </cell>
          <cell r="M266">
            <v>0</v>
          </cell>
          <cell r="N266">
            <v>0</v>
          </cell>
          <cell r="P266">
            <v>53</v>
          </cell>
          <cell r="R266">
            <v>609.48411764679997</v>
          </cell>
          <cell r="S266">
            <v>0</v>
          </cell>
          <cell r="T266">
            <v>0</v>
          </cell>
          <cell r="U266">
            <v>8</v>
          </cell>
          <cell r="V266">
            <v>11.55</v>
          </cell>
          <cell r="W266">
            <v>92.4</v>
          </cell>
          <cell r="X266">
            <v>2.5783299999999998</v>
          </cell>
          <cell r="Y266">
            <v>0</v>
          </cell>
          <cell r="Z266">
            <v>11.55</v>
          </cell>
          <cell r="AA266">
            <v>92.4</v>
          </cell>
        </row>
        <row r="267">
          <cell r="B267" t="str">
            <v>DOT076</v>
          </cell>
          <cell r="C267" t="str">
            <v>VENDA DE YESO .:. 8" ( 20 CM)</v>
          </cell>
          <cell r="D267" t="str">
            <v>Rollo</v>
          </cell>
          <cell r="E267">
            <v>41</v>
          </cell>
          <cell r="F267">
            <v>883.50083103290001</v>
          </cell>
          <cell r="H267">
            <v>0</v>
          </cell>
          <cell r="J267">
            <v>0</v>
          </cell>
          <cell r="M267">
            <v>0</v>
          </cell>
          <cell r="N267">
            <v>0</v>
          </cell>
          <cell r="P267">
            <v>39</v>
          </cell>
          <cell r="R267">
            <v>840.40322951910002</v>
          </cell>
          <cell r="S267">
            <v>0</v>
          </cell>
          <cell r="T267">
            <v>0</v>
          </cell>
          <cell r="U267">
            <v>2</v>
          </cell>
          <cell r="V267">
            <v>21.5488007569</v>
          </cell>
          <cell r="W267">
            <v>43.097601513800001</v>
          </cell>
          <cell r="X267">
            <v>2.5783299999999998</v>
          </cell>
          <cell r="Y267">
            <v>0</v>
          </cell>
          <cell r="Z267">
            <v>21.5488007569</v>
          </cell>
          <cell r="AA267">
            <v>43.097601513800001</v>
          </cell>
        </row>
        <row r="268">
          <cell r="B268" t="str">
            <v>DOT081</v>
          </cell>
          <cell r="C268" t="str">
            <v>VENDA ELASTICA .:. 10 CM</v>
          </cell>
          <cell r="D268" t="str">
            <v>Rollo</v>
          </cell>
          <cell r="E268">
            <v>23</v>
          </cell>
          <cell r="F268">
            <v>109.25</v>
          </cell>
          <cell r="H268">
            <v>70</v>
          </cell>
          <cell r="J268">
            <v>350</v>
          </cell>
          <cell r="M268">
            <v>0</v>
          </cell>
          <cell r="N268">
            <v>0</v>
          </cell>
          <cell r="P268">
            <v>39</v>
          </cell>
          <cell r="R268">
            <v>189.25</v>
          </cell>
          <cell r="S268">
            <v>0</v>
          </cell>
          <cell r="T268">
            <v>0</v>
          </cell>
          <cell r="U268">
            <v>54</v>
          </cell>
          <cell r="V268">
            <v>5</v>
          </cell>
          <cell r="W268">
            <v>270</v>
          </cell>
          <cell r="X268">
            <v>2.5783299999999998</v>
          </cell>
          <cell r="Y268">
            <v>0</v>
          </cell>
          <cell r="Z268">
            <v>5</v>
          </cell>
          <cell r="AA268">
            <v>270</v>
          </cell>
        </row>
        <row r="269">
          <cell r="B269" t="str">
            <v>DOT082</v>
          </cell>
          <cell r="C269" t="str">
            <v>VENDA ELASTICA .:. 15 CM</v>
          </cell>
          <cell r="D269" t="str">
            <v>Rollo</v>
          </cell>
          <cell r="E269">
            <v>26</v>
          </cell>
          <cell r="F269">
            <v>221</v>
          </cell>
          <cell r="H269">
            <v>70</v>
          </cell>
          <cell r="J269">
            <v>560</v>
          </cell>
          <cell r="M269">
            <v>0</v>
          </cell>
          <cell r="N269">
            <v>0</v>
          </cell>
          <cell r="P269">
            <v>55</v>
          </cell>
          <cell r="R269">
            <v>453</v>
          </cell>
          <cell r="S269">
            <v>0</v>
          </cell>
          <cell r="T269">
            <v>0</v>
          </cell>
          <cell r="U269">
            <v>41</v>
          </cell>
          <cell r="V269">
            <v>8</v>
          </cell>
          <cell r="W269">
            <v>328</v>
          </cell>
          <cell r="X269">
            <v>2.5783299999999998</v>
          </cell>
          <cell r="Y269">
            <v>0</v>
          </cell>
          <cell r="Z269">
            <v>8</v>
          </cell>
          <cell r="AA269">
            <v>328</v>
          </cell>
        </row>
        <row r="270">
          <cell r="B270" t="str">
            <v>DPF003</v>
          </cell>
          <cell r="C270" t="str">
            <v>CONDON MASCULINO .:. PIEZA</v>
          </cell>
          <cell r="D270" t="str">
            <v>Sobre estéril</v>
          </cell>
          <cell r="E270">
            <v>153</v>
          </cell>
          <cell r="F270">
            <v>47.989136205000001</v>
          </cell>
          <cell r="H270">
            <v>1000</v>
          </cell>
          <cell r="J270">
            <v>450</v>
          </cell>
          <cell r="M270">
            <v>0</v>
          </cell>
          <cell r="N270">
            <v>0</v>
          </cell>
          <cell r="P270">
            <v>298</v>
          </cell>
          <cell r="R270">
            <v>113.23913620499999</v>
          </cell>
          <cell r="S270">
            <v>0</v>
          </cell>
          <cell r="T270">
            <v>0</v>
          </cell>
          <cell r="U270">
            <v>855</v>
          </cell>
          <cell r="V270">
            <v>0.45</v>
          </cell>
          <cell r="W270">
            <v>384.75</v>
          </cell>
          <cell r="X270">
            <v>2.5783299999999998</v>
          </cell>
          <cell r="Y270">
            <v>0</v>
          </cell>
          <cell r="Z270">
            <v>0.45</v>
          </cell>
          <cell r="AA270">
            <v>384.75</v>
          </cell>
        </row>
        <row r="271">
          <cell r="B271" t="str">
            <v>DPF004</v>
          </cell>
          <cell r="C271" t="str">
            <v>DISPOSITIVO INTRAUTERINO T DE COBRE .:. PIEZA</v>
          </cell>
          <cell r="D271" t="str">
            <v>Sobre estéril</v>
          </cell>
          <cell r="E271">
            <v>0</v>
          </cell>
          <cell r="F271">
            <v>0</v>
          </cell>
          <cell r="H271">
            <v>3</v>
          </cell>
          <cell r="J271">
            <v>14.79</v>
          </cell>
          <cell r="M271">
            <v>0</v>
          </cell>
          <cell r="N271">
            <v>0</v>
          </cell>
          <cell r="P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3</v>
          </cell>
          <cell r="V271">
            <v>4.93</v>
          </cell>
          <cell r="W271">
            <v>14.79</v>
          </cell>
          <cell r="X271">
            <v>2.5783299999999998</v>
          </cell>
          <cell r="Y271">
            <v>0</v>
          </cell>
          <cell r="Z271">
            <v>4.93</v>
          </cell>
          <cell r="AA271">
            <v>14.79</v>
          </cell>
        </row>
        <row r="272">
          <cell r="B272" t="str">
            <v>DPP001</v>
          </cell>
          <cell r="C272" t="str">
            <v xml:space="preserve">BARBIJO HERMETICO (RESPIRADOR) .:. CON FILTRO  N95 </v>
          </cell>
          <cell r="D272" t="str">
            <v>Pieza</v>
          </cell>
          <cell r="E272">
            <v>94</v>
          </cell>
          <cell r="F272">
            <v>2313.3732759999998</v>
          </cell>
          <cell r="H272">
            <v>0</v>
          </cell>
          <cell r="J272">
            <v>0</v>
          </cell>
          <cell r="M272">
            <v>0</v>
          </cell>
          <cell r="N272">
            <v>0</v>
          </cell>
          <cell r="P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94</v>
          </cell>
          <cell r="V272">
            <v>24.610354000000001</v>
          </cell>
          <cell r="W272">
            <v>2313.3732759999998</v>
          </cell>
          <cell r="X272">
            <v>2.5783299999999998</v>
          </cell>
          <cell r="Y272">
            <v>0</v>
          </cell>
          <cell r="Z272">
            <v>24.610354000000001</v>
          </cell>
          <cell r="AA272">
            <v>2313.3732759999998</v>
          </cell>
        </row>
        <row r="273">
          <cell r="B273" t="str">
            <v>DPP0011</v>
          </cell>
          <cell r="C273" t="str">
            <v>BARBIJO .:. KN95  TALLA UNICA/CLIP NASAL</v>
          </cell>
          <cell r="D273" t="str">
            <v>Pieza</v>
          </cell>
          <cell r="E273">
            <v>561</v>
          </cell>
          <cell r="F273">
            <v>2747.8447590000001</v>
          </cell>
          <cell r="H273">
            <v>0</v>
          </cell>
          <cell r="J273">
            <v>0</v>
          </cell>
          <cell r="M273">
            <v>561</v>
          </cell>
          <cell r="N273">
            <v>2747.94</v>
          </cell>
          <cell r="P273">
            <v>137</v>
          </cell>
          <cell r="R273">
            <v>671.0655615037</v>
          </cell>
          <cell r="S273">
            <v>561</v>
          </cell>
          <cell r="T273">
            <v>2747.8447590000001</v>
          </cell>
          <cell r="U273">
            <v>424</v>
          </cell>
          <cell r="V273">
            <v>4.8982887700999997</v>
          </cell>
          <cell r="W273">
            <v>2076.8744385223999</v>
          </cell>
          <cell r="X273">
            <v>2.5783299999999998</v>
          </cell>
          <cell r="Y273">
            <v>0</v>
          </cell>
          <cell r="Z273">
            <v>4.8982887700999997</v>
          </cell>
          <cell r="AA273">
            <v>2076.8744385223999</v>
          </cell>
        </row>
        <row r="274">
          <cell r="B274" t="str">
            <v>DPP0012</v>
          </cell>
          <cell r="C274" t="str">
            <v>BARBIJO NO HERMETICO .:. N95  BARBIJO SEGUN NORMA NIOSH</v>
          </cell>
          <cell r="D274" t="str">
            <v>Pieza</v>
          </cell>
          <cell r="E274">
            <v>438</v>
          </cell>
          <cell r="F274">
            <v>3285</v>
          </cell>
          <cell r="H274">
            <v>0</v>
          </cell>
          <cell r="J274">
            <v>0</v>
          </cell>
          <cell r="M274">
            <v>0</v>
          </cell>
          <cell r="N274">
            <v>0</v>
          </cell>
          <cell r="P274">
            <v>20</v>
          </cell>
          <cell r="R274">
            <v>150</v>
          </cell>
          <cell r="S274">
            <v>0</v>
          </cell>
          <cell r="T274">
            <v>0</v>
          </cell>
          <cell r="U274">
            <v>418</v>
          </cell>
          <cell r="V274">
            <v>7.5</v>
          </cell>
          <cell r="W274">
            <v>3135</v>
          </cell>
          <cell r="X274">
            <v>2.5783299999999998</v>
          </cell>
          <cell r="Y274">
            <v>0</v>
          </cell>
          <cell r="Z274">
            <v>7.5</v>
          </cell>
          <cell r="AA274">
            <v>3135</v>
          </cell>
        </row>
        <row r="275">
          <cell r="B275" t="str">
            <v>DPP003</v>
          </cell>
          <cell r="C275" t="str">
            <v>BARBIJO .:. DESCARTABLE TRIPLE CAPA CON LIGAS</v>
          </cell>
          <cell r="D275" t="str">
            <v>Caja x 50</v>
          </cell>
          <cell r="E275">
            <v>196</v>
          </cell>
          <cell r="F275">
            <v>2532.9095387175998</v>
          </cell>
          <cell r="H275">
            <v>0</v>
          </cell>
          <cell r="J275">
            <v>0</v>
          </cell>
          <cell r="M275">
            <v>0</v>
          </cell>
          <cell r="N275">
            <v>0</v>
          </cell>
          <cell r="P275">
            <v>97</v>
          </cell>
          <cell r="R275">
            <v>1253.5317615081999</v>
          </cell>
          <cell r="S275">
            <v>0</v>
          </cell>
          <cell r="T275">
            <v>0</v>
          </cell>
          <cell r="U275">
            <v>99</v>
          </cell>
          <cell r="V275">
            <v>12.923007850599999</v>
          </cell>
          <cell r="W275">
            <v>1279.3777772093999</v>
          </cell>
          <cell r="X275">
            <v>2.5783299999999998</v>
          </cell>
          <cell r="Y275">
            <v>0</v>
          </cell>
          <cell r="Z275">
            <v>12.923007850599999</v>
          </cell>
          <cell r="AA275">
            <v>1279.3777772093999</v>
          </cell>
        </row>
        <row r="276">
          <cell r="B276" t="str">
            <v>DPP0051</v>
          </cell>
          <cell r="C276" t="str">
            <v xml:space="preserve">CUBRE ZAPATOS  .:. </v>
          </cell>
          <cell r="D276" t="str">
            <v>Pieza</v>
          </cell>
          <cell r="E276">
            <v>778</v>
          </cell>
          <cell r="F276">
            <v>690.22448399999996</v>
          </cell>
          <cell r="H276">
            <v>0</v>
          </cell>
          <cell r="J276">
            <v>0</v>
          </cell>
          <cell r="M276">
            <v>0</v>
          </cell>
          <cell r="N276">
            <v>0</v>
          </cell>
          <cell r="P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778</v>
          </cell>
          <cell r="V276">
            <v>0.88717800000000002</v>
          </cell>
          <cell r="W276">
            <v>690.22448399999996</v>
          </cell>
          <cell r="X276">
            <v>2.5783299999999998</v>
          </cell>
          <cell r="Y276">
            <v>0</v>
          </cell>
          <cell r="Z276">
            <v>0.88717800000000002</v>
          </cell>
          <cell r="AA276">
            <v>690.22448399999996</v>
          </cell>
        </row>
        <row r="277">
          <cell r="B277" t="str">
            <v>DPP007</v>
          </cell>
          <cell r="C277" t="str">
            <v>GORRO DESCARTABLE .:. PARA MUJER EN PLATO</v>
          </cell>
          <cell r="D277" t="str">
            <v>Pieza</v>
          </cell>
          <cell r="E277">
            <v>2572</v>
          </cell>
          <cell r="F277">
            <v>1115.054592</v>
          </cell>
          <cell r="H277">
            <v>0</v>
          </cell>
          <cell r="J277">
            <v>0</v>
          </cell>
          <cell r="M277">
            <v>0</v>
          </cell>
          <cell r="N277">
            <v>0</v>
          </cell>
          <cell r="P277">
            <v>400</v>
          </cell>
          <cell r="R277">
            <v>173.4144</v>
          </cell>
          <cell r="S277">
            <v>0</v>
          </cell>
          <cell r="T277">
            <v>0</v>
          </cell>
          <cell r="U277">
            <v>2172</v>
          </cell>
          <cell r="V277">
            <v>0.43353599999999998</v>
          </cell>
          <cell r="W277">
            <v>941.64019199999996</v>
          </cell>
          <cell r="X277">
            <v>2.5783299999999998</v>
          </cell>
          <cell r="Y277">
            <v>0</v>
          </cell>
          <cell r="Z277">
            <v>0.43353599999999998</v>
          </cell>
          <cell r="AA277">
            <v>941.64019199999996</v>
          </cell>
        </row>
        <row r="278">
          <cell r="B278" t="str">
            <v>DPP0081</v>
          </cell>
          <cell r="C278" t="str">
            <v>.:.GUANTES DE NITRILO .::. TALLA S .:. GUANTES DE NITRILO</v>
          </cell>
          <cell r="D278" t="str">
            <v>Caja x 100</v>
          </cell>
          <cell r="E278">
            <v>28</v>
          </cell>
          <cell r="F278">
            <v>812</v>
          </cell>
          <cell r="H278">
            <v>0</v>
          </cell>
          <cell r="J278">
            <v>0</v>
          </cell>
          <cell r="M278">
            <v>0</v>
          </cell>
          <cell r="N278">
            <v>0</v>
          </cell>
          <cell r="P278">
            <v>12</v>
          </cell>
          <cell r="R278">
            <v>348</v>
          </cell>
          <cell r="S278">
            <v>0</v>
          </cell>
          <cell r="T278">
            <v>0</v>
          </cell>
          <cell r="U278">
            <v>16</v>
          </cell>
          <cell r="V278">
            <v>29</v>
          </cell>
          <cell r="W278">
            <v>464</v>
          </cell>
          <cell r="X278">
            <v>2.5783299999999998</v>
          </cell>
          <cell r="Y278">
            <v>0</v>
          </cell>
          <cell r="Z278">
            <v>29</v>
          </cell>
          <cell r="AA278">
            <v>464</v>
          </cell>
        </row>
        <row r="279">
          <cell r="B279" t="str">
            <v>DPP0082</v>
          </cell>
          <cell r="C279" t="str">
            <v>GUANTES DE NITRILO.:. M .:. MEDIANO</v>
          </cell>
          <cell r="D279" t="str">
            <v>caja por 100</v>
          </cell>
          <cell r="E279">
            <v>22</v>
          </cell>
          <cell r="F279">
            <v>1145.9133067316</v>
          </cell>
          <cell r="H279">
            <v>60</v>
          </cell>
          <cell r="J279">
            <v>2100</v>
          </cell>
          <cell r="M279">
            <v>0</v>
          </cell>
          <cell r="N279">
            <v>0</v>
          </cell>
          <cell r="P279">
            <v>63</v>
          </cell>
          <cell r="R279">
            <v>2580.9133067316002</v>
          </cell>
          <cell r="S279">
            <v>0</v>
          </cell>
          <cell r="T279">
            <v>0</v>
          </cell>
          <cell r="U279">
            <v>19</v>
          </cell>
          <cell r="V279">
            <v>35</v>
          </cell>
          <cell r="W279">
            <v>665</v>
          </cell>
          <cell r="X279">
            <v>2.5783299999999998</v>
          </cell>
          <cell r="Y279">
            <v>0</v>
          </cell>
          <cell r="Z279">
            <v>35</v>
          </cell>
          <cell r="AA279">
            <v>665</v>
          </cell>
        </row>
        <row r="280">
          <cell r="B280" t="str">
            <v>DPP011</v>
          </cell>
          <cell r="C280" t="str">
            <v>GUANTES DESCARTABLES .:. DE LATEX TALLA S</v>
          </cell>
          <cell r="D280" t="str">
            <v>Caja x 100</v>
          </cell>
          <cell r="E280">
            <v>44</v>
          </cell>
          <cell r="F280">
            <v>1144.2993197284</v>
          </cell>
          <cell r="H280">
            <v>130</v>
          </cell>
          <cell r="J280">
            <v>3258</v>
          </cell>
          <cell r="M280">
            <v>0</v>
          </cell>
          <cell r="N280">
            <v>0</v>
          </cell>
          <cell r="P280">
            <v>142</v>
          </cell>
          <cell r="R280">
            <v>3122.0137267057999</v>
          </cell>
          <cell r="S280">
            <v>0</v>
          </cell>
          <cell r="T280">
            <v>0</v>
          </cell>
          <cell r="U280">
            <v>32</v>
          </cell>
          <cell r="V280">
            <v>40.008924782000001</v>
          </cell>
          <cell r="W280">
            <v>1280.285593024</v>
          </cell>
          <cell r="X280">
            <v>2.5783299999999998</v>
          </cell>
          <cell r="Y280">
            <v>0</v>
          </cell>
          <cell r="Z280">
            <v>40.008924782000001</v>
          </cell>
          <cell r="AA280">
            <v>1280.285593024</v>
          </cell>
        </row>
        <row r="281">
          <cell r="B281" t="str">
            <v>DPP012</v>
          </cell>
          <cell r="C281" t="str">
            <v>GUANTES DESCARTABLES .:. DE LATEX TALLA M</v>
          </cell>
          <cell r="D281" t="str">
            <v>Caja x 100</v>
          </cell>
          <cell r="E281">
            <v>34</v>
          </cell>
          <cell r="F281">
            <v>888.03429920940005</v>
          </cell>
          <cell r="H281">
            <v>120</v>
          </cell>
          <cell r="J281">
            <v>2397.6</v>
          </cell>
          <cell r="M281">
            <v>0</v>
          </cell>
          <cell r="N281">
            <v>0</v>
          </cell>
          <cell r="P281">
            <v>147</v>
          </cell>
          <cell r="R281">
            <v>3142.4688691370998</v>
          </cell>
          <cell r="S281">
            <v>0</v>
          </cell>
          <cell r="T281">
            <v>0</v>
          </cell>
          <cell r="U281">
            <v>7</v>
          </cell>
          <cell r="V281">
            <v>20.4522042969</v>
          </cell>
          <cell r="W281">
            <v>143.16543007830001</v>
          </cell>
          <cell r="X281">
            <v>2.5783299999999998</v>
          </cell>
          <cell r="Y281">
            <v>0</v>
          </cell>
          <cell r="Z281">
            <v>20.4522042969</v>
          </cell>
          <cell r="AA281">
            <v>143.16543007830001</v>
          </cell>
        </row>
        <row r="282">
          <cell r="B282" t="str">
            <v>DPP015</v>
          </cell>
          <cell r="C282" t="str">
            <v>LENTES DE PROTECCION .:. TRANSPARENTE</v>
          </cell>
          <cell r="D282" t="str">
            <v>Pieza</v>
          </cell>
          <cell r="E282">
            <v>23</v>
          </cell>
          <cell r="F282">
            <v>805</v>
          </cell>
          <cell r="H282">
            <v>0</v>
          </cell>
          <cell r="J282">
            <v>0</v>
          </cell>
          <cell r="M282">
            <v>0</v>
          </cell>
          <cell r="N282">
            <v>0</v>
          </cell>
          <cell r="P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23</v>
          </cell>
          <cell r="V282">
            <v>35</v>
          </cell>
          <cell r="W282">
            <v>805</v>
          </cell>
          <cell r="X282">
            <v>2.5783299999999998</v>
          </cell>
          <cell r="Y282">
            <v>0</v>
          </cell>
          <cell r="Z282">
            <v>35</v>
          </cell>
          <cell r="AA282">
            <v>805</v>
          </cell>
        </row>
        <row r="283">
          <cell r="B283" t="str">
            <v>DSC012</v>
          </cell>
          <cell r="C283" t="str">
            <v>SUTURA  CAT GUT CROMADO .:. N° 0 C/AGUJA  4 CM. 1/2 CIRC.</v>
          </cell>
          <cell r="D283" t="str">
            <v>Sobre estéril</v>
          </cell>
          <cell r="E283">
            <v>41</v>
          </cell>
          <cell r="F283">
            <v>572.225684</v>
          </cell>
          <cell r="H283">
            <v>0</v>
          </cell>
          <cell r="J283">
            <v>0</v>
          </cell>
          <cell r="M283">
            <v>0</v>
          </cell>
          <cell r="N283">
            <v>0</v>
          </cell>
          <cell r="P283">
            <v>5</v>
          </cell>
          <cell r="R283">
            <v>69.783619999999999</v>
          </cell>
          <cell r="S283">
            <v>0</v>
          </cell>
          <cell r="T283">
            <v>0</v>
          </cell>
          <cell r="U283">
            <v>36</v>
          </cell>
          <cell r="V283">
            <v>13.956723999999999</v>
          </cell>
          <cell r="W283">
            <v>502.44206400000002</v>
          </cell>
          <cell r="X283">
            <v>2.5783299999999998</v>
          </cell>
          <cell r="Y283">
            <v>0</v>
          </cell>
          <cell r="Z283">
            <v>13.956723999999999</v>
          </cell>
          <cell r="AA283">
            <v>502.44206400000002</v>
          </cell>
        </row>
        <row r="284">
          <cell r="B284" t="str">
            <v>DSC013</v>
          </cell>
          <cell r="C284" t="str">
            <v>SUTURA  CAT GUT CROMADO .:. N° 1 C/AGUJA  4.8 CM 1/2 CIRC.</v>
          </cell>
          <cell r="D284" t="str">
            <v>Sobre estéril</v>
          </cell>
          <cell r="E284">
            <v>11</v>
          </cell>
          <cell r="F284">
            <v>153.44999999999999</v>
          </cell>
          <cell r="H284">
            <v>30</v>
          </cell>
          <cell r="J284">
            <v>510</v>
          </cell>
          <cell r="M284">
            <v>0</v>
          </cell>
          <cell r="N284">
            <v>0</v>
          </cell>
          <cell r="P284">
            <v>17</v>
          </cell>
          <cell r="R284">
            <v>255.45</v>
          </cell>
          <cell r="S284">
            <v>0</v>
          </cell>
          <cell r="T284">
            <v>0</v>
          </cell>
          <cell r="U284">
            <v>24</v>
          </cell>
          <cell r="V284">
            <v>17</v>
          </cell>
          <cell r="W284">
            <v>408</v>
          </cell>
          <cell r="X284">
            <v>2.5783299999999998</v>
          </cell>
          <cell r="Y284">
            <v>0</v>
          </cell>
          <cell r="Z284">
            <v>17</v>
          </cell>
          <cell r="AA284">
            <v>408</v>
          </cell>
        </row>
        <row r="285">
          <cell r="B285" t="str">
            <v>DSC020</v>
          </cell>
          <cell r="C285" t="str">
            <v>SUTURA CAT GUT SIMPLE .:. N° 1C/AGUJA  4.8 CM. 1/2 CIRC.</v>
          </cell>
          <cell r="D285" t="str">
            <v>Sobre estéril</v>
          </cell>
          <cell r="E285">
            <v>12</v>
          </cell>
          <cell r="F285">
            <v>126</v>
          </cell>
          <cell r="H285">
            <v>30</v>
          </cell>
          <cell r="J285">
            <v>501</v>
          </cell>
          <cell r="M285">
            <v>0</v>
          </cell>
          <cell r="N285">
            <v>0</v>
          </cell>
          <cell r="P285">
            <v>28</v>
          </cell>
          <cell r="R285">
            <v>393.2</v>
          </cell>
          <cell r="S285">
            <v>0</v>
          </cell>
          <cell r="T285">
            <v>0</v>
          </cell>
          <cell r="U285">
            <v>14</v>
          </cell>
          <cell r="V285">
            <v>16.7</v>
          </cell>
          <cell r="W285">
            <v>233.8</v>
          </cell>
          <cell r="X285">
            <v>2.5783299999999998</v>
          </cell>
          <cell r="Y285">
            <v>0</v>
          </cell>
          <cell r="Z285">
            <v>16.7</v>
          </cell>
          <cell r="AA285">
            <v>233.8</v>
          </cell>
        </row>
        <row r="286">
          <cell r="B286" t="str">
            <v>DSC021</v>
          </cell>
          <cell r="C286" t="str">
            <v>SUTURA CAT GUT SIMPLE .:. N° 2/0 C/AGUJA 1.7 CM. 3/8 DE CIRC.</v>
          </cell>
          <cell r="D286" t="str">
            <v>Sobre estéril</v>
          </cell>
          <cell r="E286">
            <v>72</v>
          </cell>
          <cell r="F286">
            <v>1284.420672</v>
          </cell>
          <cell r="H286">
            <v>0</v>
          </cell>
          <cell r="J286">
            <v>0</v>
          </cell>
          <cell r="M286">
            <v>0</v>
          </cell>
          <cell r="N286">
            <v>0</v>
          </cell>
          <cell r="P286">
            <v>11</v>
          </cell>
          <cell r="R286">
            <v>196.23093600000001</v>
          </cell>
          <cell r="S286">
            <v>0</v>
          </cell>
          <cell r="T286">
            <v>0</v>
          </cell>
          <cell r="U286">
            <v>61</v>
          </cell>
          <cell r="V286">
            <v>17.839175999999998</v>
          </cell>
          <cell r="W286">
            <v>1088.189736</v>
          </cell>
          <cell r="X286">
            <v>2.5783299999999998</v>
          </cell>
          <cell r="Y286">
            <v>0</v>
          </cell>
          <cell r="Z286">
            <v>17.839175999999998</v>
          </cell>
          <cell r="AA286">
            <v>1088.189736</v>
          </cell>
        </row>
        <row r="287">
          <cell r="B287" t="str">
            <v>DSC023</v>
          </cell>
          <cell r="C287" t="str">
            <v>SUTURA CAT GUT SIMPLE .:. N° 3/0 C/AGUJA 2.5 CM. 1/2 CIRC.</v>
          </cell>
          <cell r="D287" t="str">
            <v>Sobre estéril</v>
          </cell>
          <cell r="E287">
            <v>24</v>
          </cell>
          <cell r="F287">
            <v>369.90461538480002</v>
          </cell>
          <cell r="H287">
            <v>0</v>
          </cell>
          <cell r="J287">
            <v>0</v>
          </cell>
          <cell r="M287">
            <v>0</v>
          </cell>
          <cell r="N287">
            <v>0</v>
          </cell>
          <cell r="P287">
            <v>5</v>
          </cell>
          <cell r="R287">
            <v>77.063461538499993</v>
          </cell>
          <cell r="S287">
            <v>0</v>
          </cell>
          <cell r="T287">
            <v>0</v>
          </cell>
          <cell r="U287">
            <v>19</v>
          </cell>
          <cell r="V287">
            <v>15.4126923077</v>
          </cell>
          <cell r="W287">
            <v>292.84115384630002</v>
          </cell>
          <cell r="X287">
            <v>2.5783299999999998</v>
          </cell>
          <cell r="Y287">
            <v>0</v>
          </cell>
          <cell r="Z287">
            <v>15.4126923077</v>
          </cell>
          <cell r="AA287">
            <v>292.84115384630002</v>
          </cell>
        </row>
        <row r="288">
          <cell r="B288" t="str">
            <v>DSC024</v>
          </cell>
          <cell r="C288" t="str">
            <v>SUTURA CAT GUT SIMPLE .:. N° 4/0 C/AGUJA 2.0 CM. 1/2 CIRC.</v>
          </cell>
          <cell r="D288" t="str">
            <v>Sobre estéril</v>
          </cell>
          <cell r="E288">
            <v>23</v>
          </cell>
          <cell r="F288">
            <v>492.25110599999999</v>
          </cell>
          <cell r="H288">
            <v>0</v>
          </cell>
          <cell r="J288">
            <v>0</v>
          </cell>
          <cell r="M288">
            <v>0</v>
          </cell>
          <cell r="N288">
            <v>0</v>
          </cell>
          <cell r="P288">
            <v>4</v>
          </cell>
          <cell r="R288">
            <v>85.608887999999993</v>
          </cell>
          <cell r="S288">
            <v>0</v>
          </cell>
          <cell r="T288">
            <v>0</v>
          </cell>
          <cell r="U288">
            <v>19</v>
          </cell>
          <cell r="V288">
            <v>21.402221999999998</v>
          </cell>
          <cell r="W288">
            <v>406.64221800000001</v>
          </cell>
          <cell r="X288">
            <v>2.5783299999999998</v>
          </cell>
          <cell r="Y288">
            <v>0</v>
          </cell>
          <cell r="Z288">
            <v>21.402221999999998</v>
          </cell>
          <cell r="AA288">
            <v>406.64221800000001</v>
          </cell>
        </row>
        <row r="289">
          <cell r="B289" t="str">
            <v>DSC025</v>
          </cell>
          <cell r="C289" t="str">
            <v>SUTURA CAT GUT SIMPLE .:. N° 5/0 C/AGUJA 1.5 CM. 1/2 CIRC.</v>
          </cell>
          <cell r="D289" t="str">
            <v>Sobre estéril</v>
          </cell>
          <cell r="E289">
            <v>66</v>
          </cell>
          <cell r="F289">
            <v>1659.0599520000001</v>
          </cell>
          <cell r="H289">
            <v>0</v>
          </cell>
          <cell r="J289">
            <v>0</v>
          </cell>
          <cell r="M289">
            <v>0</v>
          </cell>
          <cell r="N289">
            <v>0</v>
          </cell>
          <cell r="P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66</v>
          </cell>
          <cell r="V289">
            <v>25.137271999999999</v>
          </cell>
          <cell r="W289">
            <v>1659.0599520000001</v>
          </cell>
          <cell r="X289">
            <v>2.5783299999999998</v>
          </cell>
          <cell r="Y289">
            <v>0</v>
          </cell>
          <cell r="Z289">
            <v>25.137271999999999</v>
          </cell>
          <cell r="AA289">
            <v>1659.0599520000001</v>
          </cell>
        </row>
        <row r="290">
          <cell r="B290" t="str">
            <v>DSC029</v>
          </cell>
          <cell r="C290" t="str">
            <v>SUTURA DE SEDA  .:. N° 3/0 C/AGUJA 2.5 1/2 CIRC.</v>
          </cell>
          <cell r="D290" t="str">
            <v>Sobre estéril</v>
          </cell>
          <cell r="E290">
            <v>0</v>
          </cell>
          <cell r="F290">
            <v>0</v>
          </cell>
          <cell r="H290">
            <v>15</v>
          </cell>
          <cell r="J290">
            <v>237</v>
          </cell>
          <cell r="M290">
            <v>0</v>
          </cell>
          <cell r="N290">
            <v>0</v>
          </cell>
          <cell r="P290">
            <v>15</v>
          </cell>
          <cell r="R290">
            <v>237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2.5783299999999998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DSC041</v>
          </cell>
          <cell r="C291" t="str">
            <v>SUTURA NYLON .:. N° 1 C/AGUJA 4.0 CM. CUTICULAR</v>
          </cell>
          <cell r="D291" t="str">
            <v>Sobre estéril</v>
          </cell>
          <cell r="E291">
            <v>47</v>
          </cell>
          <cell r="F291">
            <v>438.33572400000003</v>
          </cell>
          <cell r="H291">
            <v>0</v>
          </cell>
          <cell r="J291">
            <v>0</v>
          </cell>
          <cell r="M291">
            <v>0</v>
          </cell>
          <cell r="N291">
            <v>0</v>
          </cell>
          <cell r="P291">
            <v>8</v>
          </cell>
          <cell r="R291">
            <v>74.610336000000004</v>
          </cell>
          <cell r="S291">
            <v>0</v>
          </cell>
          <cell r="T291">
            <v>0</v>
          </cell>
          <cell r="U291">
            <v>39</v>
          </cell>
          <cell r="V291">
            <v>9.3262920000000005</v>
          </cell>
          <cell r="W291">
            <v>363.72538800000001</v>
          </cell>
          <cell r="X291">
            <v>2.5783299999999998</v>
          </cell>
          <cell r="Y291">
            <v>0</v>
          </cell>
          <cell r="Z291">
            <v>9.3262920000000005</v>
          </cell>
          <cell r="AA291">
            <v>363.72538800000001</v>
          </cell>
        </row>
        <row r="292">
          <cell r="B292" t="str">
            <v>DSC042</v>
          </cell>
          <cell r="C292" t="str">
            <v>SUTURA NYLON .:. N° 2/0 C/AGUJA 3 CM. CUTICULAR</v>
          </cell>
          <cell r="D292" t="str">
            <v>Sobre estéril</v>
          </cell>
          <cell r="E292">
            <v>30</v>
          </cell>
          <cell r="F292">
            <v>252</v>
          </cell>
          <cell r="H292">
            <v>90</v>
          </cell>
          <cell r="J292">
            <v>972</v>
          </cell>
          <cell r="M292">
            <v>0</v>
          </cell>
          <cell r="N292">
            <v>0</v>
          </cell>
          <cell r="P292">
            <v>55</v>
          </cell>
          <cell r="R292">
            <v>525.39130434900005</v>
          </cell>
          <cell r="S292">
            <v>0</v>
          </cell>
          <cell r="T292">
            <v>0</v>
          </cell>
          <cell r="U292">
            <v>65</v>
          </cell>
          <cell r="V292">
            <v>10.747826087</v>
          </cell>
          <cell r="W292">
            <v>698.60869565500002</v>
          </cell>
          <cell r="X292">
            <v>2.5783299999999998</v>
          </cell>
          <cell r="Y292">
            <v>0</v>
          </cell>
          <cell r="Z292">
            <v>10.747826087</v>
          </cell>
          <cell r="AA292">
            <v>698.60869565500002</v>
          </cell>
        </row>
        <row r="293">
          <cell r="B293" t="str">
            <v>DSC043</v>
          </cell>
          <cell r="C293" t="str">
            <v>SUTURA NYLON .:. N° 3/0 C/AGUJA 2.5 CM CUTICULAR</v>
          </cell>
          <cell r="D293" t="str">
            <v>Sobre estéril</v>
          </cell>
          <cell r="E293">
            <v>17</v>
          </cell>
          <cell r="F293">
            <v>105.4</v>
          </cell>
          <cell r="H293">
            <v>200</v>
          </cell>
          <cell r="J293">
            <v>960</v>
          </cell>
          <cell r="M293">
            <v>0</v>
          </cell>
          <cell r="N293">
            <v>0</v>
          </cell>
          <cell r="P293">
            <v>180</v>
          </cell>
          <cell r="R293">
            <v>887.8</v>
          </cell>
          <cell r="S293">
            <v>0</v>
          </cell>
          <cell r="T293">
            <v>0</v>
          </cell>
          <cell r="U293">
            <v>37</v>
          </cell>
          <cell r="V293">
            <v>4.8</v>
          </cell>
          <cell r="W293">
            <v>177.6</v>
          </cell>
          <cell r="X293">
            <v>2.5783299999999998</v>
          </cell>
          <cell r="Y293">
            <v>0</v>
          </cell>
          <cell r="Z293">
            <v>4.8</v>
          </cell>
          <cell r="AA293">
            <v>177.6</v>
          </cell>
        </row>
        <row r="294">
          <cell r="B294" t="str">
            <v>DSC045</v>
          </cell>
          <cell r="C294" t="str">
            <v>SUTURA NYLON .:. N° 5/0 C/AGUJA 1.5 CM CUTICULAR</v>
          </cell>
          <cell r="D294" t="str">
            <v>Sobre estéril</v>
          </cell>
          <cell r="E294">
            <v>7</v>
          </cell>
          <cell r="F294">
            <v>43.4</v>
          </cell>
          <cell r="H294">
            <v>20</v>
          </cell>
          <cell r="J294">
            <v>137.80000000000001</v>
          </cell>
          <cell r="M294">
            <v>0</v>
          </cell>
          <cell r="N294">
            <v>0</v>
          </cell>
          <cell r="P294">
            <v>8</v>
          </cell>
          <cell r="R294">
            <v>50.29</v>
          </cell>
          <cell r="S294">
            <v>0</v>
          </cell>
          <cell r="T294">
            <v>0</v>
          </cell>
          <cell r="U294">
            <v>19</v>
          </cell>
          <cell r="V294">
            <v>6.89</v>
          </cell>
          <cell r="W294">
            <v>130.91</v>
          </cell>
          <cell r="X294">
            <v>2.5783299999999998</v>
          </cell>
          <cell r="Y294">
            <v>0</v>
          </cell>
          <cell r="Z294">
            <v>6.89</v>
          </cell>
          <cell r="AA294">
            <v>130.91</v>
          </cell>
        </row>
        <row r="295">
          <cell r="B295" t="str">
            <v>DSC054</v>
          </cell>
          <cell r="C295" t="str">
            <v>SUTURA POLIGLACTINA 910 .:. RECUBIERTA CON ESTEARATO DE CALCIO  N°1 C/AGUJA 4 CM. 1/2 CIRC.</v>
          </cell>
          <cell r="D295" t="str">
            <v>Sobre estéril</v>
          </cell>
          <cell r="E295">
            <v>14</v>
          </cell>
          <cell r="F295">
            <v>175.538461539</v>
          </cell>
          <cell r="H295">
            <v>250</v>
          </cell>
          <cell r="J295">
            <v>3700</v>
          </cell>
          <cell r="M295">
            <v>0</v>
          </cell>
          <cell r="N295">
            <v>0</v>
          </cell>
          <cell r="P295">
            <v>200</v>
          </cell>
          <cell r="R295">
            <v>2924.6028392193002</v>
          </cell>
          <cell r="S295">
            <v>0</v>
          </cell>
          <cell r="T295">
            <v>0</v>
          </cell>
          <cell r="U295">
            <v>64</v>
          </cell>
          <cell r="V295">
            <v>14.858369098700001</v>
          </cell>
          <cell r="W295">
            <v>950.93562231680005</v>
          </cell>
          <cell r="X295">
            <v>2.5783299999999998</v>
          </cell>
          <cell r="Y295">
            <v>0</v>
          </cell>
          <cell r="Z295">
            <v>14.858369098700001</v>
          </cell>
          <cell r="AA295">
            <v>950.93562231680005</v>
          </cell>
        </row>
        <row r="296">
          <cell r="B296" t="str">
            <v>DSC056</v>
          </cell>
          <cell r="C296" t="str">
            <v>SUTURA POLIGLACTINA 910 .:. RECUBIERTA CON ESTEARATO DE CALCIO  N°3/ 0 C/AGUJA 2.5 CM. 1/2 CIRC.</v>
          </cell>
          <cell r="D296" t="str">
            <v>Sobre estéril</v>
          </cell>
          <cell r="E296">
            <v>24</v>
          </cell>
          <cell r="F296">
            <v>410.19999999840002</v>
          </cell>
          <cell r="H296">
            <v>50</v>
          </cell>
          <cell r="J296">
            <v>925</v>
          </cell>
          <cell r="M296">
            <v>0</v>
          </cell>
          <cell r="N296">
            <v>0</v>
          </cell>
          <cell r="P296">
            <v>32</v>
          </cell>
          <cell r="R296">
            <v>558.19999999840002</v>
          </cell>
          <cell r="S296">
            <v>0</v>
          </cell>
          <cell r="T296">
            <v>0</v>
          </cell>
          <cell r="U296">
            <v>42</v>
          </cell>
          <cell r="V296">
            <v>18.5</v>
          </cell>
          <cell r="W296">
            <v>777</v>
          </cell>
          <cell r="X296">
            <v>2.5783299999999998</v>
          </cell>
          <cell r="Y296">
            <v>0</v>
          </cell>
          <cell r="Z296">
            <v>18.5</v>
          </cell>
          <cell r="AA296">
            <v>777</v>
          </cell>
        </row>
        <row r="297">
          <cell r="B297" t="str">
            <v>DSD015</v>
          </cell>
          <cell r="C297" t="str">
            <v>SONDA DE ASPIRACION .:. CON SISTEMA DE CONTROL DE FLUJO N°14</v>
          </cell>
          <cell r="D297" t="str">
            <v>Sobre estéril</v>
          </cell>
          <cell r="E297">
            <v>12</v>
          </cell>
          <cell r="F297">
            <v>24</v>
          </cell>
          <cell r="H297">
            <v>80</v>
          </cell>
          <cell r="J297">
            <v>195.5</v>
          </cell>
          <cell r="M297">
            <v>3</v>
          </cell>
          <cell r="N297">
            <v>8.1300000000000008</v>
          </cell>
          <cell r="P297">
            <v>61</v>
          </cell>
          <cell r="R297">
            <v>135.49</v>
          </cell>
          <cell r="S297">
            <v>0</v>
          </cell>
          <cell r="T297">
            <v>0</v>
          </cell>
          <cell r="U297">
            <v>34</v>
          </cell>
          <cell r="V297">
            <v>2.71</v>
          </cell>
          <cell r="W297">
            <v>92.14</v>
          </cell>
          <cell r="X297">
            <v>2.5783299999999998</v>
          </cell>
          <cell r="Y297">
            <v>0</v>
          </cell>
          <cell r="Z297">
            <v>2.71</v>
          </cell>
          <cell r="AA297">
            <v>92.14</v>
          </cell>
        </row>
        <row r="298">
          <cell r="B298" t="str">
            <v>DSD016</v>
          </cell>
          <cell r="C298" t="str">
            <v>SONDA DE ASPIRACION .:. CON SISTEMA DE CONTROL DE FLUJO N°16</v>
          </cell>
          <cell r="D298" t="str">
            <v>Sobre estéril</v>
          </cell>
          <cell r="E298">
            <v>43</v>
          </cell>
          <cell r="F298">
            <v>86.460714285099996</v>
          </cell>
          <cell r="H298">
            <v>50</v>
          </cell>
          <cell r="J298">
            <v>140.5</v>
          </cell>
          <cell r="M298">
            <v>1</v>
          </cell>
          <cell r="N298">
            <v>2.0107140000000001</v>
          </cell>
          <cell r="P298">
            <v>72</v>
          </cell>
          <cell r="R298">
            <v>167.15142828520001</v>
          </cell>
          <cell r="S298">
            <v>0</v>
          </cell>
          <cell r="T298">
            <v>0</v>
          </cell>
          <cell r="U298">
            <v>22</v>
          </cell>
          <cell r="V298">
            <v>2.81</v>
          </cell>
          <cell r="W298">
            <v>61.82</v>
          </cell>
          <cell r="X298">
            <v>2.5783299999999998</v>
          </cell>
          <cell r="Y298">
            <v>0</v>
          </cell>
          <cell r="Z298">
            <v>2.81</v>
          </cell>
          <cell r="AA298">
            <v>61.82</v>
          </cell>
        </row>
        <row r="299">
          <cell r="B299" t="str">
            <v>DSD026</v>
          </cell>
          <cell r="C299" t="str">
            <v>SONDA FOLEY .:. SILICONIZADA 2 VÍAS N° 16 CON PICO LUER</v>
          </cell>
          <cell r="D299" t="str">
            <v>Sobre estéril</v>
          </cell>
          <cell r="E299">
            <v>7</v>
          </cell>
          <cell r="F299">
            <v>46.167710272599997</v>
          </cell>
          <cell r="H299">
            <v>40</v>
          </cell>
          <cell r="J299">
            <v>262.8</v>
          </cell>
          <cell r="M299">
            <v>0</v>
          </cell>
          <cell r="N299">
            <v>0</v>
          </cell>
          <cell r="P299">
            <v>47</v>
          </cell>
          <cell r="R299">
            <v>308.96771027260002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2.5783299999999998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DSD027</v>
          </cell>
          <cell r="C300" t="str">
            <v>SONDA FOLEY .:. SILICONIZADA 2 VIAS N° 18 CON PICO LUER</v>
          </cell>
          <cell r="D300" t="str">
            <v>Sobre estéril</v>
          </cell>
          <cell r="E300">
            <v>32</v>
          </cell>
          <cell r="F300">
            <v>223.80217200000001</v>
          </cell>
          <cell r="H300">
            <v>30</v>
          </cell>
          <cell r="J300">
            <v>206.7</v>
          </cell>
          <cell r="M300">
            <v>0</v>
          </cell>
          <cell r="N300">
            <v>0</v>
          </cell>
          <cell r="P300">
            <v>44</v>
          </cell>
          <cell r="R300">
            <v>306.48217199999999</v>
          </cell>
          <cell r="S300">
            <v>0</v>
          </cell>
          <cell r="T300">
            <v>0</v>
          </cell>
          <cell r="U300">
            <v>18</v>
          </cell>
          <cell r="V300">
            <v>6.89</v>
          </cell>
          <cell r="W300">
            <v>124.02</v>
          </cell>
          <cell r="X300">
            <v>2.5783299999999998</v>
          </cell>
          <cell r="Y300">
            <v>0</v>
          </cell>
          <cell r="Z300">
            <v>6.89</v>
          </cell>
          <cell r="AA300">
            <v>124.02</v>
          </cell>
        </row>
        <row r="301">
          <cell r="B301" t="str">
            <v>DSD041</v>
          </cell>
          <cell r="C301" t="str">
            <v>SONDA NASOGASTRICA .:. N°16</v>
          </cell>
          <cell r="D301" t="str">
            <v>Sobre estéril</v>
          </cell>
          <cell r="E301">
            <v>57</v>
          </cell>
          <cell r="F301">
            <v>141.36000000000001</v>
          </cell>
          <cell r="H301">
            <v>0</v>
          </cell>
          <cell r="J301">
            <v>0</v>
          </cell>
          <cell r="M301">
            <v>0</v>
          </cell>
          <cell r="N301">
            <v>0</v>
          </cell>
          <cell r="P301">
            <v>34</v>
          </cell>
          <cell r="R301">
            <v>84.32</v>
          </cell>
          <cell r="S301">
            <v>0</v>
          </cell>
          <cell r="T301">
            <v>0</v>
          </cell>
          <cell r="U301">
            <v>23</v>
          </cell>
          <cell r="V301">
            <v>2.48</v>
          </cell>
          <cell r="W301">
            <v>57.04</v>
          </cell>
          <cell r="X301">
            <v>2.5783299999999998</v>
          </cell>
          <cell r="Y301">
            <v>0</v>
          </cell>
          <cell r="Z301">
            <v>2.48</v>
          </cell>
          <cell r="AA301">
            <v>57.04</v>
          </cell>
        </row>
        <row r="302">
          <cell r="B302" t="str">
            <v>DSG0031</v>
          </cell>
          <cell r="C302" t="str">
            <v>ALCOHOL EN GEL .:. SOLUCION ALCOHOL 70% C/GLICERINA</v>
          </cell>
          <cell r="D302" t="str">
            <v>Frasco de 5000 ml</v>
          </cell>
          <cell r="E302">
            <v>28</v>
          </cell>
          <cell r="F302">
            <v>4296.4502279999997</v>
          </cell>
          <cell r="H302">
            <v>0</v>
          </cell>
          <cell r="J302">
            <v>0</v>
          </cell>
          <cell r="M302">
            <v>0</v>
          </cell>
          <cell r="N302">
            <v>0</v>
          </cell>
          <cell r="P302">
            <v>9</v>
          </cell>
          <cell r="R302">
            <v>1381.001859</v>
          </cell>
          <cell r="S302">
            <v>0</v>
          </cell>
          <cell r="T302">
            <v>0</v>
          </cell>
          <cell r="U302">
            <v>19</v>
          </cell>
          <cell r="V302">
            <v>153.44465099999999</v>
          </cell>
          <cell r="W302">
            <v>2915.4483690000002</v>
          </cell>
          <cell r="X302">
            <v>2.5783299999999998</v>
          </cell>
          <cell r="Y302">
            <v>0</v>
          </cell>
          <cell r="Z302">
            <v>153.44465099999999</v>
          </cell>
          <cell r="AA302">
            <v>2915.4483690000002</v>
          </cell>
        </row>
        <row r="303">
          <cell r="B303" t="str">
            <v>DSG007</v>
          </cell>
          <cell r="C303" t="str">
            <v>DETERGENTE MULTIENZIMATICO .:. SOLUCION SIN ESPUMA DE 4 ENZIMAS</v>
          </cell>
          <cell r="D303" t="str">
            <v>Bidón</v>
          </cell>
          <cell r="E303">
            <v>0</v>
          </cell>
          <cell r="F303">
            <v>0</v>
          </cell>
          <cell r="H303">
            <v>1</v>
          </cell>
          <cell r="J303">
            <v>890</v>
          </cell>
          <cell r="M303">
            <v>0</v>
          </cell>
          <cell r="N303">
            <v>0</v>
          </cell>
          <cell r="P303">
            <v>1</v>
          </cell>
          <cell r="R303">
            <v>890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2.5783299999999998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DSG008</v>
          </cell>
          <cell r="C304" t="str">
            <v>GEL PARA DOOPLER .:. GEL</v>
          </cell>
          <cell r="D304" t="str">
            <v>Frasco de 5000 ml</v>
          </cell>
          <cell r="E304">
            <v>1</v>
          </cell>
          <cell r="F304">
            <v>160</v>
          </cell>
          <cell r="H304">
            <v>2</v>
          </cell>
          <cell r="J304">
            <v>300</v>
          </cell>
          <cell r="M304">
            <v>0</v>
          </cell>
          <cell r="N304">
            <v>0</v>
          </cell>
          <cell r="P304">
            <v>3</v>
          </cell>
          <cell r="R304">
            <v>460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2.5783299999999998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DTO003</v>
          </cell>
          <cell r="C305" t="str">
            <v>BIGOTERA PARA OXIGENO .:. SILICONADO (ADULTO)</v>
          </cell>
          <cell r="D305" t="str">
            <v>Pieza</v>
          </cell>
          <cell r="E305">
            <v>20</v>
          </cell>
          <cell r="F305">
            <v>150</v>
          </cell>
          <cell r="H305">
            <v>0</v>
          </cell>
          <cell r="J305">
            <v>0</v>
          </cell>
          <cell r="M305">
            <v>0</v>
          </cell>
          <cell r="N305">
            <v>0</v>
          </cell>
          <cell r="P305">
            <v>1</v>
          </cell>
          <cell r="R305">
            <v>7.5</v>
          </cell>
          <cell r="S305">
            <v>0</v>
          </cell>
          <cell r="T305">
            <v>0</v>
          </cell>
          <cell r="U305">
            <v>19</v>
          </cell>
          <cell r="V305">
            <v>7.5</v>
          </cell>
          <cell r="W305">
            <v>142.5</v>
          </cell>
          <cell r="X305">
            <v>2.5783299999999998</v>
          </cell>
          <cell r="Y305">
            <v>0</v>
          </cell>
          <cell r="Z305">
            <v>7.5</v>
          </cell>
          <cell r="AA305">
            <v>142.5</v>
          </cell>
        </row>
        <row r="306">
          <cell r="B306" t="str">
            <v>DTO006</v>
          </cell>
          <cell r="C306" t="str">
            <v>CANULA DE GUEDELL .:. ADULTO</v>
          </cell>
          <cell r="D306" t="str">
            <v>Juego x 5 piezas</v>
          </cell>
          <cell r="E306">
            <v>24</v>
          </cell>
          <cell r="F306">
            <v>120</v>
          </cell>
          <cell r="H306">
            <v>0</v>
          </cell>
          <cell r="J306">
            <v>0</v>
          </cell>
          <cell r="M306">
            <v>0</v>
          </cell>
          <cell r="N306">
            <v>0</v>
          </cell>
          <cell r="P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24</v>
          </cell>
          <cell r="V306">
            <v>5</v>
          </cell>
          <cell r="W306">
            <v>120</v>
          </cell>
          <cell r="X306">
            <v>2.5783299999999998</v>
          </cell>
          <cell r="Y306">
            <v>0</v>
          </cell>
          <cell r="Z306">
            <v>5</v>
          </cell>
          <cell r="AA306">
            <v>120</v>
          </cell>
        </row>
        <row r="307">
          <cell r="B307" t="str">
            <v>DTO013</v>
          </cell>
          <cell r="C307" t="str">
            <v>CANULA DE TRAQUEOSTOMIA .:. NO. 7</v>
          </cell>
          <cell r="D307" t="str">
            <v>Sobre estéril</v>
          </cell>
          <cell r="E307">
            <v>2</v>
          </cell>
          <cell r="F307">
            <v>454</v>
          </cell>
          <cell r="H307">
            <v>0</v>
          </cell>
          <cell r="J307">
            <v>0</v>
          </cell>
          <cell r="M307">
            <v>0</v>
          </cell>
          <cell r="N307">
            <v>0</v>
          </cell>
          <cell r="P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2</v>
          </cell>
          <cell r="V307">
            <v>227</v>
          </cell>
          <cell r="W307">
            <v>454</v>
          </cell>
          <cell r="X307">
            <v>2.5783299999999998</v>
          </cell>
          <cell r="Y307">
            <v>0</v>
          </cell>
          <cell r="Z307">
            <v>227</v>
          </cell>
          <cell r="AA307">
            <v>454</v>
          </cell>
        </row>
        <row r="308">
          <cell r="B308" t="str">
            <v>DTO015</v>
          </cell>
          <cell r="C308" t="str">
            <v>CANULA DE TRAQUEOSTOMIA .:. NO. 8</v>
          </cell>
          <cell r="D308" t="str">
            <v>Sobre estéril</v>
          </cell>
          <cell r="E308">
            <v>3</v>
          </cell>
          <cell r="F308">
            <v>681</v>
          </cell>
          <cell r="H308">
            <v>0</v>
          </cell>
          <cell r="J308">
            <v>0</v>
          </cell>
          <cell r="M308">
            <v>0</v>
          </cell>
          <cell r="N308">
            <v>0</v>
          </cell>
          <cell r="P308">
            <v>1</v>
          </cell>
          <cell r="R308">
            <v>227</v>
          </cell>
          <cell r="S308">
            <v>0</v>
          </cell>
          <cell r="T308">
            <v>0</v>
          </cell>
          <cell r="U308">
            <v>2</v>
          </cell>
          <cell r="V308">
            <v>227</v>
          </cell>
          <cell r="W308">
            <v>454</v>
          </cell>
          <cell r="X308">
            <v>2.5783299999999998</v>
          </cell>
          <cell r="Y308">
            <v>0</v>
          </cell>
          <cell r="Z308">
            <v>227</v>
          </cell>
          <cell r="AA308">
            <v>454</v>
          </cell>
        </row>
        <row r="309">
          <cell r="B309" t="str">
            <v>DTO030</v>
          </cell>
          <cell r="C309" t="str">
            <v>MASCARILLA .:. PARA ADULTO CON RESERVORIO</v>
          </cell>
          <cell r="D309" t="str">
            <v>Pieza</v>
          </cell>
          <cell r="E309">
            <v>24</v>
          </cell>
          <cell r="F309">
            <v>1092</v>
          </cell>
          <cell r="H309">
            <v>0</v>
          </cell>
          <cell r="J309">
            <v>0</v>
          </cell>
          <cell r="M309">
            <v>0</v>
          </cell>
          <cell r="N309">
            <v>0</v>
          </cell>
          <cell r="P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24</v>
          </cell>
          <cell r="V309">
            <v>45.5</v>
          </cell>
          <cell r="W309">
            <v>1092</v>
          </cell>
          <cell r="X309">
            <v>2.5783299999999998</v>
          </cell>
          <cell r="Y309">
            <v>0</v>
          </cell>
          <cell r="Z309">
            <v>45.5</v>
          </cell>
          <cell r="AA309">
            <v>1092</v>
          </cell>
        </row>
        <row r="310">
          <cell r="B310" t="str">
            <v>DTO039</v>
          </cell>
          <cell r="C310" t="str">
            <v>SISTEMA CERRADO DE ASPIRACION TRAQUEAL .:. NO. 16</v>
          </cell>
          <cell r="D310" t="str">
            <v>Sobre estéril</v>
          </cell>
          <cell r="E310">
            <v>12</v>
          </cell>
          <cell r="F310">
            <v>1693.3333319999999</v>
          </cell>
          <cell r="H310">
            <v>0</v>
          </cell>
          <cell r="J310">
            <v>0</v>
          </cell>
          <cell r="M310">
            <v>0</v>
          </cell>
          <cell r="N310">
            <v>0</v>
          </cell>
          <cell r="P310">
            <v>3</v>
          </cell>
          <cell r="R310">
            <v>423.33333299999998</v>
          </cell>
          <cell r="S310">
            <v>0</v>
          </cell>
          <cell r="T310">
            <v>0</v>
          </cell>
          <cell r="U310">
            <v>9</v>
          </cell>
          <cell r="V310">
            <v>141.11111099999999</v>
          </cell>
          <cell r="W310">
            <v>1269.9999989999999</v>
          </cell>
          <cell r="X310">
            <v>2.5783299999999998</v>
          </cell>
          <cell r="Y310">
            <v>0</v>
          </cell>
          <cell r="Z310">
            <v>141.11111099999999</v>
          </cell>
          <cell r="AA310">
            <v>1269.9999989999999</v>
          </cell>
        </row>
        <row r="311">
          <cell r="B311" t="str">
            <v>DTO044</v>
          </cell>
          <cell r="C311" t="str">
            <v>TUBO CORRUGADO .:. ADULTO PARA MAQUINA DE ANESTESIA</v>
          </cell>
          <cell r="D311" t="str">
            <v>Sobre estéril</v>
          </cell>
          <cell r="E311">
            <v>1</v>
          </cell>
          <cell r="F311">
            <v>250</v>
          </cell>
          <cell r="H311">
            <v>5</v>
          </cell>
          <cell r="J311">
            <v>1160</v>
          </cell>
          <cell r="M311">
            <v>0</v>
          </cell>
          <cell r="N311">
            <v>0</v>
          </cell>
          <cell r="P311">
            <v>6</v>
          </cell>
          <cell r="R311">
            <v>1410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2.5783299999999998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DTO045</v>
          </cell>
          <cell r="C312" t="str">
            <v>TUBO ENDOTRAQUEAL .:. PREFORMADO ORAL N° 3.5 C/BALON</v>
          </cell>
          <cell r="D312" t="str">
            <v>Sobre estéril</v>
          </cell>
          <cell r="E312">
            <v>1</v>
          </cell>
          <cell r="F312">
            <v>7.52</v>
          </cell>
          <cell r="H312">
            <v>0</v>
          </cell>
          <cell r="J312">
            <v>0</v>
          </cell>
          <cell r="M312">
            <v>1</v>
          </cell>
          <cell r="N312">
            <v>7.52</v>
          </cell>
          <cell r="P312">
            <v>1</v>
          </cell>
          <cell r="R312">
            <v>7.52</v>
          </cell>
          <cell r="S312">
            <v>1</v>
          </cell>
          <cell r="T312">
            <v>7.52</v>
          </cell>
          <cell r="U312">
            <v>0</v>
          </cell>
          <cell r="V312">
            <v>0</v>
          </cell>
          <cell r="W312">
            <v>0</v>
          </cell>
          <cell r="X312">
            <v>2.5783299999999998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DTO051</v>
          </cell>
          <cell r="C313" t="str">
            <v>TUBO ENDOTRAQUEAL .:. PREFORMADO ORAL N°6.5 C/BALON</v>
          </cell>
          <cell r="D313" t="str">
            <v>Sobre estéril</v>
          </cell>
          <cell r="E313">
            <v>22</v>
          </cell>
          <cell r="F313">
            <v>135.96</v>
          </cell>
          <cell r="H313">
            <v>0</v>
          </cell>
          <cell r="J313">
            <v>0</v>
          </cell>
          <cell r="M313">
            <v>16</v>
          </cell>
          <cell r="N313">
            <v>98.88</v>
          </cell>
          <cell r="P313">
            <v>10</v>
          </cell>
          <cell r="R313">
            <v>61.8</v>
          </cell>
          <cell r="S313">
            <v>16</v>
          </cell>
          <cell r="T313">
            <v>98.88</v>
          </cell>
          <cell r="U313">
            <v>12</v>
          </cell>
          <cell r="V313">
            <v>6.18</v>
          </cell>
          <cell r="W313">
            <v>74.16</v>
          </cell>
          <cell r="X313">
            <v>2.5783299999999998</v>
          </cell>
          <cell r="Y313">
            <v>0</v>
          </cell>
          <cell r="Z313">
            <v>6.18</v>
          </cell>
          <cell r="AA313">
            <v>74.16</v>
          </cell>
        </row>
        <row r="314">
          <cell r="B314" t="str">
            <v>DTO052</v>
          </cell>
          <cell r="C314" t="str">
            <v>TUBO ENDOTRAQUEAL .:. PREFORMADO ORAL N° 7 C/BALON</v>
          </cell>
          <cell r="D314" t="str">
            <v>Sobre estéril</v>
          </cell>
          <cell r="E314">
            <v>16</v>
          </cell>
          <cell r="F314">
            <v>112</v>
          </cell>
          <cell r="H314">
            <v>35</v>
          </cell>
          <cell r="J314">
            <v>245</v>
          </cell>
          <cell r="M314">
            <v>0</v>
          </cell>
          <cell r="N314">
            <v>0</v>
          </cell>
          <cell r="P314">
            <v>43</v>
          </cell>
          <cell r="R314">
            <v>301</v>
          </cell>
          <cell r="S314">
            <v>0</v>
          </cell>
          <cell r="T314">
            <v>0</v>
          </cell>
          <cell r="U314">
            <v>8</v>
          </cell>
          <cell r="V314">
            <v>7</v>
          </cell>
          <cell r="W314">
            <v>56</v>
          </cell>
          <cell r="X314">
            <v>2.5783299999999998</v>
          </cell>
          <cell r="Y314">
            <v>0</v>
          </cell>
          <cell r="Z314">
            <v>7</v>
          </cell>
          <cell r="AA314">
            <v>56</v>
          </cell>
        </row>
        <row r="315">
          <cell r="B315" t="str">
            <v>DTO053</v>
          </cell>
          <cell r="C315" t="str">
            <v>TUBO ENDOTRAQUEAL .:. PREFORMADO ORAL N° 7.5 C/BALON</v>
          </cell>
          <cell r="D315" t="str">
            <v>Sobre estéril</v>
          </cell>
          <cell r="E315">
            <v>0</v>
          </cell>
          <cell r="F315">
            <v>0</v>
          </cell>
          <cell r="H315">
            <v>35</v>
          </cell>
          <cell r="J315">
            <v>245</v>
          </cell>
          <cell r="M315">
            <v>0</v>
          </cell>
          <cell r="N315">
            <v>0</v>
          </cell>
          <cell r="P315">
            <v>16</v>
          </cell>
          <cell r="R315">
            <v>112</v>
          </cell>
          <cell r="S315">
            <v>0</v>
          </cell>
          <cell r="T315">
            <v>0</v>
          </cell>
          <cell r="U315">
            <v>19</v>
          </cell>
          <cell r="V315">
            <v>7</v>
          </cell>
          <cell r="W315">
            <v>133</v>
          </cell>
          <cell r="X315">
            <v>2.5783299999999998</v>
          </cell>
          <cell r="Y315">
            <v>0</v>
          </cell>
          <cell r="Z315">
            <v>7</v>
          </cell>
          <cell r="AA315">
            <v>133</v>
          </cell>
        </row>
        <row r="316">
          <cell r="B316" t="str">
            <v>DTO054</v>
          </cell>
          <cell r="C316" t="str">
            <v>TUBO ENDOTRAQUEAL .:. PREFORMADO ORAL N° 8 C/BALON</v>
          </cell>
          <cell r="D316" t="str">
            <v>Sobre estéril</v>
          </cell>
          <cell r="E316">
            <v>19</v>
          </cell>
          <cell r="F316">
            <v>170.0861904761</v>
          </cell>
          <cell r="H316">
            <v>0</v>
          </cell>
          <cell r="J316">
            <v>0</v>
          </cell>
          <cell r="M316">
            <v>0</v>
          </cell>
          <cell r="N316">
            <v>0</v>
          </cell>
          <cell r="P316">
            <v>9</v>
          </cell>
          <cell r="R316">
            <v>80.567142857099995</v>
          </cell>
          <cell r="S316">
            <v>0</v>
          </cell>
          <cell r="T316">
            <v>0</v>
          </cell>
          <cell r="U316">
            <v>10</v>
          </cell>
          <cell r="V316">
            <v>8.9519047618999998</v>
          </cell>
          <cell r="W316">
            <v>89.519047619000006</v>
          </cell>
          <cell r="X316">
            <v>2.5783299999999998</v>
          </cell>
          <cell r="Y316">
            <v>0</v>
          </cell>
          <cell r="Z316">
            <v>8.9519047618999998</v>
          </cell>
          <cell r="AA316">
            <v>89.519047619000006</v>
          </cell>
        </row>
        <row r="317">
          <cell r="B317" t="str">
            <v>EX-01-021</v>
          </cell>
          <cell r="C317" t="str">
            <v>DILTIAZEN   DILTIAZEN*   60 MG .:. 60 MG</v>
          </cell>
          <cell r="D317" t="str">
            <v>Comprimido</v>
          </cell>
          <cell r="E317">
            <v>60</v>
          </cell>
          <cell r="F317">
            <v>132</v>
          </cell>
          <cell r="H317">
            <v>560</v>
          </cell>
          <cell r="J317">
            <v>1498</v>
          </cell>
          <cell r="M317">
            <v>0</v>
          </cell>
          <cell r="N317">
            <v>0</v>
          </cell>
          <cell r="P317">
            <v>360</v>
          </cell>
          <cell r="R317">
            <v>876</v>
          </cell>
          <cell r="S317">
            <v>0</v>
          </cell>
          <cell r="T317">
            <v>0</v>
          </cell>
          <cell r="U317">
            <v>260</v>
          </cell>
          <cell r="V317">
            <v>2.9</v>
          </cell>
          <cell r="W317">
            <v>754</v>
          </cell>
          <cell r="X317">
            <v>2.5783299999999998</v>
          </cell>
          <cell r="Y317">
            <v>0</v>
          </cell>
          <cell r="Z317">
            <v>2.9</v>
          </cell>
          <cell r="AA317">
            <v>754</v>
          </cell>
        </row>
        <row r="318">
          <cell r="B318" t="str">
            <v>EX-01-042</v>
          </cell>
          <cell r="C318" t="str">
            <v>TELMISARTAN TELMISARTAN 80MG .:. 80MG</v>
          </cell>
          <cell r="D318" t="str">
            <v>Comprimido ranurado</v>
          </cell>
          <cell r="E318">
            <v>120</v>
          </cell>
          <cell r="F318">
            <v>744</v>
          </cell>
          <cell r="H318">
            <v>0</v>
          </cell>
          <cell r="J318">
            <v>0</v>
          </cell>
          <cell r="M318">
            <v>0</v>
          </cell>
          <cell r="N318">
            <v>0</v>
          </cell>
          <cell r="P318">
            <v>0</v>
          </cell>
          <cell r="R318">
            <v>0</v>
          </cell>
          <cell r="S318">
            <v>120</v>
          </cell>
          <cell r="T318">
            <v>744</v>
          </cell>
          <cell r="U318">
            <v>0</v>
          </cell>
          <cell r="V318">
            <v>0</v>
          </cell>
          <cell r="W318">
            <v>0</v>
          </cell>
          <cell r="X318">
            <v>2.5783299999999998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EX-01-15</v>
          </cell>
          <cell r="C319" t="str">
            <v>RIBAROXABAN RIBAROXABAN 15 MG .:. 15 MG</v>
          </cell>
          <cell r="D319" t="str">
            <v>Comprimido</v>
          </cell>
          <cell r="E319">
            <v>270</v>
          </cell>
          <cell r="F319">
            <v>2970</v>
          </cell>
          <cell r="H319">
            <v>90</v>
          </cell>
          <cell r="J319">
            <v>990</v>
          </cell>
          <cell r="M319">
            <v>0</v>
          </cell>
          <cell r="N319">
            <v>0</v>
          </cell>
          <cell r="P319">
            <v>360</v>
          </cell>
          <cell r="R319">
            <v>3960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2.5783299999999998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EX-01-16</v>
          </cell>
          <cell r="C320" t="str">
            <v>OCTREOTIDE .:. 100 MCG/ML</v>
          </cell>
          <cell r="D320" t="str">
            <v>Inyectable</v>
          </cell>
          <cell r="E320">
            <v>0</v>
          </cell>
          <cell r="F320">
            <v>0</v>
          </cell>
          <cell r="H320">
            <v>20</v>
          </cell>
          <cell r="J320">
            <v>2090</v>
          </cell>
          <cell r="M320">
            <v>0</v>
          </cell>
          <cell r="N320">
            <v>0</v>
          </cell>
          <cell r="P320">
            <v>16</v>
          </cell>
          <cell r="R320">
            <v>1672</v>
          </cell>
          <cell r="S320">
            <v>0</v>
          </cell>
          <cell r="T320">
            <v>0</v>
          </cell>
          <cell r="U320">
            <v>4</v>
          </cell>
          <cell r="V320">
            <v>104.5</v>
          </cell>
          <cell r="W320">
            <v>418</v>
          </cell>
          <cell r="X320">
            <v>2.5783299999999998</v>
          </cell>
          <cell r="Y320">
            <v>0</v>
          </cell>
          <cell r="Z320">
            <v>104.5</v>
          </cell>
          <cell r="AA320">
            <v>418</v>
          </cell>
        </row>
        <row r="321">
          <cell r="B321" t="str">
            <v>G-01-02</v>
          </cell>
          <cell r="C321" t="str">
            <v>CLOTRIMAZOL .:. 100 mg</v>
          </cell>
          <cell r="D321" t="str">
            <v>Ovulo</v>
          </cell>
          <cell r="E321">
            <v>317</v>
          </cell>
          <cell r="F321">
            <v>307.67100814119999</v>
          </cell>
          <cell r="H321">
            <v>500</v>
          </cell>
          <cell r="J321">
            <v>700</v>
          </cell>
          <cell r="M321">
            <v>79</v>
          </cell>
          <cell r="N321">
            <v>110.6</v>
          </cell>
          <cell r="P321">
            <v>752</v>
          </cell>
          <cell r="R321">
            <v>919.13541157719999</v>
          </cell>
          <cell r="S321">
            <v>0</v>
          </cell>
          <cell r="T321">
            <v>0</v>
          </cell>
          <cell r="U321">
            <v>144</v>
          </cell>
          <cell r="V321">
            <v>1.3828860871999999</v>
          </cell>
          <cell r="W321">
            <v>199.13559655680001</v>
          </cell>
          <cell r="X321">
            <v>2.5783299999999998</v>
          </cell>
          <cell r="Y321">
            <v>0</v>
          </cell>
          <cell r="Z321">
            <v>1.3828860871999999</v>
          </cell>
          <cell r="AA321">
            <v>199.13559655680001</v>
          </cell>
        </row>
        <row r="322">
          <cell r="B322" t="str">
            <v>G-01-03</v>
          </cell>
          <cell r="C322" t="str">
            <v>CLOTRIMAZOL .:. 0.01</v>
          </cell>
          <cell r="D322" t="str">
            <v>Crema vaginal</v>
          </cell>
          <cell r="E322">
            <v>18</v>
          </cell>
          <cell r="F322">
            <v>178.2</v>
          </cell>
          <cell r="H322">
            <v>70</v>
          </cell>
          <cell r="J322">
            <v>693</v>
          </cell>
          <cell r="M322">
            <v>0</v>
          </cell>
          <cell r="N322">
            <v>0</v>
          </cell>
          <cell r="P322">
            <v>76</v>
          </cell>
          <cell r="R322">
            <v>752.4</v>
          </cell>
          <cell r="S322">
            <v>0</v>
          </cell>
          <cell r="T322">
            <v>0</v>
          </cell>
          <cell r="U322">
            <v>12</v>
          </cell>
          <cell r="V322">
            <v>9.9</v>
          </cell>
          <cell r="W322">
            <v>118.8</v>
          </cell>
          <cell r="X322">
            <v>2.5783299999999998</v>
          </cell>
          <cell r="Y322">
            <v>0</v>
          </cell>
          <cell r="Z322">
            <v>9.9</v>
          </cell>
          <cell r="AA322">
            <v>118.8</v>
          </cell>
        </row>
        <row r="323">
          <cell r="B323" t="str">
            <v>G-01-04</v>
          </cell>
          <cell r="C323" t="str">
            <v>METRONIDAZOL .:. 500 mg</v>
          </cell>
          <cell r="D323" t="str">
            <v>Óvulo</v>
          </cell>
          <cell r="E323">
            <v>536</v>
          </cell>
          <cell r="F323">
            <v>659.28</v>
          </cell>
          <cell r="H323">
            <v>2000</v>
          </cell>
          <cell r="J323">
            <v>2940</v>
          </cell>
          <cell r="M323">
            <v>0</v>
          </cell>
          <cell r="N323">
            <v>0</v>
          </cell>
          <cell r="P323">
            <v>1744</v>
          </cell>
          <cell r="R323">
            <v>2254.0611387470999</v>
          </cell>
          <cell r="S323">
            <v>0</v>
          </cell>
          <cell r="T323">
            <v>0</v>
          </cell>
          <cell r="U323">
            <v>792</v>
          </cell>
          <cell r="V323">
            <v>1.6985086632999999</v>
          </cell>
          <cell r="W323">
            <v>1345.2188613336</v>
          </cell>
          <cell r="X323">
            <v>2.5783299999999998</v>
          </cell>
          <cell r="Y323">
            <v>0</v>
          </cell>
          <cell r="Z323">
            <v>1.6985086632999999</v>
          </cell>
          <cell r="AA323">
            <v>1345.2188613336</v>
          </cell>
        </row>
        <row r="324">
          <cell r="B324" t="str">
            <v>G-02-04</v>
          </cell>
          <cell r="C324" t="str">
            <v>ERGOMETRINA MALEATO .:. 0,2 mg/ml</v>
          </cell>
          <cell r="D324" t="str">
            <v>Inyectable</v>
          </cell>
          <cell r="E324">
            <v>15</v>
          </cell>
          <cell r="F324">
            <v>120</v>
          </cell>
          <cell r="H324">
            <v>25</v>
          </cell>
          <cell r="J324">
            <v>200</v>
          </cell>
          <cell r="M324">
            <v>2</v>
          </cell>
          <cell r="N324">
            <v>16</v>
          </cell>
          <cell r="P324">
            <v>42</v>
          </cell>
          <cell r="R324">
            <v>336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2.5783299999999998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G-02-09</v>
          </cell>
          <cell r="C325" t="str">
            <v>OXITOCINA .:. 5UI/ml a 10 UI/ml</v>
          </cell>
          <cell r="D325" t="str">
            <v>Inyectable</v>
          </cell>
          <cell r="E325">
            <v>4</v>
          </cell>
          <cell r="F325">
            <v>6.8</v>
          </cell>
          <cell r="H325">
            <v>50</v>
          </cell>
          <cell r="J325">
            <v>85</v>
          </cell>
          <cell r="M325">
            <v>0</v>
          </cell>
          <cell r="N325">
            <v>0</v>
          </cell>
          <cell r="P325">
            <v>42</v>
          </cell>
          <cell r="R325">
            <v>71.400000000000006</v>
          </cell>
          <cell r="S325">
            <v>0</v>
          </cell>
          <cell r="T325">
            <v>0</v>
          </cell>
          <cell r="U325">
            <v>12</v>
          </cell>
          <cell r="V325">
            <v>1.7</v>
          </cell>
          <cell r="W325">
            <v>20.399999999999999</v>
          </cell>
          <cell r="X325">
            <v>2.5783299999999998</v>
          </cell>
          <cell r="Y325">
            <v>0</v>
          </cell>
          <cell r="Z325">
            <v>1.7</v>
          </cell>
          <cell r="AA325">
            <v>20.399999999999999</v>
          </cell>
        </row>
        <row r="326">
          <cell r="B326" t="str">
            <v>G-02-11</v>
          </cell>
          <cell r="C326" t="str">
            <v>CABERGOLINA .:. 0.5mg</v>
          </cell>
          <cell r="D326" t="str">
            <v>Comprimido</v>
          </cell>
          <cell r="E326">
            <v>0</v>
          </cell>
          <cell r="F326">
            <v>0</v>
          </cell>
          <cell r="H326">
            <v>130</v>
          </cell>
          <cell r="J326">
            <v>5538</v>
          </cell>
          <cell r="M326">
            <v>0</v>
          </cell>
          <cell r="N326">
            <v>0</v>
          </cell>
          <cell r="P326">
            <v>130</v>
          </cell>
          <cell r="R326">
            <v>5538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2.5783299999999998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G-03-02</v>
          </cell>
          <cell r="C327" t="str">
            <v>CIPROTERONA ACETATO + ESTRADIOL VALERATO .:. 2 mg + 0,035 mg</v>
          </cell>
          <cell r="D327" t="str">
            <v>Ciclo</v>
          </cell>
          <cell r="E327">
            <v>13</v>
          </cell>
          <cell r="F327">
            <v>520</v>
          </cell>
          <cell r="H327">
            <v>90</v>
          </cell>
          <cell r="J327">
            <v>3739.3</v>
          </cell>
          <cell r="M327">
            <v>0</v>
          </cell>
          <cell r="N327">
            <v>0</v>
          </cell>
          <cell r="P327">
            <v>67</v>
          </cell>
          <cell r="R327">
            <v>2777.4979879279999</v>
          </cell>
          <cell r="S327">
            <v>0</v>
          </cell>
          <cell r="T327">
            <v>0</v>
          </cell>
          <cell r="U327">
            <v>36</v>
          </cell>
          <cell r="V327">
            <v>41.161167001999999</v>
          </cell>
          <cell r="W327">
            <v>1481.802012072</v>
          </cell>
          <cell r="X327">
            <v>2.5783299999999998</v>
          </cell>
          <cell r="Y327">
            <v>0</v>
          </cell>
          <cell r="Z327">
            <v>41.161167001999999</v>
          </cell>
          <cell r="AA327">
            <v>1481.802012072</v>
          </cell>
        </row>
        <row r="328">
          <cell r="B328" t="str">
            <v>G-03-03</v>
          </cell>
          <cell r="C328" t="str">
            <v>CLOMIFENO CITRATO .:. 50 mg</v>
          </cell>
          <cell r="D328" t="str">
            <v>Comprimido</v>
          </cell>
          <cell r="E328">
            <v>100</v>
          </cell>
          <cell r="F328">
            <v>239.63</v>
          </cell>
          <cell r="H328">
            <v>0</v>
          </cell>
          <cell r="J328">
            <v>0</v>
          </cell>
          <cell r="M328">
            <v>0</v>
          </cell>
          <cell r="N328">
            <v>0</v>
          </cell>
          <cell r="P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100</v>
          </cell>
          <cell r="V328">
            <v>2.3963000000000001</v>
          </cell>
          <cell r="W328">
            <v>239.63</v>
          </cell>
          <cell r="X328">
            <v>2.5783299999999998</v>
          </cell>
          <cell r="Y328">
            <v>0</v>
          </cell>
          <cell r="Z328">
            <v>2.3963000000000001</v>
          </cell>
          <cell r="AA328">
            <v>239.63</v>
          </cell>
        </row>
        <row r="329">
          <cell r="B329" t="str">
            <v>G-03-09</v>
          </cell>
          <cell r="C329" t="str">
            <v>ESTROGENOS CONJUGADOS .:. 0,625 mg</v>
          </cell>
          <cell r="D329" t="str">
            <v>Crema vaginal</v>
          </cell>
          <cell r="E329">
            <v>20</v>
          </cell>
          <cell r="F329">
            <v>2324.1999999999998</v>
          </cell>
          <cell r="H329">
            <v>0</v>
          </cell>
          <cell r="J329">
            <v>0</v>
          </cell>
          <cell r="M329">
            <v>0</v>
          </cell>
          <cell r="N329">
            <v>0</v>
          </cell>
          <cell r="P329">
            <v>20</v>
          </cell>
          <cell r="R329">
            <v>2324.1999999999998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2.5783299999999998</v>
          </cell>
          <cell r="Y329">
            <v>0</v>
          </cell>
          <cell r="Z329">
            <v>0</v>
          </cell>
          <cell r="AA329">
            <v>0</v>
          </cell>
        </row>
        <row r="330">
          <cell r="B330" t="str">
            <v>G-03-12</v>
          </cell>
          <cell r="C330" t="str">
            <v>LEVONORGESTREL + ETINILESTRADIOL .:. 0,150 mg + 0,03 mg</v>
          </cell>
          <cell r="D330" t="str">
            <v>Caja</v>
          </cell>
          <cell r="E330">
            <v>29</v>
          </cell>
          <cell r="F330">
            <v>174</v>
          </cell>
          <cell r="H330">
            <v>50</v>
          </cell>
          <cell r="J330">
            <v>297.5</v>
          </cell>
          <cell r="M330">
            <v>0</v>
          </cell>
          <cell r="N330">
            <v>0</v>
          </cell>
          <cell r="P330">
            <v>29</v>
          </cell>
          <cell r="R330">
            <v>174</v>
          </cell>
          <cell r="S330">
            <v>0</v>
          </cell>
          <cell r="T330">
            <v>0</v>
          </cell>
          <cell r="U330">
            <v>50</v>
          </cell>
          <cell r="V330">
            <v>5.95</v>
          </cell>
          <cell r="W330">
            <v>297.5</v>
          </cell>
          <cell r="X330">
            <v>2.5783299999999998</v>
          </cell>
          <cell r="Y330">
            <v>0</v>
          </cell>
          <cell r="Z330">
            <v>5.95</v>
          </cell>
          <cell r="AA330">
            <v>297.5</v>
          </cell>
        </row>
        <row r="331">
          <cell r="B331" t="str">
            <v>G-03-18</v>
          </cell>
          <cell r="C331" t="str">
            <v>TESTOSTERONA UNDECANOATO .:. 1000 mg</v>
          </cell>
          <cell r="D331" t="str">
            <v>Inyectable</v>
          </cell>
          <cell r="E331">
            <v>5</v>
          </cell>
          <cell r="F331">
            <v>6102.4</v>
          </cell>
          <cell r="H331">
            <v>17</v>
          </cell>
          <cell r="J331">
            <v>12051.96</v>
          </cell>
          <cell r="M331">
            <v>0</v>
          </cell>
          <cell r="N331">
            <v>0</v>
          </cell>
          <cell r="P331">
            <v>15</v>
          </cell>
          <cell r="R331">
            <v>13667.651666666499</v>
          </cell>
          <cell r="S331">
            <v>0</v>
          </cell>
          <cell r="T331">
            <v>0</v>
          </cell>
          <cell r="U331">
            <v>7</v>
          </cell>
          <cell r="V331">
            <v>640.95833333329995</v>
          </cell>
          <cell r="W331">
            <v>4486.7083333331002</v>
          </cell>
          <cell r="X331">
            <v>2.5783299999999998</v>
          </cell>
          <cell r="Y331">
            <v>0</v>
          </cell>
          <cell r="Z331">
            <v>640.95833333329995</v>
          </cell>
          <cell r="AA331">
            <v>4486.7083333331002</v>
          </cell>
        </row>
        <row r="332">
          <cell r="B332" t="str">
            <v>G-03-19</v>
          </cell>
          <cell r="C332" t="str">
            <v>LEVONORGESTREL .:. 150 mg</v>
          </cell>
          <cell r="D332" t="str">
            <v>Implante subdérmico</v>
          </cell>
          <cell r="E332">
            <v>0</v>
          </cell>
          <cell r="F332">
            <v>0</v>
          </cell>
          <cell r="H332">
            <v>1</v>
          </cell>
          <cell r="J332">
            <v>121.41</v>
          </cell>
          <cell r="M332">
            <v>0</v>
          </cell>
          <cell r="N332">
            <v>0</v>
          </cell>
          <cell r="P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1</v>
          </cell>
          <cell r="V332">
            <v>121.41</v>
          </cell>
          <cell r="W332">
            <v>121.41</v>
          </cell>
          <cell r="X332">
            <v>2.5783299999999998</v>
          </cell>
          <cell r="Y332">
            <v>0</v>
          </cell>
          <cell r="Z332">
            <v>121.41</v>
          </cell>
          <cell r="AA332">
            <v>121.41</v>
          </cell>
        </row>
        <row r="333">
          <cell r="B333" t="str">
            <v>G-03-20</v>
          </cell>
          <cell r="C333" t="str">
            <v>LEVONORGESTREL .:. 1,5 mg</v>
          </cell>
          <cell r="D333" t="str">
            <v>Comprimido</v>
          </cell>
          <cell r="E333">
            <v>0</v>
          </cell>
          <cell r="F333">
            <v>0</v>
          </cell>
          <cell r="H333">
            <v>5</v>
          </cell>
          <cell r="J333">
            <v>16.8</v>
          </cell>
          <cell r="M333">
            <v>0</v>
          </cell>
          <cell r="N333">
            <v>0</v>
          </cell>
          <cell r="P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5</v>
          </cell>
          <cell r="V333">
            <v>3.36</v>
          </cell>
          <cell r="W333">
            <v>16.8</v>
          </cell>
          <cell r="X333">
            <v>2.5783299999999998</v>
          </cell>
          <cell r="Y333">
            <v>0</v>
          </cell>
          <cell r="Z333">
            <v>3.36</v>
          </cell>
          <cell r="AA333">
            <v>16.8</v>
          </cell>
        </row>
        <row r="334">
          <cell r="B334" t="str">
            <v>G-03-21</v>
          </cell>
          <cell r="C334" t="str">
            <v>MEDROXIPROGESTERONA ACETATO .:. 104 MG / 0.65 ML</v>
          </cell>
          <cell r="D334" t="str">
            <v>Inyectable</v>
          </cell>
          <cell r="E334">
            <v>0</v>
          </cell>
          <cell r="F334">
            <v>0</v>
          </cell>
          <cell r="H334">
            <v>3</v>
          </cell>
          <cell r="J334">
            <v>25.92</v>
          </cell>
          <cell r="M334">
            <v>0</v>
          </cell>
          <cell r="N334">
            <v>0</v>
          </cell>
          <cell r="P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3</v>
          </cell>
          <cell r="V334">
            <v>8.64</v>
          </cell>
          <cell r="W334">
            <v>25.92</v>
          </cell>
          <cell r="X334">
            <v>2.5783299999999998</v>
          </cell>
          <cell r="Y334">
            <v>0</v>
          </cell>
          <cell r="Z334">
            <v>8.64</v>
          </cell>
          <cell r="AA334">
            <v>25.92</v>
          </cell>
        </row>
        <row r="335">
          <cell r="B335" t="str">
            <v>G-04-01</v>
          </cell>
          <cell r="C335" t="str">
            <v>FINASTERIDA .:. 5 mg</v>
          </cell>
          <cell r="D335" t="str">
            <v>Comprimido</v>
          </cell>
          <cell r="E335">
            <v>655</v>
          </cell>
          <cell r="F335">
            <v>578.49301182449994</v>
          </cell>
          <cell r="H335">
            <v>8800</v>
          </cell>
          <cell r="J335">
            <v>7120</v>
          </cell>
          <cell r="M335">
            <v>0</v>
          </cell>
          <cell r="N335">
            <v>0</v>
          </cell>
          <cell r="P335">
            <v>7075</v>
          </cell>
          <cell r="R335">
            <v>5839.7243979089999</v>
          </cell>
          <cell r="S335">
            <v>0</v>
          </cell>
          <cell r="T335">
            <v>0</v>
          </cell>
          <cell r="U335">
            <v>2380</v>
          </cell>
          <cell r="V335">
            <v>0.78099521579999998</v>
          </cell>
          <cell r="W335">
            <v>1858.7686136039999</v>
          </cell>
          <cell r="X335">
            <v>2.5783299999999998</v>
          </cell>
          <cell r="Y335">
            <v>0</v>
          </cell>
          <cell r="Z335">
            <v>0.78099521579999998</v>
          </cell>
          <cell r="AA335">
            <v>1858.7686136039999</v>
          </cell>
        </row>
        <row r="336">
          <cell r="B336" t="str">
            <v>H-02-01</v>
          </cell>
          <cell r="C336" t="str">
            <v>BETAMETASONA (FOSFATO) .:. 4 mg</v>
          </cell>
          <cell r="D336" t="str">
            <v>Inyectable</v>
          </cell>
          <cell r="E336">
            <v>45</v>
          </cell>
          <cell r="F336">
            <v>246.85175347649999</v>
          </cell>
          <cell r="H336">
            <v>250</v>
          </cell>
          <cell r="J336">
            <v>1175</v>
          </cell>
          <cell r="M336">
            <v>4</v>
          </cell>
          <cell r="N336">
            <v>22</v>
          </cell>
          <cell r="P336">
            <v>210</v>
          </cell>
          <cell r="R336">
            <v>1122.2762817789001</v>
          </cell>
          <cell r="S336">
            <v>0</v>
          </cell>
          <cell r="T336">
            <v>0</v>
          </cell>
          <cell r="U336">
            <v>89</v>
          </cell>
          <cell r="V336">
            <v>3.6132075472</v>
          </cell>
          <cell r="W336">
            <v>321.57547170079999</v>
          </cell>
          <cell r="X336">
            <v>2.5783299999999998</v>
          </cell>
          <cell r="Y336">
            <v>0</v>
          </cell>
          <cell r="Z336">
            <v>3.6132075472</v>
          </cell>
          <cell r="AA336">
            <v>321.57547170079999</v>
          </cell>
        </row>
        <row r="337">
          <cell r="B337" t="str">
            <v>H-02-03</v>
          </cell>
          <cell r="C337" t="str">
            <v>DEXAMETASONA .:. 0,5 mg</v>
          </cell>
          <cell r="D337" t="str">
            <v>Comprimido</v>
          </cell>
          <cell r="E337">
            <v>330</v>
          </cell>
          <cell r="F337">
            <v>139.56755999999999</v>
          </cell>
          <cell r="H337">
            <v>0</v>
          </cell>
          <cell r="J337">
            <v>0</v>
          </cell>
          <cell r="M337">
            <v>270</v>
          </cell>
          <cell r="N337">
            <v>113.4</v>
          </cell>
          <cell r="P337">
            <v>210</v>
          </cell>
          <cell r="R337">
            <v>88.375919999999994</v>
          </cell>
          <cell r="S337">
            <v>270</v>
          </cell>
          <cell r="T337">
            <v>114.19164000000001</v>
          </cell>
          <cell r="U337">
            <v>120</v>
          </cell>
          <cell r="V337">
            <v>0.42</v>
          </cell>
          <cell r="W337">
            <v>50.4</v>
          </cell>
          <cell r="X337">
            <v>2.5783299999999998</v>
          </cell>
          <cell r="Y337">
            <v>0</v>
          </cell>
          <cell r="Z337">
            <v>0.42</v>
          </cell>
          <cell r="AA337">
            <v>50.4</v>
          </cell>
        </row>
        <row r="338">
          <cell r="B338" t="str">
            <v>H-02-04</v>
          </cell>
          <cell r="C338" t="str">
            <v>DEXAMETASONA .:. 4 mg/ml</v>
          </cell>
          <cell r="D338" t="str">
            <v>Inyectable</v>
          </cell>
          <cell r="E338">
            <v>1484</v>
          </cell>
          <cell r="F338">
            <v>968.3236578456</v>
          </cell>
          <cell r="H338">
            <v>6900</v>
          </cell>
          <cell r="J338">
            <v>4038</v>
          </cell>
          <cell r="M338">
            <v>115</v>
          </cell>
          <cell r="N338">
            <v>65.903542000000002</v>
          </cell>
          <cell r="P338">
            <v>5736</v>
          </cell>
          <cell r="R338">
            <v>3321.4869222005</v>
          </cell>
          <cell r="S338">
            <v>0</v>
          </cell>
          <cell r="T338">
            <v>0</v>
          </cell>
          <cell r="U338">
            <v>2763</v>
          </cell>
          <cell r="V338">
            <v>0.63363745130000004</v>
          </cell>
          <cell r="W338">
            <v>1750.7402779419001</v>
          </cell>
          <cell r="X338">
            <v>2.5783299999999998</v>
          </cell>
          <cell r="Y338">
            <v>0</v>
          </cell>
          <cell r="Z338">
            <v>0.63363745130000004</v>
          </cell>
          <cell r="AA338">
            <v>1750.7402779419001</v>
          </cell>
        </row>
        <row r="339">
          <cell r="B339" t="str">
            <v>H-02-05</v>
          </cell>
          <cell r="C339" t="str">
            <v>HIDROCORTISONA SUCCINATO SODICO .:. 100 mg</v>
          </cell>
          <cell r="D339" t="str">
            <v>Inyectable</v>
          </cell>
          <cell r="E339">
            <v>187</v>
          </cell>
          <cell r="F339">
            <v>847.91147538020005</v>
          </cell>
          <cell r="H339">
            <v>425</v>
          </cell>
          <cell r="J339">
            <v>3200</v>
          </cell>
          <cell r="M339">
            <v>57</v>
          </cell>
          <cell r="N339">
            <v>390.84285</v>
          </cell>
          <cell r="P339">
            <v>601</v>
          </cell>
          <cell r="R339">
            <v>3826.7543253718</v>
          </cell>
          <cell r="S339">
            <v>0</v>
          </cell>
          <cell r="T339">
            <v>0</v>
          </cell>
          <cell r="U339">
            <v>68</v>
          </cell>
          <cell r="V339">
            <v>9</v>
          </cell>
          <cell r="W339">
            <v>612</v>
          </cell>
          <cell r="X339">
            <v>2.5783299999999998</v>
          </cell>
          <cell r="Y339">
            <v>0</v>
          </cell>
          <cell r="Z339">
            <v>9</v>
          </cell>
          <cell r="AA339">
            <v>612</v>
          </cell>
        </row>
        <row r="340">
          <cell r="B340" t="str">
            <v>H-02-06</v>
          </cell>
          <cell r="C340" t="str">
            <v>HIDROCORTISONA SUCCINATO SODICO .:. 250 mg</v>
          </cell>
          <cell r="D340" t="str">
            <v>Inyectable</v>
          </cell>
          <cell r="E340">
            <v>98</v>
          </cell>
          <cell r="F340">
            <v>680.49330038480002</v>
          </cell>
          <cell r="H340">
            <v>50</v>
          </cell>
          <cell r="J340">
            <v>1150</v>
          </cell>
          <cell r="M340">
            <v>0</v>
          </cell>
          <cell r="N340">
            <v>0</v>
          </cell>
          <cell r="P340">
            <v>135</v>
          </cell>
          <cell r="R340">
            <v>1531.4933003848</v>
          </cell>
          <cell r="S340">
            <v>0</v>
          </cell>
          <cell r="T340">
            <v>0</v>
          </cell>
          <cell r="U340">
            <v>13</v>
          </cell>
          <cell r="V340">
            <v>23</v>
          </cell>
          <cell r="W340">
            <v>299</v>
          </cell>
          <cell r="X340">
            <v>2.5783299999999998</v>
          </cell>
          <cell r="Y340">
            <v>0</v>
          </cell>
          <cell r="Z340">
            <v>23</v>
          </cell>
          <cell r="AA340">
            <v>299</v>
          </cell>
        </row>
        <row r="341">
          <cell r="B341" t="str">
            <v>H-02-07</v>
          </cell>
          <cell r="C341" t="str">
            <v>METILPREDNISOLONA SUCCINATO SODICO .:. 500 mg</v>
          </cell>
          <cell r="D341" t="str">
            <v>Inyectable</v>
          </cell>
          <cell r="E341">
            <v>21</v>
          </cell>
          <cell r="F341">
            <v>1381.7863633643999</v>
          </cell>
          <cell r="H341">
            <v>0</v>
          </cell>
          <cell r="J341">
            <v>0</v>
          </cell>
          <cell r="M341">
            <v>0</v>
          </cell>
          <cell r="N341">
            <v>0</v>
          </cell>
          <cell r="P341">
            <v>11</v>
          </cell>
          <cell r="R341">
            <v>723.79285700039998</v>
          </cell>
          <cell r="S341">
            <v>0</v>
          </cell>
          <cell r="T341">
            <v>0</v>
          </cell>
          <cell r="U341">
            <v>10</v>
          </cell>
          <cell r="V341">
            <v>65.799350636400007</v>
          </cell>
          <cell r="W341">
            <v>657.99350636400004</v>
          </cell>
          <cell r="X341">
            <v>2.5783299999999998</v>
          </cell>
          <cell r="Y341">
            <v>0</v>
          </cell>
          <cell r="Z341">
            <v>65.799350636400007</v>
          </cell>
          <cell r="AA341">
            <v>657.99350636400004</v>
          </cell>
        </row>
        <row r="342">
          <cell r="B342" t="str">
            <v>H-02-08</v>
          </cell>
          <cell r="C342" t="str">
            <v>PREDNISONA .:. 5 mg</v>
          </cell>
          <cell r="D342" t="str">
            <v>Comprimido</v>
          </cell>
          <cell r="E342">
            <v>1426</v>
          </cell>
          <cell r="F342">
            <v>413.54</v>
          </cell>
          <cell r="H342">
            <v>13000</v>
          </cell>
          <cell r="J342">
            <v>3410</v>
          </cell>
          <cell r="M342">
            <v>0</v>
          </cell>
          <cell r="N342">
            <v>0</v>
          </cell>
          <cell r="P342">
            <v>13194</v>
          </cell>
          <cell r="R342">
            <v>3480.2222742807999</v>
          </cell>
          <cell r="S342">
            <v>0</v>
          </cell>
          <cell r="T342">
            <v>0</v>
          </cell>
          <cell r="U342">
            <v>1232</v>
          </cell>
          <cell r="V342">
            <v>0.27866698519999999</v>
          </cell>
          <cell r="W342">
            <v>343.31772576639997</v>
          </cell>
          <cell r="X342">
            <v>2.5783299999999998</v>
          </cell>
          <cell r="Y342">
            <v>0</v>
          </cell>
          <cell r="Z342">
            <v>0.27866698519999999</v>
          </cell>
          <cell r="AA342">
            <v>343.31772576639997</v>
          </cell>
        </row>
        <row r="343">
          <cell r="B343" t="str">
            <v>H-02-09</v>
          </cell>
          <cell r="C343" t="str">
            <v>PREDNISONA .:. 20 mg</v>
          </cell>
          <cell r="D343" t="str">
            <v>Comprimido ranurado</v>
          </cell>
          <cell r="E343">
            <v>1116</v>
          </cell>
          <cell r="F343">
            <v>558</v>
          </cell>
          <cell r="H343">
            <v>2000</v>
          </cell>
          <cell r="J343">
            <v>1280</v>
          </cell>
          <cell r="M343">
            <v>0</v>
          </cell>
          <cell r="N343">
            <v>0</v>
          </cell>
          <cell r="P343">
            <v>2338</v>
          </cell>
          <cell r="R343">
            <v>1372.4574841552001</v>
          </cell>
          <cell r="S343">
            <v>0</v>
          </cell>
          <cell r="T343">
            <v>0</v>
          </cell>
          <cell r="U343">
            <v>778</v>
          </cell>
          <cell r="V343">
            <v>0.5983836964</v>
          </cell>
          <cell r="W343">
            <v>465.54251579919998</v>
          </cell>
          <cell r="X343">
            <v>2.5783299999999998</v>
          </cell>
          <cell r="Y343">
            <v>0</v>
          </cell>
          <cell r="Z343">
            <v>0.5983836964</v>
          </cell>
          <cell r="AA343">
            <v>465.54251579919998</v>
          </cell>
        </row>
        <row r="344">
          <cell r="B344" t="str">
            <v>H-03-01</v>
          </cell>
          <cell r="C344" t="str">
            <v>LEVOTIROXINA SODICA .:. 0,1 mg</v>
          </cell>
          <cell r="D344" t="str">
            <v>Comprimido ranurado</v>
          </cell>
          <cell r="E344">
            <v>5183</v>
          </cell>
          <cell r="F344">
            <v>2591.4292033298002</v>
          </cell>
          <cell r="H344">
            <v>40000</v>
          </cell>
          <cell r="J344">
            <v>20000</v>
          </cell>
          <cell r="M344">
            <v>11</v>
          </cell>
          <cell r="N344">
            <v>5.5</v>
          </cell>
          <cell r="P344">
            <v>44124</v>
          </cell>
          <cell r="R344">
            <v>22061.929203329801</v>
          </cell>
          <cell r="S344">
            <v>0</v>
          </cell>
          <cell r="T344">
            <v>0</v>
          </cell>
          <cell r="U344">
            <v>1070</v>
          </cell>
          <cell r="V344">
            <v>0.5</v>
          </cell>
          <cell r="W344">
            <v>535</v>
          </cell>
          <cell r="X344">
            <v>2.5783299999999998</v>
          </cell>
          <cell r="Y344">
            <v>0</v>
          </cell>
          <cell r="Z344">
            <v>0.5</v>
          </cell>
          <cell r="AA344">
            <v>535</v>
          </cell>
        </row>
        <row r="345">
          <cell r="B345" t="str">
            <v>H-03-02</v>
          </cell>
          <cell r="C345" t="str">
            <v>PROPILTIOURACILO .:. 50 mg</v>
          </cell>
          <cell r="D345" t="str">
            <v>Comprimido</v>
          </cell>
          <cell r="E345">
            <v>55</v>
          </cell>
          <cell r="F345">
            <v>69.426884999999999</v>
          </cell>
          <cell r="H345">
            <v>0</v>
          </cell>
          <cell r="J345">
            <v>0</v>
          </cell>
          <cell r="M345">
            <v>55</v>
          </cell>
          <cell r="N345">
            <v>69.430000000000007</v>
          </cell>
          <cell r="P345">
            <v>0</v>
          </cell>
          <cell r="R345">
            <v>0</v>
          </cell>
          <cell r="S345">
            <v>110</v>
          </cell>
          <cell r="T345">
            <v>138.85688500200001</v>
          </cell>
          <cell r="U345">
            <v>0</v>
          </cell>
          <cell r="V345">
            <v>0</v>
          </cell>
          <cell r="W345">
            <v>0</v>
          </cell>
          <cell r="X345">
            <v>2.5783299999999998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J-01-01</v>
          </cell>
          <cell r="C346" t="str">
            <v>ACIDO NALIDIXICO .:. 500 mg</v>
          </cell>
          <cell r="D346" t="str">
            <v>Comprimido</v>
          </cell>
          <cell r="E346">
            <v>82</v>
          </cell>
          <cell r="F346">
            <v>101.849986</v>
          </cell>
          <cell r="H346">
            <v>0</v>
          </cell>
          <cell r="J346">
            <v>0</v>
          </cell>
          <cell r="M346">
            <v>52</v>
          </cell>
          <cell r="N346">
            <v>64.59</v>
          </cell>
          <cell r="P346">
            <v>30</v>
          </cell>
          <cell r="R346">
            <v>37.262996340000001</v>
          </cell>
          <cell r="S346">
            <v>104</v>
          </cell>
          <cell r="T346">
            <v>129.17698965599999</v>
          </cell>
          <cell r="U346">
            <v>0</v>
          </cell>
          <cell r="V346">
            <v>0</v>
          </cell>
          <cell r="W346">
            <v>0</v>
          </cell>
          <cell r="X346">
            <v>2.5783299999999998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J-01-02</v>
          </cell>
          <cell r="C347" t="str">
            <v>ACIDO NALIDIXICO .:. 250 mg/5 ml</v>
          </cell>
          <cell r="D347" t="str">
            <v>Suspensión</v>
          </cell>
          <cell r="E347">
            <v>2</v>
          </cell>
          <cell r="F347">
            <v>39.073999999999998</v>
          </cell>
          <cell r="H347">
            <v>0</v>
          </cell>
          <cell r="J347">
            <v>0</v>
          </cell>
          <cell r="M347">
            <v>0</v>
          </cell>
          <cell r="N347">
            <v>0</v>
          </cell>
          <cell r="P347">
            <v>2</v>
          </cell>
          <cell r="R347">
            <v>39.073999999999998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2.5783299999999998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J-01-04</v>
          </cell>
          <cell r="C348" t="str">
            <v>AMIKACINA .:. 500 mg/ 2ml</v>
          </cell>
          <cell r="D348" t="str">
            <v>Inyectable</v>
          </cell>
          <cell r="E348">
            <v>90</v>
          </cell>
          <cell r="F348">
            <v>413.99155462499999</v>
          </cell>
          <cell r="H348">
            <v>480</v>
          </cell>
          <cell r="J348">
            <v>2112</v>
          </cell>
          <cell r="M348">
            <v>335</v>
          </cell>
          <cell r="N348">
            <v>1474</v>
          </cell>
          <cell r="P348">
            <v>433</v>
          </cell>
          <cell r="R348">
            <v>1923.191554625</v>
          </cell>
          <cell r="S348">
            <v>11</v>
          </cell>
          <cell r="T348">
            <v>48.4</v>
          </cell>
          <cell r="U348">
            <v>461</v>
          </cell>
          <cell r="V348">
            <v>4.4000000000000004</v>
          </cell>
          <cell r="W348">
            <v>2028.4</v>
          </cell>
          <cell r="X348">
            <v>2.5783299999999998</v>
          </cell>
          <cell r="Y348">
            <v>0</v>
          </cell>
          <cell r="Z348">
            <v>4.4000000000000004</v>
          </cell>
          <cell r="AA348">
            <v>2028.4</v>
          </cell>
        </row>
        <row r="349">
          <cell r="B349" t="str">
            <v>J-01-05</v>
          </cell>
          <cell r="C349" t="str">
            <v>AMOXICILINA .:. 1 g</v>
          </cell>
          <cell r="D349" t="str">
            <v>Comprimido</v>
          </cell>
          <cell r="E349">
            <v>2715</v>
          </cell>
          <cell r="F349">
            <v>2283.6963152339999</v>
          </cell>
          <cell r="H349">
            <v>1500</v>
          </cell>
          <cell r="J349">
            <v>1485</v>
          </cell>
          <cell r="M349">
            <v>0</v>
          </cell>
          <cell r="N349">
            <v>0</v>
          </cell>
          <cell r="P349">
            <v>2851</v>
          </cell>
          <cell r="R349">
            <v>2460.5747023446002</v>
          </cell>
          <cell r="S349">
            <v>0</v>
          </cell>
          <cell r="T349">
            <v>0</v>
          </cell>
          <cell r="U349">
            <v>1364</v>
          </cell>
          <cell r="V349">
            <v>0.95903344049999995</v>
          </cell>
          <cell r="W349">
            <v>1308.1216128420001</v>
          </cell>
          <cell r="X349">
            <v>2.5783299999999998</v>
          </cell>
          <cell r="Y349">
            <v>0</v>
          </cell>
          <cell r="Z349">
            <v>0.95903344049999995</v>
          </cell>
          <cell r="AA349">
            <v>1308.1216128420001</v>
          </cell>
        </row>
        <row r="350">
          <cell r="B350" t="str">
            <v>J-01-06</v>
          </cell>
          <cell r="C350" t="str">
            <v>AMOXICILINA .:. 500 mg</v>
          </cell>
          <cell r="D350" t="str">
            <v>Comprimido</v>
          </cell>
          <cell r="E350">
            <v>1091</v>
          </cell>
          <cell r="F350">
            <v>470.02694426639999</v>
          </cell>
          <cell r="H350">
            <v>700</v>
          </cell>
          <cell r="J350">
            <v>399</v>
          </cell>
          <cell r="M350">
            <v>0</v>
          </cell>
          <cell r="N350">
            <v>0</v>
          </cell>
          <cell r="P350">
            <v>963</v>
          </cell>
          <cell r="R350">
            <v>421.46444865119997</v>
          </cell>
          <cell r="S350">
            <v>0</v>
          </cell>
          <cell r="T350">
            <v>0</v>
          </cell>
          <cell r="U350">
            <v>828</v>
          </cell>
          <cell r="V350">
            <v>0.54053441499999999</v>
          </cell>
          <cell r="W350">
            <v>447.56249561999999</v>
          </cell>
          <cell r="X350">
            <v>2.5783299999999998</v>
          </cell>
          <cell r="Y350">
            <v>0</v>
          </cell>
          <cell r="Z350">
            <v>0.54053441499999999</v>
          </cell>
          <cell r="AA350">
            <v>447.56249561999999</v>
          </cell>
        </row>
        <row r="351">
          <cell r="B351" t="str">
            <v>J-01-09</v>
          </cell>
          <cell r="C351" t="str">
            <v>AMOXICILINA + INHIBIDOR BETALACTAMASA .:. 500 mg + Según disponibilidad</v>
          </cell>
          <cell r="D351" t="str">
            <v>Comprimido</v>
          </cell>
          <cell r="E351">
            <v>686</v>
          </cell>
          <cell r="F351">
            <v>1119.9423569124001</v>
          </cell>
          <cell r="H351">
            <v>0</v>
          </cell>
          <cell r="J351">
            <v>0</v>
          </cell>
          <cell r="M351">
            <v>15</v>
          </cell>
          <cell r="N351">
            <v>24.49</v>
          </cell>
          <cell r="P351">
            <v>686</v>
          </cell>
          <cell r="R351">
            <v>1119.9438214119</v>
          </cell>
          <cell r="S351">
            <v>15</v>
          </cell>
          <cell r="T351">
            <v>24.488535501000001</v>
          </cell>
          <cell r="U351">
            <v>0</v>
          </cell>
          <cell r="V351">
            <v>0</v>
          </cell>
          <cell r="W351">
            <v>0</v>
          </cell>
          <cell r="X351">
            <v>2.5783299999999998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J-01-10</v>
          </cell>
          <cell r="C352" t="str">
            <v>AMOXICILINA + INHIBIDOR BETALACTAMASA .:. 250 mg + Según disponibilidad</v>
          </cell>
          <cell r="D352" t="str">
            <v>Suspensión</v>
          </cell>
          <cell r="E352">
            <v>27</v>
          </cell>
          <cell r="F352">
            <v>1215</v>
          </cell>
          <cell r="H352">
            <v>60</v>
          </cell>
          <cell r="J352">
            <v>2982</v>
          </cell>
          <cell r="M352">
            <v>0</v>
          </cell>
          <cell r="N352">
            <v>0</v>
          </cell>
          <cell r="P352">
            <v>27</v>
          </cell>
          <cell r="R352">
            <v>1251.7826086953</v>
          </cell>
          <cell r="S352">
            <v>0</v>
          </cell>
          <cell r="T352">
            <v>0</v>
          </cell>
          <cell r="U352">
            <v>60</v>
          </cell>
          <cell r="V352">
            <v>49.086956521700003</v>
          </cell>
          <cell r="W352">
            <v>2945.2173913020001</v>
          </cell>
          <cell r="X352">
            <v>2.5783299999999998</v>
          </cell>
          <cell r="Y352">
            <v>0</v>
          </cell>
          <cell r="Z352">
            <v>49.086956521700003</v>
          </cell>
          <cell r="AA352">
            <v>2945.2173913020001</v>
          </cell>
        </row>
        <row r="353">
          <cell r="B353" t="str">
            <v>J-01-11</v>
          </cell>
          <cell r="C353" t="str">
            <v>AMOXICILINA + INHIBIDOR BETALACTAMASA .:. 1 g + Según disponibilidad</v>
          </cell>
          <cell r="D353" t="str">
            <v>Inyectable</v>
          </cell>
          <cell r="E353">
            <v>0</v>
          </cell>
          <cell r="F353">
            <v>0</v>
          </cell>
          <cell r="H353">
            <v>39</v>
          </cell>
          <cell r="J353">
            <v>940.29</v>
          </cell>
          <cell r="M353">
            <v>0</v>
          </cell>
          <cell r="N353">
            <v>0</v>
          </cell>
          <cell r="P353">
            <v>39</v>
          </cell>
          <cell r="R353">
            <v>940.29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2.5783299999999998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J-01-12</v>
          </cell>
          <cell r="C354" t="str">
            <v>AMPICILINA .:. 1 g</v>
          </cell>
          <cell r="D354" t="str">
            <v>Inyectable</v>
          </cell>
          <cell r="E354">
            <v>163</v>
          </cell>
          <cell r="F354">
            <v>767.56993399999999</v>
          </cell>
          <cell r="H354">
            <v>0</v>
          </cell>
          <cell r="J354">
            <v>0</v>
          </cell>
          <cell r="M354">
            <v>150</v>
          </cell>
          <cell r="N354">
            <v>706.35</v>
          </cell>
          <cell r="P354">
            <v>13</v>
          </cell>
          <cell r="R354">
            <v>61.217018662800001</v>
          </cell>
          <cell r="S354">
            <v>150</v>
          </cell>
          <cell r="T354">
            <v>706.35270000000003</v>
          </cell>
          <cell r="U354">
            <v>150</v>
          </cell>
          <cell r="V354">
            <v>4.7090014356000003</v>
          </cell>
          <cell r="W354">
            <v>706.35021533999998</v>
          </cell>
          <cell r="X354">
            <v>2.5783299999999998</v>
          </cell>
          <cell r="Y354">
            <v>0</v>
          </cell>
          <cell r="Z354">
            <v>4.7090014356000003</v>
          </cell>
          <cell r="AA354">
            <v>706.35021533999998</v>
          </cell>
        </row>
        <row r="355">
          <cell r="B355" t="str">
            <v>J-01-13</v>
          </cell>
          <cell r="C355" t="str">
            <v>AZITROMICINA .:. 500 mg</v>
          </cell>
          <cell r="D355" t="str">
            <v>Comprimido</v>
          </cell>
          <cell r="E355">
            <v>1561</v>
          </cell>
          <cell r="F355">
            <v>2329.0728131258002</v>
          </cell>
          <cell r="H355">
            <v>2200</v>
          </cell>
          <cell r="J355">
            <v>7180</v>
          </cell>
          <cell r="M355">
            <v>284</v>
          </cell>
          <cell r="N355">
            <v>423.74</v>
          </cell>
          <cell r="P355">
            <v>2486</v>
          </cell>
          <cell r="R355">
            <v>5492.7611823786001</v>
          </cell>
          <cell r="S355">
            <v>284</v>
          </cell>
          <cell r="T355">
            <v>423.73906401519997</v>
          </cell>
          <cell r="U355">
            <v>1275</v>
          </cell>
          <cell r="V355">
            <v>3.1500490719999998</v>
          </cell>
          <cell r="W355">
            <v>4016.3125667999998</v>
          </cell>
          <cell r="X355">
            <v>2.5783299999999998</v>
          </cell>
          <cell r="Y355">
            <v>0</v>
          </cell>
          <cell r="Z355">
            <v>3.1500490719999998</v>
          </cell>
          <cell r="AA355">
            <v>4016.3125667999998</v>
          </cell>
        </row>
        <row r="356">
          <cell r="B356" t="str">
            <v>J-01-15</v>
          </cell>
          <cell r="C356" t="str">
            <v>BENCILPENICILINA BENZATINICA .:. 1.200.000 UI</v>
          </cell>
          <cell r="D356" t="str">
            <v>Inyectable</v>
          </cell>
          <cell r="E356">
            <v>151</v>
          </cell>
          <cell r="F356">
            <v>679.5</v>
          </cell>
          <cell r="H356">
            <v>150</v>
          </cell>
          <cell r="J356">
            <v>405</v>
          </cell>
          <cell r="M356">
            <v>0</v>
          </cell>
          <cell r="N356">
            <v>0</v>
          </cell>
          <cell r="P356">
            <v>225</v>
          </cell>
          <cell r="R356">
            <v>879.3</v>
          </cell>
          <cell r="S356">
            <v>0</v>
          </cell>
          <cell r="T356">
            <v>0</v>
          </cell>
          <cell r="U356">
            <v>76</v>
          </cell>
          <cell r="V356">
            <v>2.7</v>
          </cell>
          <cell r="W356">
            <v>205.2</v>
          </cell>
          <cell r="X356">
            <v>2.5783299999999998</v>
          </cell>
          <cell r="Y356">
            <v>0</v>
          </cell>
          <cell r="Z356">
            <v>2.7</v>
          </cell>
          <cell r="AA356">
            <v>205.2</v>
          </cell>
        </row>
        <row r="357">
          <cell r="B357" t="str">
            <v>J-01-16</v>
          </cell>
          <cell r="C357" t="str">
            <v>BENCILPENICILINA BENZATINICA .:. 2.400.000 UI</v>
          </cell>
          <cell r="D357" t="str">
            <v>Inyectable</v>
          </cell>
          <cell r="E357">
            <v>58</v>
          </cell>
          <cell r="F357">
            <v>406</v>
          </cell>
          <cell r="H357">
            <v>540</v>
          </cell>
          <cell r="J357">
            <v>2925</v>
          </cell>
          <cell r="M357">
            <v>0</v>
          </cell>
          <cell r="N357">
            <v>0</v>
          </cell>
          <cell r="P357">
            <v>462</v>
          </cell>
          <cell r="R357">
            <v>2470.8154645974</v>
          </cell>
          <cell r="S357">
            <v>0</v>
          </cell>
          <cell r="T357">
            <v>0</v>
          </cell>
          <cell r="U357">
            <v>136</v>
          </cell>
          <cell r="V357">
            <v>6.3248862898000002</v>
          </cell>
          <cell r="W357">
            <v>860.18453541279996</v>
          </cell>
          <cell r="X357">
            <v>2.5783299999999998</v>
          </cell>
          <cell r="Y357">
            <v>0</v>
          </cell>
          <cell r="Z357">
            <v>6.3248862898000002</v>
          </cell>
          <cell r="AA357">
            <v>860.18453541279996</v>
          </cell>
        </row>
        <row r="358">
          <cell r="B358" t="str">
            <v>J-01-18</v>
          </cell>
          <cell r="C358" t="str">
            <v>BENCILPENICILINA PROCAINICA .:. 800.000 UI</v>
          </cell>
          <cell r="D358" t="str">
            <v>Inyectable</v>
          </cell>
          <cell r="E358">
            <v>38</v>
          </cell>
          <cell r="F358">
            <v>164.16387599999999</v>
          </cell>
          <cell r="H358">
            <v>0</v>
          </cell>
          <cell r="J358">
            <v>0</v>
          </cell>
          <cell r="M358">
            <v>14</v>
          </cell>
          <cell r="N358">
            <v>60.48</v>
          </cell>
          <cell r="P358">
            <v>24</v>
          </cell>
          <cell r="R358">
            <v>103.68154610640001</v>
          </cell>
          <cell r="S358">
            <v>14</v>
          </cell>
          <cell r="T358">
            <v>60.481428000000001</v>
          </cell>
          <cell r="U358">
            <v>14</v>
          </cell>
          <cell r="V358">
            <v>4.3200644210999997</v>
          </cell>
          <cell r="W358">
            <v>60.480901895400002</v>
          </cell>
          <cell r="X358">
            <v>2.5783299999999998</v>
          </cell>
          <cell r="Y358">
            <v>0</v>
          </cell>
          <cell r="Z358">
            <v>4.3200644210999997</v>
          </cell>
          <cell r="AA358">
            <v>60.480901895400002</v>
          </cell>
        </row>
        <row r="359">
          <cell r="B359" t="str">
            <v>J-01-21</v>
          </cell>
          <cell r="C359" t="str">
            <v>CEFAZOLINA .:. 1 g</v>
          </cell>
          <cell r="D359" t="str">
            <v>Inyectable</v>
          </cell>
          <cell r="E359">
            <v>14</v>
          </cell>
          <cell r="F359">
            <v>70.160691420399999</v>
          </cell>
          <cell r="H359">
            <v>360</v>
          </cell>
          <cell r="J359">
            <v>2160</v>
          </cell>
          <cell r="M359">
            <v>10</v>
          </cell>
          <cell r="N359">
            <v>60</v>
          </cell>
          <cell r="P359">
            <v>319</v>
          </cell>
          <cell r="R359">
            <v>1900.1606914204001</v>
          </cell>
          <cell r="S359">
            <v>0</v>
          </cell>
          <cell r="T359">
            <v>0</v>
          </cell>
          <cell r="U359">
            <v>65</v>
          </cell>
          <cell r="V359">
            <v>6</v>
          </cell>
          <cell r="W359">
            <v>390</v>
          </cell>
          <cell r="X359">
            <v>2.5783299999999998</v>
          </cell>
          <cell r="Y359">
            <v>0</v>
          </cell>
          <cell r="Z359">
            <v>6</v>
          </cell>
          <cell r="AA359">
            <v>390</v>
          </cell>
        </row>
        <row r="360">
          <cell r="B360" t="str">
            <v>J-01-22</v>
          </cell>
          <cell r="C360" t="str">
            <v>CEFOTAXIMA .:. 1 g</v>
          </cell>
          <cell r="D360" t="str">
            <v>Inyectable</v>
          </cell>
          <cell r="E360">
            <v>261</v>
          </cell>
          <cell r="F360">
            <v>1122.6058796807999</v>
          </cell>
          <cell r="H360">
            <v>850</v>
          </cell>
          <cell r="J360">
            <v>4269.5</v>
          </cell>
          <cell r="M360">
            <v>50</v>
          </cell>
          <cell r="N360">
            <v>229.66422299999999</v>
          </cell>
          <cell r="P360">
            <v>913</v>
          </cell>
          <cell r="R360">
            <v>4138.7148907469</v>
          </cell>
          <cell r="S360">
            <v>0</v>
          </cell>
          <cell r="T360">
            <v>0</v>
          </cell>
          <cell r="U360">
            <v>248</v>
          </cell>
          <cell r="V360">
            <v>5.9800613381999996</v>
          </cell>
          <cell r="W360">
            <v>1483.0552118736</v>
          </cell>
          <cell r="X360">
            <v>2.5783299999999998</v>
          </cell>
          <cell r="Y360">
            <v>0</v>
          </cell>
          <cell r="Z360">
            <v>5.9800613381999996</v>
          </cell>
          <cell r="AA360">
            <v>1483.0552118736</v>
          </cell>
        </row>
        <row r="361">
          <cell r="B361" t="str">
            <v>J-01-23</v>
          </cell>
          <cell r="C361" t="str">
            <v>CEFRADINA .:. 500 mg</v>
          </cell>
          <cell r="D361" t="str">
            <v>Cápsula o Comprimido</v>
          </cell>
          <cell r="E361">
            <v>348</v>
          </cell>
          <cell r="F361">
            <v>382.8</v>
          </cell>
          <cell r="H361">
            <v>0</v>
          </cell>
          <cell r="J361">
            <v>0</v>
          </cell>
          <cell r="M361">
            <v>14</v>
          </cell>
          <cell r="N361">
            <v>15.4</v>
          </cell>
          <cell r="P361">
            <v>278</v>
          </cell>
          <cell r="R361">
            <v>305.8</v>
          </cell>
          <cell r="S361">
            <v>0</v>
          </cell>
          <cell r="T361">
            <v>0</v>
          </cell>
          <cell r="U361">
            <v>84</v>
          </cell>
          <cell r="V361">
            <v>1.1000000000000001</v>
          </cell>
          <cell r="W361">
            <v>92.4</v>
          </cell>
          <cell r="X361">
            <v>2.5783299999999998</v>
          </cell>
          <cell r="Y361">
            <v>0</v>
          </cell>
          <cell r="Z361">
            <v>1.1000000000000001</v>
          </cell>
          <cell r="AA361">
            <v>92.4</v>
          </cell>
        </row>
        <row r="362">
          <cell r="B362" t="str">
            <v>J-01-24</v>
          </cell>
          <cell r="C362" t="str">
            <v>CEFRADINA .:. 250 mg/5 ml</v>
          </cell>
          <cell r="D362" t="str">
            <v>Suspensión</v>
          </cell>
          <cell r="E362">
            <v>3</v>
          </cell>
          <cell r="F362">
            <v>63.252000000000002</v>
          </cell>
          <cell r="H362">
            <v>0</v>
          </cell>
          <cell r="J362">
            <v>0</v>
          </cell>
          <cell r="M362">
            <v>2</v>
          </cell>
          <cell r="N362">
            <v>42.17</v>
          </cell>
          <cell r="P362">
            <v>1</v>
          </cell>
          <cell r="R362">
            <v>21.084666666699999</v>
          </cell>
          <cell r="S362">
            <v>2</v>
          </cell>
          <cell r="T362">
            <v>42.167999999999999</v>
          </cell>
          <cell r="U362">
            <v>2</v>
          </cell>
          <cell r="V362">
            <v>21.084666666699999</v>
          </cell>
          <cell r="W362">
            <v>42.169333333399997</v>
          </cell>
          <cell r="X362">
            <v>2.5783299999999998</v>
          </cell>
          <cell r="Y362">
            <v>0</v>
          </cell>
          <cell r="Z362">
            <v>21.084666666699999</v>
          </cell>
          <cell r="AA362">
            <v>42.169333333399997</v>
          </cell>
        </row>
        <row r="363">
          <cell r="B363" t="str">
            <v>J-01-25</v>
          </cell>
          <cell r="C363" t="str">
            <v>CEFTAZIDIMA .:. 1 g</v>
          </cell>
          <cell r="D363" t="str">
            <v>Inyectable</v>
          </cell>
          <cell r="E363">
            <v>1</v>
          </cell>
          <cell r="F363">
            <v>23.573333333299999</v>
          </cell>
          <cell r="H363">
            <v>0</v>
          </cell>
          <cell r="J363">
            <v>0</v>
          </cell>
          <cell r="M363">
            <v>0</v>
          </cell>
          <cell r="N363">
            <v>0</v>
          </cell>
          <cell r="P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1</v>
          </cell>
          <cell r="V363">
            <v>23.573333333299999</v>
          </cell>
          <cell r="W363">
            <v>23.573333333299999</v>
          </cell>
          <cell r="X363">
            <v>2.5783299999999998</v>
          </cell>
          <cell r="Y363">
            <v>0</v>
          </cell>
          <cell r="Z363">
            <v>23.573333333299999</v>
          </cell>
          <cell r="AA363">
            <v>23.573333333299999</v>
          </cell>
        </row>
        <row r="364">
          <cell r="B364" t="str">
            <v>J-01-26</v>
          </cell>
          <cell r="C364" t="str">
            <v>CEFTRIAXONA .:. 1 g</v>
          </cell>
          <cell r="D364" t="str">
            <v>Inyectable</v>
          </cell>
          <cell r="E364">
            <v>50</v>
          </cell>
          <cell r="F364">
            <v>201.7672</v>
          </cell>
          <cell r="H364">
            <v>1000</v>
          </cell>
          <cell r="J364">
            <v>4350</v>
          </cell>
          <cell r="M364">
            <v>233</v>
          </cell>
          <cell r="N364">
            <v>986.13667799999996</v>
          </cell>
          <cell r="P364">
            <v>1116</v>
          </cell>
          <cell r="R364">
            <v>4811.9521607936003</v>
          </cell>
          <cell r="S364">
            <v>0</v>
          </cell>
          <cell r="T364">
            <v>0</v>
          </cell>
          <cell r="U364">
            <v>167</v>
          </cell>
          <cell r="V364">
            <v>4.3470162709000002</v>
          </cell>
          <cell r="W364">
            <v>725.95171724030001</v>
          </cell>
          <cell r="X364">
            <v>2.5783299999999998</v>
          </cell>
          <cell r="Y364">
            <v>0</v>
          </cell>
          <cell r="Z364">
            <v>4.3470162709000002</v>
          </cell>
          <cell r="AA364">
            <v>725.95171724030001</v>
          </cell>
        </row>
        <row r="365">
          <cell r="B365" t="str">
            <v>J-01-27</v>
          </cell>
          <cell r="C365" t="str">
            <v>CIPROFLOXACINA .:. 500 mg</v>
          </cell>
          <cell r="D365" t="str">
            <v>Comprimido</v>
          </cell>
          <cell r="E365">
            <v>1119</v>
          </cell>
          <cell r="F365">
            <v>454.58489277929999</v>
          </cell>
          <cell r="H365">
            <v>5900</v>
          </cell>
          <cell r="J365">
            <v>1822</v>
          </cell>
          <cell r="M365">
            <v>0</v>
          </cell>
          <cell r="N365">
            <v>0</v>
          </cell>
          <cell r="P365">
            <v>5914</v>
          </cell>
          <cell r="R365">
            <v>1813.1500069179999</v>
          </cell>
          <cell r="S365">
            <v>0</v>
          </cell>
          <cell r="T365">
            <v>0</v>
          </cell>
          <cell r="U365">
            <v>1105</v>
          </cell>
          <cell r="V365">
            <v>0.41939808690000002</v>
          </cell>
          <cell r="W365">
            <v>463.43488602449997</v>
          </cell>
          <cell r="X365">
            <v>2.5783299999999998</v>
          </cell>
          <cell r="Y365">
            <v>0</v>
          </cell>
          <cell r="Z365">
            <v>0.41939808690000002</v>
          </cell>
          <cell r="AA365">
            <v>463.43488602449997</v>
          </cell>
        </row>
        <row r="366">
          <cell r="B366" t="str">
            <v>J-01-28</v>
          </cell>
          <cell r="C366" t="str">
            <v>CIPROFLOXACINA .:. 200 mg</v>
          </cell>
          <cell r="D366" t="str">
            <v>Inyectable</v>
          </cell>
          <cell r="E366">
            <v>137</v>
          </cell>
          <cell r="F366">
            <v>892.63607772340004</v>
          </cell>
          <cell r="H366">
            <v>350</v>
          </cell>
          <cell r="J366">
            <v>1820</v>
          </cell>
          <cell r="M366">
            <v>70</v>
          </cell>
          <cell r="N366">
            <v>401.334338</v>
          </cell>
          <cell r="P366">
            <v>476</v>
          </cell>
          <cell r="R366">
            <v>2687.0102590215001</v>
          </cell>
          <cell r="S366">
            <v>0</v>
          </cell>
          <cell r="T366">
            <v>0</v>
          </cell>
          <cell r="U366">
            <v>81</v>
          </cell>
          <cell r="V366">
            <v>5.2711130459</v>
          </cell>
          <cell r="W366">
            <v>426.96015671790002</v>
          </cell>
          <cell r="X366">
            <v>2.5783299999999998</v>
          </cell>
          <cell r="Y366">
            <v>0</v>
          </cell>
          <cell r="Z366">
            <v>5.2711130459</v>
          </cell>
          <cell r="AA366">
            <v>426.96015671790002</v>
          </cell>
        </row>
        <row r="367">
          <cell r="B367" t="str">
            <v>J-01-29</v>
          </cell>
          <cell r="C367" t="str">
            <v>CLARITROMICINA .:. 500 mg</v>
          </cell>
          <cell r="D367" t="str">
            <v>Comprimido</v>
          </cell>
          <cell r="E367">
            <v>486</v>
          </cell>
          <cell r="F367">
            <v>1458</v>
          </cell>
          <cell r="H367">
            <v>2100</v>
          </cell>
          <cell r="J367">
            <v>6935</v>
          </cell>
          <cell r="M367">
            <v>1</v>
          </cell>
          <cell r="N367">
            <v>3.1619039999999998</v>
          </cell>
          <cell r="P367">
            <v>2187</v>
          </cell>
          <cell r="R367">
            <v>6884.1619039886</v>
          </cell>
          <cell r="S367">
            <v>0</v>
          </cell>
          <cell r="T367">
            <v>0</v>
          </cell>
          <cell r="U367">
            <v>400</v>
          </cell>
          <cell r="V367">
            <v>3.78</v>
          </cell>
          <cell r="W367">
            <v>1512</v>
          </cell>
          <cell r="X367">
            <v>2.5783299999999998</v>
          </cell>
          <cell r="Y367">
            <v>0</v>
          </cell>
          <cell r="Z367">
            <v>3.78</v>
          </cell>
          <cell r="AA367">
            <v>1512</v>
          </cell>
        </row>
        <row r="368">
          <cell r="B368" t="str">
            <v>J-01-30</v>
          </cell>
          <cell r="C368" t="str">
            <v>CLARITROMICINA .:. 250 mg/5 ml</v>
          </cell>
          <cell r="D368" t="str">
            <v>Suspensión</v>
          </cell>
          <cell r="E368">
            <v>23</v>
          </cell>
          <cell r="F368">
            <v>1242</v>
          </cell>
          <cell r="H368">
            <v>0</v>
          </cell>
          <cell r="J368">
            <v>0</v>
          </cell>
          <cell r="M368">
            <v>0</v>
          </cell>
          <cell r="N368">
            <v>0</v>
          </cell>
          <cell r="P368">
            <v>20</v>
          </cell>
          <cell r="R368">
            <v>1080</v>
          </cell>
          <cell r="S368">
            <v>0</v>
          </cell>
          <cell r="T368">
            <v>0</v>
          </cell>
          <cell r="U368">
            <v>3</v>
          </cell>
          <cell r="V368">
            <v>54</v>
          </cell>
          <cell r="W368">
            <v>162</v>
          </cell>
          <cell r="X368">
            <v>2.5783299999999998</v>
          </cell>
          <cell r="Y368">
            <v>0</v>
          </cell>
          <cell r="Z368">
            <v>54</v>
          </cell>
          <cell r="AA368">
            <v>162</v>
          </cell>
        </row>
        <row r="369">
          <cell r="B369" t="str">
            <v>J-01-37</v>
          </cell>
          <cell r="C369" t="str">
            <v>COTRIMOXAZOL (SULFAMETOXAZOL + TRIMETOPRIMA) .:. 800 mg + 160 mg</v>
          </cell>
          <cell r="D369" t="str">
            <v>Comprimido</v>
          </cell>
          <cell r="E369">
            <v>61</v>
          </cell>
          <cell r="F369">
            <v>23.914986151299999</v>
          </cell>
          <cell r="H369">
            <v>3100</v>
          </cell>
          <cell r="J369">
            <v>1505</v>
          </cell>
          <cell r="M369">
            <v>1</v>
          </cell>
          <cell r="N369">
            <v>0.48822900000000002</v>
          </cell>
          <cell r="P369">
            <v>2241</v>
          </cell>
          <cell r="R369">
            <v>1079.8241589603001</v>
          </cell>
          <cell r="S369">
            <v>0</v>
          </cell>
          <cell r="T369">
            <v>0</v>
          </cell>
          <cell r="U369">
            <v>921</v>
          </cell>
          <cell r="V369">
            <v>0.48814229780000001</v>
          </cell>
          <cell r="W369">
            <v>449.57905627380001</v>
          </cell>
          <cell r="X369">
            <v>2.5783299999999998</v>
          </cell>
          <cell r="Y369">
            <v>0</v>
          </cell>
          <cell r="Z369">
            <v>0.48814229780000001</v>
          </cell>
          <cell r="AA369">
            <v>449.57905627380001</v>
          </cell>
        </row>
        <row r="370">
          <cell r="B370" t="str">
            <v>J-01-38</v>
          </cell>
          <cell r="C370" t="str">
            <v>COTRIMOXAZOL (SULFAMETOXAZOL + TRIMETOPRIMA) .:. 200 mg + 40 mg/5 ml</v>
          </cell>
          <cell r="D370" t="str">
            <v>Suspensión</v>
          </cell>
          <cell r="E370">
            <v>37</v>
          </cell>
          <cell r="F370">
            <v>259</v>
          </cell>
          <cell r="H370">
            <v>0</v>
          </cell>
          <cell r="J370">
            <v>0</v>
          </cell>
          <cell r="M370">
            <v>0</v>
          </cell>
          <cell r="N370">
            <v>0</v>
          </cell>
          <cell r="P370">
            <v>20</v>
          </cell>
          <cell r="R370">
            <v>140</v>
          </cell>
          <cell r="S370">
            <v>0</v>
          </cell>
          <cell r="T370">
            <v>0</v>
          </cell>
          <cell r="U370">
            <v>17</v>
          </cell>
          <cell r="V370">
            <v>7</v>
          </cell>
          <cell r="W370">
            <v>119</v>
          </cell>
          <cell r="X370">
            <v>2.5783299999999998</v>
          </cell>
          <cell r="Y370">
            <v>0</v>
          </cell>
          <cell r="Z370">
            <v>7</v>
          </cell>
          <cell r="AA370">
            <v>119</v>
          </cell>
        </row>
        <row r="371">
          <cell r="B371" t="str">
            <v>J-01-41</v>
          </cell>
          <cell r="C371" t="str">
            <v>DICLOXACILINA SODICA .:. 500 mg</v>
          </cell>
          <cell r="D371" t="str">
            <v>Cápsula</v>
          </cell>
          <cell r="E371">
            <v>263</v>
          </cell>
          <cell r="F371">
            <v>275.95373133189997</v>
          </cell>
          <cell r="H371">
            <v>900</v>
          </cell>
          <cell r="J371">
            <v>900</v>
          </cell>
          <cell r="M371">
            <v>0</v>
          </cell>
          <cell r="N371">
            <v>0</v>
          </cell>
          <cell r="P371">
            <v>1130</v>
          </cell>
          <cell r="R371">
            <v>1142.7417261057999</v>
          </cell>
          <cell r="S371">
            <v>0</v>
          </cell>
          <cell r="T371">
            <v>0</v>
          </cell>
          <cell r="U371">
            <v>33</v>
          </cell>
          <cell r="V371">
            <v>1.0064243997</v>
          </cell>
          <cell r="W371">
            <v>33.212005190100001</v>
          </cell>
          <cell r="X371">
            <v>2.5783299999999998</v>
          </cell>
          <cell r="Y371">
            <v>0</v>
          </cell>
          <cell r="Z371">
            <v>1.0064243997</v>
          </cell>
          <cell r="AA371">
            <v>33.212005190100001</v>
          </cell>
        </row>
        <row r="372">
          <cell r="B372" t="str">
            <v>J-01-44</v>
          </cell>
          <cell r="C372" t="str">
            <v>DOXICICLINA .:. 100 mg</v>
          </cell>
          <cell r="D372" t="str">
            <v>Cápsula o Comprimido</v>
          </cell>
          <cell r="E372">
            <v>304</v>
          </cell>
          <cell r="F372">
            <v>151.95220460319999</v>
          </cell>
          <cell r="H372">
            <v>1000</v>
          </cell>
          <cell r="J372">
            <v>400</v>
          </cell>
          <cell r="M372">
            <v>0</v>
          </cell>
          <cell r="N372">
            <v>0</v>
          </cell>
          <cell r="P372">
            <v>1136</v>
          </cell>
          <cell r="R372">
            <v>484.75220460320003</v>
          </cell>
          <cell r="S372">
            <v>0</v>
          </cell>
          <cell r="T372">
            <v>0</v>
          </cell>
          <cell r="U372">
            <v>168</v>
          </cell>
          <cell r="V372">
            <v>0.4</v>
          </cell>
          <cell r="W372">
            <v>67.2</v>
          </cell>
          <cell r="X372">
            <v>2.5783299999999998</v>
          </cell>
          <cell r="Y372">
            <v>0</v>
          </cell>
          <cell r="Z372">
            <v>0.4</v>
          </cell>
          <cell r="AA372">
            <v>67.2</v>
          </cell>
        </row>
        <row r="373">
          <cell r="B373" t="str">
            <v>J-01-45</v>
          </cell>
          <cell r="C373" t="str">
            <v>ERITROMICINA ESTEARATO .:. 500 mg</v>
          </cell>
          <cell r="D373" t="str">
            <v>Cápsula o Comprimido</v>
          </cell>
          <cell r="E373">
            <v>188</v>
          </cell>
          <cell r="F373">
            <v>184.081509138</v>
          </cell>
          <cell r="H373">
            <v>0</v>
          </cell>
          <cell r="J373">
            <v>0</v>
          </cell>
          <cell r="M373">
            <v>0</v>
          </cell>
          <cell r="N373">
            <v>0</v>
          </cell>
          <cell r="P373">
            <v>123</v>
          </cell>
          <cell r="R373">
            <v>120.4363065105</v>
          </cell>
          <cell r="S373">
            <v>0</v>
          </cell>
          <cell r="T373">
            <v>0</v>
          </cell>
          <cell r="U373">
            <v>65</v>
          </cell>
          <cell r="V373">
            <v>0.97915696350000003</v>
          </cell>
          <cell r="W373">
            <v>63.645202627499998</v>
          </cell>
          <cell r="X373">
            <v>2.5783299999999998</v>
          </cell>
          <cell r="Y373">
            <v>0</v>
          </cell>
          <cell r="Z373">
            <v>0.97915696350000003</v>
          </cell>
          <cell r="AA373">
            <v>63.645202627499998</v>
          </cell>
        </row>
        <row r="374">
          <cell r="B374" t="str">
            <v>J-01-50</v>
          </cell>
          <cell r="C374" t="str">
            <v>IMIPENEM + CILASTATINA .:. 500 mg + 500 mg</v>
          </cell>
          <cell r="D374" t="str">
            <v>Inyectable</v>
          </cell>
          <cell r="E374">
            <v>150</v>
          </cell>
          <cell r="F374">
            <v>6600</v>
          </cell>
          <cell r="H374">
            <v>970</v>
          </cell>
          <cell r="J374">
            <v>42791</v>
          </cell>
          <cell r="M374">
            <v>67</v>
          </cell>
          <cell r="N374">
            <v>2961.4698600000002</v>
          </cell>
          <cell r="P374">
            <v>1152</v>
          </cell>
          <cell r="R374">
            <v>50829.969860020698</v>
          </cell>
          <cell r="S374">
            <v>0</v>
          </cell>
          <cell r="T374">
            <v>0</v>
          </cell>
          <cell r="U374">
            <v>35</v>
          </cell>
          <cell r="V374">
            <v>43.5</v>
          </cell>
          <cell r="W374">
            <v>1522.5</v>
          </cell>
          <cell r="X374">
            <v>2.5783299999999998</v>
          </cell>
          <cell r="Y374">
            <v>0</v>
          </cell>
          <cell r="Z374">
            <v>43.5</v>
          </cell>
          <cell r="AA374">
            <v>1522.5</v>
          </cell>
        </row>
        <row r="375">
          <cell r="B375" t="str">
            <v>J-01-51</v>
          </cell>
          <cell r="C375" t="str">
            <v>NITROFURANTOINA .:. 100 mg</v>
          </cell>
          <cell r="D375" t="str">
            <v>Comprimido</v>
          </cell>
          <cell r="E375">
            <v>106</v>
          </cell>
          <cell r="F375">
            <v>90.114206416800002</v>
          </cell>
          <cell r="H375">
            <v>1000</v>
          </cell>
          <cell r="J375">
            <v>1114</v>
          </cell>
          <cell r="M375">
            <v>9</v>
          </cell>
          <cell r="N375">
            <v>8.91</v>
          </cell>
          <cell r="P375">
            <v>935</v>
          </cell>
          <cell r="R375">
            <v>982.79623437780003</v>
          </cell>
          <cell r="S375">
            <v>0</v>
          </cell>
          <cell r="T375">
            <v>0</v>
          </cell>
          <cell r="U375">
            <v>180</v>
          </cell>
          <cell r="V375">
            <v>1.279044289</v>
          </cell>
          <cell r="W375">
            <v>230.22797202000001</v>
          </cell>
          <cell r="X375">
            <v>2.5783299999999998</v>
          </cell>
          <cell r="Y375">
            <v>0</v>
          </cell>
          <cell r="Z375">
            <v>1.279044289</v>
          </cell>
          <cell r="AA375">
            <v>230.22797202000001</v>
          </cell>
        </row>
        <row r="376">
          <cell r="B376" t="str">
            <v>J-01-54</v>
          </cell>
          <cell r="C376" t="str">
            <v>TETRACICLINA .:. 500 mg</v>
          </cell>
          <cell r="D376" t="str">
            <v>Cápsula o Comprimido</v>
          </cell>
          <cell r="E376">
            <v>445</v>
          </cell>
          <cell r="F376">
            <v>200.84096</v>
          </cell>
          <cell r="H376">
            <v>0</v>
          </cell>
          <cell r="J376">
            <v>0</v>
          </cell>
          <cell r="M376">
            <v>325</v>
          </cell>
          <cell r="N376">
            <v>146.68</v>
          </cell>
          <cell r="P376">
            <v>120</v>
          </cell>
          <cell r="R376">
            <v>54.158928539999998</v>
          </cell>
          <cell r="S376">
            <v>325</v>
          </cell>
          <cell r="T376">
            <v>146.6816</v>
          </cell>
          <cell r="U376">
            <v>325</v>
          </cell>
          <cell r="V376">
            <v>0.4513244045</v>
          </cell>
          <cell r="W376">
            <v>146.6804314625</v>
          </cell>
          <cell r="X376">
            <v>2.5783299999999998</v>
          </cell>
          <cell r="Y376">
            <v>0</v>
          </cell>
          <cell r="Z376">
            <v>0.4513244045</v>
          </cell>
          <cell r="AA376">
            <v>146.6804314625</v>
          </cell>
        </row>
        <row r="377">
          <cell r="B377" t="str">
            <v>J-01-55</v>
          </cell>
          <cell r="C377" t="str">
            <v>VANCOMICINA .:. 500 mg</v>
          </cell>
          <cell r="D377" t="str">
            <v>Inyectable</v>
          </cell>
          <cell r="E377">
            <v>4</v>
          </cell>
          <cell r="F377">
            <v>62.162039999999998</v>
          </cell>
          <cell r="H377">
            <v>580</v>
          </cell>
          <cell r="J377">
            <v>9280</v>
          </cell>
          <cell r="M377">
            <v>40</v>
          </cell>
          <cell r="N377">
            <v>640.09724000000006</v>
          </cell>
          <cell r="P377">
            <v>466</v>
          </cell>
          <cell r="R377">
            <v>7454.2554770357001</v>
          </cell>
          <cell r="S377">
            <v>0</v>
          </cell>
          <cell r="T377">
            <v>0</v>
          </cell>
          <cell r="U377">
            <v>158</v>
          </cell>
          <cell r="V377">
            <v>16.0000240693</v>
          </cell>
          <cell r="W377">
            <v>2528.0038029493999</v>
          </cell>
          <cell r="X377">
            <v>2.5783299999999998</v>
          </cell>
          <cell r="Y377">
            <v>0</v>
          </cell>
          <cell r="Z377">
            <v>16.0000240693</v>
          </cell>
          <cell r="AA377">
            <v>2528.0038029493999</v>
          </cell>
        </row>
        <row r="378">
          <cell r="B378" t="str">
            <v>J-01-57</v>
          </cell>
          <cell r="C378" t="str">
            <v>AMOXICILINA .:. 500 mg/5 ml</v>
          </cell>
          <cell r="D378" t="str">
            <v>Suspensión</v>
          </cell>
          <cell r="E378">
            <v>127</v>
          </cell>
          <cell r="F378">
            <v>1197.1172410286999</v>
          </cell>
          <cell r="H378">
            <v>120</v>
          </cell>
          <cell r="J378">
            <v>960</v>
          </cell>
          <cell r="M378">
            <v>0</v>
          </cell>
          <cell r="N378">
            <v>0</v>
          </cell>
          <cell r="P378">
            <v>129</v>
          </cell>
          <cell r="R378">
            <v>1129.3282152822001</v>
          </cell>
          <cell r="S378">
            <v>0</v>
          </cell>
          <cell r="T378">
            <v>0</v>
          </cell>
          <cell r="U378">
            <v>118</v>
          </cell>
          <cell r="V378">
            <v>8.7100764894000005</v>
          </cell>
          <cell r="W378">
            <v>1027.7890257491999</v>
          </cell>
          <cell r="X378">
            <v>2.5783299999999998</v>
          </cell>
          <cell r="Y378">
            <v>0</v>
          </cell>
          <cell r="Z378">
            <v>8.7100764894000005</v>
          </cell>
          <cell r="AA378">
            <v>1027.7890257491999</v>
          </cell>
        </row>
        <row r="379">
          <cell r="B379" t="str">
            <v>J-01-58</v>
          </cell>
          <cell r="C379" t="str">
            <v>CEFIXIMA .:. 400 mg</v>
          </cell>
          <cell r="D379" t="str">
            <v>Comprimido o Cápsula</v>
          </cell>
          <cell r="E379">
            <v>250</v>
          </cell>
          <cell r="F379">
            <v>460</v>
          </cell>
          <cell r="H379">
            <v>1900</v>
          </cell>
          <cell r="J379">
            <v>3805</v>
          </cell>
          <cell r="M379">
            <v>0</v>
          </cell>
          <cell r="N379">
            <v>0</v>
          </cell>
          <cell r="P379">
            <v>1840</v>
          </cell>
          <cell r="R379">
            <v>3642.2283452124002</v>
          </cell>
          <cell r="S379">
            <v>0</v>
          </cell>
          <cell r="T379">
            <v>0</v>
          </cell>
          <cell r="U379">
            <v>310</v>
          </cell>
          <cell r="V379">
            <v>2.0089408217</v>
          </cell>
          <cell r="W379">
            <v>622.77165472700005</v>
          </cell>
          <cell r="X379">
            <v>2.5783299999999998</v>
          </cell>
          <cell r="Y379">
            <v>0</v>
          </cell>
          <cell r="Z379">
            <v>2.0089408217</v>
          </cell>
          <cell r="AA379">
            <v>622.77165472700005</v>
          </cell>
        </row>
        <row r="380">
          <cell r="B380" t="str">
            <v>J-01-62</v>
          </cell>
          <cell r="C380" t="str">
            <v>AZITROMICINA .:. 200 mg/5 ml</v>
          </cell>
          <cell r="D380" t="str">
            <v>Suspensión</v>
          </cell>
          <cell r="E380">
            <v>19</v>
          </cell>
          <cell r="F380">
            <v>380</v>
          </cell>
          <cell r="H380">
            <v>50</v>
          </cell>
          <cell r="J380">
            <v>1500</v>
          </cell>
          <cell r="M380">
            <v>0</v>
          </cell>
          <cell r="N380">
            <v>0</v>
          </cell>
          <cell r="P380">
            <v>55</v>
          </cell>
          <cell r="R380">
            <v>1460</v>
          </cell>
          <cell r="S380">
            <v>0</v>
          </cell>
          <cell r="T380">
            <v>0</v>
          </cell>
          <cell r="U380">
            <v>14</v>
          </cell>
          <cell r="V380">
            <v>30</v>
          </cell>
          <cell r="W380">
            <v>420</v>
          </cell>
          <cell r="X380">
            <v>2.5783299999999998</v>
          </cell>
          <cell r="Y380">
            <v>0</v>
          </cell>
          <cell r="Z380">
            <v>30</v>
          </cell>
          <cell r="AA380">
            <v>420</v>
          </cell>
        </row>
        <row r="381">
          <cell r="B381" t="str">
            <v>J-01-63</v>
          </cell>
          <cell r="C381" t="str">
            <v>CEFIXIMA .:. 100 mg/5 ml</v>
          </cell>
          <cell r="D381" t="str">
            <v>Suspensión</v>
          </cell>
          <cell r="E381">
            <v>2</v>
          </cell>
          <cell r="F381">
            <v>50</v>
          </cell>
          <cell r="H381">
            <v>55</v>
          </cell>
          <cell r="J381">
            <v>1365</v>
          </cell>
          <cell r="M381">
            <v>0</v>
          </cell>
          <cell r="N381">
            <v>0</v>
          </cell>
          <cell r="P381">
            <v>46</v>
          </cell>
          <cell r="R381">
            <v>1030.0000000012001</v>
          </cell>
          <cell r="S381">
            <v>0</v>
          </cell>
          <cell r="T381">
            <v>0</v>
          </cell>
          <cell r="U381">
            <v>11</v>
          </cell>
          <cell r="V381">
            <v>35</v>
          </cell>
          <cell r="W381">
            <v>385</v>
          </cell>
          <cell r="X381">
            <v>2.5783299999999998</v>
          </cell>
          <cell r="Y381">
            <v>0</v>
          </cell>
          <cell r="Z381">
            <v>35</v>
          </cell>
          <cell r="AA381">
            <v>385</v>
          </cell>
        </row>
        <row r="382">
          <cell r="B382" t="str">
            <v>J-01-64</v>
          </cell>
          <cell r="C382" t="str">
            <v>CLINDAMICINA .:. 600 mg</v>
          </cell>
          <cell r="D382" t="str">
            <v>Inyectable</v>
          </cell>
          <cell r="E382">
            <v>69</v>
          </cell>
          <cell r="F382">
            <v>1186.2164819315999</v>
          </cell>
          <cell r="H382">
            <v>220</v>
          </cell>
          <cell r="J382">
            <v>3762.8</v>
          </cell>
          <cell r="M382">
            <v>30</v>
          </cell>
          <cell r="N382">
            <v>514.04413099999999</v>
          </cell>
          <cell r="P382">
            <v>237</v>
          </cell>
          <cell r="R382">
            <v>4067.1472826715999</v>
          </cell>
          <cell r="S382">
            <v>0</v>
          </cell>
          <cell r="T382">
            <v>0</v>
          </cell>
          <cell r="U382">
            <v>82</v>
          </cell>
          <cell r="V382">
            <v>17.023333295800001</v>
          </cell>
          <cell r="W382">
            <v>1395.9133302555999</v>
          </cell>
          <cell r="X382">
            <v>2.5783299999999998</v>
          </cell>
          <cell r="Y382">
            <v>0</v>
          </cell>
          <cell r="Z382">
            <v>17.023333295800001</v>
          </cell>
          <cell r="AA382">
            <v>1395.9133302555999</v>
          </cell>
        </row>
        <row r="383">
          <cell r="B383" t="str">
            <v>J-01-66</v>
          </cell>
          <cell r="C383" t="str">
            <v>LEVOFLOXACINA .:. 500 mg</v>
          </cell>
          <cell r="D383" t="str">
            <v>Comprimido</v>
          </cell>
          <cell r="E383">
            <v>862</v>
          </cell>
          <cell r="F383">
            <v>1293</v>
          </cell>
          <cell r="H383">
            <v>800</v>
          </cell>
          <cell r="J383">
            <v>1200</v>
          </cell>
          <cell r="M383">
            <v>0</v>
          </cell>
          <cell r="N383">
            <v>0</v>
          </cell>
          <cell r="P383">
            <v>1477</v>
          </cell>
          <cell r="R383">
            <v>2215.5</v>
          </cell>
          <cell r="S383">
            <v>0</v>
          </cell>
          <cell r="T383">
            <v>0</v>
          </cell>
          <cell r="U383">
            <v>185</v>
          </cell>
          <cell r="V383">
            <v>1.5</v>
          </cell>
          <cell r="W383">
            <v>277.5</v>
          </cell>
          <cell r="X383">
            <v>2.5783299999999998</v>
          </cell>
          <cell r="Y383">
            <v>0</v>
          </cell>
          <cell r="Z383">
            <v>1.5</v>
          </cell>
          <cell r="AA383">
            <v>277.5</v>
          </cell>
        </row>
        <row r="384">
          <cell r="B384" t="str">
            <v>J-01-67</v>
          </cell>
          <cell r="C384" t="str">
            <v>COLISTINA .:. 100 mg</v>
          </cell>
          <cell r="D384" t="str">
            <v>Inyectable</v>
          </cell>
          <cell r="E384">
            <v>4</v>
          </cell>
          <cell r="F384">
            <v>640</v>
          </cell>
          <cell r="H384">
            <v>15</v>
          </cell>
          <cell r="J384">
            <v>1147.5</v>
          </cell>
          <cell r="M384">
            <v>3</v>
          </cell>
          <cell r="N384">
            <v>480</v>
          </cell>
          <cell r="P384">
            <v>22</v>
          </cell>
          <cell r="R384">
            <v>2267.5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2.5783299999999998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J-01-68</v>
          </cell>
          <cell r="C385" t="str">
            <v>LEVOFLOXACINA .:. 500mg</v>
          </cell>
          <cell r="D385" t="str">
            <v>Inyectable</v>
          </cell>
          <cell r="E385">
            <v>264</v>
          </cell>
          <cell r="F385">
            <v>11130.1903950336</v>
          </cell>
          <cell r="H385">
            <v>275</v>
          </cell>
          <cell r="J385">
            <v>7250</v>
          </cell>
          <cell r="M385">
            <v>34</v>
          </cell>
          <cell r="N385">
            <v>1099.996292</v>
          </cell>
          <cell r="P385">
            <v>522</v>
          </cell>
          <cell r="R385">
            <v>18946.069378988199</v>
          </cell>
          <cell r="S385">
            <v>0</v>
          </cell>
          <cell r="T385">
            <v>0</v>
          </cell>
          <cell r="U385">
            <v>51</v>
          </cell>
          <cell r="V385">
            <v>10.4728883931</v>
          </cell>
          <cell r="W385">
            <v>534.11730804809997</v>
          </cell>
          <cell r="X385">
            <v>2.5783299999999998</v>
          </cell>
          <cell r="Y385">
            <v>0</v>
          </cell>
          <cell r="Z385">
            <v>10.4728883931</v>
          </cell>
          <cell r="AA385">
            <v>534.11730804809997</v>
          </cell>
        </row>
        <row r="386">
          <cell r="B386" t="str">
            <v>J-01-69</v>
          </cell>
          <cell r="C386" t="str">
            <v>MEROPENEM .:. 500 mg</v>
          </cell>
          <cell r="D386" t="str">
            <v>Inyectable</v>
          </cell>
          <cell r="E386">
            <v>38</v>
          </cell>
          <cell r="F386">
            <v>1329.62</v>
          </cell>
          <cell r="H386">
            <v>300</v>
          </cell>
          <cell r="J386">
            <v>9900</v>
          </cell>
          <cell r="M386">
            <v>39</v>
          </cell>
          <cell r="N386">
            <v>1318.555695</v>
          </cell>
          <cell r="P386">
            <v>186</v>
          </cell>
          <cell r="R386">
            <v>6190.8771374892003</v>
          </cell>
          <cell r="S386">
            <v>0</v>
          </cell>
          <cell r="T386">
            <v>0</v>
          </cell>
          <cell r="U386">
            <v>191</v>
          </cell>
          <cell r="V386">
            <v>33.284285641399997</v>
          </cell>
          <cell r="W386">
            <v>6357.2985575073999</v>
          </cell>
          <cell r="X386">
            <v>2.5783299999999998</v>
          </cell>
          <cell r="Y386">
            <v>0</v>
          </cell>
          <cell r="Z386">
            <v>33.284285641399997</v>
          </cell>
          <cell r="AA386">
            <v>6357.2985575073999</v>
          </cell>
        </row>
        <row r="387">
          <cell r="B387" t="str">
            <v>J-01-71</v>
          </cell>
          <cell r="C387" t="str">
            <v>AMOXICILINA + INHIBIDOR BETALACTAMASA .:. 875 mg + Según disponibilidad</v>
          </cell>
          <cell r="D387" t="str">
            <v>Comprimido</v>
          </cell>
          <cell r="E387">
            <v>1205</v>
          </cell>
          <cell r="F387">
            <v>5262.3069812775002</v>
          </cell>
          <cell r="H387">
            <v>3950</v>
          </cell>
          <cell r="J387">
            <v>11732.5</v>
          </cell>
          <cell r="M387">
            <v>1830</v>
          </cell>
          <cell r="N387">
            <v>6236.0629829999998</v>
          </cell>
          <cell r="P387">
            <v>3557</v>
          </cell>
          <cell r="R387">
            <v>12057.9136643355</v>
          </cell>
          <cell r="S387">
            <v>1819</v>
          </cell>
          <cell r="T387">
            <v>6202.0970825205004</v>
          </cell>
          <cell r="U387">
            <v>1609</v>
          </cell>
          <cell r="V387">
            <v>3.0894090848000002</v>
          </cell>
          <cell r="W387">
            <v>4970.8592174431997</v>
          </cell>
          <cell r="X387">
            <v>2.5783299999999998</v>
          </cell>
          <cell r="Y387">
            <v>0</v>
          </cell>
          <cell r="Z387">
            <v>3.0894090848000002</v>
          </cell>
          <cell r="AA387">
            <v>4970.8592174431997</v>
          </cell>
        </row>
        <row r="388">
          <cell r="B388" t="str">
            <v>J-01-75</v>
          </cell>
          <cell r="C388" t="str">
            <v>PIPERACILINA + TAZOBACTAM .:. 4 G/500 MG</v>
          </cell>
          <cell r="D388" t="str">
            <v>Inyectable</v>
          </cell>
          <cell r="E388">
            <v>5</v>
          </cell>
          <cell r="F388">
            <v>427.25806451599999</v>
          </cell>
          <cell r="H388">
            <v>10</v>
          </cell>
          <cell r="J388">
            <v>850</v>
          </cell>
          <cell r="M388">
            <v>6</v>
          </cell>
          <cell r="N388">
            <v>512.70967199999996</v>
          </cell>
          <cell r="P388">
            <v>16</v>
          </cell>
          <cell r="R388">
            <v>1364.9677365155001</v>
          </cell>
          <cell r="S388">
            <v>0</v>
          </cell>
          <cell r="T388">
            <v>0</v>
          </cell>
          <cell r="U388">
            <v>5</v>
          </cell>
          <cell r="V388">
            <v>85</v>
          </cell>
          <cell r="W388">
            <v>425</v>
          </cell>
          <cell r="X388">
            <v>2.5783299999999998</v>
          </cell>
          <cell r="Y388">
            <v>0</v>
          </cell>
          <cell r="Z388">
            <v>85</v>
          </cell>
          <cell r="AA388">
            <v>425</v>
          </cell>
        </row>
        <row r="389">
          <cell r="B389" t="str">
            <v>J-02-02</v>
          </cell>
          <cell r="C389" t="str">
            <v>FLUCONAZOL .:. 200 mg</v>
          </cell>
          <cell r="D389" t="str">
            <v>Inyectable</v>
          </cell>
          <cell r="E389">
            <v>21</v>
          </cell>
          <cell r="F389">
            <v>546</v>
          </cell>
          <cell r="H389">
            <v>120</v>
          </cell>
          <cell r="J389">
            <v>3269.4</v>
          </cell>
          <cell r="M389">
            <v>5</v>
          </cell>
          <cell r="N389">
            <v>136.476664</v>
          </cell>
          <cell r="P389">
            <v>111</v>
          </cell>
          <cell r="R389">
            <v>2990.884481005</v>
          </cell>
          <cell r="S389">
            <v>0</v>
          </cell>
          <cell r="T389">
            <v>0</v>
          </cell>
          <cell r="U389">
            <v>35</v>
          </cell>
          <cell r="V389">
            <v>27.456919513999999</v>
          </cell>
          <cell r="W389">
            <v>960.99218298999995</v>
          </cell>
          <cell r="X389">
            <v>2.5783299999999998</v>
          </cell>
          <cell r="Y389">
            <v>0</v>
          </cell>
          <cell r="Z389">
            <v>27.456919513999999</v>
          </cell>
          <cell r="AA389">
            <v>960.99218298999995</v>
          </cell>
        </row>
        <row r="390">
          <cell r="B390" t="str">
            <v>J-02-08</v>
          </cell>
          <cell r="C390" t="str">
            <v>FLUCONAZOL .:. 150 mg</v>
          </cell>
          <cell r="D390" t="str">
            <v>Comprimido o Cápsula</v>
          </cell>
          <cell r="E390">
            <v>97</v>
          </cell>
          <cell r="F390">
            <v>174.6</v>
          </cell>
          <cell r="H390">
            <v>650</v>
          </cell>
          <cell r="J390">
            <v>1210</v>
          </cell>
          <cell r="M390">
            <v>1</v>
          </cell>
          <cell r="N390">
            <v>1.8</v>
          </cell>
          <cell r="P390">
            <v>738</v>
          </cell>
          <cell r="R390">
            <v>1368.3885958185001</v>
          </cell>
          <cell r="S390">
            <v>0</v>
          </cell>
          <cell r="T390">
            <v>0</v>
          </cell>
          <cell r="U390">
            <v>10</v>
          </cell>
          <cell r="V390">
            <v>1.8011404150999999</v>
          </cell>
          <cell r="W390">
            <v>18.011404151000001</v>
          </cell>
          <cell r="X390">
            <v>2.5783299999999998</v>
          </cell>
          <cell r="Y390">
            <v>0</v>
          </cell>
          <cell r="Z390">
            <v>1.8011404150999999</v>
          </cell>
          <cell r="AA390">
            <v>18.011404151000001</v>
          </cell>
        </row>
        <row r="391">
          <cell r="B391" t="str">
            <v>J-05-04</v>
          </cell>
          <cell r="C391" t="str">
            <v>ACICLOVIR .:. 400 mg</v>
          </cell>
          <cell r="D391" t="str">
            <v>Comprimido</v>
          </cell>
          <cell r="E391">
            <v>154</v>
          </cell>
          <cell r="F391">
            <v>154</v>
          </cell>
          <cell r="H391">
            <v>1400</v>
          </cell>
          <cell r="J391">
            <v>1400</v>
          </cell>
          <cell r="M391">
            <v>0</v>
          </cell>
          <cell r="N391">
            <v>0</v>
          </cell>
          <cell r="P391">
            <v>862</v>
          </cell>
          <cell r="R391">
            <v>862</v>
          </cell>
          <cell r="S391">
            <v>0</v>
          </cell>
          <cell r="T391">
            <v>0</v>
          </cell>
          <cell r="U391">
            <v>692</v>
          </cell>
          <cell r="V391">
            <v>1</v>
          </cell>
          <cell r="W391">
            <v>692</v>
          </cell>
          <cell r="X391">
            <v>2.5783299999999998</v>
          </cell>
          <cell r="Y391">
            <v>0</v>
          </cell>
          <cell r="Z391">
            <v>1</v>
          </cell>
          <cell r="AA391">
            <v>692</v>
          </cell>
        </row>
        <row r="392">
          <cell r="B392" t="str">
            <v>J-05-30</v>
          </cell>
          <cell r="C392" t="str">
            <v>ACICLOVIR .:. 200 mg/5 ml</v>
          </cell>
          <cell r="D392" t="str">
            <v>Suspensión</v>
          </cell>
          <cell r="E392">
            <v>2</v>
          </cell>
          <cell r="F392">
            <v>118</v>
          </cell>
          <cell r="H392">
            <v>27</v>
          </cell>
          <cell r="J392">
            <v>1528.2</v>
          </cell>
          <cell r="M392">
            <v>0</v>
          </cell>
          <cell r="N392">
            <v>0</v>
          </cell>
          <cell r="P392">
            <v>12</v>
          </cell>
          <cell r="R392">
            <v>684</v>
          </cell>
          <cell r="S392">
            <v>0</v>
          </cell>
          <cell r="T392">
            <v>0</v>
          </cell>
          <cell r="U392">
            <v>17</v>
          </cell>
          <cell r="V392">
            <v>56.6</v>
          </cell>
          <cell r="W392">
            <v>962.2</v>
          </cell>
          <cell r="X392">
            <v>2.5783299999999998</v>
          </cell>
          <cell r="Y392">
            <v>0</v>
          </cell>
          <cell r="Z392">
            <v>56.6</v>
          </cell>
          <cell r="AA392">
            <v>962.2</v>
          </cell>
        </row>
        <row r="393">
          <cell r="B393" t="str">
            <v>J-05-36</v>
          </cell>
          <cell r="C393" t="str">
            <v>OSELTAMIVIR .:. 75 mg</v>
          </cell>
          <cell r="D393" t="str">
            <v>Cápsula</v>
          </cell>
          <cell r="E393">
            <v>92</v>
          </cell>
          <cell r="F393">
            <v>2193.1948080000002</v>
          </cell>
          <cell r="H393">
            <v>0</v>
          </cell>
          <cell r="J393">
            <v>0</v>
          </cell>
          <cell r="M393">
            <v>0</v>
          </cell>
          <cell r="N393">
            <v>0</v>
          </cell>
          <cell r="P393">
            <v>60</v>
          </cell>
          <cell r="R393">
            <v>1430.3444400000001</v>
          </cell>
          <cell r="S393">
            <v>0</v>
          </cell>
          <cell r="T393">
            <v>0</v>
          </cell>
          <cell r="U393">
            <v>32</v>
          </cell>
          <cell r="V393">
            <v>23.839074</v>
          </cell>
          <cell r="W393">
            <v>762.850368</v>
          </cell>
          <cell r="X393">
            <v>2.5783299999999998</v>
          </cell>
          <cell r="Y393">
            <v>0</v>
          </cell>
          <cell r="Z393">
            <v>23.839074</v>
          </cell>
          <cell r="AA393">
            <v>762.850368</v>
          </cell>
        </row>
        <row r="394">
          <cell r="B394" t="str">
            <v>J-05-43</v>
          </cell>
          <cell r="C394" t="str">
            <v>ACICLOVIR .:. 800 mg</v>
          </cell>
          <cell r="D394" t="str">
            <v>Comprimido</v>
          </cell>
          <cell r="E394">
            <v>81</v>
          </cell>
          <cell r="F394">
            <v>234.9</v>
          </cell>
          <cell r="H394">
            <v>1600</v>
          </cell>
          <cell r="J394">
            <v>4365</v>
          </cell>
          <cell r="M394">
            <v>0</v>
          </cell>
          <cell r="N394">
            <v>0</v>
          </cell>
          <cell r="P394">
            <v>657</v>
          </cell>
          <cell r="R394">
            <v>1880.3888099430001</v>
          </cell>
          <cell r="S394">
            <v>0</v>
          </cell>
          <cell r="T394">
            <v>0</v>
          </cell>
          <cell r="U394">
            <v>1024</v>
          </cell>
          <cell r="V394">
            <v>2.6557726465</v>
          </cell>
          <cell r="W394">
            <v>2719.511190016</v>
          </cell>
          <cell r="X394">
            <v>2.5783299999999998</v>
          </cell>
          <cell r="Y394">
            <v>0</v>
          </cell>
          <cell r="Z394">
            <v>2.6557726465</v>
          </cell>
          <cell r="AA394">
            <v>2719.511190016</v>
          </cell>
        </row>
        <row r="395">
          <cell r="B395" t="str">
            <v>J-05-45</v>
          </cell>
          <cell r="C395" t="str">
            <v>ACICLOVIR .:. 500 mg</v>
          </cell>
          <cell r="D395" t="str">
            <v>Inyectable</v>
          </cell>
          <cell r="E395">
            <v>0</v>
          </cell>
          <cell r="F395">
            <v>0</v>
          </cell>
          <cell r="H395">
            <v>15</v>
          </cell>
          <cell r="J395">
            <v>712.5</v>
          </cell>
          <cell r="M395">
            <v>3</v>
          </cell>
          <cell r="N395">
            <v>142.5</v>
          </cell>
          <cell r="P395">
            <v>3</v>
          </cell>
          <cell r="R395">
            <v>142.5</v>
          </cell>
          <cell r="S395">
            <v>0</v>
          </cell>
          <cell r="T395">
            <v>0</v>
          </cell>
          <cell r="U395">
            <v>15</v>
          </cell>
          <cell r="V395">
            <v>47.5</v>
          </cell>
          <cell r="W395">
            <v>712.5</v>
          </cell>
          <cell r="X395">
            <v>2.5783299999999998</v>
          </cell>
          <cell r="Y395">
            <v>0</v>
          </cell>
          <cell r="Z395">
            <v>47.5</v>
          </cell>
          <cell r="AA395">
            <v>712.5</v>
          </cell>
        </row>
        <row r="396">
          <cell r="B396" t="str">
            <v>L-01-03</v>
          </cell>
          <cell r="C396" t="str">
            <v>CAPECITABINE .:. 500 mg</v>
          </cell>
          <cell r="D396" t="str">
            <v>Comprimido</v>
          </cell>
          <cell r="E396">
            <v>72</v>
          </cell>
          <cell r="F396">
            <v>648</v>
          </cell>
          <cell r="H396">
            <v>240</v>
          </cell>
          <cell r="J396">
            <v>1920</v>
          </cell>
          <cell r="M396">
            <v>0</v>
          </cell>
          <cell r="N396">
            <v>0</v>
          </cell>
          <cell r="P396">
            <v>192</v>
          </cell>
          <cell r="R396">
            <v>1788</v>
          </cell>
          <cell r="S396">
            <v>0</v>
          </cell>
          <cell r="T396">
            <v>0</v>
          </cell>
          <cell r="U396">
            <v>120</v>
          </cell>
          <cell r="V396">
            <v>6.5</v>
          </cell>
          <cell r="W396">
            <v>780</v>
          </cell>
          <cell r="X396">
            <v>2.5783299999999998</v>
          </cell>
          <cell r="Y396">
            <v>0</v>
          </cell>
          <cell r="Z396">
            <v>6.5</v>
          </cell>
          <cell r="AA396">
            <v>780</v>
          </cell>
        </row>
        <row r="397">
          <cell r="B397" t="str">
            <v>L-01-04</v>
          </cell>
          <cell r="C397" t="str">
            <v>CARBOPLATINO .:. 450 mg</v>
          </cell>
          <cell r="D397" t="str">
            <v>Inyectable</v>
          </cell>
          <cell r="E397">
            <v>0</v>
          </cell>
          <cell r="F397">
            <v>0</v>
          </cell>
          <cell r="H397">
            <v>32</v>
          </cell>
          <cell r="J397">
            <v>13509.4</v>
          </cell>
          <cell r="M397">
            <v>0</v>
          </cell>
          <cell r="N397">
            <v>0</v>
          </cell>
          <cell r="P397">
            <v>32</v>
          </cell>
          <cell r="R397">
            <v>13509.4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2.5783299999999998</v>
          </cell>
          <cell r="Y397">
            <v>0</v>
          </cell>
          <cell r="Z397">
            <v>0</v>
          </cell>
          <cell r="AA397">
            <v>0</v>
          </cell>
        </row>
        <row r="398">
          <cell r="B398" t="str">
            <v>L-01-06</v>
          </cell>
          <cell r="C398" t="str">
            <v>CICLOFOSFAMIDA .:. 1 g</v>
          </cell>
          <cell r="D398" t="str">
            <v>Inyectable</v>
          </cell>
          <cell r="E398">
            <v>1</v>
          </cell>
          <cell r="F398">
            <v>216.9</v>
          </cell>
          <cell r="H398">
            <v>6</v>
          </cell>
          <cell r="J398">
            <v>1301.4000000000001</v>
          </cell>
          <cell r="M398">
            <v>0</v>
          </cell>
          <cell r="N398">
            <v>0</v>
          </cell>
          <cell r="P398">
            <v>7</v>
          </cell>
          <cell r="R398">
            <v>1518.3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2.5783299999999998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L-01-09</v>
          </cell>
          <cell r="C399" t="str">
            <v>CISPLATINO .:. 50 mg</v>
          </cell>
          <cell r="D399" t="str">
            <v>Inyectable</v>
          </cell>
          <cell r="E399">
            <v>2</v>
          </cell>
          <cell r="F399">
            <v>238</v>
          </cell>
          <cell r="H399">
            <v>16</v>
          </cell>
          <cell r="J399">
            <v>929.6</v>
          </cell>
          <cell r="M399">
            <v>0</v>
          </cell>
          <cell r="N399">
            <v>0</v>
          </cell>
          <cell r="P399">
            <v>18</v>
          </cell>
          <cell r="R399">
            <v>1167.5999999999999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2.5783299999999998</v>
          </cell>
          <cell r="Y399">
            <v>0</v>
          </cell>
          <cell r="Z399">
            <v>0</v>
          </cell>
          <cell r="AA399">
            <v>0</v>
          </cell>
        </row>
        <row r="400">
          <cell r="B400" t="str">
            <v>L-01-17</v>
          </cell>
          <cell r="C400" t="str">
            <v>FLUOROURACILO .:. 500 mg/10 ml</v>
          </cell>
          <cell r="D400" t="str">
            <v>Inyectable</v>
          </cell>
          <cell r="E400">
            <v>0</v>
          </cell>
          <cell r="F400">
            <v>0</v>
          </cell>
          <cell r="H400">
            <v>22</v>
          </cell>
          <cell r="J400">
            <v>927.52</v>
          </cell>
          <cell r="M400">
            <v>0</v>
          </cell>
          <cell r="N400">
            <v>0</v>
          </cell>
          <cell r="P400">
            <v>22</v>
          </cell>
          <cell r="R400">
            <v>927.52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2.5783299999999998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L-01-18</v>
          </cell>
          <cell r="C401" t="str">
            <v>GEMCITABINA .:. 1 g</v>
          </cell>
          <cell r="D401" t="str">
            <v>Inyectable</v>
          </cell>
          <cell r="E401">
            <v>4</v>
          </cell>
          <cell r="F401">
            <v>1672</v>
          </cell>
          <cell r="H401">
            <v>68</v>
          </cell>
          <cell r="J401">
            <v>25032.799999999999</v>
          </cell>
          <cell r="M401">
            <v>0</v>
          </cell>
          <cell r="N401">
            <v>0</v>
          </cell>
          <cell r="P401">
            <v>72</v>
          </cell>
          <cell r="R401">
            <v>26704.799999999999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2.5783299999999998</v>
          </cell>
          <cell r="Y401">
            <v>0</v>
          </cell>
          <cell r="Z401">
            <v>0</v>
          </cell>
          <cell r="AA401">
            <v>0</v>
          </cell>
        </row>
        <row r="402">
          <cell r="B402" t="str">
            <v>L-01-19</v>
          </cell>
          <cell r="C402" t="str">
            <v>HIDROXIUREA .:. 500 mg</v>
          </cell>
          <cell r="D402" t="str">
            <v>Cápsula</v>
          </cell>
          <cell r="E402">
            <v>0</v>
          </cell>
          <cell r="F402">
            <v>0</v>
          </cell>
          <cell r="H402">
            <v>300</v>
          </cell>
          <cell r="J402">
            <v>1002</v>
          </cell>
          <cell r="M402">
            <v>0</v>
          </cell>
          <cell r="N402">
            <v>0</v>
          </cell>
          <cell r="P402">
            <v>300</v>
          </cell>
          <cell r="R402">
            <v>1002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2.5783299999999998</v>
          </cell>
          <cell r="Y402">
            <v>0</v>
          </cell>
          <cell r="Z402">
            <v>0</v>
          </cell>
          <cell r="AA402">
            <v>0</v>
          </cell>
        </row>
        <row r="403">
          <cell r="B403" t="str">
            <v>L-01-24</v>
          </cell>
          <cell r="C403" t="str">
            <v>METOTREXATO .:. 50 mg</v>
          </cell>
          <cell r="D403" t="str">
            <v>Inyectable</v>
          </cell>
          <cell r="E403">
            <v>14</v>
          </cell>
          <cell r="F403">
            <v>770</v>
          </cell>
          <cell r="H403">
            <v>112</v>
          </cell>
          <cell r="J403">
            <v>6556.8</v>
          </cell>
          <cell r="M403">
            <v>0</v>
          </cell>
          <cell r="N403">
            <v>0</v>
          </cell>
          <cell r="P403">
            <v>91</v>
          </cell>
          <cell r="R403">
            <v>5184.8</v>
          </cell>
          <cell r="S403">
            <v>0</v>
          </cell>
          <cell r="T403">
            <v>0</v>
          </cell>
          <cell r="U403">
            <v>35</v>
          </cell>
          <cell r="V403">
            <v>61.2</v>
          </cell>
          <cell r="W403">
            <v>2142</v>
          </cell>
          <cell r="X403">
            <v>2.5783299999999998</v>
          </cell>
          <cell r="Y403">
            <v>0</v>
          </cell>
          <cell r="Z403">
            <v>61.2</v>
          </cell>
          <cell r="AA403">
            <v>2142</v>
          </cell>
        </row>
        <row r="404">
          <cell r="B404" t="str">
            <v>L-01-26</v>
          </cell>
          <cell r="C404" t="str">
            <v>METOTREXATO .:. 2,5 mg</v>
          </cell>
          <cell r="D404" t="str">
            <v>Comprimido</v>
          </cell>
          <cell r="E404">
            <v>0</v>
          </cell>
          <cell r="F404">
            <v>0</v>
          </cell>
          <cell r="H404">
            <v>6920</v>
          </cell>
          <cell r="J404">
            <v>9080.7999999999993</v>
          </cell>
          <cell r="M404">
            <v>0</v>
          </cell>
          <cell r="N404">
            <v>0</v>
          </cell>
          <cell r="P404">
            <v>5828</v>
          </cell>
          <cell r="R404">
            <v>7737.5959086821003</v>
          </cell>
          <cell r="S404">
            <v>0</v>
          </cell>
          <cell r="T404">
            <v>0</v>
          </cell>
          <cell r="U404">
            <v>1092</v>
          </cell>
          <cell r="V404">
            <v>1.2300403768999999</v>
          </cell>
          <cell r="W404">
            <v>1343.2040915748</v>
          </cell>
          <cell r="X404">
            <v>2.5783299999999998</v>
          </cell>
          <cell r="Y404">
            <v>0</v>
          </cell>
          <cell r="Z404">
            <v>1.2300403768999999</v>
          </cell>
          <cell r="AA404">
            <v>1343.2040915748</v>
          </cell>
        </row>
        <row r="405">
          <cell r="B405" t="str">
            <v>L-01-38</v>
          </cell>
          <cell r="C405" t="str">
            <v>DOCETAXEL .:. 40 mg/ml  (2ml)</v>
          </cell>
          <cell r="D405" t="str">
            <v>Inyectable</v>
          </cell>
          <cell r="E405">
            <v>0</v>
          </cell>
          <cell r="F405">
            <v>0</v>
          </cell>
          <cell r="H405">
            <v>40</v>
          </cell>
          <cell r="J405">
            <v>16611.52</v>
          </cell>
          <cell r="M405">
            <v>0</v>
          </cell>
          <cell r="N405">
            <v>0</v>
          </cell>
          <cell r="P405">
            <v>38</v>
          </cell>
          <cell r="R405">
            <v>15844.92</v>
          </cell>
          <cell r="S405">
            <v>0</v>
          </cell>
          <cell r="T405">
            <v>0</v>
          </cell>
          <cell r="U405">
            <v>2</v>
          </cell>
          <cell r="V405">
            <v>383.3</v>
          </cell>
          <cell r="W405">
            <v>766.6</v>
          </cell>
          <cell r="X405">
            <v>2.5783299999999998</v>
          </cell>
          <cell r="Y405">
            <v>0</v>
          </cell>
          <cell r="Z405">
            <v>383.3</v>
          </cell>
          <cell r="AA405">
            <v>766.6</v>
          </cell>
        </row>
        <row r="406">
          <cell r="B406" t="str">
            <v>L-01-40</v>
          </cell>
          <cell r="C406" t="str">
            <v>IRINOTECAN .:. 100 mg/5ml</v>
          </cell>
          <cell r="D406" t="str">
            <v>Inyectable</v>
          </cell>
          <cell r="E406">
            <v>0</v>
          </cell>
          <cell r="F406">
            <v>0</v>
          </cell>
          <cell r="H406">
            <v>15</v>
          </cell>
          <cell r="J406">
            <v>7212.6</v>
          </cell>
          <cell r="M406">
            <v>0</v>
          </cell>
          <cell r="N406">
            <v>0</v>
          </cell>
          <cell r="P406">
            <v>12</v>
          </cell>
          <cell r="R406">
            <v>5770.08</v>
          </cell>
          <cell r="S406">
            <v>0</v>
          </cell>
          <cell r="T406">
            <v>0</v>
          </cell>
          <cell r="U406">
            <v>3</v>
          </cell>
          <cell r="V406">
            <v>480.84</v>
          </cell>
          <cell r="W406">
            <v>1442.52</v>
          </cell>
          <cell r="X406">
            <v>2.5783299999999998</v>
          </cell>
          <cell r="Y406">
            <v>0</v>
          </cell>
          <cell r="Z406">
            <v>480.84</v>
          </cell>
          <cell r="AA406">
            <v>1442.52</v>
          </cell>
        </row>
        <row r="407">
          <cell r="B407" t="str">
            <v>L-01-50</v>
          </cell>
          <cell r="C407" t="str">
            <v>IMATINIB .:. 400 mg</v>
          </cell>
          <cell r="D407" t="str">
            <v>Comprimido</v>
          </cell>
          <cell r="E407">
            <v>0</v>
          </cell>
          <cell r="F407">
            <v>0</v>
          </cell>
          <cell r="H407">
            <v>270</v>
          </cell>
          <cell r="J407">
            <v>24435</v>
          </cell>
          <cell r="M407">
            <v>0</v>
          </cell>
          <cell r="N407">
            <v>0</v>
          </cell>
          <cell r="P407">
            <v>270</v>
          </cell>
          <cell r="R407">
            <v>24435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2.5783299999999998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L-01-57</v>
          </cell>
          <cell r="C408" t="str">
            <v>PAZOPANIB .:. 200 MG</v>
          </cell>
          <cell r="D408" t="str">
            <v>Comprimido</v>
          </cell>
          <cell r="E408">
            <v>0</v>
          </cell>
          <cell r="F408">
            <v>0</v>
          </cell>
          <cell r="H408">
            <v>240</v>
          </cell>
          <cell r="J408">
            <v>31992</v>
          </cell>
          <cell r="M408">
            <v>0</v>
          </cell>
          <cell r="N408">
            <v>0</v>
          </cell>
          <cell r="P408">
            <v>240</v>
          </cell>
          <cell r="R408">
            <v>31992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2.5783299999999998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L-01-60</v>
          </cell>
          <cell r="C409" t="str">
            <v>PACLITAXEL .:. 300 MG/50 ML</v>
          </cell>
          <cell r="D409" t="str">
            <v>Inyectable</v>
          </cell>
          <cell r="E409">
            <v>0</v>
          </cell>
          <cell r="F409">
            <v>0</v>
          </cell>
          <cell r="H409">
            <v>6</v>
          </cell>
          <cell r="J409">
            <v>3716</v>
          </cell>
          <cell r="M409">
            <v>0</v>
          </cell>
          <cell r="N409">
            <v>0</v>
          </cell>
          <cell r="P409">
            <v>6</v>
          </cell>
          <cell r="R409">
            <v>3716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2.5783299999999998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L-02-01</v>
          </cell>
          <cell r="C410" t="str">
            <v>ANASTROZOL .:. 1 mg</v>
          </cell>
          <cell r="D410" t="str">
            <v>Comprimido</v>
          </cell>
          <cell r="E410">
            <v>30</v>
          </cell>
          <cell r="F410">
            <v>216</v>
          </cell>
          <cell r="H410">
            <v>390</v>
          </cell>
          <cell r="J410">
            <v>1839</v>
          </cell>
          <cell r="M410">
            <v>0</v>
          </cell>
          <cell r="N410">
            <v>0</v>
          </cell>
          <cell r="P410">
            <v>330</v>
          </cell>
          <cell r="R410">
            <v>1830</v>
          </cell>
          <cell r="S410">
            <v>0</v>
          </cell>
          <cell r="T410">
            <v>0</v>
          </cell>
          <cell r="U410">
            <v>90</v>
          </cell>
          <cell r="V410">
            <v>2.5</v>
          </cell>
          <cell r="W410">
            <v>225</v>
          </cell>
          <cell r="X410">
            <v>2.5783299999999998</v>
          </cell>
          <cell r="Y410">
            <v>0</v>
          </cell>
          <cell r="Z410">
            <v>2.5</v>
          </cell>
          <cell r="AA410">
            <v>225</v>
          </cell>
        </row>
        <row r="411">
          <cell r="B411" t="str">
            <v>L-02-04</v>
          </cell>
          <cell r="C411" t="str">
            <v>LETROZOL .:. 2,5 mg</v>
          </cell>
          <cell r="D411" t="str">
            <v>Comprimido</v>
          </cell>
          <cell r="E411">
            <v>30</v>
          </cell>
          <cell r="F411">
            <v>191.4</v>
          </cell>
          <cell r="H411">
            <v>900</v>
          </cell>
          <cell r="J411">
            <v>4576.5</v>
          </cell>
          <cell r="M411">
            <v>0</v>
          </cell>
          <cell r="N411">
            <v>0</v>
          </cell>
          <cell r="P411">
            <v>630</v>
          </cell>
          <cell r="R411">
            <v>3359.1857142839999</v>
          </cell>
          <cell r="S411">
            <v>0</v>
          </cell>
          <cell r="T411">
            <v>0</v>
          </cell>
          <cell r="U411">
            <v>300</v>
          </cell>
          <cell r="V411">
            <v>4.6957142857000003</v>
          </cell>
          <cell r="W411">
            <v>1408.71428571</v>
          </cell>
          <cell r="X411">
            <v>2.5783299999999998</v>
          </cell>
          <cell r="Y411">
            <v>0</v>
          </cell>
          <cell r="Z411">
            <v>4.6957142857000003</v>
          </cell>
          <cell r="AA411">
            <v>1408.71428571</v>
          </cell>
        </row>
        <row r="412">
          <cell r="B412" t="str">
            <v>L-02-05</v>
          </cell>
          <cell r="C412" t="str">
            <v>TAMOXIFENO .:. 20 mg</v>
          </cell>
          <cell r="D412" t="str">
            <v>Comprimido</v>
          </cell>
          <cell r="E412">
            <v>266</v>
          </cell>
          <cell r="F412">
            <v>532</v>
          </cell>
          <cell r="H412">
            <v>420</v>
          </cell>
          <cell r="J412">
            <v>1247.4000000000001</v>
          </cell>
          <cell r="M412">
            <v>146</v>
          </cell>
          <cell r="N412">
            <v>292</v>
          </cell>
          <cell r="P412">
            <v>686</v>
          </cell>
          <cell r="R412">
            <v>1779.3999999946</v>
          </cell>
          <cell r="S412">
            <v>146</v>
          </cell>
          <cell r="T412">
            <v>292</v>
          </cell>
          <cell r="U412">
            <v>0</v>
          </cell>
          <cell r="V412">
            <v>0</v>
          </cell>
          <cell r="W412">
            <v>0</v>
          </cell>
          <cell r="X412">
            <v>2.5783299999999998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L-02-08</v>
          </cell>
          <cell r="C413" t="str">
            <v>TRIPTORELINA .:. 22.5 mg</v>
          </cell>
          <cell r="D413" t="str">
            <v>Inyectable</v>
          </cell>
          <cell r="E413">
            <v>0</v>
          </cell>
          <cell r="F413">
            <v>0</v>
          </cell>
          <cell r="H413">
            <v>6</v>
          </cell>
          <cell r="J413">
            <v>22997</v>
          </cell>
          <cell r="M413">
            <v>0</v>
          </cell>
          <cell r="N413">
            <v>0</v>
          </cell>
          <cell r="P413">
            <v>6</v>
          </cell>
          <cell r="R413">
            <v>22997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2.5783299999999998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L-02-09</v>
          </cell>
          <cell r="C414" t="str">
            <v>ABIRATERONA ACETATO .:. 250 mg</v>
          </cell>
          <cell r="D414" t="str">
            <v>Comprimido</v>
          </cell>
          <cell r="E414">
            <v>0</v>
          </cell>
          <cell r="F414">
            <v>0</v>
          </cell>
          <cell r="H414">
            <v>1080</v>
          </cell>
          <cell r="J414">
            <v>50688</v>
          </cell>
          <cell r="M414">
            <v>120</v>
          </cell>
          <cell r="N414">
            <v>5172</v>
          </cell>
          <cell r="P414">
            <v>1080</v>
          </cell>
          <cell r="R414">
            <v>50688</v>
          </cell>
          <cell r="S414">
            <v>0</v>
          </cell>
          <cell r="T414">
            <v>0</v>
          </cell>
          <cell r="U414">
            <v>120</v>
          </cell>
          <cell r="V414">
            <v>43.1</v>
          </cell>
          <cell r="W414">
            <v>5172</v>
          </cell>
          <cell r="X414">
            <v>2.5783299999999998</v>
          </cell>
          <cell r="Y414">
            <v>0</v>
          </cell>
          <cell r="Z414">
            <v>43.1</v>
          </cell>
          <cell r="AA414">
            <v>5172</v>
          </cell>
        </row>
        <row r="415">
          <cell r="B415" t="str">
            <v>L-02-11</v>
          </cell>
          <cell r="C415" t="str">
            <v>ENZALUTAMIDA .:. 40 mg</v>
          </cell>
          <cell r="D415" t="str">
            <v>Cápsula</v>
          </cell>
          <cell r="E415">
            <v>120</v>
          </cell>
          <cell r="F415">
            <v>12000</v>
          </cell>
          <cell r="H415">
            <v>2411</v>
          </cell>
          <cell r="J415">
            <v>161238.79999999999</v>
          </cell>
          <cell r="M415">
            <v>0</v>
          </cell>
          <cell r="N415">
            <v>0</v>
          </cell>
          <cell r="P415">
            <v>2400</v>
          </cell>
          <cell r="R415">
            <v>169728</v>
          </cell>
          <cell r="S415">
            <v>0</v>
          </cell>
          <cell r="T415">
            <v>0</v>
          </cell>
          <cell r="U415">
            <v>131</v>
          </cell>
          <cell r="V415">
            <v>26.8</v>
          </cell>
          <cell r="W415">
            <v>3510.8</v>
          </cell>
          <cell r="X415">
            <v>2.5783299999999998</v>
          </cell>
          <cell r="Y415">
            <v>0</v>
          </cell>
          <cell r="Z415">
            <v>26.8</v>
          </cell>
          <cell r="AA415">
            <v>3510.8</v>
          </cell>
        </row>
        <row r="416">
          <cell r="B416" t="str">
            <v>L-02-12</v>
          </cell>
          <cell r="C416" t="str">
            <v>BICALUTAMIDA  .:. 50 MG</v>
          </cell>
          <cell r="D416" t="str">
            <v>Comprimido</v>
          </cell>
          <cell r="E416">
            <v>218</v>
          </cell>
          <cell r="F416">
            <v>1815.94</v>
          </cell>
          <cell r="H416">
            <v>1700</v>
          </cell>
          <cell r="J416">
            <v>14062</v>
          </cell>
          <cell r="M416">
            <v>0</v>
          </cell>
          <cell r="N416">
            <v>0</v>
          </cell>
          <cell r="P416">
            <v>1560</v>
          </cell>
          <cell r="R416">
            <v>12994.8</v>
          </cell>
          <cell r="S416">
            <v>0</v>
          </cell>
          <cell r="T416">
            <v>0</v>
          </cell>
          <cell r="U416">
            <v>358</v>
          </cell>
          <cell r="V416">
            <v>8.0534636872000007</v>
          </cell>
          <cell r="W416">
            <v>2883.1400000176</v>
          </cell>
          <cell r="X416">
            <v>2.5783299999999998</v>
          </cell>
          <cell r="Y416">
            <v>0</v>
          </cell>
          <cell r="Z416">
            <v>8.0534636872000007</v>
          </cell>
          <cell r="AA416">
            <v>2883.1400000176</v>
          </cell>
        </row>
        <row r="417">
          <cell r="B417" t="str">
            <v>L-03-01</v>
          </cell>
          <cell r="C417" t="str">
            <v>FILGASTRIM .:. 300 mcg/ml</v>
          </cell>
          <cell r="D417" t="str">
            <v>Inyectable</v>
          </cell>
          <cell r="E417">
            <v>5</v>
          </cell>
          <cell r="F417">
            <v>515</v>
          </cell>
          <cell r="H417">
            <v>32</v>
          </cell>
          <cell r="J417">
            <v>3309.2</v>
          </cell>
          <cell r="M417">
            <v>0</v>
          </cell>
          <cell r="N417">
            <v>0</v>
          </cell>
          <cell r="P417">
            <v>26</v>
          </cell>
          <cell r="R417">
            <v>2681.52</v>
          </cell>
          <cell r="S417">
            <v>0</v>
          </cell>
          <cell r="T417">
            <v>0</v>
          </cell>
          <cell r="U417">
            <v>11</v>
          </cell>
          <cell r="V417">
            <v>103.88</v>
          </cell>
          <cell r="W417">
            <v>1142.68</v>
          </cell>
          <cell r="X417">
            <v>2.5783299999999998</v>
          </cell>
          <cell r="Y417">
            <v>0</v>
          </cell>
          <cell r="Z417">
            <v>103.88</v>
          </cell>
          <cell r="AA417">
            <v>1142.68</v>
          </cell>
        </row>
        <row r="418">
          <cell r="B418" t="str">
            <v>L-04-01</v>
          </cell>
          <cell r="C418" t="str">
            <v>AZATIOPRINA .:. 50 mg</v>
          </cell>
          <cell r="D418" t="str">
            <v>Comprimido</v>
          </cell>
          <cell r="E418">
            <v>390</v>
          </cell>
          <cell r="F418">
            <v>1126.125</v>
          </cell>
          <cell r="H418">
            <v>4100</v>
          </cell>
          <cell r="J418">
            <v>10010</v>
          </cell>
          <cell r="M418">
            <v>0</v>
          </cell>
          <cell r="N418">
            <v>0</v>
          </cell>
          <cell r="P418">
            <v>4080</v>
          </cell>
          <cell r="R418">
            <v>10111.125000018001</v>
          </cell>
          <cell r="S418">
            <v>0</v>
          </cell>
          <cell r="T418">
            <v>0</v>
          </cell>
          <cell r="U418">
            <v>410</v>
          </cell>
          <cell r="V418">
            <v>2.5</v>
          </cell>
          <cell r="W418">
            <v>1025</v>
          </cell>
          <cell r="X418">
            <v>2.5783299999999998</v>
          </cell>
          <cell r="Y418">
            <v>0</v>
          </cell>
          <cell r="Z418">
            <v>2.5</v>
          </cell>
          <cell r="AA418">
            <v>1025</v>
          </cell>
        </row>
        <row r="419">
          <cell r="B419" t="str">
            <v>L-04-07</v>
          </cell>
          <cell r="C419" t="str">
            <v>MICOFENOLATO DE MOFETILO .:. 500 mg</v>
          </cell>
          <cell r="D419" t="str">
            <v>Comprimido</v>
          </cell>
          <cell r="E419">
            <v>570</v>
          </cell>
          <cell r="F419">
            <v>2850</v>
          </cell>
          <cell r="H419">
            <v>4350</v>
          </cell>
          <cell r="J419">
            <v>21881.599999999999</v>
          </cell>
          <cell r="M419">
            <v>0</v>
          </cell>
          <cell r="N419">
            <v>0</v>
          </cell>
          <cell r="P419">
            <v>2470</v>
          </cell>
          <cell r="R419">
            <v>12481.6</v>
          </cell>
          <cell r="S419">
            <v>0</v>
          </cell>
          <cell r="T419">
            <v>0</v>
          </cell>
          <cell r="U419">
            <v>2450</v>
          </cell>
          <cell r="V419">
            <v>5</v>
          </cell>
          <cell r="W419">
            <v>12250</v>
          </cell>
          <cell r="X419">
            <v>2.5783299999999998</v>
          </cell>
          <cell r="Y419">
            <v>0</v>
          </cell>
          <cell r="Z419">
            <v>5</v>
          </cell>
          <cell r="AA419">
            <v>12250</v>
          </cell>
        </row>
        <row r="420">
          <cell r="B420" t="str">
            <v>L-04-10</v>
          </cell>
          <cell r="C420" t="str">
            <v>TACROLIMUS .:. 1 mg</v>
          </cell>
          <cell r="D420" t="str">
            <v>Cápsula</v>
          </cell>
          <cell r="E420">
            <v>180</v>
          </cell>
          <cell r="F420">
            <v>1440.000433944</v>
          </cell>
          <cell r="H420">
            <v>1580</v>
          </cell>
          <cell r="J420">
            <v>14134</v>
          </cell>
          <cell r="M420">
            <v>0</v>
          </cell>
          <cell r="N420">
            <v>0</v>
          </cell>
          <cell r="P420">
            <v>1580</v>
          </cell>
          <cell r="R420">
            <v>13774.000433944</v>
          </cell>
          <cell r="S420">
            <v>0</v>
          </cell>
          <cell r="T420">
            <v>0</v>
          </cell>
          <cell r="U420">
            <v>180</v>
          </cell>
          <cell r="V420">
            <v>10</v>
          </cell>
          <cell r="W420">
            <v>1800</v>
          </cell>
          <cell r="X420">
            <v>2.5783299999999998</v>
          </cell>
          <cell r="Y420">
            <v>0</v>
          </cell>
          <cell r="Z420">
            <v>10</v>
          </cell>
          <cell r="AA420">
            <v>1800</v>
          </cell>
        </row>
        <row r="421">
          <cell r="B421" t="str">
            <v>L-04-12</v>
          </cell>
          <cell r="C421" t="str">
            <v>LEFLUNOMIDA .:. 20 mg</v>
          </cell>
          <cell r="D421" t="str">
            <v>Comprimido</v>
          </cell>
          <cell r="E421">
            <v>382</v>
          </cell>
          <cell r="F421">
            <v>1451.6</v>
          </cell>
          <cell r="H421">
            <v>3500</v>
          </cell>
          <cell r="J421">
            <v>13965</v>
          </cell>
          <cell r="M421">
            <v>0</v>
          </cell>
          <cell r="N421">
            <v>0</v>
          </cell>
          <cell r="P421">
            <v>3670</v>
          </cell>
          <cell r="R421">
            <v>14572.0337203172</v>
          </cell>
          <cell r="S421">
            <v>0</v>
          </cell>
          <cell r="T421">
            <v>0</v>
          </cell>
          <cell r="U421">
            <v>212</v>
          </cell>
          <cell r="V421">
            <v>3.9838032062000002</v>
          </cell>
          <cell r="W421">
            <v>844.56627971440003</v>
          </cell>
          <cell r="X421">
            <v>2.5783299999999998</v>
          </cell>
          <cell r="Y421">
            <v>0</v>
          </cell>
          <cell r="Z421">
            <v>3.9838032062000002</v>
          </cell>
          <cell r="AA421">
            <v>844.56627971440003</v>
          </cell>
        </row>
        <row r="422">
          <cell r="B422" t="str">
            <v>M-01-01</v>
          </cell>
          <cell r="C422" t="str">
            <v>DICLOFENACO SODICO .:. 0.01</v>
          </cell>
          <cell r="D422" t="str">
            <v>Pomada o Gel</v>
          </cell>
          <cell r="E422">
            <v>384</v>
          </cell>
          <cell r="F422">
            <v>1499.4577254144001</v>
          </cell>
          <cell r="H422">
            <v>2450</v>
          </cell>
          <cell r="J422">
            <v>9800</v>
          </cell>
          <cell r="M422">
            <v>0</v>
          </cell>
          <cell r="N422">
            <v>0</v>
          </cell>
          <cell r="P422">
            <v>2160</v>
          </cell>
          <cell r="R422">
            <v>8606.5712838664003</v>
          </cell>
          <cell r="S422">
            <v>0</v>
          </cell>
          <cell r="T422">
            <v>0</v>
          </cell>
          <cell r="U422">
            <v>674</v>
          </cell>
          <cell r="V422">
            <v>3.9953804769999999</v>
          </cell>
          <cell r="W422">
            <v>2692.8864414979998</v>
          </cell>
          <cell r="X422">
            <v>2.5783299999999998</v>
          </cell>
          <cell r="Y422">
            <v>0</v>
          </cell>
          <cell r="Z422">
            <v>3.9953804769999999</v>
          </cell>
          <cell r="AA422">
            <v>2692.8864414979998</v>
          </cell>
        </row>
        <row r="423">
          <cell r="B423" t="str">
            <v>M-01-02</v>
          </cell>
          <cell r="C423" t="str">
            <v>DICLOFENACO SODICO .:. 50 mg</v>
          </cell>
          <cell r="D423" t="str">
            <v>Comprimido</v>
          </cell>
          <cell r="E423">
            <v>1959</v>
          </cell>
          <cell r="F423">
            <v>156.72806990460001</v>
          </cell>
          <cell r="H423">
            <v>9000</v>
          </cell>
          <cell r="J423">
            <v>900</v>
          </cell>
          <cell r="M423">
            <v>13</v>
          </cell>
          <cell r="N423">
            <v>1.271088</v>
          </cell>
          <cell r="P423">
            <v>7900</v>
          </cell>
          <cell r="R423">
            <v>757.62981648640005</v>
          </cell>
          <cell r="S423">
            <v>0</v>
          </cell>
          <cell r="T423">
            <v>0</v>
          </cell>
          <cell r="U423">
            <v>3072</v>
          </cell>
          <cell r="V423">
            <v>9.7776478299999997E-2</v>
          </cell>
          <cell r="W423">
            <v>300.36934133760002</v>
          </cell>
          <cell r="X423">
            <v>2.5783299999999998</v>
          </cell>
          <cell r="Y423">
            <v>0</v>
          </cell>
          <cell r="Z423">
            <v>9.7776478299999997E-2</v>
          </cell>
          <cell r="AA423">
            <v>300.36934133760002</v>
          </cell>
        </row>
        <row r="424">
          <cell r="B424" t="str">
            <v>M-01-03</v>
          </cell>
          <cell r="C424" t="str">
            <v>DICLOFENACO SODICO .:. 75 mg</v>
          </cell>
          <cell r="D424" t="str">
            <v>Inyectable</v>
          </cell>
          <cell r="E424">
            <v>1442</v>
          </cell>
          <cell r="F424">
            <v>1439.5610525351999</v>
          </cell>
          <cell r="H424">
            <v>4300</v>
          </cell>
          <cell r="J424">
            <v>4547</v>
          </cell>
          <cell r="M424">
            <v>28</v>
          </cell>
          <cell r="N424">
            <v>28.769767999999999</v>
          </cell>
          <cell r="P424">
            <v>3567</v>
          </cell>
          <cell r="R424">
            <v>3600.3553647192002</v>
          </cell>
          <cell r="S424">
            <v>0</v>
          </cell>
          <cell r="T424">
            <v>0</v>
          </cell>
          <cell r="U424">
            <v>2203</v>
          </cell>
          <cell r="V424">
            <v>1.0962212691</v>
          </cell>
          <cell r="W424">
            <v>2414.9754558272998</v>
          </cell>
          <cell r="X424">
            <v>2.5783299999999998</v>
          </cell>
          <cell r="Y424">
            <v>0</v>
          </cell>
          <cell r="Z424">
            <v>1.0962212691</v>
          </cell>
          <cell r="AA424">
            <v>2414.9754558272998</v>
          </cell>
        </row>
        <row r="425">
          <cell r="B425" t="str">
            <v>M-01-04</v>
          </cell>
          <cell r="C425" t="str">
            <v>IBUPROFENO .:. 100 mg/5 ml</v>
          </cell>
          <cell r="D425" t="str">
            <v>Suspensión</v>
          </cell>
          <cell r="E425">
            <v>57</v>
          </cell>
          <cell r="F425">
            <v>355.19035242119998</v>
          </cell>
          <cell r="H425">
            <v>850</v>
          </cell>
          <cell r="J425">
            <v>5830</v>
          </cell>
          <cell r="M425">
            <v>0</v>
          </cell>
          <cell r="N425">
            <v>0</v>
          </cell>
          <cell r="P425">
            <v>600</v>
          </cell>
          <cell r="R425">
            <v>4079.6573518113</v>
          </cell>
          <cell r="S425">
            <v>0</v>
          </cell>
          <cell r="T425">
            <v>0</v>
          </cell>
          <cell r="U425">
            <v>307</v>
          </cell>
          <cell r="V425">
            <v>6.8584136828000002</v>
          </cell>
          <cell r="W425">
            <v>2105.5330006196</v>
          </cell>
          <cell r="X425">
            <v>2.5783299999999998</v>
          </cell>
          <cell r="Y425">
            <v>0</v>
          </cell>
          <cell r="Z425">
            <v>6.8584136828000002</v>
          </cell>
          <cell r="AA425">
            <v>2105.5330006196</v>
          </cell>
        </row>
        <row r="426">
          <cell r="B426" t="str">
            <v>M-01-05</v>
          </cell>
          <cell r="C426" t="str">
            <v>IBUPROFENO .:. 400 mg</v>
          </cell>
          <cell r="D426" t="str">
            <v>Comprimido</v>
          </cell>
          <cell r="E426">
            <v>13716</v>
          </cell>
          <cell r="F426">
            <v>2314.2379004964</v>
          </cell>
          <cell r="H426">
            <v>28700</v>
          </cell>
          <cell r="J426">
            <v>6636</v>
          </cell>
          <cell r="M426">
            <v>36</v>
          </cell>
          <cell r="N426">
            <v>6.6582039999999996</v>
          </cell>
          <cell r="P426">
            <v>25836</v>
          </cell>
          <cell r="R426">
            <v>4940.2788944716003</v>
          </cell>
          <cell r="S426">
            <v>0</v>
          </cell>
          <cell r="T426">
            <v>0</v>
          </cell>
          <cell r="U426">
            <v>16616</v>
          </cell>
          <cell r="V426">
            <v>0.24173189749999999</v>
          </cell>
          <cell r="W426">
            <v>4016.6172088600001</v>
          </cell>
          <cell r="X426">
            <v>2.5783299999999998</v>
          </cell>
          <cell r="Y426">
            <v>0</v>
          </cell>
          <cell r="Z426">
            <v>0.24173189749999999</v>
          </cell>
          <cell r="AA426">
            <v>4016.6172088600001</v>
          </cell>
        </row>
        <row r="427">
          <cell r="B427" t="str">
            <v>M-01-06</v>
          </cell>
          <cell r="C427" t="str">
            <v>INDOMETACINA .:. 25 mg</v>
          </cell>
          <cell r="D427" t="str">
            <v>Cápsula o Comprimido</v>
          </cell>
          <cell r="E427">
            <v>1003</v>
          </cell>
          <cell r="F427">
            <v>200.749447</v>
          </cell>
          <cell r="H427">
            <v>0</v>
          </cell>
          <cell r="J427">
            <v>0</v>
          </cell>
          <cell r="M427">
            <v>948</v>
          </cell>
          <cell r="N427">
            <v>189.74</v>
          </cell>
          <cell r="P427">
            <v>65</v>
          </cell>
          <cell r="R427">
            <v>13.009671793000001</v>
          </cell>
          <cell r="S427">
            <v>948</v>
          </cell>
          <cell r="T427">
            <v>189.741252</v>
          </cell>
          <cell r="U427">
            <v>938</v>
          </cell>
          <cell r="V427">
            <v>0.20014767929999999</v>
          </cell>
          <cell r="W427">
            <v>187.73852318339999</v>
          </cell>
          <cell r="X427">
            <v>2.5783299999999998</v>
          </cell>
          <cell r="Y427">
            <v>0</v>
          </cell>
          <cell r="Z427">
            <v>0.20014767929999999</v>
          </cell>
          <cell r="AA427">
            <v>187.73852318339999</v>
          </cell>
        </row>
        <row r="428">
          <cell r="B428" t="str">
            <v>M-01-07</v>
          </cell>
          <cell r="C428" t="str">
            <v>INDOMETACINA .:. 100 mg</v>
          </cell>
          <cell r="D428" t="str">
            <v>Supositorio</v>
          </cell>
          <cell r="E428">
            <v>648</v>
          </cell>
          <cell r="F428">
            <v>1023.84</v>
          </cell>
          <cell r="H428">
            <v>900</v>
          </cell>
          <cell r="J428">
            <v>1503</v>
          </cell>
          <cell r="M428">
            <v>0</v>
          </cell>
          <cell r="N428">
            <v>0</v>
          </cell>
          <cell r="P428">
            <v>702</v>
          </cell>
          <cell r="R428">
            <v>1143.4164801879999</v>
          </cell>
          <cell r="S428">
            <v>0</v>
          </cell>
          <cell r="T428">
            <v>0</v>
          </cell>
          <cell r="U428">
            <v>846</v>
          </cell>
          <cell r="V428">
            <v>1.6352523874</v>
          </cell>
          <cell r="W428">
            <v>1383.4235197404</v>
          </cell>
          <cell r="X428">
            <v>2.5783299999999998</v>
          </cell>
          <cell r="Y428">
            <v>0</v>
          </cell>
          <cell r="Z428">
            <v>1.6352523874</v>
          </cell>
          <cell r="AA428">
            <v>1383.4235197404</v>
          </cell>
        </row>
        <row r="429">
          <cell r="B429" t="str">
            <v>M-01-09</v>
          </cell>
          <cell r="C429" t="str">
            <v>KETOROLACO .:. 30 mg/ml</v>
          </cell>
          <cell r="D429" t="str">
            <v>Inyectable</v>
          </cell>
          <cell r="E429">
            <v>705</v>
          </cell>
          <cell r="F429">
            <v>1725.0774877920001</v>
          </cell>
          <cell r="H429">
            <v>6500</v>
          </cell>
          <cell r="J429">
            <v>13980</v>
          </cell>
          <cell r="M429">
            <v>309</v>
          </cell>
          <cell r="N429">
            <v>725.24929599999996</v>
          </cell>
          <cell r="P429">
            <v>4779</v>
          </cell>
          <cell r="R429">
            <v>11256.8313910448</v>
          </cell>
          <cell r="S429">
            <v>0</v>
          </cell>
          <cell r="T429">
            <v>0</v>
          </cell>
          <cell r="U429">
            <v>2735</v>
          </cell>
          <cell r="V429">
            <v>1.8915888090999999</v>
          </cell>
          <cell r="W429">
            <v>5173.4953928884997</v>
          </cell>
          <cell r="X429">
            <v>2.5783299999999998</v>
          </cell>
          <cell r="Y429">
            <v>0</v>
          </cell>
          <cell r="Z429">
            <v>1.8915888090999999</v>
          </cell>
          <cell r="AA429">
            <v>5173.4953928884997</v>
          </cell>
        </row>
        <row r="430">
          <cell r="B430" t="str">
            <v>M-01-10</v>
          </cell>
          <cell r="C430" t="str">
            <v>KETOPROFENO .:. 100 mg</v>
          </cell>
          <cell r="D430" t="str">
            <v>Inyectable</v>
          </cell>
          <cell r="E430">
            <v>101</v>
          </cell>
          <cell r="F430">
            <v>505</v>
          </cell>
          <cell r="H430">
            <v>450</v>
          </cell>
          <cell r="J430">
            <v>3275</v>
          </cell>
          <cell r="M430">
            <v>64</v>
          </cell>
          <cell r="N430">
            <v>461.50170400000002</v>
          </cell>
          <cell r="P430">
            <v>532</v>
          </cell>
          <cell r="R430">
            <v>3494.5017039980999</v>
          </cell>
          <cell r="S430">
            <v>0</v>
          </cell>
          <cell r="T430">
            <v>0</v>
          </cell>
          <cell r="U430">
            <v>83</v>
          </cell>
          <cell r="V430">
            <v>9</v>
          </cell>
          <cell r="W430">
            <v>747</v>
          </cell>
          <cell r="X430">
            <v>2.5783299999999998</v>
          </cell>
          <cell r="Y430">
            <v>0</v>
          </cell>
          <cell r="Z430">
            <v>9</v>
          </cell>
          <cell r="AA430">
            <v>747</v>
          </cell>
        </row>
        <row r="431">
          <cell r="B431" t="str">
            <v>M-01-11</v>
          </cell>
          <cell r="C431" t="str">
            <v>MELOXICAM .:. 15 mg</v>
          </cell>
          <cell r="D431" t="str">
            <v>Comprimido</v>
          </cell>
          <cell r="E431">
            <v>1688</v>
          </cell>
          <cell r="F431">
            <v>713.37833274160005</v>
          </cell>
          <cell r="H431">
            <v>8000</v>
          </cell>
          <cell r="J431">
            <v>1200</v>
          </cell>
          <cell r="M431">
            <v>0</v>
          </cell>
          <cell r="N431">
            <v>0</v>
          </cell>
          <cell r="P431">
            <v>8677</v>
          </cell>
          <cell r="R431">
            <v>1739.0870682729001</v>
          </cell>
          <cell r="S431">
            <v>0</v>
          </cell>
          <cell r="T431">
            <v>0</v>
          </cell>
          <cell r="U431">
            <v>1011</v>
          </cell>
          <cell r="V431">
            <v>0.17239492049999999</v>
          </cell>
          <cell r="W431">
            <v>174.29126462549999</v>
          </cell>
          <cell r="X431">
            <v>2.5783299999999998</v>
          </cell>
          <cell r="Y431">
            <v>0</v>
          </cell>
          <cell r="Z431">
            <v>0.17239492049999999</v>
          </cell>
          <cell r="AA431">
            <v>174.29126462549999</v>
          </cell>
        </row>
        <row r="432">
          <cell r="B432" t="str">
            <v>M-03-01</v>
          </cell>
          <cell r="C432" t="str">
            <v>ATRACURIO BESILATO .:. 10 mg/ml</v>
          </cell>
          <cell r="D432" t="str">
            <v>Inyectable</v>
          </cell>
          <cell r="E432">
            <v>222</v>
          </cell>
          <cell r="F432">
            <v>5803.4351038295999</v>
          </cell>
          <cell r="H432">
            <v>135</v>
          </cell>
          <cell r="J432">
            <v>3535</v>
          </cell>
          <cell r="M432">
            <v>5</v>
          </cell>
          <cell r="N432">
            <v>130.70799500000001</v>
          </cell>
          <cell r="P432">
            <v>278</v>
          </cell>
          <cell r="R432">
            <v>7217.0275181835004</v>
          </cell>
          <cell r="S432">
            <v>0</v>
          </cell>
          <cell r="T432">
            <v>0</v>
          </cell>
          <cell r="U432">
            <v>84</v>
          </cell>
          <cell r="V432">
            <v>26.810899769500001</v>
          </cell>
          <cell r="W432">
            <v>2252.1155806380002</v>
          </cell>
          <cell r="X432">
            <v>2.5783299999999998</v>
          </cell>
          <cell r="Y432">
            <v>0</v>
          </cell>
          <cell r="Z432">
            <v>26.810899769500001</v>
          </cell>
          <cell r="AA432">
            <v>2252.1155806380002</v>
          </cell>
        </row>
        <row r="433">
          <cell r="B433" t="str">
            <v>M-04-01</v>
          </cell>
          <cell r="C433" t="str">
            <v>ALOPURINOL .:. 300 mg</v>
          </cell>
          <cell r="D433" t="str">
            <v>Comprimido</v>
          </cell>
          <cell r="E433">
            <v>657</v>
          </cell>
          <cell r="F433">
            <v>361.35</v>
          </cell>
          <cell r="H433">
            <v>4000</v>
          </cell>
          <cell r="J433">
            <v>2040</v>
          </cell>
          <cell r="M433">
            <v>20</v>
          </cell>
          <cell r="N433">
            <v>10.23882</v>
          </cell>
          <cell r="P433">
            <v>4677</v>
          </cell>
          <cell r="R433">
            <v>2411.5888199954002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2.5783299999999998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M-04-02</v>
          </cell>
          <cell r="C434" t="str">
            <v>COLCHICINA .:. 0,5 mg</v>
          </cell>
          <cell r="D434" t="str">
            <v>Comprimido</v>
          </cell>
          <cell r="E434">
            <v>11</v>
          </cell>
          <cell r="F434">
            <v>9.1086270000000003</v>
          </cell>
          <cell r="H434">
            <v>700</v>
          </cell>
          <cell r="J434">
            <v>560</v>
          </cell>
          <cell r="M434">
            <v>0</v>
          </cell>
          <cell r="N434">
            <v>0</v>
          </cell>
          <cell r="P434">
            <v>281</v>
          </cell>
          <cell r="R434">
            <v>225.10862700000001</v>
          </cell>
          <cell r="S434">
            <v>0</v>
          </cell>
          <cell r="T434">
            <v>0</v>
          </cell>
          <cell r="U434">
            <v>430</v>
          </cell>
          <cell r="V434">
            <v>0.8</v>
          </cell>
          <cell r="W434">
            <v>344</v>
          </cell>
          <cell r="X434">
            <v>2.5783299999999998</v>
          </cell>
          <cell r="Y434">
            <v>0</v>
          </cell>
          <cell r="Z434">
            <v>0.8</v>
          </cell>
          <cell r="AA434">
            <v>344</v>
          </cell>
        </row>
        <row r="435">
          <cell r="B435" t="str">
            <v>M-05-03</v>
          </cell>
          <cell r="C435" t="str">
            <v>ACIDO ALENDRONICO (ALENDRONATO) .:. 70 mg</v>
          </cell>
          <cell r="D435" t="str">
            <v>Comprimido</v>
          </cell>
          <cell r="E435">
            <v>563</v>
          </cell>
          <cell r="F435">
            <v>684.48947369309997</v>
          </cell>
          <cell r="H435">
            <v>1700</v>
          </cell>
          <cell r="J435">
            <v>3520</v>
          </cell>
          <cell r="M435">
            <v>0</v>
          </cell>
          <cell r="N435">
            <v>0</v>
          </cell>
          <cell r="P435">
            <v>1787</v>
          </cell>
          <cell r="R435">
            <v>3252.4894736755</v>
          </cell>
          <cell r="S435">
            <v>0</v>
          </cell>
          <cell r="T435">
            <v>0</v>
          </cell>
          <cell r="U435">
            <v>476</v>
          </cell>
          <cell r="V435">
            <v>2</v>
          </cell>
          <cell r="W435">
            <v>952</v>
          </cell>
          <cell r="X435">
            <v>2.5783299999999998</v>
          </cell>
          <cell r="Y435">
            <v>0</v>
          </cell>
          <cell r="Z435">
            <v>2</v>
          </cell>
          <cell r="AA435">
            <v>952</v>
          </cell>
        </row>
        <row r="436">
          <cell r="B436" t="str">
            <v>M-05-04</v>
          </cell>
          <cell r="C436" t="str">
            <v>ACIDO ZOLEDRONICO .:. 4mg</v>
          </cell>
          <cell r="D436" t="str">
            <v>Inyectable</v>
          </cell>
          <cell r="E436">
            <v>7</v>
          </cell>
          <cell r="F436">
            <v>2940</v>
          </cell>
          <cell r="H436">
            <v>30</v>
          </cell>
          <cell r="J436">
            <v>9185</v>
          </cell>
          <cell r="M436">
            <v>0</v>
          </cell>
          <cell r="N436">
            <v>0</v>
          </cell>
          <cell r="P436">
            <v>27</v>
          </cell>
          <cell r="R436">
            <v>9288.75</v>
          </cell>
          <cell r="S436">
            <v>0</v>
          </cell>
          <cell r="T436">
            <v>0</v>
          </cell>
          <cell r="U436">
            <v>10</v>
          </cell>
          <cell r="V436">
            <v>283.625</v>
          </cell>
          <cell r="W436">
            <v>2836.25</v>
          </cell>
          <cell r="X436">
            <v>2.5783299999999998</v>
          </cell>
          <cell r="Y436">
            <v>0</v>
          </cell>
          <cell r="Z436">
            <v>283.625</v>
          </cell>
          <cell r="AA436">
            <v>2836.25</v>
          </cell>
        </row>
        <row r="437">
          <cell r="B437" t="str">
            <v>N-01-01</v>
          </cell>
          <cell r="C437" t="str">
            <v>BUPIVACAINA CLORHIDRATO .:. 0,5%</v>
          </cell>
          <cell r="D437" t="str">
            <v>Inyectable</v>
          </cell>
          <cell r="E437">
            <v>0</v>
          </cell>
          <cell r="F437">
            <v>0</v>
          </cell>
          <cell r="H437">
            <v>40</v>
          </cell>
          <cell r="J437">
            <v>680</v>
          </cell>
          <cell r="M437">
            <v>3</v>
          </cell>
          <cell r="N437">
            <v>51</v>
          </cell>
          <cell r="P437">
            <v>43</v>
          </cell>
          <cell r="R437">
            <v>731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2.5783299999999998</v>
          </cell>
          <cell r="Y437">
            <v>0</v>
          </cell>
          <cell r="Z437">
            <v>0</v>
          </cell>
          <cell r="AA437">
            <v>0</v>
          </cell>
        </row>
        <row r="438">
          <cell r="B438" t="str">
            <v>N-01-02</v>
          </cell>
          <cell r="C438" t="str">
            <v>BUPIVACAINA CLORHIDRATO (PESADA) .:. 0,5%</v>
          </cell>
          <cell r="D438" t="str">
            <v>Inyectable</v>
          </cell>
          <cell r="E438">
            <v>26</v>
          </cell>
          <cell r="F438">
            <v>291.44833952779999</v>
          </cell>
          <cell r="H438">
            <v>95</v>
          </cell>
          <cell r="J438">
            <v>1154</v>
          </cell>
          <cell r="M438">
            <v>2</v>
          </cell>
          <cell r="N438">
            <v>22.4</v>
          </cell>
          <cell r="P438">
            <v>80</v>
          </cell>
          <cell r="R438">
            <v>911.82526260500003</v>
          </cell>
          <cell r="S438">
            <v>0</v>
          </cell>
          <cell r="T438">
            <v>0</v>
          </cell>
          <cell r="U438">
            <v>43</v>
          </cell>
          <cell r="V438">
            <v>12.930769230799999</v>
          </cell>
          <cell r="W438">
            <v>556.02307692440002</v>
          </cell>
          <cell r="X438">
            <v>2.5783299999999998</v>
          </cell>
          <cell r="Y438">
            <v>0</v>
          </cell>
          <cell r="Z438">
            <v>12.930769230799999</v>
          </cell>
          <cell r="AA438">
            <v>556.02307692440002</v>
          </cell>
        </row>
        <row r="439">
          <cell r="B439" t="str">
            <v>N-01-05</v>
          </cell>
          <cell r="C439" t="str">
            <v>FENTANILO CON CONSERVANTE (10 ML) .:. 0,05 mg/ml</v>
          </cell>
          <cell r="D439" t="str">
            <v>Inyectable</v>
          </cell>
          <cell r="E439">
            <v>89</v>
          </cell>
          <cell r="F439">
            <v>2996.5198180000002</v>
          </cell>
          <cell r="H439">
            <v>205</v>
          </cell>
          <cell r="J439">
            <v>6648</v>
          </cell>
          <cell r="M439">
            <v>9</v>
          </cell>
          <cell r="N439">
            <v>293.757003</v>
          </cell>
          <cell r="P439">
            <v>277</v>
          </cell>
          <cell r="R439">
            <v>9084.8936485165996</v>
          </cell>
          <cell r="S439">
            <v>0</v>
          </cell>
          <cell r="T439">
            <v>0</v>
          </cell>
          <cell r="U439">
            <v>26</v>
          </cell>
          <cell r="V439">
            <v>32.822429710800002</v>
          </cell>
          <cell r="W439">
            <v>853.3831724808</v>
          </cell>
          <cell r="X439">
            <v>2.5783299999999998</v>
          </cell>
          <cell r="Y439">
            <v>0</v>
          </cell>
          <cell r="Z439">
            <v>32.822429710800002</v>
          </cell>
          <cell r="AA439">
            <v>853.3831724808</v>
          </cell>
        </row>
        <row r="440">
          <cell r="B440" t="str">
            <v>N-01-11</v>
          </cell>
          <cell r="C440" t="str">
            <v>LIDOCAINA CLORHIDRATO + EPINEFRINA .:. 2% 1 : 200.000</v>
          </cell>
          <cell r="D440" t="str">
            <v>Cartucho dental</v>
          </cell>
          <cell r="E440">
            <v>0</v>
          </cell>
          <cell r="F440">
            <v>0</v>
          </cell>
          <cell r="H440">
            <v>22</v>
          </cell>
          <cell r="J440">
            <v>3900</v>
          </cell>
          <cell r="M440">
            <v>0</v>
          </cell>
          <cell r="N440">
            <v>0</v>
          </cell>
          <cell r="P440">
            <v>22</v>
          </cell>
          <cell r="R440">
            <v>3899.9999999994002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2.5783299999999998</v>
          </cell>
          <cell r="Y440">
            <v>0</v>
          </cell>
          <cell r="Z440">
            <v>0</v>
          </cell>
          <cell r="AA440">
            <v>0</v>
          </cell>
        </row>
        <row r="441">
          <cell r="B441" t="str">
            <v>N-01-12</v>
          </cell>
          <cell r="C441" t="str">
            <v>LIDOCAINA CLORHIDRATO SIN CONSERVANTE .:. 0.02</v>
          </cell>
          <cell r="D441" t="str">
            <v>Inyectable</v>
          </cell>
          <cell r="E441">
            <v>92</v>
          </cell>
          <cell r="F441">
            <v>466.48275861920001</v>
          </cell>
          <cell r="H441">
            <v>270</v>
          </cell>
          <cell r="J441">
            <v>2151</v>
          </cell>
          <cell r="M441">
            <v>2</v>
          </cell>
          <cell r="N441">
            <v>12.326835000000001</v>
          </cell>
          <cell r="P441">
            <v>277</v>
          </cell>
          <cell r="R441">
            <v>1936.7705851861999</v>
          </cell>
          <cell r="S441">
            <v>0</v>
          </cell>
          <cell r="T441">
            <v>0</v>
          </cell>
          <cell r="U441">
            <v>87</v>
          </cell>
          <cell r="V441">
            <v>7.9659656140999999</v>
          </cell>
          <cell r="W441">
            <v>693.03900842669998</v>
          </cell>
          <cell r="X441">
            <v>2.5783299999999998</v>
          </cell>
          <cell r="Y441">
            <v>0</v>
          </cell>
          <cell r="Z441">
            <v>7.9659656140999999</v>
          </cell>
          <cell r="AA441">
            <v>693.03900842669998</v>
          </cell>
        </row>
        <row r="442">
          <cell r="B442" t="str">
            <v>N-01-13</v>
          </cell>
          <cell r="C442" t="str">
            <v>PROPOFOL .:. 10 mg/ml</v>
          </cell>
          <cell r="D442" t="str">
            <v>Inyectable</v>
          </cell>
          <cell r="E442">
            <v>16</v>
          </cell>
          <cell r="F442">
            <v>278.39999999999998</v>
          </cell>
          <cell r="H442">
            <v>660</v>
          </cell>
          <cell r="J442">
            <v>15380</v>
          </cell>
          <cell r="M442">
            <v>6</v>
          </cell>
          <cell r="N442">
            <v>101.67741599999999</v>
          </cell>
          <cell r="P442">
            <v>567</v>
          </cell>
          <cell r="R442">
            <v>11512.559874463201</v>
          </cell>
          <cell r="S442">
            <v>0</v>
          </cell>
          <cell r="T442">
            <v>0</v>
          </cell>
          <cell r="U442">
            <v>115</v>
          </cell>
          <cell r="V442">
            <v>36.934935143700002</v>
          </cell>
          <cell r="W442">
            <v>4247.5175415254998</v>
          </cell>
          <cell r="X442">
            <v>2.5783299999999998</v>
          </cell>
          <cell r="Y442">
            <v>0</v>
          </cell>
          <cell r="Z442">
            <v>36.934935143700002</v>
          </cell>
          <cell r="AA442">
            <v>4247.5175415254998</v>
          </cell>
        </row>
        <row r="443">
          <cell r="B443" t="str">
            <v>N-01-15</v>
          </cell>
          <cell r="C443" t="str">
            <v>TIOPENTAL SODICO .:. 1 g</v>
          </cell>
          <cell r="D443" t="str">
            <v>Inyectable</v>
          </cell>
          <cell r="E443">
            <v>54</v>
          </cell>
          <cell r="F443">
            <v>1350</v>
          </cell>
          <cell r="H443">
            <v>0</v>
          </cell>
          <cell r="J443">
            <v>0</v>
          </cell>
          <cell r="M443">
            <v>0</v>
          </cell>
          <cell r="N443">
            <v>0</v>
          </cell>
          <cell r="P443">
            <v>2</v>
          </cell>
          <cell r="R443">
            <v>50</v>
          </cell>
          <cell r="S443">
            <v>0</v>
          </cell>
          <cell r="T443">
            <v>0</v>
          </cell>
          <cell r="U443">
            <v>52</v>
          </cell>
          <cell r="V443">
            <v>25</v>
          </cell>
          <cell r="W443">
            <v>1300</v>
          </cell>
          <cell r="X443">
            <v>2.5783299999999998</v>
          </cell>
          <cell r="Y443">
            <v>0</v>
          </cell>
          <cell r="Z443">
            <v>25</v>
          </cell>
          <cell r="AA443">
            <v>1300</v>
          </cell>
        </row>
        <row r="444">
          <cell r="B444" t="str">
            <v>N-01-16</v>
          </cell>
          <cell r="C444" t="str">
            <v>REMIFENTANILO .:. 5 mg</v>
          </cell>
          <cell r="D444" t="str">
            <v>Inyectable</v>
          </cell>
          <cell r="E444">
            <v>9</v>
          </cell>
          <cell r="F444">
            <v>1080</v>
          </cell>
          <cell r="H444">
            <v>45</v>
          </cell>
          <cell r="J444">
            <v>4100</v>
          </cell>
          <cell r="M444">
            <v>0</v>
          </cell>
          <cell r="N444">
            <v>0</v>
          </cell>
          <cell r="P444">
            <v>43</v>
          </cell>
          <cell r="R444">
            <v>4168</v>
          </cell>
          <cell r="S444">
            <v>0</v>
          </cell>
          <cell r="T444">
            <v>0</v>
          </cell>
          <cell r="U444">
            <v>11</v>
          </cell>
          <cell r="V444">
            <v>92</v>
          </cell>
          <cell r="W444">
            <v>1012</v>
          </cell>
          <cell r="X444">
            <v>2.5783299999999998</v>
          </cell>
          <cell r="Y444">
            <v>0</v>
          </cell>
          <cell r="Z444">
            <v>92</v>
          </cell>
          <cell r="AA444">
            <v>1012</v>
          </cell>
        </row>
        <row r="445">
          <cell r="B445" t="str">
            <v>N-02-03</v>
          </cell>
          <cell r="C445" t="str">
            <v>ERGOTAMINA TARTRATO + CAFEINA .:. 1 mg + 100 mg</v>
          </cell>
          <cell r="D445" t="str">
            <v>Comprimido</v>
          </cell>
          <cell r="E445">
            <v>911</v>
          </cell>
          <cell r="F445">
            <v>1282.8452708494001</v>
          </cell>
          <cell r="H445">
            <v>1000</v>
          </cell>
          <cell r="J445">
            <v>1900</v>
          </cell>
          <cell r="M445">
            <v>0</v>
          </cell>
          <cell r="N445">
            <v>0</v>
          </cell>
          <cell r="P445">
            <v>1911</v>
          </cell>
          <cell r="R445">
            <v>3182.8452708494001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2.5783299999999998</v>
          </cell>
          <cell r="Y445">
            <v>0</v>
          </cell>
          <cell r="Z445">
            <v>0</v>
          </cell>
          <cell r="AA445">
            <v>0</v>
          </cell>
        </row>
        <row r="446">
          <cell r="B446" t="str">
            <v>N-02-05</v>
          </cell>
          <cell r="C446" t="str">
            <v>METAMIZOL (DIPIRONA) .:. 1 g</v>
          </cell>
          <cell r="D446" t="str">
            <v>Inyectable</v>
          </cell>
          <cell r="E446">
            <v>925</v>
          </cell>
          <cell r="F446">
            <v>1110.6671369175001</v>
          </cell>
          <cell r="H446">
            <v>5500</v>
          </cell>
          <cell r="J446">
            <v>6450</v>
          </cell>
          <cell r="M446">
            <v>607</v>
          </cell>
          <cell r="N446">
            <v>716.850595</v>
          </cell>
          <cell r="P446">
            <v>6003</v>
          </cell>
          <cell r="R446">
            <v>7133.0751108941004</v>
          </cell>
          <cell r="S446">
            <v>0</v>
          </cell>
          <cell r="T446">
            <v>0</v>
          </cell>
          <cell r="U446">
            <v>1029</v>
          </cell>
          <cell r="V446">
            <v>1.1121891358</v>
          </cell>
          <cell r="W446">
            <v>1144.4426207382</v>
          </cell>
          <cell r="X446">
            <v>2.5783299999999998</v>
          </cell>
          <cell r="Y446">
            <v>0</v>
          </cell>
          <cell r="Z446">
            <v>1.1121891358</v>
          </cell>
          <cell r="AA446">
            <v>1144.4426207382</v>
          </cell>
        </row>
        <row r="447">
          <cell r="B447" t="str">
            <v>N-02-07</v>
          </cell>
          <cell r="C447" t="str">
            <v>MORFINA (CON Y SIN CONSERVANTE) .:. 10 mg/ml</v>
          </cell>
          <cell r="D447" t="str">
            <v>Inyectable</v>
          </cell>
          <cell r="E447">
            <v>57</v>
          </cell>
          <cell r="F447">
            <v>683.43</v>
          </cell>
          <cell r="H447">
            <v>150</v>
          </cell>
          <cell r="J447">
            <v>1800</v>
          </cell>
          <cell r="M447">
            <v>5</v>
          </cell>
          <cell r="N447">
            <v>59.99</v>
          </cell>
          <cell r="P447">
            <v>136</v>
          </cell>
          <cell r="R447">
            <v>1631.42</v>
          </cell>
          <cell r="S447">
            <v>0</v>
          </cell>
          <cell r="T447">
            <v>0</v>
          </cell>
          <cell r="U447">
            <v>76</v>
          </cell>
          <cell r="V447">
            <v>12</v>
          </cell>
          <cell r="W447">
            <v>912</v>
          </cell>
          <cell r="X447">
            <v>2.5783299999999998</v>
          </cell>
          <cell r="Y447">
            <v>0</v>
          </cell>
          <cell r="Z447">
            <v>12</v>
          </cell>
          <cell r="AA447">
            <v>912</v>
          </cell>
        </row>
        <row r="448">
          <cell r="B448" t="str">
            <v>N-02-08</v>
          </cell>
          <cell r="C448" t="str">
            <v>PARACETAMOL (ACETAMINOFENO) .:. 500 mg</v>
          </cell>
          <cell r="D448" t="str">
            <v>Comprimido</v>
          </cell>
          <cell r="E448">
            <v>8577</v>
          </cell>
          <cell r="F448">
            <v>1029.24</v>
          </cell>
          <cell r="H448">
            <v>20000</v>
          </cell>
          <cell r="J448">
            <v>3400</v>
          </cell>
          <cell r="M448">
            <v>0</v>
          </cell>
          <cell r="N448">
            <v>0</v>
          </cell>
          <cell r="P448">
            <v>15999</v>
          </cell>
          <cell r="R448">
            <v>2290.98</v>
          </cell>
          <cell r="S448">
            <v>0</v>
          </cell>
          <cell r="T448">
            <v>0</v>
          </cell>
          <cell r="U448">
            <v>12578</v>
          </cell>
          <cell r="V448">
            <v>0.17</v>
          </cell>
          <cell r="W448">
            <v>2138.2600000000002</v>
          </cell>
          <cell r="X448">
            <v>2.5783299999999998</v>
          </cell>
          <cell r="Y448">
            <v>0</v>
          </cell>
          <cell r="Z448">
            <v>0.17</v>
          </cell>
          <cell r="AA448">
            <v>2138.2600000000002</v>
          </cell>
        </row>
        <row r="449">
          <cell r="B449" t="str">
            <v>N-02-09</v>
          </cell>
          <cell r="C449" t="str">
            <v>PARACETAMOL (ACETAMINOFENO) .:. 125 mg/5 ml o 120 mg/5 ml</v>
          </cell>
          <cell r="D449" t="str">
            <v>Jarabe</v>
          </cell>
          <cell r="E449">
            <v>83</v>
          </cell>
          <cell r="F449">
            <v>481.68905472929998</v>
          </cell>
          <cell r="H449">
            <v>50</v>
          </cell>
          <cell r="J449">
            <v>380</v>
          </cell>
          <cell r="M449">
            <v>0</v>
          </cell>
          <cell r="N449">
            <v>0</v>
          </cell>
          <cell r="P449">
            <v>85</v>
          </cell>
          <cell r="R449">
            <v>507.47905211099999</v>
          </cell>
          <cell r="S449">
            <v>0</v>
          </cell>
          <cell r="T449">
            <v>0</v>
          </cell>
          <cell r="U449">
            <v>48</v>
          </cell>
          <cell r="V449">
            <v>7.3793750545999997</v>
          </cell>
          <cell r="W449">
            <v>354.21000262080003</v>
          </cell>
          <cell r="X449">
            <v>2.5783299999999998</v>
          </cell>
          <cell r="Y449">
            <v>0</v>
          </cell>
          <cell r="Z449">
            <v>7.3793750545999997</v>
          </cell>
          <cell r="AA449">
            <v>354.21000262080003</v>
          </cell>
        </row>
        <row r="450">
          <cell r="B450" t="str">
            <v>N-02-10</v>
          </cell>
          <cell r="C450" t="str">
            <v>PARACETAMOL (ACETAMINOFENO) .:. 100 mg/ml</v>
          </cell>
          <cell r="D450" t="str">
            <v>Gotas</v>
          </cell>
          <cell r="E450">
            <v>6</v>
          </cell>
          <cell r="F450">
            <v>30</v>
          </cell>
          <cell r="H450">
            <v>150</v>
          </cell>
          <cell r="J450">
            <v>630</v>
          </cell>
          <cell r="M450">
            <v>1</v>
          </cell>
          <cell r="N450">
            <v>4.1891889999999998</v>
          </cell>
          <cell r="P450">
            <v>83</v>
          </cell>
          <cell r="R450">
            <v>354.18918910460002</v>
          </cell>
          <cell r="S450">
            <v>0</v>
          </cell>
          <cell r="T450">
            <v>0</v>
          </cell>
          <cell r="U450">
            <v>74</v>
          </cell>
          <cell r="V450">
            <v>4.1891891878000003</v>
          </cell>
          <cell r="W450">
            <v>309.99999989719998</v>
          </cell>
          <cell r="X450">
            <v>2.5783299999999998</v>
          </cell>
          <cell r="Y450">
            <v>0</v>
          </cell>
          <cell r="Z450">
            <v>4.1891891878000003</v>
          </cell>
          <cell r="AA450">
            <v>309.99999989719998</v>
          </cell>
        </row>
        <row r="451">
          <cell r="B451" t="str">
            <v>N-02-11</v>
          </cell>
          <cell r="C451" t="str">
            <v>PARACETAMOL (ACETAMINOFENO) .:. 100 mg</v>
          </cell>
          <cell r="D451" t="str">
            <v>Supositorio</v>
          </cell>
          <cell r="E451">
            <v>18</v>
          </cell>
          <cell r="F451">
            <v>29.488834285199999</v>
          </cell>
          <cell r="H451">
            <v>0</v>
          </cell>
          <cell r="J451">
            <v>0</v>
          </cell>
          <cell r="M451">
            <v>0</v>
          </cell>
          <cell r="N451">
            <v>0</v>
          </cell>
          <cell r="P451">
            <v>8</v>
          </cell>
          <cell r="R451">
            <v>13.1061485712</v>
          </cell>
          <cell r="S451">
            <v>0</v>
          </cell>
          <cell r="T451">
            <v>0</v>
          </cell>
          <cell r="U451">
            <v>10</v>
          </cell>
          <cell r="V451">
            <v>1.6382685714</v>
          </cell>
          <cell r="W451">
            <v>16.382685714000001</v>
          </cell>
          <cell r="X451">
            <v>2.5783299999999998</v>
          </cell>
          <cell r="Y451">
            <v>0</v>
          </cell>
          <cell r="Z451">
            <v>1.6382685714</v>
          </cell>
          <cell r="AA451">
            <v>16.382685714000001</v>
          </cell>
        </row>
        <row r="452">
          <cell r="B452" t="str">
            <v>N-02-14</v>
          </cell>
          <cell r="C452" t="str">
            <v>TRAMADOL .:. 100 mg/2 ml</v>
          </cell>
          <cell r="D452" t="str">
            <v>Inyectable</v>
          </cell>
          <cell r="E452">
            <v>269</v>
          </cell>
          <cell r="F452">
            <v>1342.31</v>
          </cell>
          <cell r="H452">
            <v>950</v>
          </cell>
          <cell r="J452">
            <v>4940</v>
          </cell>
          <cell r="M452">
            <v>100</v>
          </cell>
          <cell r="N452">
            <v>513.98715900000002</v>
          </cell>
          <cell r="P452">
            <v>729</v>
          </cell>
          <cell r="R452">
            <v>3728.2719612675</v>
          </cell>
          <cell r="S452">
            <v>0</v>
          </cell>
          <cell r="T452">
            <v>0</v>
          </cell>
          <cell r="U452">
            <v>590</v>
          </cell>
          <cell r="V452">
            <v>5.2000427079999998</v>
          </cell>
          <cell r="W452">
            <v>3068.0251977200001</v>
          </cell>
          <cell r="X452">
            <v>2.5783299999999998</v>
          </cell>
          <cell r="Y452">
            <v>0</v>
          </cell>
          <cell r="Z452">
            <v>5.2000427079999998</v>
          </cell>
          <cell r="AA452">
            <v>3068.0251977200001</v>
          </cell>
        </row>
        <row r="453">
          <cell r="B453" t="str">
            <v>N-02-15</v>
          </cell>
          <cell r="C453" t="str">
            <v>TRAMADOL .:. 50 mg</v>
          </cell>
          <cell r="D453" t="str">
            <v>Comprimido</v>
          </cell>
          <cell r="E453">
            <v>107</v>
          </cell>
          <cell r="F453">
            <v>192.6</v>
          </cell>
          <cell r="H453">
            <v>7200</v>
          </cell>
          <cell r="J453">
            <v>12310</v>
          </cell>
          <cell r="M453">
            <v>0</v>
          </cell>
          <cell r="N453">
            <v>0</v>
          </cell>
          <cell r="P453">
            <v>4467</v>
          </cell>
          <cell r="R453">
            <v>7672.8916843037996</v>
          </cell>
          <cell r="S453">
            <v>0</v>
          </cell>
          <cell r="T453">
            <v>0</v>
          </cell>
          <cell r="U453">
            <v>2840</v>
          </cell>
          <cell r="V453">
            <v>1.7006015195999999</v>
          </cell>
          <cell r="W453">
            <v>4829.7083156640001</v>
          </cell>
          <cell r="X453">
            <v>2.5783299999999998</v>
          </cell>
          <cell r="Y453">
            <v>0</v>
          </cell>
          <cell r="Z453">
            <v>1.7006015195999999</v>
          </cell>
          <cell r="AA453">
            <v>4829.7083156640001</v>
          </cell>
        </row>
        <row r="454">
          <cell r="B454" t="str">
            <v>N-02-17</v>
          </cell>
          <cell r="C454" t="str">
            <v>TRAMADOL .:. 100 mg/ml</v>
          </cell>
          <cell r="D454" t="str">
            <v>Solución p/ gotas orales</v>
          </cell>
          <cell r="E454">
            <v>45</v>
          </cell>
          <cell r="F454">
            <v>1980</v>
          </cell>
          <cell r="H454">
            <v>135</v>
          </cell>
          <cell r="J454">
            <v>5940</v>
          </cell>
          <cell r="M454">
            <v>0</v>
          </cell>
          <cell r="N454">
            <v>0</v>
          </cell>
          <cell r="P454">
            <v>92</v>
          </cell>
          <cell r="R454">
            <v>4048</v>
          </cell>
          <cell r="S454">
            <v>0</v>
          </cell>
          <cell r="T454">
            <v>0</v>
          </cell>
          <cell r="U454">
            <v>88</v>
          </cell>
          <cell r="V454">
            <v>44</v>
          </cell>
          <cell r="W454">
            <v>3872</v>
          </cell>
          <cell r="X454">
            <v>2.5783299999999998</v>
          </cell>
          <cell r="Y454">
            <v>0</v>
          </cell>
          <cell r="Z454">
            <v>44</v>
          </cell>
          <cell r="AA454">
            <v>3872</v>
          </cell>
        </row>
        <row r="455">
          <cell r="B455" t="str">
            <v>N-03-03</v>
          </cell>
          <cell r="C455" t="str">
            <v>ACIDO VALPROICO O VALPROATO SODICO .:. 500 mg</v>
          </cell>
          <cell r="D455" t="str">
            <v>Cápsula o Comprimido</v>
          </cell>
          <cell r="E455">
            <v>2940</v>
          </cell>
          <cell r="F455">
            <v>9304.7343283859991</v>
          </cell>
          <cell r="H455">
            <v>12160</v>
          </cell>
          <cell r="J455">
            <v>47700.4</v>
          </cell>
          <cell r="M455">
            <v>0</v>
          </cell>
          <cell r="N455">
            <v>0</v>
          </cell>
          <cell r="P455">
            <v>14164</v>
          </cell>
          <cell r="R455">
            <v>53317.365271652699</v>
          </cell>
          <cell r="S455">
            <v>0</v>
          </cell>
          <cell r="T455">
            <v>0</v>
          </cell>
          <cell r="U455">
            <v>936</v>
          </cell>
          <cell r="V455">
            <v>3.9399242059000001</v>
          </cell>
          <cell r="W455">
            <v>3687.7690567223999</v>
          </cell>
          <cell r="X455">
            <v>2.5783299999999998</v>
          </cell>
          <cell r="Y455">
            <v>0</v>
          </cell>
          <cell r="Z455">
            <v>3.9399242059000001</v>
          </cell>
          <cell r="AA455">
            <v>3687.7690567223999</v>
          </cell>
        </row>
        <row r="456">
          <cell r="B456" t="str">
            <v>N-03-04</v>
          </cell>
          <cell r="C456" t="str">
            <v>CARBAMAZEPINA .:. 200 mg</v>
          </cell>
          <cell r="D456" t="str">
            <v>Comprimido</v>
          </cell>
          <cell r="E456">
            <v>711</v>
          </cell>
          <cell r="F456">
            <v>245.0519728056</v>
          </cell>
          <cell r="H456">
            <v>1900</v>
          </cell>
          <cell r="J456">
            <v>760</v>
          </cell>
          <cell r="M456">
            <v>0</v>
          </cell>
          <cell r="N456">
            <v>0</v>
          </cell>
          <cell r="P456">
            <v>1165</v>
          </cell>
          <cell r="R456">
            <v>442.52176231679999</v>
          </cell>
          <cell r="S456">
            <v>0</v>
          </cell>
          <cell r="T456">
            <v>0</v>
          </cell>
          <cell r="U456">
            <v>1446</v>
          </cell>
          <cell r="V456">
            <v>0.38902504180000003</v>
          </cell>
          <cell r="W456">
            <v>562.53021044280001</v>
          </cell>
          <cell r="X456">
            <v>2.5783299999999998</v>
          </cell>
          <cell r="Y456">
            <v>0</v>
          </cell>
          <cell r="Z456">
            <v>0.38902504180000003</v>
          </cell>
          <cell r="AA456">
            <v>562.53021044280001</v>
          </cell>
        </row>
        <row r="457">
          <cell r="B457" t="str">
            <v>N-03-06</v>
          </cell>
          <cell r="C457" t="str">
            <v>CLONAZEPAM .:. 2 mg</v>
          </cell>
          <cell r="D457" t="str">
            <v>Comprimido ranurado</v>
          </cell>
          <cell r="E457">
            <v>1170</v>
          </cell>
          <cell r="F457">
            <v>713.698384347</v>
          </cell>
          <cell r="H457">
            <v>7000</v>
          </cell>
          <cell r="J457">
            <v>7000</v>
          </cell>
          <cell r="M457">
            <v>0</v>
          </cell>
          <cell r="N457">
            <v>0</v>
          </cell>
          <cell r="P457">
            <v>6373</v>
          </cell>
          <cell r="R457">
            <v>5916.6983843258004</v>
          </cell>
          <cell r="S457">
            <v>0</v>
          </cell>
          <cell r="T457">
            <v>0</v>
          </cell>
          <cell r="U457">
            <v>1797</v>
          </cell>
          <cell r="V457">
            <v>1</v>
          </cell>
          <cell r="W457">
            <v>1797</v>
          </cell>
          <cell r="X457">
            <v>2.5783299999999998</v>
          </cell>
          <cell r="Y457">
            <v>0</v>
          </cell>
          <cell r="Z457">
            <v>1</v>
          </cell>
          <cell r="AA457">
            <v>1797</v>
          </cell>
        </row>
        <row r="458">
          <cell r="B458" t="str">
            <v>N-03-07</v>
          </cell>
          <cell r="C458" t="str">
            <v>FENITOINA .:. 50 mg/ml</v>
          </cell>
          <cell r="D458" t="str">
            <v>Inyectable</v>
          </cell>
          <cell r="E458">
            <v>65</v>
          </cell>
          <cell r="F458">
            <v>712.29850599700001</v>
          </cell>
          <cell r="H458">
            <v>100</v>
          </cell>
          <cell r="J458">
            <v>800</v>
          </cell>
          <cell r="M458">
            <v>22</v>
          </cell>
          <cell r="N458">
            <v>181.916876</v>
          </cell>
          <cell r="P458">
            <v>142</v>
          </cell>
          <cell r="R458">
            <v>1334.2153819974001</v>
          </cell>
          <cell r="S458">
            <v>0</v>
          </cell>
          <cell r="T458">
            <v>0</v>
          </cell>
          <cell r="U458">
            <v>45</v>
          </cell>
          <cell r="V458">
            <v>8</v>
          </cell>
          <cell r="W458">
            <v>360</v>
          </cell>
          <cell r="X458">
            <v>2.5783299999999998</v>
          </cell>
          <cell r="Y458">
            <v>0</v>
          </cell>
          <cell r="Z458">
            <v>8</v>
          </cell>
          <cell r="AA458">
            <v>360</v>
          </cell>
        </row>
        <row r="459">
          <cell r="B459" t="str">
            <v>N-03-08</v>
          </cell>
          <cell r="C459" t="str">
            <v>FENITOINA .:. 100 mg</v>
          </cell>
          <cell r="D459" t="str">
            <v>Cápsula o Comprimido</v>
          </cell>
          <cell r="E459">
            <v>617</v>
          </cell>
          <cell r="F459">
            <v>240.63</v>
          </cell>
          <cell r="H459">
            <v>3500</v>
          </cell>
          <cell r="J459">
            <v>1365</v>
          </cell>
          <cell r="M459">
            <v>120</v>
          </cell>
          <cell r="N459">
            <v>46.8</v>
          </cell>
          <cell r="P459">
            <v>2767</v>
          </cell>
          <cell r="R459">
            <v>1079.1300000000001</v>
          </cell>
          <cell r="S459">
            <v>0</v>
          </cell>
          <cell r="T459">
            <v>0</v>
          </cell>
          <cell r="U459">
            <v>1470</v>
          </cell>
          <cell r="V459">
            <v>0.39</v>
          </cell>
          <cell r="W459">
            <v>573.29999999999995</v>
          </cell>
          <cell r="X459">
            <v>2.5783299999999998</v>
          </cell>
          <cell r="Y459">
            <v>0</v>
          </cell>
          <cell r="Z459">
            <v>0.39</v>
          </cell>
          <cell r="AA459">
            <v>573.29999999999995</v>
          </cell>
        </row>
        <row r="460">
          <cell r="B460" t="str">
            <v>N-03-12</v>
          </cell>
          <cell r="C460" t="str">
            <v>CLONAZEPAM .:. 2,5 mg/ml</v>
          </cell>
          <cell r="D460" t="str">
            <v>Solución oral</v>
          </cell>
          <cell r="E460">
            <v>38</v>
          </cell>
          <cell r="F460">
            <v>2554.3459259248002</v>
          </cell>
          <cell r="H460">
            <v>275</v>
          </cell>
          <cell r="J460">
            <v>18480</v>
          </cell>
          <cell r="M460">
            <v>0</v>
          </cell>
          <cell r="N460">
            <v>0</v>
          </cell>
          <cell r="P460">
            <v>230</v>
          </cell>
          <cell r="R460">
            <v>15473.345925924799</v>
          </cell>
          <cell r="S460">
            <v>0</v>
          </cell>
          <cell r="T460">
            <v>0</v>
          </cell>
          <cell r="U460">
            <v>83</v>
          </cell>
          <cell r="V460">
            <v>67</v>
          </cell>
          <cell r="W460">
            <v>5561</v>
          </cell>
          <cell r="X460">
            <v>2.5783299999999998</v>
          </cell>
          <cell r="Y460">
            <v>0</v>
          </cell>
          <cell r="Z460">
            <v>67</v>
          </cell>
          <cell r="AA460">
            <v>5561</v>
          </cell>
        </row>
        <row r="461">
          <cell r="B461" t="str">
            <v>N-03-18</v>
          </cell>
          <cell r="C461" t="str">
            <v>LAMOTRIGINA .:. 200mg</v>
          </cell>
          <cell r="D461" t="str">
            <v>Comprimido</v>
          </cell>
          <cell r="E461">
            <v>25</v>
          </cell>
          <cell r="F461">
            <v>235</v>
          </cell>
          <cell r="H461">
            <v>2370</v>
          </cell>
          <cell r="J461">
            <v>23919</v>
          </cell>
          <cell r="M461">
            <v>0</v>
          </cell>
          <cell r="N461">
            <v>0</v>
          </cell>
          <cell r="P461">
            <v>2237</v>
          </cell>
          <cell r="R461">
            <v>22368.6</v>
          </cell>
          <cell r="S461">
            <v>0</v>
          </cell>
          <cell r="T461">
            <v>0</v>
          </cell>
          <cell r="U461">
            <v>158</v>
          </cell>
          <cell r="V461">
            <v>11.3</v>
          </cell>
          <cell r="W461">
            <v>1785.4</v>
          </cell>
          <cell r="X461">
            <v>2.5783299999999998</v>
          </cell>
          <cell r="Y461">
            <v>0</v>
          </cell>
          <cell r="Z461">
            <v>11.3</v>
          </cell>
          <cell r="AA461">
            <v>1785.4</v>
          </cell>
        </row>
        <row r="462">
          <cell r="B462" t="str">
            <v>N-03-20</v>
          </cell>
          <cell r="C462" t="str">
            <v>PREGABALINA 75 MG .:. 75 MG</v>
          </cell>
          <cell r="D462" t="str">
            <v>Cápsula</v>
          </cell>
          <cell r="E462">
            <v>6222</v>
          </cell>
          <cell r="F462">
            <v>5538.4799880341998</v>
          </cell>
          <cell r="H462">
            <v>26000</v>
          </cell>
          <cell r="J462">
            <v>48865</v>
          </cell>
          <cell r="M462">
            <v>46</v>
          </cell>
          <cell r="N462">
            <v>92.127369999999999</v>
          </cell>
          <cell r="P462">
            <v>28468</v>
          </cell>
          <cell r="R462">
            <v>46667.379975980803</v>
          </cell>
          <cell r="S462">
            <v>0</v>
          </cell>
          <cell r="T462">
            <v>0</v>
          </cell>
          <cell r="U462">
            <v>3800</v>
          </cell>
          <cell r="V462">
            <v>2.0600598373999999</v>
          </cell>
          <cell r="W462">
            <v>7828.2273821199997</v>
          </cell>
          <cell r="X462">
            <v>2.5783299999999998</v>
          </cell>
          <cell r="Y462">
            <v>0</v>
          </cell>
          <cell r="Z462">
            <v>2.0600598373999999</v>
          </cell>
          <cell r="AA462">
            <v>7828.2273821199997</v>
          </cell>
        </row>
        <row r="463">
          <cell r="B463" t="str">
            <v>N-03-21</v>
          </cell>
          <cell r="C463" t="str">
            <v>PREGABALINA .:. 150 MG.</v>
          </cell>
          <cell r="D463" t="str">
            <v>Cápsula</v>
          </cell>
          <cell r="E463">
            <v>536</v>
          </cell>
          <cell r="F463">
            <v>704.92237446319996</v>
          </cell>
          <cell r="H463">
            <v>0</v>
          </cell>
          <cell r="J463">
            <v>0</v>
          </cell>
          <cell r="M463">
            <v>0</v>
          </cell>
          <cell r="N463">
            <v>0</v>
          </cell>
          <cell r="P463">
            <v>506</v>
          </cell>
          <cell r="R463">
            <v>665.46776395220002</v>
          </cell>
          <cell r="S463">
            <v>0</v>
          </cell>
          <cell r="T463">
            <v>0</v>
          </cell>
          <cell r="U463">
            <v>30</v>
          </cell>
          <cell r="V463">
            <v>1.3151536837</v>
          </cell>
          <cell r="W463">
            <v>39.454610510999998</v>
          </cell>
          <cell r="X463">
            <v>2.5783299999999998</v>
          </cell>
          <cell r="Y463">
            <v>0</v>
          </cell>
          <cell r="Z463">
            <v>1.3151536837</v>
          </cell>
          <cell r="AA463">
            <v>39.454610510999998</v>
          </cell>
        </row>
        <row r="464">
          <cell r="B464" t="str">
            <v>N-03-22</v>
          </cell>
          <cell r="C464" t="str">
            <v>ACIDO VALPROICO Ò VALPROATO SODICO .:. 200/MG/ML</v>
          </cell>
          <cell r="D464" t="str">
            <v>Jarabe o Solución oral</v>
          </cell>
          <cell r="E464">
            <v>40</v>
          </cell>
          <cell r="F464">
            <v>3962.4</v>
          </cell>
          <cell r="H464">
            <v>0</v>
          </cell>
          <cell r="J464">
            <v>0</v>
          </cell>
          <cell r="M464">
            <v>0</v>
          </cell>
          <cell r="N464">
            <v>0</v>
          </cell>
          <cell r="P464">
            <v>26</v>
          </cell>
          <cell r="R464">
            <v>2575.56</v>
          </cell>
          <cell r="S464">
            <v>0</v>
          </cell>
          <cell r="T464">
            <v>0</v>
          </cell>
          <cell r="U464">
            <v>14</v>
          </cell>
          <cell r="V464">
            <v>99.06</v>
          </cell>
          <cell r="W464">
            <v>1386.84</v>
          </cell>
          <cell r="X464">
            <v>2.5783299999999998</v>
          </cell>
          <cell r="Y464">
            <v>0</v>
          </cell>
          <cell r="Z464">
            <v>99.06</v>
          </cell>
          <cell r="AA464">
            <v>1386.84</v>
          </cell>
        </row>
        <row r="465">
          <cell r="B465" t="str">
            <v>N-04-01</v>
          </cell>
          <cell r="C465" t="str">
            <v>BIPERIDENO CLORHIDRATO .:. 4 mg</v>
          </cell>
          <cell r="D465" t="str">
            <v>Comprimido</v>
          </cell>
          <cell r="E465">
            <v>570</v>
          </cell>
          <cell r="F465">
            <v>1527.6</v>
          </cell>
          <cell r="H465">
            <v>900</v>
          </cell>
          <cell r="J465">
            <v>2691</v>
          </cell>
          <cell r="M465">
            <v>0</v>
          </cell>
          <cell r="N465">
            <v>0</v>
          </cell>
          <cell r="P465">
            <v>1110</v>
          </cell>
          <cell r="R465">
            <v>3180.2175824219999</v>
          </cell>
          <cell r="S465">
            <v>0</v>
          </cell>
          <cell r="T465">
            <v>0</v>
          </cell>
          <cell r="U465">
            <v>360</v>
          </cell>
          <cell r="V465">
            <v>2.8843956043999999</v>
          </cell>
          <cell r="W465">
            <v>1038.382417584</v>
          </cell>
          <cell r="X465">
            <v>2.5783299999999998</v>
          </cell>
          <cell r="Y465">
            <v>0</v>
          </cell>
          <cell r="Z465">
            <v>2.8843956043999999</v>
          </cell>
          <cell r="AA465">
            <v>1038.382417584</v>
          </cell>
        </row>
        <row r="466">
          <cell r="B466" t="str">
            <v>N-04-02</v>
          </cell>
          <cell r="C466" t="str">
            <v>LEVODOPA + CARBIDOPA .:. 250 mg + 25 mg</v>
          </cell>
          <cell r="D466" t="str">
            <v>Comprimido</v>
          </cell>
          <cell r="E466">
            <v>690</v>
          </cell>
          <cell r="F466">
            <v>2070</v>
          </cell>
          <cell r="H466">
            <v>5000</v>
          </cell>
          <cell r="J466">
            <v>15000</v>
          </cell>
          <cell r="M466">
            <v>0</v>
          </cell>
          <cell r="N466">
            <v>0</v>
          </cell>
          <cell r="P466">
            <v>4605</v>
          </cell>
          <cell r="R466">
            <v>13815</v>
          </cell>
          <cell r="S466">
            <v>0</v>
          </cell>
          <cell r="T466">
            <v>0</v>
          </cell>
          <cell r="U466">
            <v>1085</v>
          </cell>
          <cell r="V466">
            <v>3</v>
          </cell>
          <cell r="W466">
            <v>3255</v>
          </cell>
          <cell r="X466">
            <v>2.5783299999999998</v>
          </cell>
          <cell r="Y466">
            <v>0</v>
          </cell>
          <cell r="Z466">
            <v>3</v>
          </cell>
          <cell r="AA466">
            <v>3255</v>
          </cell>
        </row>
        <row r="467">
          <cell r="B467" t="str">
            <v>N-05-01</v>
          </cell>
          <cell r="C467" t="str">
            <v>ALPRAZOLAM .:. 0,5 mg</v>
          </cell>
          <cell r="D467" t="str">
            <v>Comprimido ranurado</v>
          </cell>
          <cell r="E467">
            <v>2018</v>
          </cell>
          <cell r="F467">
            <v>1008.8763141566</v>
          </cell>
          <cell r="H467">
            <v>19000</v>
          </cell>
          <cell r="J467">
            <v>7600</v>
          </cell>
          <cell r="M467">
            <v>9</v>
          </cell>
          <cell r="N467">
            <v>3.6024029999999998</v>
          </cell>
          <cell r="P467">
            <v>15851</v>
          </cell>
          <cell r="R467">
            <v>6540.6939412333004</v>
          </cell>
          <cell r="S467">
            <v>0</v>
          </cell>
          <cell r="T467">
            <v>0</v>
          </cell>
          <cell r="U467">
            <v>5176</v>
          </cell>
          <cell r="V467">
            <v>0.40026753799999998</v>
          </cell>
          <cell r="W467">
            <v>2071.784776688</v>
          </cell>
          <cell r="X467">
            <v>2.5783299999999998</v>
          </cell>
          <cell r="Y467">
            <v>0</v>
          </cell>
          <cell r="Z467">
            <v>0.40026753799999998</v>
          </cell>
          <cell r="AA467">
            <v>2071.784776688</v>
          </cell>
        </row>
        <row r="468">
          <cell r="B468" t="str">
            <v>N-05-05</v>
          </cell>
          <cell r="C468" t="str">
            <v>DIAZEPAM .:. 10 mg</v>
          </cell>
          <cell r="D468" t="str">
            <v>Inyectable</v>
          </cell>
          <cell r="E468">
            <v>12</v>
          </cell>
          <cell r="F468">
            <v>54</v>
          </cell>
          <cell r="H468">
            <v>50</v>
          </cell>
          <cell r="J468">
            <v>348</v>
          </cell>
          <cell r="M468">
            <v>8</v>
          </cell>
          <cell r="N468">
            <v>53.22</v>
          </cell>
          <cell r="P468">
            <v>34</v>
          </cell>
          <cell r="R468">
            <v>204.66</v>
          </cell>
          <cell r="S468">
            <v>0</v>
          </cell>
          <cell r="T468">
            <v>0</v>
          </cell>
          <cell r="U468">
            <v>36</v>
          </cell>
          <cell r="V468">
            <v>6.96</v>
          </cell>
          <cell r="W468">
            <v>250.56</v>
          </cell>
          <cell r="X468">
            <v>2.5783299999999998</v>
          </cell>
          <cell r="Y468">
            <v>0</v>
          </cell>
          <cell r="Z468">
            <v>6.96</v>
          </cell>
          <cell r="AA468">
            <v>250.56</v>
          </cell>
        </row>
        <row r="469">
          <cell r="B469" t="str">
            <v>N-05-11</v>
          </cell>
          <cell r="C469" t="str">
            <v>MIDAZOLAM .:. 15 mg/3 ml</v>
          </cell>
          <cell r="D469" t="str">
            <v>Inyectable</v>
          </cell>
          <cell r="E469">
            <v>171</v>
          </cell>
          <cell r="F469">
            <v>3115.3211650511998</v>
          </cell>
          <cell r="H469">
            <v>200</v>
          </cell>
          <cell r="J469">
            <v>3600</v>
          </cell>
          <cell r="M469">
            <v>47</v>
          </cell>
          <cell r="N469">
            <v>845.89636499999995</v>
          </cell>
          <cell r="P469">
            <v>354</v>
          </cell>
          <cell r="R469">
            <v>6409.3082810530004</v>
          </cell>
          <cell r="S469">
            <v>0</v>
          </cell>
          <cell r="T469">
            <v>0</v>
          </cell>
          <cell r="U469">
            <v>64</v>
          </cell>
          <cell r="V469">
            <v>17.998582015499998</v>
          </cell>
          <cell r="W469">
            <v>1151.9092489919999</v>
          </cell>
          <cell r="X469">
            <v>2.5783299999999998</v>
          </cell>
          <cell r="Y469">
            <v>0</v>
          </cell>
          <cell r="Z469">
            <v>17.998582015499998</v>
          </cell>
          <cell r="AA469">
            <v>1151.9092489919999</v>
          </cell>
        </row>
        <row r="470">
          <cell r="B470" t="str">
            <v>N-05-18</v>
          </cell>
          <cell r="C470" t="str">
            <v>QUETIAPINA .:. 100 mg</v>
          </cell>
          <cell r="D470" t="str">
            <v>Comprimido</v>
          </cell>
          <cell r="E470">
            <v>260</v>
          </cell>
          <cell r="F470">
            <v>1250.08</v>
          </cell>
          <cell r="H470">
            <v>2580</v>
          </cell>
          <cell r="J470">
            <v>10174</v>
          </cell>
          <cell r="M470">
            <v>0</v>
          </cell>
          <cell r="N470">
            <v>0</v>
          </cell>
          <cell r="P470">
            <v>2685</v>
          </cell>
          <cell r="R470">
            <v>10798.809273917999</v>
          </cell>
          <cell r="S470">
            <v>0</v>
          </cell>
          <cell r="T470">
            <v>0</v>
          </cell>
          <cell r="U470">
            <v>155</v>
          </cell>
          <cell r="V470">
            <v>4.0340046838000001</v>
          </cell>
          <cell r="W470">
            <v>625.27072598899997</v>
          </cell>
          <cell r="X470">
            <v>2.5783299999999998</v>
          </cell>
          <cell r="Y470">
            <v>0</v>
          </cell>
          <cell r="Z470">
            <v>4.0340046838000001</v>
          </cell>
          <cell r="AA470">
            <v>625.27072598899997</v>
          </cell>
        </row>
        <row r="471">
          <cell r="B471" t="str">
            <v>N-06-01</v>
          </cell>
          <cell r="C471" t="str">
            <v>AMITRIPTILINA .:. 25 mg</v>
          </cell>
          <cell r="D471" t="str">
            <v>Comprimido ranurado</v>
          </cell>
          <cell r="E471">
            <v>1504</v>
          </cell>
          <cell r="F471">
            <v>586.55999999999995</v>
          </cell>
          <cell r="H471">
            <v>0</v>
          </cell>
          <cell r="J471">
            <v>0</v>
          </cell>
          <cell r="M471">
            <v>0</v>
          </cell>
          <cell r="N471">
            <v>0</v>
          </cell>
          <cell r="P471">
            <v>1347</v>
          </cell>
          <cell r="R471">
            <v>525.33000000000004</v>
          </cell>
          <cell r="S471">
            <v>0</v>
          </cell>
          <cell r="T471">
            <v>0</v>
          </cell>
          <cell r="U471">
            <v>157</v>
          </cell>
          <cell r="V471">
            <v>0.39</v>
          </cell>
          <cell r="W471">
            <v>61.23</v>
          </cell>
          <cell r="X471">
            <v>2.5783299999999998</v>
          </cell>
          <cell r="Y471">
            <v>0</v>
          </cell>
          <cell r="Z471">
            <v>0.39</v>
          </cell>
          <cell r="AA471">
            <v>61.23</v>
          </cell>
        </row>
        <row r="472">
          <cell r="B472" t="str">
            <v>N-06-04</v>
          </cell>
          <cell r="C472" t="str">
            <v>FLUOXETINA .:. 20 mg</v>
          </cell>
          <cell r="D472" t="str">
            <v>Cápsula o Comprimido</v>
          </cell>
          <cell r="E472">
            <v>3437</v>
          </cell>
          <cell r="F472">
            <v>1282.2289490577</v>
          </cell>
          <cell r="H472">
            <v>7000</v>
          </cell>
          <cell r="J472">
            <v>3080</v>
          </cell>
          <cell r="M472">
            <v>22</v>
          </cell>
          <cell r="N472">
            <v>9.2952200000000005</v>
          </cell>
          <cell r="P472">
            <v>9790</v>
          </cell>
          <cell r="R472">
            <v>4088.9684733407998</v>
          </cell>
          <cell r="S472">
            <v>0</v>
          </cell>
          <cell r="T472">
            <v>0</v>
          </cell>
          <cell r="U472">
            <v>669</v>
          </cell>
          <cell r="V472">
            <v>0.42235529979999997</v>
          </cell>
          <cell r="W472">
            <v>282.55569556619997</v>
          </cell>
          <cell r="X472">
            <v>2.5783299999999998</v>
          </cell>
          <cell r="Y472">
            <v>0</v>
          </cell>
          <cell r="Z472">
            <v>0.42235529979999997</v>
          </cell>
          <cell r="AA472">
            <v>282.55569556619997</v>
          </cell>
        </row>
        <row r="473">
          <cell r="B473" t="str">
            <v>N-06-08</v>
          </cell>
          <cell r="C473" t="str">
            <v>DULOXETINA .:. 30mg</v>
          </cell>
          <cell r="D473" t="str">
            <v>Cápsula</v>
          </cell>
          <cell r="E473">
            <v>87</v>
          </cell>
          <cell r="F473">
            <v>315.88791044880003</v>
          </cell>
          <cell r="H473">
            <v>5500</v>
          </cell>
          <cell r="J473">
            <v>25753</v>
          </cell>
          <cell r="M473">
            <v>13</v>
          </cell>
          <cell r="N473">
            <v>98.12894</v>
          </cell>
          <cell r="P473">
            <v>5551</v>
          </cell>
          <cell r="R473">
            <v>25797.146210815899</v>
          </cell>
          <cell r="S473">
            <v>0</v>
          </cell>
          <cell r="T473">
            <v>0</v>
          </cell>
          <cell r="U473">
            <v>49</v>
          </cell>
          <cell r="V473">
            <v>7.5483804006000002</v>
          </cell>
          <cell r="W473">
            <v>369.87063962939999</v>
          </cell>
          <cell r="X473">
            <v>2.5783299999999998</v>
          </cell>
          <cell r="Y473">
            <v>0</v>
          </cell>
          <cell r="Z473">
            <v>7.5483804006000002</v>
          </cell>
          <cell r="AA473">
            <v>369.87063962939999</v>
          </cell>
        </row>
        <row r="474">
          <cell r="B474" t="str">
            <v>N-07-01</v>
          </cell>
          <cell r="C474" t="str">
            <v>DIMENHIDRINATO .:. 50 mg</v>
          </cell>
          <cell r="D474" t="str">
            <v>Comprimido</v>
          </cell>
          <cell r="E474">
            <v>151</v>
          </cell>
          <cell r="F474">
            <v>74.988110000000006</v>
          </cell>
          <cell r="H474">
            <v>3700</v>
          </cell>
          <cell r="J474">
            <v>1482</v>
          </cell>
          <cell r="M474">
            <v>10</v>
          </cell>
          <cell r="N474">
            <v>4.5999999999999996</v>
          </cell>
          <cell r="P474">
            <v>2555</v>
          </cell>
          <cell r="R474">
            <v>1104.48811</v>
          </cell>
          <cell r="S474">
            <v>0</v>
          </cell>
          <cell r="T474">
            <v>0</v>
          </cell>
          <cell r="U474">
            <v>1306</v>
          </cell>
          <cell r="V474">
            <v>0.35</v>
          </cell>
          <cell r="W474">
            <v>457.1</v>
          </cell>
          <cell r="X474">
            <v>2.5783299999999998</v>
          </cell>
          <cell r="Y474">
            <v>0</v>
          </cell>
          <cell r="Z474">
            <v>0.35</v>
          </cell>
          <cell r="AA474">
            <v>457.1</v>
          </cell>
        </row>
        <row r="475">
          <cell r="B475" t="str">
            <v>N-07-05</v>
          </cell>
          <cell r="C475" t="str">
            <v>NEOSTIGMINA .:. 0,5 mg/ml</v>
          </cell>
          <cell r="D475" t="str">
            <v>Inyectable</v>
          </cell>
          <cell r="E475">
            <v>11</v>
          </cell>
          <cell r="F475">
            <v>47.035218999999998</v>
          </cell>
          <cell r="H475">
            <v>180</v>
          </cell>
          <cell r="J475">
            <v>1080</v>
          </cell>
          <cell r="M475">
            <v>0</v>
          </cell>
          <cell r="N475">
            <v>0</v>
          </cell>
          <cell r="P475">
            <v>80</v>
          </cell>
          <cell r="R475">
            <v>461.03521899999998</v>
          </cell>
          <cell r="S475">
            <v>0</v>
          </cell>
          <cell r="T475">
            <v>0</v>
          </cell>
          <cell r="U475">
            <v>111</v>
          </cell>
          <cell r="V475">
            <v>6</v>
          </cell>
          <cell r="W475">
            <v>666</v>
          </cell>
          <cell r="X475">
            <v>2.5783299999999998</v>
          </cell>
          <cell r="Y475">
            <v>0</v>
          </cell>
          <cell r="Z475">
            <v>6</v>
          </cell>
          <cell r="AA475">
            <v>666</v>
          </cell>
        </row>
        <row r="476">
          <cell r="B476" t="str">
            <v>N-07-06</v>
          </cell>
          <cell r="C476" t="str">
            <v>PIRIDOSTIGMINA .:. 60 mg</v>
          </cell>
          <cell r="D476" t="str">
            <v>Comprimido</v>
          </cell>
          <cell r="E476">
            <v>0</v>
          </cell>
          <cell r="F476">
            <v>0</v>
          </cell>
          <cell r="H476">
            <v>300</v>
          </cell>
          <cell r="J476">
            <v>1650</v>
          </cell>
          <cell r="M476">
            <v>0</v>
          </cell>
          <cell r="N476">
            <v>0</v>
          </cell>
          <cell r="P476">
            <v>90</v>
          </cell>
          <cell r="R476">
            <v>495</v>
          </cell>
          <cell r="S476">
            <v>0</v>
          </cell>
          <cell r="T476">
            <v>0</v>
          </cell>
          <cell r="U476">
            <v>210</v>
          </cell>
          <cell r="V476">
            <v>5.5</v>
          </cell>
          <cell r="W476">
            <v>1155</v>
          </cell>
          <cell r="X476">
            <v>2.5783299999999998</v>
          </cell>
          <cell r="Y476">
            <v>0</v>
          </cell>
          <cell r="Z476">
            <v>5.5</v>
          </cell>
          <cell r="AA476">
            <v>1155</v>
          </cell>
        </row>
        <row r="477">
          <cell r="B477" t="str">
            <v>N-07-08</v>
          </cell>
          <cell r="C477" t="str">
            <v>FLUNARIZINA .:. 10 mg</v>
          </cell>
          <cell r="D477" t="str">
            <v>Comprimido</v>
          </cell>
          <cell r="E477">
            <v>921</v>
          </cell>
          <cell r="F477">
            <v>331.56</v>
          </cell>
          <cell r="H477">
            <v>3500</v>
          </cell>
          <cell r="J477">
            <v>1260</v>
          </cell>
          <cell r="M477">
            <v>0</v>
          </cell>
          <cell r="N477">
            <v>0</v>
          </cell>
          <cell r="P477">
            <v>3567</v>
          </cell>
          <cell r="R477">
            <v>1284.1199999999999</v>
          </cell>
          <cell r="S477">
            <v>0</v>
          </cell>
          <cell r="T477">
            <v>0</v>
          </cell>
          <cell r="U477">
            <v>854</v>
          </cell>
          <cell r="V477">
            <v>0.36</v>
          </cell>
          <cell r="W477">
            <v>307.44</v>
          </cell>
          <cell r="X477">
            <v>2.5783299999999998</v>
          </cell>
          <cell r="Y477">
            <v>0</v>
          </cell>
          <cell r="Z477">
            <v>0.36</v>
          </cell>
          <cell r="AA477">
            <v>307.44</v>
          </cell>
        </row>
        <row r="478">
          <cell r="B478" t="str">
            <v>P-01-07</v>
          </cell>
          <cell r="C478" t="str">
            <v>METRONIDAZOL .:. 500 mg</v>
          </cell>
          <cell r="D478" t="str">
            <v>Inyectable</v>
          </cell>
          <cell r="E478">
            <v>79</v>
          </cell>
          <cell r="F478">
            <v>520.35536761870003</v>
          </cell>
          <cell r="H478">
            <v>580</v>
          </cell>
          <cell r="J478">
            <v>5156.2</v>
          </cell>
          <cell r="M478">
            <v>101</v>
          </cell>
          <cell r="N478">
            <v>887.10313299999996</v>
          </cell>
          <cell r="P478">
            <v>540</v>
          </cell>
          <cell r="R478">
            <v>4636.1158948324</v>
          </cell>
          <cell r="S478">
            <v>0</v>
          </cell>
          <cell r="T478">
            <v>0</v>
          </cell>
          <cell r="U478">
            <v>220</v>
          </cell>
          <cell r="V478">
            <v>8.7615572987999997</v>
          </cell>
          <cell r="W478">
            <v>1927.542605736</v>
          </cell>
          <cell r="X478">
            <v>2.5783299999999998</v>
          </cell>
          <cell r="Y478">
            <v>0</v>
          </cell>
          <cell r="Z478">
            <v>8.7615572987999997</v>
          </cell>
          <cell r="AA478">
            <v>1927.542605736</v>
          </cell>
        </row>
        <row r="479">
          <cell r="B479" t="str">
            <v>P-01-09</v>
          </cell>
          <cell r="C479" t="str">
            <v>METRONIDAZOL .:. 500 mg</v>
          </cell>
          <cell r="D479" t="str">
            <v>Comprimido</v>
          </cell>
          <cell r="E479">
            <v>469</v>
          </cell>
          <cell r="F479">
            <v>178.85233492489999</v>
          </cell>
          <cell r="H479">
            <v>750</v>
          </cell>
          <cell r="J479">
            <v>300</v>
          </cell>
          <cell r="M479">
            <v>0</v>
          </cell>
          <cell r="N479">
            <v>0</v>
          </cell>
          <cell r="P479">
            <v>1098</v>
          </cell>
          <cell r="R479">
            <v>430.45233492490001</v>
          </cell>
          <cell r="S479">
            <v>0</v>
          </cell>
          <cell r="T479">
            <v>0</v>
          </cell>
          <cell r="U479">
            <v>121</v>
          </cell>
          <cell r="V479">
            <v>0.4</v>
          </cell>
          <cell r="W479">
            <v>48.4</v>
          </cell>
          <cell r="X479">
            <v>2.5783299999999998</v>
          </cell>
          <cell r="Y479">
            <v>0</v>
          </cell>
          <cell r="Z479">
            <v>0.4</v>
          </cell>
          <cell r="AA479">
            <v>48.4</v>
          </cell>
        </row>
        <row r="480">
          <cell r="B480" t="str">
            <v>P-01-11</v>
          </cell>
          <cell r="C480" t="str">
            <v>NITAZOXANIDA .:. 500 mg</v>
          </cell>
          <cell r="D480" t="str">
            <v>Comprimido</v>
          </cell>
          <cell r="E480">
            <v>449</v>
          </cell>
          <cell r="F480">
            <v>673.5</v>
          </cell>
          <cell r="H480">
            <v>0</v>
          </cell>
          <cell r="J480">
            <v>0</v>
          </cell>
          <cell r="M480">
            <v>0</v>
          </cell>
          <cell r="N480">
            <v>0</v>
          </cell>
          <cell r="P480">
            <v>348</v>
          </cell>
          <cell r="R480">
            <v>522</v>
          </cell>
          <cell r="S480">
            <v>0</v>
          </cell>
          <cell r="T480">
            <v>0</v>
          </cell>
          <cell r="U480">
            <v>101</v>
          </cell>
          <cell r="V480">
            <v>1.5</v>
          </cell>
          <cell r="W480">
            <v>151.5</v>
          </cell>
          <cell r="X480">
            <v>2.5783299999999998</v>
          </cell>
          <cell r="Y480">
            <v>0</v>
          </cell>
          <cell r="Z480">
            <v>1.5</v>
          </cell>
          <cell r="AA480">
            <v>151.5</v>
          </cell>
        </row>
        <row r="481">
          <cell r="B481" t="str">
            <v>P-01-27</v>
          </cell>
          <cell r="C481" t="str">
            <v>HIDROXICLOROQUINA SULFATO .:. 200 mg</v>
          </cell>
          <cell r="D481" t="str">
            <v>Comprimido</v>
          </cell>
          <cell r="E481">
            <v>100</v>
          </cell>
          <cell r="F481">
            <v>359.98668442000002</v>
          </cell>
          <cell r="H481">
            <v>4200</v>
          </cell>
          <cell r="J481">
            <v>16902</v>
          </cell>
          <cell r="M481">
            <v>0</v>
          </cell>
          <cell r="N481">
            <v>0</v>
          </cell>
          <cell r="P481">
            <v>3831</v>
          </cell>
          <cell r="R481">
            <v>15363.066622321199</v>
          </cell>
          <cell r="S481">
            <v>0</v>
          </cell>
          <cell r="T481">
            <v>0</v>
          </cell>
          <cell r="U481">
            <v>469</v>
          </cell>
          <cell r="V481">
            <v>4.0488700682000003</v>
          </cell>
          <cell r="W481">
            <v>1898.9200619858</v>
          </cell>
          <cell r="X481">
            <v>2.5783299999999998</v>
          </cell>
          <cell r="Y481">
            <v>0</v>
          </cell>
          <cell r="Z481">
            <v>4.0488700682000003</v>
          </cell>
          <cell r="AA481">
            <v>1898.9200619858</v>
          </cell>
        </row>
        <row r="482">
          <cell r="B482" t="str">
            <v>P-02-01</v>
          </cell>
          <cell r="C482" t="str">
            <v>ALBENDAZOL .:. 200 mg</v>
          </cell>
          <cell r="D482" t="str">
            <v>Comprimido</v>
          </cell>
          <cell r="E482">
            <v>245</v>
          </cell>
          <cell r="F482">
            <v>294.26782733599998</v>
          </cell>
          <cell r="H482">
            <v>0</v>
          </cell>
          <cell r="J482">
            <v>0</v>
          </cell>
          <cell r="M482">
            <v>0</v>
          </cell>
          <cell r="N482">
            <v>0</v>
          </cell>
          <cell r="P482">
            <v>245</v>
          </cell>
          <cell r="R482">
            <v>294.26782733599998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2.5783299999999998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P-02-02</v>
          </cell>
          <cell r="C483" t="str">
            <v>ALBENDAZOL .:. 200 mg/5 ml</v>
          </cell>
          <cell r="D483" t="str">
            <v>Suspensión</v>
          </cell>
          <cell r="E483">
            <v>5</v>
          </cell>
          <cell r="F483">
            <v>49</v>
          </cell>
          <cell r="H483">
            <v>20</v>
          </cell>
          <cell r="J483">
            <v>196</v>
          </cell>
          <cell r="M483">
            <v>0</v>
          </cell>
          <cell r="N483">
            <v>0</v>
          </cell>
          <cell r="P483">
            <v>5</v>
          </cell>
          <cell r="R483">
            <v>49</v>
          </cell>
          <cell r="S483">
            <v>0</v>
          </cell>
          <cell r="T483">
            <v>0</v>
          </cell>
          <cell r="U483">
            <v>20</v>
          </cell>
          <cell r="V483">
            <v>9.8000000000000007</v>
          </cell>
          <cell r="W483">
            <v>196</v>
          </cell>
          <cell r="X483">
            <v>2.5783299999999998</v>
          </cell>
          <cell r="Y483">
            <v>0</v>
          </cell>
          <cell r="Z483">
            <v>9.8000000000000007</v>
          </cell>
          <cell r="AA483">
            <v>196</v>
          </cell>
        </row>
        <row r="484">
          <cell r="B484" t="str">
            <v>P-02-03</v>
          </cell>
          <cell r="C484" t="str">
            <v>MEBENDAZOL .:. 100 mg</v>
          </cell>
          <cell r="D484" t="str">
            <v>Comprimido</v>
          </cell>
          <cell r="E484">
            <v>62</v>
          </cell>
          <cell r="F484">
            <v>12.773239999999999</v>
          </cell>
          <cell r="H484">
            <v>0</v>
          </cell>
          <cell r="J484">
            <v>0</v>
          </cell>
          <cell r="M484">
            <v>44</v>
          </cell>
          <cell r="N484">
            <v>9.24</v>
          </cell>
          <cell r="P484">
            <v>18</v>
          </cell>
          <cell r="R484">
            <v>3.7083599999999999</v>
          </cell>
          <cell r="S484">
            <v>44</v>
          </cell>
          <cell r="T484">
            <v>9.0648800000000005</v>
          </cell>
          <cell r="U484">
            <v>44</v>
          </cell>
          <cell r="V484">
            <v>0.21</v>
          </cell>
          <cell r="W484">
            <v>9.24</v>
          </cell>
          <cell r="X484">
            <v>2.5783299999999998</v>
          </cell>
          <cell r="Y484">
            <v>0</v>
          </cell>
          <cell r="Z484">
            <v>0.21</v>
          </cell>
          <cell r="AA484">
            <v>9.24</v>
          </cell>
        </row>
        <row r="485">
          <cell r="B485" t="str">
            <v>P-02-05</v>
          </cell>
          <cell r="C485" t="str">
            <v>MEBENDAZOL .:. 500 mg</v>
          </cell>
          <cell r="D485" t="str">
            <v>Comprimido</v>
          </cell>
          <cell r="E485">
            <v>217</v>
          </cell>
          <cell r="F485">
            <v>425.664379</v>
          </cell>
          <cell r="H485">
            <v>0</v>
          </cell>
          <cell r="J485">
            <v>0</v>
          </cell>
          <cell r="M485">
            <v>0</v>
          </cell>
          <cell r="N485">
            <v>0</v>
          </cell>
          <cell r="P485">
            <v>217</v>
          </cell>
          <cell r="R485">
            <v>425.664379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2.5783299999999998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P-02-14</v>
          </cell>
          <cell r="C486" t="str">
            <v>IVERMECTINA .:. 6 MG</v>
          </cell>
          <cell r="D486" t="str">
            <v>Comprimido</v>
          </cell>
          <cell r="E486">
            <v>954</v>
          </cell>
          <cell r="F486">
            <v>4293</v>
          </cell>
          <cell r="H486">
            <v>0</v>
          </cell>
          <cell r="J486">
            <v>0</v>
          </cell>
          <cell r="M486">
            <v>0</v>
          </cell>
          <cell r="N486">
            <v>0</v>
          </cell>
          <cell r="P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954</v>
          </cell>
          <cell r="V486">
            <v>4.5</v>
          </cell>
          <cell r="W486">
            <v>4293</v>
          </cell>
          <cell r="X486">
            <v>2.5783299999999998</v>
          </cell>
          <cell r="Y486">
            <v>0</v>
          </cell>
          <cell r="Z486">
            <v>4.5</v>
          </cell>
          <cell r="AA486">
            <v>4293</v>
          </cell>
        </row>
        <row r="487">
          <cell r="B487" t="str">
            <v>P-03-01</v>
          </cell>
          <cell r="C487" t="str">
            <v>BENZOATO DE BENCILO .:. 20% o 25%</v>
          </cell>
          <cell r="D487" t="str">
            <v>Solución o Loción</v>
          </cell>
          <cell r="E487">
            <v>10</v>
          </cell>
          <cell r="F487">
            <v>80</v>
          </cell>
          <cell r="H487">
            <v>0</v>
          </cell>
          <cell r="J487">
            <v>0</v>
          </cell>
          <cell r="M487">
            <v>0</v>
          </cell>
          <cell r="N487">
            <v>0</v>
          </cell>
          <cell r="P487">
            <v>10</v>
          </cell>
          <cell r="R487">
            <v>80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2.5783299999999998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QU-01-15</v>
          </cell>
          <cell r="C488" t="str">
            <v>SONDA DE INTUBACION  K-14 SONDA DE INTUBACION  K-14  .:. s/d</v>
          </cell>
          <cell r="D488" t="str">
            <v>Pieza</v>
          </cell>
          <cell r="E488">
            <v>6</v>
          </cell>
          <cell r="F488">
            <v>21.84</v>
          </cell>
          <cell r="H488">
            <v>0</v>
          </cell>
          <cell r="J488">
            <v>0</v>
          </cell>
          <cell r="M488">
            <v>6</v>
          </cell>
          <cell r="N488">
            <v>21.84</v>
          </cell>
          <cell r="P488">
            <v>0</v>
          </cell>
          <cell r="R488">
            <v>0</v>
          </cell>
          <cell r="S488">
            <v>6</v>
          </cell>
          <cell r="T488">
            <v>21.84</v>
          </cell>
          <cell r="U488">
            <v>6</v>
          </cell>
          <cell r="V488">
            <v>3.64</v>
          </cell>
          <cell r="W488">
            <v>21.84</v>
          </cell>
          <cell r="X488">
            <v>2.5783299999999998</v>
          </cell>
          <cell r="Y488">
            <v>0</v>
          </cell>
          <cell r="Z488">
            <v>3.64</v>
          </cell>
          <cell r="AA488">
            <v>21.84</v>
          </cell>
        </row>
        <row r="489">
          <cell r="B489" t="str">
            <v>QU-01-18</v>
          </cell>
          <cell r="C489" t="str">
            <v>SONDA DE ALIMENTACION  K-35 SONDA DE ALIMENTACION  K-35  .:. s/d</v>
          </cell>
          <cell r="D489" t="str">
            <v>Unidad</v>
          </cell>
          <cell r="E489">
            <v>5</v>
          </cell>
          <cell r="F489">
            <v>135.16999999999999</v>
          </cell>
          <cell r="H489">
            <v>0</v>
          </cell>
          <cell r="J489">
            <v>0</v>
          </cell>
          <cell r="M489">
            <v>5</v>
          </cell>
          <cell r="N489">
            <v>135.16999999999999</v>
          </cell>
          <cell r="P489">
            <v>0</v>
          </cell>
          <cell r="R489">
            <v>0</v>
          </cell>
          <cell r="S489">
            <v>5</v>
          </cell>
          <cell r="T489">
            <v>135.16999999999999</v>
          </cell>
          <cell r="U489">
            <v>5</v>
          </cell>
          <cell r="V489">
            <v>27.033999999999999</v>
          </cell>
          <cell r="W489">
            <v>135.16999999999999</v>
          </cell>
          <cell r="X489">
            <v>2.5783299999999998</v>
          </cell>
          <cell r="Y489">
            <v>0</v>
          </cell>
          <cell r="Z489">
            <v>27.033999999999999</v>
          </cell>
          <cell r="AA489">
            <v>135.16999999999999</v>
          </cell>
        </row>
        <row r="490">
          <cell r="B490" t="str">
            <v>R-03-01</v>
          </cell>
          <cell r="C490" t="str">
            <v>AMINOFILINA .:. 250mg/10ml</v>
          </cell>
          <cell r="D490" t="str">
            <v>Inyectable</v>
          </cell>
          <cell r="E490">
            <v>11</v>
          </cell>
          <cell r="F490">
            <v>57.189990000000002</v>
          </cell>
          <cell r="H490">
            <v>0</v>
          </cell>
          <cell r="J490">
            <v>0</v>
          </cell>
          <cell r="M490">
            <v>11</v>
          </cell>
          <cell r="N490">
            <v>57.19</v>
          </cell>
          <cell r="P490">
            <v>0</v>
          </cell>
          <cell r="R490">
            <v>0</v>
          </cell>
          <cell r="S490">
            <v>22</v>
          </cell>
          <cell r="T490">
            <v>114.37999000009999</v>
          </cell>
          <cell r="U490">
            <v>0</v>
          </cell>
          <cell r="V490">
            <v>0</v>
          </cell>
          <cell r="W490">
            <v>0</v>
          </cell>
          <cell r="X490">
            <v>2.5783299999999998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R-03-03</v>
          </cell>
          <cell r="C491" t="str">
            <v>BECLOMETASONA DIPROPIONATO .:. 50 mcg/inhalación</v>
          </cell>
          <cell r="D491" t="str">
            <v>Aerosol</v>
          </cell>
          <cell r="E491">
            <v>95</v>
          </cell>
          <cell r="F491">
            <v>3552.4123711349998</v>
          </cell>
          <cell r="H491">
            <v>0</v>
          </cell>
          <cell r="J491">
            <v>0</v>
          </cell>
          <cell r="M491">
            <v>21</v>
          </cell>
          <cell r="N491">
            <v>785.27</v>
          </cell>
          <cell r="P491">
            <v>43</v>
          </cell>
          <cell r="R491">
            <v>1607.9339963614</v>
          </cell>
          <cell r="S491">
            <v>21</v>
          </cell>
          <cell r="T491">
            <v>785.27010309299999</v>
          </cell>
          <cell r="U491">
            <v>52</v>
          </cell>
          <cell r="V491">
            <v>37.393812916900004</v>
          </cell>
          <cell r="W491">
            <v>1944.4782716788</v>
          </cell>
          <cell r="X491">
            <v>2.5783299999999998</v>
          </cell>
          <cell r="Y491">
            <v>0</v>
          </cell>
          <cell r="Z491">
            <v>37.393812916900004</v>
          </cell>
          <cell r="AA491">
            <v>1944.4782716788</v>
          </cell>
        </row>
        <row r="492">
          <cell r="B492" t="str">
            <v>R-03-06</v>
          </cell>
          <cell r="C492" t="str">
            <v>SALBUTAMOL .:. 0,1 mg/inhalación</v>
          </cell>
          <cell r="D492" t="str">
            <v>Aerosol</v>
          </cell>
          <cell r="E492">
            <v>38</v>
          </cell>
          <cell r="F492">
            <v>608</v>
          </cell>
          <cell r="H492">
            <v>140</v>
          </cell>
          <cell r="J492">
            <v>2212</v>
          </cell>
          <cell r="M492">
            <v>0</v>
          </cell>
          <cell r="N492">
            <v>0</v>
          </cell>
          <cell r="P492">
            <v>149</v>
          </cell>
          <cell r="R492">
            <v>2361.7183098582</v>
          </cell>
          <cell r="S492">
            <v>0</v>
          </cell>
          <cell r="T492">
            <v>0</v>
          </cell>
          <cell r="U492">
            <v>29</v>
          </cell>
          <cell r="V492">
            <v>15.8028169014</v>
          </cell>
          <cell r="W492">
            <v>458.28169014060001</v>
          </cell>
          <cell r="X492">
            <v>2.5783299999999998</v>
          </cell>
          <cell r="Y492">
            <v>0</v>
          </cell>
          <cell r="Z492">
            <v>15.8028169014</v>
          </cell>
          <cell r="AA492">
            <v>458.28169014060001</v>
          </cell>
        </row>
        <row r="493">
          <cell r="B493" t="str">
            <v>R-03-11</v>
          </cell>
          <cell r="C493" t="str">
            <v>SALMETEROL + FLUTICASONA .:. 25 mcg + 125 mcg</v>
          </cell>
          <cell r="D493" t="str">
            <v>Aerosol</v>
          </cell>
          <cell r="E493">
            <v>39</v>
          </cell>
          <cell r="F493">
            <v>2764.3965068148</v>
          </cell>
          <cell r="H493">
            <v>220</v>
          </cell>
          <cell r="J493">
            <v>18598.5</v>
          </cell>
          <cell r="M493">
            <v>3</v>
          </cell>
          <cell r="N493">
            <v>224.97</v>
          </cell>
          <cell r="P493">
            <v>210</v>
          </cell>
          <cell r="R493">
            <v>16127.8665068148</v>
          </cell>
          <cell r="S493">
            <v>0</v>
          </cell>
          <cell r="T493">
            <v>0</v>
          </cell>
          <cell r="U493">
            <v>52</v>
          </cell>
          <cell r="V493">
            <v>105</v>
          </cell>
          <cell r="W493">
            <v>5460</v>
          </cell>
          <cell r="X493">
            <v>2.5783299999999998</v>
          </cell>
          <cell r="Y493">
            <v>0</v>
          </cell>
          <cell r="Z493">
            <v>105</v>
          </cell>
          <cell r="AA493">
            <v>5460</v>
          </cell>
        </row>
        <row r="494">
          <cell r="B494" t="str">
            <v>R-03-13</v>
          </cell>
          <cell r="C494" t="str">
            <v>MONTELUKAST .:. 10mg</v>
          </cell>
          <cell r="D494" t="str">
            <v>Comprimido o Cápsula</v>
          </cell>
          <cell r="E494">
            <v>96</v>
          </cell>
          <cell r="F494">
            <v>240</v>
          </cell>
          <cell r="H494">
            <v>1850</v>
          </cell>
          <cell r="J494">
            <v>4625</v>
          </cell>
          <cell r="M494">
            <v>0</v>
          </cell>
          <cell r="N494">
            <v>0</v>
          </cell>
          <cell r="P494">
            <v>1513</v>
          </cell>
          <cell r="R494">
            <v>3782.5</v>
          </cell>
          <cell r="S494">
            <v>0</v>
          </cell>
          <cell r="T494">
            <v>0</v>
          </cell>
          <cell r="U494">
            <v>433</v>
          </cell>
          <cell r="V494">
            <v>2.5</v>
          </cell>
          <cell r="W494">
            <v>1082.5</v>
          </cell>
          <cell r="X494">
            <v>2.5783299999999998</v>
          </cell>
          <cell r="Y494">
            <v>0</v>
          </cell>
          <cell r="Z494">
            <v>2.5</v>
          </cell>
          <cell r="AA494">
            <v>1082.5</v>
          </cell>
        </row>
        <row r="495">
          <cell r="B495" t="str">
            <v>R-05-01</v>
          </cell>
          <cell r="C495" t="str">
            <v>ANTIGRIPAL (PARACETAMOL + ANTIHISTAMINICO + VASOCONSTRICTOR CON O SIN CAFEINA) .:. Según disponibilidad</v>
          </cell>
          <cell r="D495" t="str">
            <v>Comprimido</v>
          </cell>
          <cell r="E495">
            <v>9742</v>
          </cell>
          <cell r="F495">
            <v>2564.9356139063998</v>
          </cell>
          <cell r="H495">
            <v>5000</v>
          </cell>
          <cell r="J495">
            <v>2200</v>
          </cell>
          <cell r="M495">
            <v>0</v>
          </cell>
          <cell r="N495">
            <v>0</v>
          </cell>
          <cell r="P495">
            <v>9274</v>
          </cell>
          <cell r="R495">
            <v>2506.8289340943002</v>
          </cell>
          <cell r="S495">
            <v>0</v>
          </cell>
          <cell r="T495">
            <v>0</v>
          </cell>
          <cell r="U495">
            <v>5468</v>
          </cell>
          <cell r="V495">
            <v>0.4129675713</v>
          </cell>
          <cell r="W495">
            <v>2258.1066798684001</v>
          </cell>
          <cell r="X495">
            <v>2.5783299999999998</v>
          </cell>
          <cell r="Y495">
            <v>0</v>
          </cell>
          <cell r="Z495">
            <v>0.4129675713</v>
          </cell>
          <cell r="AA495">
            <v>2258.1066798684001</v>
          </cell>
        </row>
        <row r="496">
          <cell r="B496" t="str">
            <v>R-05-02</v>
          </cell>
          <cell r="C496" t="str">
            <v>CODEINA .:. 10 mg/5 ml</v>
          </cell>
          <cell r="D496" t="str">
            <v>Jarabe</v>
          </cell>
          <cell r="E496">
            <v>42</v>
          </cell>
          <cell r="F496">
            <v>621.49826989739995</v>
          </cell>
          <cell r="H496">
            <v>500</v>
          </cell>
          <cell r="J496">
            <v>8500</v>
          </cell>
          <cell r="M496">
            <v>0</v>
          </cell>
          <cell r="N496">
            <v>0</v>
          </cell>
          <cell r="P496">
            <v>242</v>
          </cell>
          <cell r="R496">
            <v>4021.4982698974</v>
          </cell>
          <cell r="S496">
            <v>0</v>
          </cell>
          <cell r="T496">
            <v>0</v>
          </cell>
          <cell r="U496">
            <v>300</v>
          </cell>
          <cell r="V496">
            <v>17</v>
          </cell>
          <cell r="W496">
            <v>5100</v>
          </cell>
          <cell r="X496">
            <v>2.5783299999999998</v>
          </cell>
          <cell r="Y496">
            <v>0</v>
          </cell>
          <cell r="Z496">
            <v>17</v>
          </cell>
          <cell r="AA496">
            <v>5100</v>
          </cell>
        </row>
        <row r="497">
          <cell r="B497" t="str">
            <v>R-05-03</v>
          </cell>
          <cell r="C497" t="str">
            <v>DEXTROMETORFANO BROMHIDRATO .:. 10 mg/5 ml</v>
          </cell>
          <cell r="D497" t="str">
            <v>Jarabe</v>
          </cell>
          <cell r="E497">
            <v>741</v>
          </cell>
          <cell r="F497">
            <v>3875.3502651396002</v>
          </cell>
          <cell r="H497">
            <v>650</v>
          </cell>
          <cell r="J497">
            <v>4700</v>
          </cell>
          <cell r="M497">
            <v>0</v>
          </cell>
          <cell r="N497">
            <v>0</v>
          </cell>
          <cell r="P497">
            <v>1130</v>
          </cell>
          <cell r="R497">
            <v>6576.9737404286998</v>
          </cell>
          <cell r="S497">
            <v>0</v>
          </cell>
          <cell r="T497">
            <v>0</v>
          </cell>
          <cell r="U497">
            <v>261</v>
          </cell>
          <cell r="V497">
            <v>7.6566150373999999</v>
          </cell>
          <cell r="W497">
            <v>1998.3765247614001</v>
          </cell>
          <cell r="X497">
            <v>2.5783299999999998</v>
          </cell>
          <cell r="Y497">
            <v>0</v>
          </cell>
          <cell r="Z497">
            <v>7.6566150373999999</v>
          </cell>
          <cell r="AA497">
            <v>1998.3765247614001</v>
          </cell>
        </row>
        <row r="498">
          <cell r="B498" t="str">
            <v>R-06-01</v>
          </cell>
          <cell r="C498" t="str">
            <v>CLORFENAMINA (CLORFENIRAMINA) .:. 4 mg</v>
          </cell>
          <cell r="D498" t="str">
            <v>Comprimido</v>
          </cell>
          <cell r="E498">
            <v>737</v>
          </cell>
          <cell r="F498">
            <v>99.077696744400001</v>
          </cell>
          <cell r="H498">
            <v>0</v>
          </cell>
          <cell r="J498">
            <v>0</v>
          </cell>
          <cell r="M498">
            <v>0</v>
          </cell>
          <cell r="N498">
            <v>0</v>
          </cell>
          <cell r="P498">
            <v>604</v>
          </cell>
          <cell r="R498">
            <v>81.198003844799999</v>
          </cell>
          <cell r="S498">
            <v>0</v>
          </cell>
          <cell r="T498">
            <v>0</v>
          </cell>
          <cell r="U498">
            <v>133</v>
          </cell>
          <cell r="V498">
            <v>0.13443378119999999</v>
          </cell>
          <cell r="W498">
            <v>17.879692899599998</v>
          </cell>
          <cell r="X498">
            <v>2.5783299999999998</v>
          </cell>
          <cell r="Y498">
            <v>0</v>
          </cell>
          <cell r="Z498">
            <v>0.13443378119999999</v>
          </cell>
          <cell r="AA498">
            <v>17.879692899599998</v>
          </cell>
        </row>
        <row r="499">
          <cell r="B499" t="str">
            <v>R-06-02</v>
          </cell>
          <cell r="C499" t="str">
            <v>CLORFENAMINA (CLORFENIRAMINA) .:. 2 mg/5 ml</v>
          </cell>
          <cell r="D499" t="str">
            <v>Jarabe</v>
          </cell>
          <cell r="E499">
            <v>22</v>
          </cell>
          <cell r="F499">
            <v>140.58000000000001</v>
          </cell>
          <cell r="H499">
            <v>50</v>
          </cell>
          <cell r="J499">
            <v>400</v>
          </cell>
          <cell r="M499">
            <v>0</v>
          </cell>
          <cell r="N499">
            <v>0</v>
          </cell>
          <cell r="P499">
            <v>18</v>
          </cell>
          <cell r="R499">
            <v>120.57172413799999</v>
          </cell>
          <cell r="S499">
            <v>0</v>
          </cell>
          <cell r="T499">
            <v>0</v>
          </cell>
          <cell r="U499">
            <v>54</v>
          </cell>
          <cell r="V499">
            <v>7.7779310344999999</v>
          </cell>
          <cell r="W499">
            <v>420.00827586299999</v>
          </cell>
          <cell r="X499">
            <v>2.5783299999999998</v>
          </cell>
          <cell r="Y499">
            <v>0</v>
          </cell>
          <cell r="Z499">
            <v>7.7779310344999999</v>
          </cell>
          <cell r="AA499">
            <v>420.00827586299999</v>
          </cell>
        </row>
        <row r="500">
          <cell r="B500" t="str">
            <v>R-06-03</v>
          </cell>
          <cell r="C500" t="str">
            <v>CLORFENAMINA (CLORFENIRAMINA) .:. 10 mg/ml</v>
          </cell>
          <cell r="D500" t="str">
            <v>Inyectable</v>
          </cell>
          <cell r="E500">
            <v>190</v>
          </cell>
          <cell r="F500">
            <v>230.76081882599999</v>
          </cell>
          <cell r="H500">
            <v>400</v>
          </cell>
          <cell r="J500">
            <v>516</v>
          </cell>
          <cell r="M500">
            <v>24</v>
          </cell>
          <cell r="N500">
            <v>30.466206</v>
          </cell>
          <cell r="P500">
            <v>510</v>
          </cell>
          <cell r="R500">
            <v>644.95849372069995</v>
          </cell>
          <cell r="S500">
            <v>0</v>
          </cell>
          <cell r="T500">
            <v>0</v>
          </cell>
          <cell r="U500">
            <v>104</v>
          </cell>
          <cell r="V500">
            <v>1.2718127990999999</v>
          </cell>
          <cell r="W500">
            <v>132.26853110639999</v>
          </cell>
          <cell r="X500">
            <v>2.5783299999999998</v>
          </cell>
          <cell r="Y500">
            <v>0</v>
          </cell>
          <cell r="Z500">
            <v>1.2718127990999999</v>
          </cell>
          <cell r="AA500">
            <v>132.26853110639999</v>
          </cell>
        </row>
        <row r="501">
          <cell r="B501" t="str">
            <v>R-06-07</v>
          </cell>
          <cell r="C501" t="str">
            <v>CETIRIZINA .:. 10 mg</v>
          </cell>
          <cell r="D501" t="str">
            <v>Cápsula o Comprimido</v>
          </cell>
          <cell r="E501">
            <v>583</v>
          </cell>
          <cell r="F501">
            <v>169.07</v>
          </cell>
          <cell r="H501">
            <v>5000</v>
          </cell>
          <cell r="J501">
            <v>1360</v>
          </cell>
          <cell r="M501">
            <v>0</v>
          </cell>
          <cell r="N501">
            <v>0</v>
          </cell>
          <cell r="P501">
            <v>5275</v>
          </cell>
          <cell r="R501">
            <v>1448.99</v>
          </cell>
          <cell r="S501">
            <v>0</v>
          </cell>
          <cell r="T501">
            <v>0</v>
          </cell>
          <cell r="U501">
            <v>308</v>
          </cell>
          <cell r="V501">
            <v>0.26</v>
          </cell>
          <cell r="W501">
            <v>80.08</v>
          </cell>
          <cell r="X501">
            <v>2.5783299999999998</v>
          </cell>
          <cell r="Y501">
            <v>0</v>
          </cell>
          <cell r="Z501">
            <v>0.26</v>
          </cell>
          <cell r="AA501">
            <v>80.08</v>
          </cell>
        </row>
        <row r="502">
          <cell r="B502" t="str">
            <v>R-06-08</v>
          </cell>
          <cell r="C502" t="str">
            <v>CETIRIZINA .:. 5 mg/5 ml</v>
          </cell>
          <cell r="D502" t="str">
            <v>Jarabe</v>
          </cell>
          <cell r="E502">
            <v>0</v>
          </cell>
          <cell r="F502">
            <v>0</v>
          </cell>
          <cell r="H502">
            <v>75</v>
          </cell>
          <cell r="J502">
            <v>824.25</v>
          </cell>
          <cell r="M502">
            <v>0</v>
          </cell>
          <cell r="N502">
            <v>0</v>
          </cell>
          <cell r="P502">
            <v>35</v>
          </cell>
          <cell r="R502">
            <v>384.65</v>
          </cell>
          <cell r="S502">
            <v>0</v>
          </cell>
          <cell r="T502">
            <v>0</v>
          </cell>
          <cell r="U502">
            <v>40</v>
          </cell>
          <cell r="V502">
            <v>10.99</v>
          </cell>
          <cell r="W502">
            <v>439.6</v>
          </cell>
          <cell r="X502">
            <v>2.5783299999999998</v>
          </cell>
          <cell r="Y502">
            <v>0</v>
          </cell>
          <cell r="Z502">
            <v>10.99</v>
          </cell>
          <cell r="AA502">
            <v>439.6</v>
          </cell>
        </row>
        <row r="503">
          <cell r="B503" t="str">
            <v>R-07-01</v>
          </cell>
          <cell r="C503" t="str">
            <v>SURFACTANTE PULMONAR .:. 25 a 35 mg/ml</v>
          </cell>
          <cell r="D503" t="str">
            <v>Inyectable</v>
          </cell>
          <cell r="E503">
            <v>0</v>
          </cell>
          <cell r="F503">
            <v>0</v>
          </cell>
          <cell r="H503">
            <v>3</v>
          </cell>
          <cell r="J503">
            <v>3750</v>
          </cell>
          <cell r="M503">
            <v>0</v>
          </cell>
          <cell r="N503">
            <v>0</v>
          </cell>
          <cell r="P503">
            <v>3</v>
          </cell>
          <cell r="R503">
            <v>3750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2.5783299999999998</v>
          </cell>
          <cell r="Y503">
            <v>0</v>
          </cell>
          <cell r="Z503">
            <v>0</v>
          </cell>
          <cell r="AA503">
            <v>0</v>
          </cell>
        </row>
        <row r="504">
          <cell r="B504" t="str">
            <v>S-01-04</v>
          </cell>
          <cell r="C504" t="str">
            <v>CIPROFLOXACINA .:. 0,3%</v>
          </cell>
          <cell r="D504" t="str">
            <v>Solución oftálmica</v>
          </cell>
          <cell r="E504">
            <v>10</v>
          </cell>
          <cell r="F504">
            <v>340</v>
          </cell>
          <cell r="H504">
            <v>0</v>
          </cell>
          <cell r="J504">
            <v>0</v>
          </cell>
          <cell r="M504">
            <v>0</v>
          </cell>
          <cell r="N504">
            <v>0</v>
          </cell>
          <cell r="P504">
            <v>10</v>
          </cell>
          <cell r="R504">
            <v>340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2.5783299999999998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S-01-05</v>
          </cell>
          <cell r="C505" t="str">
            <v>CLORANFENICOL .:. 0,5%</v>
          </cell>
          <cell r="D505" t="str">
            <v>Solución oftálmica</v>
          </cell>
          <cell r="E505">
            <v>0</v>
          </cell>
          <cell r="F505">
            <v>0</v>
          </cell>
          <cell r="H505">
            <v>20</v>
          </cell>
          <cell r="J505">
            <v>140</v>
          </cell>
          <cell r="M505">
            <v>0</v>
          </cell>
          <cell r="N505">
            <v>0</v>
          </cell>
          <cell r="P505">
            <v>1</v>
          </cell>
          <cell r="R505">
            <v>7</v>
          </cell>
          <cell r="S505">
            <v>0</v>
          </cell>
          <cell r="T505">
            <v>0</v>
          </cell>
          <cell r="U505">
            <v>19</v>
          </cell>
          <cell r="V505">
            <v>7</v>
          </cell>
          <cell r="W505">
            <v>133</v>
          </cell>
          <cell r="X505">
            <v>2.5783299999999998</v>
          </cell>
          <cell r="Y505">
            <v>0</v>
          </cell>
          <cell r="Z505">
            <v>7</v>
          </cell>
          <cell r="AA505">
            <v>133</v>
          </cell>
        </row>
        <row r="506">
          <cell r="B506" t="str">
            <v>S-01-06</v>
          </cell>
          <cell r="C506" t="str">
            <v>CLORANFENICOL .:. 0.01</v>
          </cell>
          <cell r="D506" t="str">
            <v>Ungüento oftálmico</v>
          </cell>
          <cell r="E506">
            <v>0</v>
          </cell>
          <cell r="F506">
            <v>0</v>
          </cell>
          <cell r="H506">
            <v>20</v>
          </cell>
          <cell r="J506">
            <v>350</v>
          </cell>
          <cell r="M506">
            <v>0</v>
          </cell>
          <cell r="N506">
            <v>0</v>
          </cell>
          <cell r="P506">
            <v>18</v>
          </cell>
          <cell r="R506">
            <v>315</v>
          </cell>
          <cell r="S506">
            <v>0</v>
          </cell>
          <cell r="T506">
            <v>0</v>
          </cell>
          <cell r="U506">
            <v>2</v>
          </cell>
          <cell r="V506">
            <v>17.5</v>
          </cell>
          <cell r="W506">
            <v>35</v>
          </cell>
          <cell r="X506">
            <v>2.5783299999999998</v>
          </cell>
          <cell r="Y506">
            <v>0</v>
          </cell>
          <cell r="Z506">
            <v>17.5</v>
          </cell>
          <cell r="AA506">
            <v>35</v>
          </cell>
        </row>
        <row r="507">
          <cell r="B507" t="str">
            <v>S-01-09</v>
          </cell>
          <cell r="C507" t="str">
            <v>DEXAMETASONA .:. 0,1%</v>
          </cell>
          <cell r="D507" t="str">
            <v>Solución oftálmica</v>
          </cell>
          <cell r="E507">
            <v>39</v>
          </cell>
          <cell r="F507">
            <v>397.8</v>
          </cell>
          <cell r="H507">
            <v>180</v>
          </cell>
          <cell r="J507">
            <v>1978.2</v>
          </cell>
          <cell r="M507">
            <v>0</v>
          </cell>
          <cell r="N507">
            <v>0</v>
          </cell>
          <cell r="P507">
            <v>165</v>
          </cell>
          <cell r="R507">
            <v>1787.186138608</v>
          </cell>
          <cell r="S507">
            <v>0</v>
          </cell>
          <cell r="T507">
            <v>0</v>
          </cell>
          <cell r="U507">
            <v>54</v>
          </cell>
          <cell r="V507">
            <v>10.903960396</v>
          </cell>
          <cell r="W507">
            <v>588.81386138400001</v>
          </cell>
          <cell r="X507">
            <v>2.5783299999999998</v>
          </cell>
          <cell r="Y507">
            <v>0</v>
          </cell>
          <cell r="Z507">
            <v>10.903960396</v>
          </cell>
          <cell r="AA507">
            <v>588.81386138400001</v>
          </cell>
        </row>
        <row r="508">
          <cell r="B508" t="str">
            <v>S-01-12</v>
          </cell>
          <cell r="C508" t="str">
            <v>DORZOLAMIDA .:. 0.02</v>
          </cell>
          <cell r="D508" t="str">
            <v>Solución oftálmica</v>
          </cell>
          <cell r="E508">
            <v>40</v>
          </cell>
          <cell r="F508">
            <v>1999.6</v>
          </cell>
          <cell r="H508">
            <v>160</v>
          </cell>
          <cell r="J508">
            <v>8472</v>
          </cell>
          <cell r="M508">
            <v>0</v>
          </cell>
          <cell r="N508">
            <v>0</v>
          </cell>
          <cell r="P508">
            <v>149</v>
          </cell>
          <cell r="R508">
            <v>7771.15</v>
          </cell>
          <cell r="S508">
            <v>0</v>
          </cell>
          <cell r="T508">
            <v>0</v>
          </cell>
          <cell r="U508">
            <v>51</v>
          </cell>
          <cell r="V508">
            <v>52.95</v>
          </cell>
          <cell r="W508">
            <v>2700.45</v>
          </cell>
          <cell r="X508">
            <v>2.5783299999999998</v>
          </cell>
          <cell r="Y508">
            <v>0</v>
          </cell>
          <cell r="Z508">
            <v>52.95</v>
          </cell>
          <cell r="AA508">
            <v>2700.45</v>
          </cell>
        </row>
        <row r="509">
          <cell r="B509" t="str">
            <v>S-01-15</v>
          </cell>
          <cell r="C509" t="str">
            <v>GENTAMICINA .:. 0,3%</v>
          </cell>
          <cell r="D509" t="str">
            <v>Ungüento oftálmico</v>
          </cell>
          <cell r="E509">
            <v>0</v>
          </cell>
          <cell r="F509">
            <v>0</v>
          </cell>
          <cell r="H509">
            <v>20</v>
          </cell>
          <cell r="J509">
            <v>498</v>
          </cell>
          <cell r="M509">
            <v>0</v>
          </cell>
          <cell r="N509">
            <v>0</v>
          </cell>
          <cell r="P509">
            <v>17</v>
          </cell>
          <cell r="R509">
            <v>423.3</v>
          </cell>
          <cell r="S509">
            <v>0</v>
          </cell>
          <cell r="T509">
            <v>0</v>
          </cell>
          <cell r="U509">
            <v>3</v>
          </cell>
          <cell r="V509">
            <v>24.9</v>
          </cell>
          <cell r="W509">
            <v>74.7</v>
          </cell>
          <cell r="X509">
            <v>2.5783299999999998</v>
          </cell>
          <cell r="Y509">
            <v>0</v>
          </cell>
          <cell r="Z509">
            <v>24.9</v>
          </cell>
          <cell r="AA509">
            <v>74.7</v>
          </cell>
        </row>
        <row r="510">
          <cell r="B510" t="str">
            <v>S-01-16</v>
          </cell>
          <cell r="C510" t="str">
            <v>GENTAMICINA .:. 0,3%</v>
          </cell>
          <cell r="D510" t="str">
            <v>Solución oftálmica</v>
          </cell>
          <cell r="E510">
            <v>8</v>
          </cell>
          <cell r="F510">
            <v>50.774535097600001</v>
          </cell>
          <cell r="H510">
            <v>220</v>
          </cell>
          <cell r="J510">
            <v>1400</v>
          </cell>
          <cell r="M510">
            <v>0</v>
          </cell>
          <cell r="N510">
            <v>0</v>
          </cell>
          <cell r="P510">
            <v>109</v>
          </cell>
          <cell r="R510">
            <v>689.17453509760003</v>
          </cell>
          <cell r="S510">
            <v>0</v>
          </cell>
          <cell r="T510">
            <v>0</v>
          </cell>
          <cell r="U510">
            <v>119</v>
          </cell>
          <cell r="V510">
            <v>6.4</v>
          </cell>
          <cell r="W510">
            <v>761.6</v>
          </cell>
          <cell r="X510">
            <v>2.5783299999999998</v>
          </cell>
          <cell r="Y510">
            <v>0</v>
          </cell>
          <cell r="Z510">
            <v>6.4</v>
          </cell>
          <cell r="AA510">
            <v>761.6</v>
          </cell>
        </row>
        <row r="511">
          <cell r="B511" t="str">
            <v>S-01-18</v>
          </cell>
          <cell r="C511" t="str">
            <v>LAGRIMAS ARTIFICIALES .:. 0,3% o 1%</v>
          </cell>
          <cell r="D511" t="str">
            <v>Solución oftálmica</v>
          </cell>
          <cell r="E511">
            <v>229</v>
          </cell>
          <cell r="F511">
            <v>3434.8947354784</v>
          </cell>
          <cell r="H511">
            <v>1100</v>
          </cell>
          <cell r="J511">
            <v>17640</v>
          </cell>
          <cell r="M511">
            <v>0</v>
          </cell>
          <cell r="N511">
            <v>0</v>
          </cell>
          <cell r="P511">
            <v>1291</v>
          </cell>
          <cell r="R511">
            <v>20459.960377775002</v>
          </cell>
          <cell r="S511">
            <v>0</v>
          </cell>
          <cell r="T511">
            <v>0</v>
          </cell>
          <cell r="U511">
            <v>38</v>
          </cell>
          <cell r="V511">
            <v>16.182483097799999</v>
          </cell>
          <cell r="W511">
            <v>614.93435771639997</v>
          </cell>
          <cell r="X511">
            <v>2.5783299999999998</v>
          </cell>
          <cell r="Y511">
            <v>0</v>
          </cell>
          <cell r="Z511">
            <v>16.182483097799999</v>
          </cell>
          <cell r="AA511">
            <v>614.93435771639997</v>
          </cell>
        </row>
        <row r="512">
          <cell r="B512" t="str">
            <v>S-01-19</v>
          </cell>
          <cell r="C512" t="str">
            <v>NAFAZOLINA CLORHIDRATO .:. 0,1%</v>
          </cell>
          <cell r="D512" t="str">
            <v>Solución oftálmica</v>
          </cell>
          <cell r="E512">
            <v>21</v>
          </cell>
          <cell r="F512">
            <v>413.7</v>
          </cell>
          <cell r="H512">
            <v>75</v>
          </cell>
          <cell r="J512">
            <v>1476.75</v>
          </cell>
          <cell r="M512">
            <v>0</v>
          </cell>
          <cell r="N512">
            <v>0</v>
          </cell>
          <cell r="P512">
            <v>68</v>
          </cell>
          <cell r="R512">
            <v>1339.0859550557</v>
          </cell>
          <cell r="S512">
            <v>0</v>
          </cell>
          <cell r="T512">
            <v>0</v>
          </cell>
          <cell r="U512">
            <v>28</v>
          </cell>
          <cell r="V512">
            <v>19.691573033699999</v>
          </cell>
          <cell r="W512">
            <v>551.36404494359999</v>
          </cell>
          <cell r="X512">
            <v>2.5783299999999998</v>
          </cell>
          <cell r="Y512">
            <v>0</v>
          </cell>
          <cell r="Z512">
            <v>19.691573033699999</v>
          </cell>
          <cell r="AA512">
            <v>551.36404494359999</v>
          </cell>
        </row>
        <row r="513">
          <cell r="B513" t="str">
            <v>S-01-22</v>
          </cell>
          <cell r="C513" t="str">
            <v>TIMOLOL MALEATO .:. 0,5%</v>
          </cell>
          <cell r="D513" t="str">
            <v>Solución oftálmica</v>
          </cell>
          <cell r="E513">
            <v>39</v>
          </cell>
          <cell r="F513">
            <v>819</v>
          </cell>
          <cell r="H513">
            <v>345</v>
          </cell>
          <cell r="J513">
            <v>6145</v>
          </cell>
          <cell r="M513">
            <v>0</v>
          </cell>
          <cell r="N513">
            <v>0</v>
          </cell>
          <cell r="P513">
            <v>313</v>
          </cell>
          <cell r="R513">
            <v>5700.2</v>
          </cell>
          <cell r="S513">
            <v>0</v>
          </cell>
          <cell r="T513">
            <v>0</v>
          </cell>
          <cell r="U513">
            <v>71</v>
          </cell>
          <cell r="V513">
            <v>17.8</v>
          </cell>
          <cell r="W513">
            <v>1263.8</v>
          </cell>
          <cell r="X513">
            <v>2.5783299999999998</v>
          </cell>
          <cell r="Y513">
            <v>0</v>
          </cell>
          <cell r="Z513">
            <v>17.8</v>
          </cell>
          <cell r="AA513">
            <v>1263.8</v>
          </cell>
        </row>
        <row r="514">
          <cell r="B514" t="str">
            <v>S-01-24</v>
          </cell>
          <cell r="C514" t="str">
            <v>CORTICOIDE  (DEXAMETASONA) + ANTIINFECCIOSO (CIPROFLOXACINO) DE ACCION TOPICA .:. Según disponibilidad</v>
          </cell>
          <cell r="D514" t="str">
            <v>Solución oftálmica</v>
          </cell>
          <cell r="E514">
            <v>35</v>
          </cell>
          <cell r="F514">
            <v>591.5</v>
          </cell>
          <cell r="H514">
            <v>130</v>
          </cell>
          <cell r="J514">
            <v>2598.6999999999998</v>
          </cell>
          <cell r="M514">
            <v>68</v>
          </cell>
          <cell r="N514">
            <v>1359.32</v>
          </cell>
          <cell r="P514">
            <v>105</v>
          </cell>
          <cell r="R514">
            <v>1990.8</v>
          </cell>
          <cell r="S514">
            <v>68</v>
          </cell>
          <cell r="T514">
            <v>1359.32</v>
          </cell>
          <cell r="U514">
            <v>60</v>
          </cell>
          <cell r="V514">
            <v>19.989999999999998</v>
          </cell>
          <cell r="W514">
            <v>1199.4000000000001</v>
          </cell>
          <cell r="X514">
            <v>2.5783299999999998</v>
          </cell>
          <cell r="Y514">
            <v>0</v>
          </cell>
          <cell r="Z514">
            <v>19.989999999999998</v>
          </cell>
          <cell r="AA514">
            <v>1199.4000000000001</v>
          </cell>
        </row>
        <row r="515">
          <cell r="B515" t="str">
            <v>S-01-27</v>
          </cell>
          <cell r="C515" t="str">
            <v>LATANOPROST .:. 50 mcg/ml</v>
          </cell>
          <cell r="D515" t="str">
            <v>Solución oftálmica</v>
          </cell>
          <cell r="E515">
            <v>28</v>
          </cell>
          <cell r="F515">
            <v>1816.585365854</v>
          </cell>
          <cell r="H515">
            <v>322</v>
          </cell>
          <cell r="J515">
            <v>22319</v>
          </cell>
          <cell r="M515">
            <v>0</v>
          </cell>
          <cell r="N515">
            <v>0</v>
          </cell>
          <cell r="P515">
            <v>350</v>
          </cell>
          <cell r="R515">
            <v>24135.585365858398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2.5783299999999998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S-02-01</v>
          </cell>
          <cell r="C516" t="str">
            <v>GLICERINA + CARBONATO DE SODIO .:. Según disponibilidad</v>
          </cell>
          <cell r="D516" t="str">
            <v>Gotas óticas</v>
          </cell>
          <cell r="E516">
            <v>16</v>
          </cell>
          <cell r="F516">
            <v>398.4</v>
          </cell>
          <cell r="H516">
            <v>0</v>
          </cell>
          <cell r="J516">
            <v>0</v>
          </cell>
          <cell r="M516">
            <v>0</v>
          </cell>
          <cell r="N516">
            <v>0</v>
          </cell>
          <cell r="P516">
            <v>16</v>
          </cell>
          <cell r="R516">
            <v>398.4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2.5783299999999998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V-03-01</v>
          </cell>
          <cell r="C517" t="str">
            <v>ACETIL CISTEINA .:. 0.1</v>
          </cell>
          <cell r="D517" t="str">
            <v>Inyectable</v>
          </cell>
          <cell r="E517">
            <v>1194</v>
          </cell>
          <cell r="F517">
            <v>7189.0892194403996</v>
          </cell>
          <cell r="H517">
            <v>3000</v>
          </cell>
          <cell r="J517">
            <v>16485</v>
          </cell>
          <cell r="M517">
            <v>203</v>
          </cell>
          <cell r="N517">
            <v>1157.734336</v>
          </cell>
          <cell r="P517">
            <v>3717</v>
          </cell>
          <cell r="R517">
            <v>20894.623555543702</v>
          </cell>
          <cell r="S517">
            <v>0</v>
          </cell>
          <cell r="T517">
            <v>0</v>
          </cell>
          <cell r="U517">
            <v>680</v>
          </cell>
          <cell r="V517">
            <v>5.79</v>
          </cell>
          <cell r="W517">
            <v>3937.2</v>
          </cell>
          <cell r="X517">
            <v>2.5783299999999998</v>
          </cell>
          <cell r="Y517">
            <v>0</v>
          </cell>
          <cell r="Z517">
            <v>5.79</v>
          </cell>
          <cell r="AA517">
            <v>3937.2</v>
          </cell>
        </row>
        <row r="518">
          <cell r="B518" t="str">
            <v>V-03-07</v>
          </cell>
          <cell r="C518" t="str">
            <v>LEUCOVORINA .:. 50 mg</v>
          </cell>
          <cell r="D518" t="str">
            <v>Inyectable</v>
          </cell>
          <cell r="E518">
            <v>0</v>
          </cell>
          <cell r="F518">
            <v>0</v>
          </cell>
          <cell r="H518">
            <v>75</v>
          </cell>
          <cell r="J518">
            <v>3558.75</v>
          </cell>
          <cell r="M518">
            <v>0</v>
          </cell>
          <cell r="N518">
            <v>0</v>
          </cell>
          <cell r="P518">
            <v>60</v>
          </cell>
          <cell r="R518">
            <v>2847</v>
          </cell>
          <cell r="S518">
            <v>0</v>
          </cell>
          <cell r="T518">
            <v>0</v>
          </cell>
          <cell r="U518">
            <v>15</v>
          </cell>
          <cell r="V518">
            <v>47.45</v>
          </cell>
          <cell r="W518">
            <v>711.75</v>
          </cell>
          <cell r="X518">
            <v>2.5783299999999998</v>
          </cell>
          <cell r="Y518">
            <v>0</v>
          </cell>
          <cell r="Z518">
            <v>47.45</v>
          </cell>
          <cell r="AA518">
            <v>711.75</v>
          </cell>
        </row>
        <row r="519">
          <cell r="B519" t="str">
            <v>V-03-08</v>
          </cell>
          <cell r="C519" t="str">
            <v>MESNA (MERCAPTO ETILSULFONATO SODICO) .:. 400 mg</v>
          </cell>
          <cell r="D519" t="str">
            <v>Inyectable</v>
          </cell>
          <cell r="E519">
            <v>2</v>
          </cell>
          <cell r="F519">
            <v>129.13999999999999</v>
          </cell>
          <cell r="H519">
            <v>12</v>
          </cell>
          <cell r="J519">
            <v>774.84</v>
          </cell>
          <cell r="M519">
            <v>0</v>
          </cell>
          <cell r="N519">
            <v>0</v>
          </cell>
          <cell r="P519">
            <v>14</v>
          </cell>
          <cell r="R519">
            <v>903.98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2.5783299999999998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V-06-01</v>
          </cell>
          <cell r="C520" t="str">
            <v>PROTEINAS PARA ALIMENTACION ENTERAL (ALIMENTO) .:. Según disponibilidad</v>
          </cell>
          <cell r="D520" t="str">
            <v>Polvo</v>
          </cell>
          <cell r="E520">
            <v>16</v>
          </cell>
          <cell r="F520">
            <v>1596</v>
          </cell>
          <cell r="H520">
            <v>35</v>
          </cell>
          <cell r="J520">
            <v>2987.25</v>
          </cell>
          <cell r="M520">
            <v>0</v>
          </cell>
          <cell r="N520">
            <v>0</v>
          </cell>
          <cell r="P520">
            <v>51</v>
          </cell>
          <cell r="R520">
            <v>4583.25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2.5783299999999998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V-06-04</v>
          </cell>
          <cell r="C521" t="str">
            <v>COMPLEMENTO NUTRICIONAL (CARMELO) .:. Según concentración</v>
          </cell>
          <cell r="D521" t="str">
            <v>Polvo</v>
          </cell>
          <cell r="E521">
            <v>102</v>
          </cell>
          <cell r="F521">
            <v>5505.9749242218004</v>
          </cell>
          <cell r="H521">
            <v>360</v>
          </cell>
          <cell r="J521">
            <v>19440</v>
          </cell>
          <cell r="M521">
            <v>0</v>
          </cell>
          <cell r="N521">
            <v>0</v>
          </cell>
          <cell r="P521">
            <v>380</v>
          </cell>
          <cell r="R521">
            <v>20517.974924221799</v>
          </cell>
          <cell r="S521">
            <v>0</v>
          </cell>
          <cell r="T521">
            <v>0</v>
          </cell>
          <cell r="U521">
            <v>82</v>
          </cell>
          <cell r="V521">
            <v>54</v>
          </cell>
          <cell r="W521">
            <v>4428</v>
          </cell>
          <cell r="X521">
            <v>2.5783299999999998</v>
          </cell>
          <cell r="Y521">
            <v>0</v>
          </cell>
          <cell r="Z521">
            <v>54</v>
          </cell>
          <cell r="AA521">
            <v>4428</v>
          </cell>
        </row>
        <row r="522">
          <cell r="B522" t="str">
            <v>V-06-05</v>
          </cell>
          <cell r="C522" t="str">
            <v>COMPLEMENTO NUTRICIONAL .:. Según concentración</v>
          </cell>
          <cell r="D522" t="str">
            <v>Polvo</v>
          </cell>
          <cell r="E522">
            <v>1</v>
          </cell>
          <cell r="F522">
            <v>178.9</v>
          </cell>
          <cell r="H522">
            <v>75</v>
          </cell>
          <cell r="J522">
            <v>9000</v>
          </cell>
          <cell r="M522">
            <v>0</v>
          </cell>
          <cell r="N522">
            <v>0</v>
          </cell>
          <cell r="P522">
            <v>10</v>
          </cell>
          <cell r="R522">
            <v>1258.9000000000001</v>
          </cell>
          <cell r="S522">
            <v>0</v>
          </cell>
          <cell r="T522">
            <v>0</v>
          </cell>
          <cell r="U522">
            <v>66</v>
          </cell>
          <cell r="V522">
            <v>120</v>
          </cell>
          <cell r="W522">
            <v>7920</v>
          </cell>
          <cell r="X522">
            <v>2.5783299999999998</v>
          </cell>
          <cell r="Y522">
            <v>0</v>
          </cell>
          <cell r="Z522">
            <v>120</v>
          </cell>
          <cell r="AA522">
            <v>7920</v>
          </cell>
        </row>
        <row r="523">
          <cell r="B523" t="str">
            <v>V-06-06</v>
          </cell>
          <cell r="C523" t="str">
            <v>COMPLEMENTO NUTRICIONAL (DIABETICO) .:. Según concentración</v>
          </cell>
          <cell r="D523" t="str">
            <v>Polvo</v>
          </cell>
          <cell r="E523">
            <v>26</v>
          </cell>
          <cell r="F523">
            <v>1485.38</v>
          </cell>
          <cell r="H523">
            <v>0</v>
          </cell>
          <cell r="J523">
            <v>0</v>
          </cell>
          <cell r="M523">
            <v>0</v>
          </cell>
          <cell r="N523">
            <v>0</v>
          </cell>
          <cell r="P523">
            <v>26</v>
          </cell>
          <cell r="R523">
            <v>1485.38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2.5783299999999998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V-08-02</v>
          </cell>
          <cell r="C524" t="str">
            <v>CONTRASTE IODADO .:. Según disponibilidad (50 ml)</v>
          </cell>
          <cell r="D524" t="str">
            <v>Inyectable</v>
          </cell>
          <cell r="E524">
            <v>23</v>
          </cell>
          <cell r="F524">
            <v>6499.8</v>
          </cell>
          <cell r="H524">
            <v>0</v>
          </cell>
          <cell r="J524">
            <v>0</v>
          </cell>
          <cell r="M524">
            <v>0</v>
          </cell>
          <cell r="N524">
            <v>0</v>
          </cell>
          <cell r="P524">
            <v>23</v>
          </cell>
          <cell r="R524">
            <v>6499.8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2.5783299999999998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V-08-05</v>
          </cell>
          <cell r="C525" t="str">
            <v>GADOPENTATO DE DIMEGLUMINA .:. 469 mg/ml</v>
          </cell>
          <cell r="D525" t="str">
            <v>Inyectable</v>
          </cell>
          <cell r="E525">
            <v>5</v>
          </cell>
          <cell r="F525">
            <v>2249.9499999999998</v>
          </cell>
          <cell r="H525">
            <v>0</v>
          </cell>
          <cell r="J525">
            <v>0</v>
          </cell>
          <cell r="M525">
            <v>0</v>
          </cell>
          <cell r="N525">
            <v>0</v>
          </cell>
          <cell r="P525">
            <v>5</v>
          </cell>
          <cell r="R525">
            <v>2249.9499999999998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2.5783299999999998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V-08-06</v>
          </cell>
          <cell r="C526" t="str">
            <v>MEGLUMINA DIATRIZOATO .:. 70% o 76% (20 ml)</v>
          </cell>
          <cell r="D526" t="str">
            <v>Inyectable</v>
          </cell>
          <cell r="E526">
            <v>13</v>
          </cell>
          <cell r="F526">
            <v>1691.0486579999999</v>
          </cell>
          <cell r="H526">
            <v>0</v>
          </cell>
          <cell r="J526">
            <v>0</v>
          </cell>
          <cell r="M526">
            <v>0</v>
          </cell>
          <cell r="N526">
            <v>0</v>
          </cell>
          <cell r="P526">
            <v>13</v>
          </cell>
          <cell r="R526">
            <v>1691.0486579999999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2.5783299999999998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V-08-07</v>
          </cell>
          <cell r="C527" t="str">
            <v>MEGLUMINA DIATRIZOATO .:. 70% o 76% (50 ml)</v>
          </cell>
          <cell r="D527" t="str">
            <v>Inyectable</v>
          </cell>
          <cell r="E527">
            <v>2</v>
          </cell>
          <cell r="F527">
            <v>313.60000000000002</v>
          </cell>
          <cell r="H527">
            <v>0</v>
          </cell>
          <cell r="J527">
            <v>0</v>
          </cell>
          <cell r="M527">
            <v>0</v>
          </cell>
          <cell r="N527">
            <v>0</v>
          </cell>
          <cell r="P527">
            <v>2</v>
          </cell>
          <cell r="R527">
            <v>313.60000000000002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2.5783299999999998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V-08-08</v>
          </cell>
          <cell r="C528" t="str">
            <v>SULFATO DE BARIO .:. Según disponibilidad</v>
          </cell>
          <cell r="D528" t="str">
            <v>Suspensión</v>
          </cell>
          <cell r="E528">
            <v>0</v>
          </cell>
          <cell r="F528">
            <v>0</v>
          </cell>
          <cell r="H528">
            <v>7</v>
          </cell>
          <cell r="J528">
            <v>1645</v>
          </cell>
          <cell r="M528">
            <v>0</v>
          </cell>
          <cell r="N528">
            <v>0</v>
          </cell>
          <cell r="P528">
            <v>4</v>
          </cell>
          <cell r="R528">
            <v>940</v>
          </cell>
          <cell r="S528">
            <v>0</v>
          </cell>
          <cell r="T528">
            <v>0</v>
          </cell>
          <cell r="U528">
            <v>3</v>
          </cell>
          <cell r="V528">
            <v>235</v>
          </cell>
          <cell r="W528">
            <v>705</v>
          </cell>
          <cell r="X528">
            <v>2.5783299999999998</v>
          </cell>
          <cell r="Y528">
            <v>0</v>
          </cell>
          <cell r="Z528">
            <v>235</v>
          </cell>
          <cell r="AA528">
            <v>705</v>
          </cell>
        </row>
        <row r="529">
          <cell r="B529" t="str">
            <v>V-08-11</v>
          </cell>
          <cell r="C529" t="str">
            <v>GADOBUTROL .:. 604,72 MG/ML</v>
          </cell>
          <cell r="D529" t="str">
            <v>Inyectable</v>
          </cell>
          <cell r="E529">
            <v>0</v>
          </cell>
          <cell r="F529">
            <v>0</v>
          </cell>
          <cell r="H529">
            <v>20</v>
          </cell>
          <cell r="J529">
            <v>8900</v>
          </cell>
          <cell r="M529">
            <v>0</v>
          </cell>
          <cell r="N529">
            <v>0</v>
          </cell>
          <cell r="P529">
            <v>18</v>
          </cell>
          <cell r="R529">
            <v>8010</v>
          </cell>
          <cell r="S529">
            <v>0</v>
          </cell>
          <cell r="T529">
            <v>0</v>
          </cell>
          <cell r="U529">
            <v>2</v>
          </cell>
          <cell r="V529">
            <v>445</v>
          </cell>
          <cell r="W529">
            <v>890</v>
          </cell>
          <cell r="X529">
            <v>2.5783299999999998</v>
          </cell>
          <cell r="Y529">
            <v>0</v>
          </cell>
          <cell r="Z529">
            <v>445</v>
          </cell>
          <cell r="AA529">
            <v>890</v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>TOTAL:</v>
          </cell>
          <cell r="H530" t="str">
            <v/>
          </cell>
          <cell r="J530" t="str">
            <v>TOTAL:</v>
          </cell>
          <cell r="M530" t="str">
            <v/>
          </cell>
          <cell r="N530" t="str">
            <v>TOTAL:</v>
          </cell>
          <cell r="P530" t="str">
            <v/>
          </cell>
          <cell r="R530" t="str">
            <v>TOTAL:</v>
          </cell>
          <cell r="S530" t="str">
            <v/>
          </cell>
          <cell r="T530" t="str">
            <v>TOTAL:</v>
          </cell>
          <cell r="U530" t="str">
            <v/>
          </cell>
          <cell r="V530" t="str">
            <v/>
          </cell>
          <cell r="W530" t="str">
            <v>TOTAL:</v>
          </cell>
          <cell r="X530" t="str">
            <v/>
          </cell>
          <cell r="Y530" t="str">
            <v>TOTAL:</v>
          </cell>
          <cell r="Z530" t="str">
            <v/>
          </cell>
          <cell r="AA530" t="str">
            <v>TOTAL:</v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>
            <v>462942.59889437788</v>
          </cell>
          <cell r="H531" t="str">
            <v/>
          </cell>
          <cell r="J531">
            <v>2164934.4500000002</v>
          </cell>
          <cell r="M531" t="str">
            <v/>
          </cell>
          <cell r="N531">
            <v>67292.085594999997</v>
          </cell>
          <cell r="P531" t="str">
            <v/>
          </cell>
          <cell r="R531">
            <v>2226096.2216115771</v>
          </cell>
          <cell r="S531" t="str">
            <v/>
          </cell>
          <cell r="T531">
            <v>23706.690785221399</v>
          </cell>
          <cell r="U531" t="str">
            <v/>
          </cell>
          <cell r="V531" t="str">
            <v/>
          </cell>
          <cell r="W531">
            <v>445366.22208765033</v>
          </cell>
          <cell r="X531" t="str">
            <v/>
          </cell>
          <cell r="Y531">
            <v>0</v>
          </cell>
          <cell r="Z531" t="str">
            <v/>
          </cell>
          <cell r="AA531">
            <v>445366.22208765033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0">
          <cell r="B10" t="str">
            <v>Codigo</v>
          </cell>
          <cell r="C10" t="str">
            <v>Detalle</v>
          </cell>
          <cell r="D10" t="str">
            <v>Unidad</v>
          </cell>
          <cell r="E10" t="str">
            <v>Cant. Inicial</v>
          </cell>
          <cell r="F10" t="str">
            <v>Importe Inicial</v>
          </cell>
          <cell r="H10" t="str">
            <v>Cant. Entrada</v>
          </cell>
          <cell r="J10" t="str">
            <v>Imp. Entrada</v>
          </cell>
          <cell r="M10" t="str">
            <v>Cant. Ajuste(+)</v>
          </cell>
          <cell r="N10" t="str">
            <v>Imp. Ajuste(+)</v>
          </cell>
          <cell r="P10" t="str">
            <v>Cant. Salida</v>
          </cell>
          <cell r="R10" t="str">
            <v>Imp. Salida</v>
          </cell>
          <cell r="S10" t="str">
            <v>Cant. Ajuste(-)</v>
          </cell>
          <cell r="T10" t="str">
            <v>Imp. Ajuste(-)</v>
          </cell>
          <cell r="U10" t="str">
            <v>Cant. Saldo</v>
          </cell>
          <cell r="V10" t="str">
            <v>Imp/Unit Saldo</v>
          </cell>
          <cell r="W10" t="str">
            <v>Importe Total Saldo</v>
          </cell>
          <cell r="X10" t="str">
            <v>Ult. Tipo Camb</v>
          </cell>
          <cell r="Y10" t="str">
            <v>Ajuste</v>
          </cell>
          <cell r="Z10" t="str">
            <v>Costo Actualizado</v>
          </cell>
          <cell r="AA10" t="str">
            <v>Total Actualizado</v>
          </cell>
        </row>
        <row r="11">
          <cell r="B11" t="str">
            <v>A-02-01</v>
          </cell>
          <cell r="C11" t="str">
            <v>HIDROXIDO DE ALUMINIO Y MAGNESIO .:. 1 : 1</v>
          </cell>
          <cell r="D11" t="str">
            <v>Suspensión</v>
          </cell>
          <cell r="E11">
            <v>114</v>
          </cell>
          <cell r="F11">
            <v>929.74913100239996</v>
          </cell>
          <cell r="H11">
            <v>900</v>
          </cell>
          <cell r="J11">
            <v>7641</v>
          </cell>
          <cell r="M11">
            <v>0</v>
          </cell>
          <cell r="N11">
            <v>0</v>
          </cell>
          <cell r="P11">
            <v>618</v>
          </cell>
          <cell r="R11">
            <v>5209.0026671157002</v>
          </cell>
          <cell r="S11">
            <v>0</v>
          </cell>
          <cell r="T11">
            <v>0</v>
          </cell>
          <cell r="U11">
            <v>396</v>
          </cell>
          <cell r="V11">
            <v>8.4892587471886358</v>
          </cell>
          <cell r="W11">
            <v>3361.7464638867</v>
          </cell>
          <cell r="X11">
            <v>2.93316</v>
          </cell>
          <cell r="Y11">
            <v>0</v>
          </cell>
          <cell r="Z11">
            <v>8.4892587471886358</v>
          </cell>
          <cell r="AA11">
            <v>3361.7464638867</v>
          </cell>
        </row>
        <row r="12">
          <cell r="B12" t="str">
            <v>A-02-02</v>
          </cell>
          <cell r="C12" t="str">
            <v>OMEPRAZOL .:. 20 mg</v>
          </cell>
          <cell r="D12" t="str">
            <v>Cápsula</v>
          </cell>
          <cell r="E12">
            <v>17574</v>
          </cell>
          <cell r="F12">
            <v>3990.3509110619998</v>
          </cell>
          <cell r="H12">
            <v>40000</v>
          </cell>
          <cell r="J12">
            <v>11850</v>
          </cell>
          <cell r="M12">
            <v>0</v>
          </cell>
          <cell r="N12">
            <v>0</v>
          </cell>
          <cell r="P12">
            <v>40545</v>
          </cell>
          <cell r="R12">
            <v>10743.0099825869</v>
          </cell>
          <cell r="S12">
            <v>0</v>
          </cell>
          <cell r="T12">
            <v>0</v>
          </cell>
          <cell r="U12">
            <v>17029</v>
          </cell>
          <cell r="V12">
            <v>0.29933295721857417</v>
          </cell>
          <cell r="W12">
            <v>5097.3409284750996</v>
          </cell>
          <cell r="X12">
            <v>2.93316</v>
          </cell>
          <cell r="Y12">
            <v>0</v>
          </cell>
          <cell r="Z12">
            <v>0.29933295721857417</v>
          </cell>
          <cell r="AA12">
            <v>5097.3409284750996</v>
          </cell>
        </row>
        <row r="13">
          <cell r="B13" t="str">
            <v>A-02-03</v>
          </cell>
          <cell r="C13" t="str">
            <v>RANITIDINA .:. 150 mg</v>
          </cell>
          <cell r="D13" t="str">
            <v>Comprimido</v>
          </cell>
          <cell r="E13">
            <v>214</v>
          </cell>
          <cell r="F13">
            <v>64.2</v>
          </cell>
          <cell r="H13">
            <v>2300</v>
          </cell>
          <cell r="J13">
            <v>690</v>
          </cell>
          <cell r="M13">
            <v>0</v>
          </cell>
          <cell r="N13">
            <v>0</v>
          </cell>
          <cell r="P13">
            <v>884</v>
          </cell>
          <cell r="R13">
            <v>265.2</v>
          </cell>
          <cell r="S13">
            <v>1630</v>
          </cell>
          <cell r="T13">
            <v>489</v>
          </cell>
          <cell r="U13">
            <v>0</v>
          </cell>
          <cell r="V13">
            <v>0</v>
          </cell>
          <cell r="W13">
            <v>0</v>
          </cell>
          <cell r="X13">
            <v>2.93316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A-02-04</v>
          </cell>
          <cell r="C14" t="str">
            <v>RANITIDINA .:. 50 mg</v>
          </cell>
          <cell r="D14" t="str">
            <v>Inyectable</v>
          </cell>
          <cell r="E14">
            <v>180</v>
          </cell>
          <cell r="F14">
            <v>192.26999282400001</v>
          </cell>
          <cell r="H14">
            <v>0</v>
          </cell>
          <cell r="J14">
            <v>0</v>
          </cell>
          <cell r="M14">
            <v>6</v>
          </cell>
          <cell r="N14">
            <v>6.4089960000000001</v>
          </cell>
          <cell r="P14">
            <v>75</v>
          </cell>
          <cell r="R14">
            <v>80.112496368199999</v>
          </cell>
          <cell r="S14">
            <v>111</v>
          </cell>
          <cell r="T14">
            <v>118.5664924557</v>
          </cell>
          <cell r="U14">
            <v>0</v>
          </cell>
          <cell r="V14">
            <v>0</v>
          </cell>
          <cell r="W14">
            <v>1E-10</v>
          </cell>
          <cell r="X14">
            <v>2.93316</v>
          </cell>
          <cell r="Y14">
            <v>0</v>
          </cell>
          <cell r="Z14">
            <v>0</v>
          </cell>
          <cell r="AA14">
            <v>1E-10</v>
          </cell>
        </row>
        <row r="15">
          <cell r="B15" t="str">
            <v>A-02-05</v>
          </cell>
          <cell r="C15" t="str">
            <v>OMEPRAZOL .:. 40 mg/ml</v>
          </cell>
          <cell r="D15" t="str">
            <v>Inyectable</v>
          </cell>
          <cell r="E15">
            <v>357</v>
          </cell>
          <cell r="F15">
            <v>2849.8309090880998</v>
          </cell>
          <cell r="H15">
            <v>3300</v>
          </cell>
          <cell r="J15">
            <v>26400</v>
          </cell>
          <cell r="M15">
            <v>248</v>
          </cell>
          <cell r="N15">
            <v>1983.953368</v>
          </cell>
          <cell r="P15">
            <v>2838</v>
          </cell>
          <cell r="R15">
            <v>22697.9876480936</v>
          </cell>
          <cell r="S15">
            <v>0</v>
          </cell>
          <cell r="T15">
            <v>0</v>
          </cell>
          <cell r="U15">
            <v>1067</v>
          </cell>
          <cell r="V15">
            <v>7.9998093992450796</v>
          </cell>
          <cell r="W15">
            <v>8535.7966289944998</v>
          </cell>
          <cell r="X15">
            <v>2.93316</v>
          </cell>
          <cell r="Y15">
            <v>0</v>
          </cell>
          <cell r="Z15">
            <v>7.9998093992450796</v>
          </cell>
          <cell r="AA15">
            <v>8535.7966289944998</v>
          </cell>
        </row>
        <row r="16">
          <cell r="B16" t="str">
            <v>A-03-01</v>
          </cell>
          <cell r="C16" t="str">
            <v>ATROPINA SULFATO .:. 1 mg/ml</v>
          </cell>
          <cell r="D16" t="str">
            <v>Inyectable</v>
          </cell>
          <cell r="E16">
            <v>47</v>
          </cell>
          <cell r="F16">
            <v>112.8</v>
          </cell>
          <cell r="H16">
            <v>100</v>
          </cell>
          <cell r="J16">
            <v>363</v>
          </cell>
          <cell r="M16">
            <v>0</v>
          </cell>
          <cell r="N16">
            <v>0</v>
          </cell>
          <cell r="P16">
            <v>57</v>
          </cell>
          <cell r="R16">
            <v>149.1</v>
          </cell>
          <cell r="S16">
            <v>0</v>
          </cell>
          <cell r="T16">
            <v>0</v>
          </cell>
          <cell r="U16">
            <v>90</v>
          </cell>
          <cell r="V16">
            <v>3.63</v>
          </cell>
          <cell r="W16">
            <v>326.7</v>
          </cell>
          <cell r="X16">
            <v>2.93316</v>
          </cell>
          <cell r="Y16">
            <v>0</v>
          </cell>
          <cell r="Z16">
            <v>3.63</v>
          </cell>
          <cell r="AA16">
            <v>326.7</v>
          </cell>
        </row>
        <row r="17">
          <cell r="B17" t="str">
            <v>A-03-02</v>
          </cell>
          <cell r="C17" t="str">
            <v>BUTILBROMURO DE HIOSCINA (BUTILESCOPOLAMINA) .:. 10 mg</v>
          </cell>
          <cell r="D17" t="str">
            <v>Comprimido</v>
          </cell>
          <cell r="E17">
            <v>1050</v>
          </cell>
          <cell r="F17">
            <v>1623.6182994149999</v>
          </cell>
          <cell r="H17">
            <v>0</v>
          </cell>
          <cell r="J17">
            <v>0</v>
          </cell>
          <cell r="M17">
            <v>3</v>
          </cell>
          <cell r="N17">
            <v>4.6389089999999999</v>
          </cell>
          <cell r="P17">
            <v>752</v>
          </cell>
          <cell r="R17">
            <v>1162.8199615074</v>
          </cell>
          <cell r="S17">
            <v>0</v>
          </cell>
          <cell r="T17">
            <v>0</v>
          </cell>
          <cell r="U17">
            <v>301</v>
          </cell>
          <cell r="V17">
            <v>1.5463031458724252</v>
          </cell>
          <cell r="W17">
            <v>465.43724690760001</v>
          </cell>
          <cell r="X17">
            <v>2.93316</v>
          </cell>
          <cell r="Y17">
            <v>0</v>
          </cell>
          <cell r="Z17">
            <v>1.5463031458724252</v>
          </cell>
          <cell r="AA17">
            <v>465.43724690760001</v>
          </cell>
        </row>
        <row r="18">
          <cell r="B18" t="str">
            <v>A-03-04</v>
          </cell>
          <cell r="C18" t="str">
            <v>BUTILBROMURO DE HIOSCINA (BUTILESCOPOLAMINA) .:. 20 mg/ml</v>
          </cell>
          <cell r="D18" t="str">
            <v>Inyectable</v>
          </cell>
          <cell r="E18">
            <v>168</v>
          </cell>
          <cell r="F18">
            <v>608.593546092</v>
          </cell>
          <cell r="H18">
            <v>350</v>
          </cell>
          <cell r="J18">
            <v>1676.5</v>
          </cell>
          <cell r="M18">
            <v>20</v>
          </cell>
          <cell r="N18">
            <v>87.628060000000005</v>
          </cell>
          <cell r="P18">
            <v>369</v>
          </cell>
          <cell r="R18">
            <v>1563.2116060946</v>
          </cell>
          <cell r="S18">
            <v>0</v>
          </cell>
          <cell r="T18">
            <v>0</v>
          </cell>
          <cell r="U18">
            <v>169</v>
          </cell>
          <cell r="V18">
            <v>4.789999999984615</v>
          </cell>
          <cell r="W18">
            <v>809.50999999739997</v>
          </cell>
          <cell r="X18">
            <v>2.93316</v>
          </cell>
          <cell r="Y18">
            <v>0</v>
          </cell>
          <cell r="Z18">
            <v>4.789999999984615</v>
          </cell>
          <cell r="AA18">
            <v>809.50999999739997</v>
          </cell>
        </row>
        <row r="19">
          <cell r="B19" t="str">
            <v>A-03-06</v>
          </cell>
          <cell r="C19" t="str">
            <v>DOMPERIDONA .:. 10 mg</v>
          </cell>
          <cell r="D19" t="str">
            <v>Comprimido</v>
          </cell>
          <cell r="E19">
            <v>10756</v>
          </cell>
          <cell r="F19">
            <v>2057.2124058956001</v>
          </cell>
          <cell r="H19">
            <v>11000</v>
          </cell>
          <cell r="J19">
            <v>3300</v>
          </cell>
          <cell r="M19">
            <v>23</v>
          </cell>
          <cell r="N19">
            <v>5.4863929999999996</v>
          </cell>
          <cell r="P19">
            <v>13364</v>
          </cell>
          <cell r="R19">
            <v>2838.1987986987001</v>
          </cell>
          <cell r="S19">
            <v>0</v>
          </cell>
          <cell r="T19">
            <v>0</v>
          </cell>
          <cell r="U19">
            <v>8415</v>
          </cell>
          <cell r="V19">
            <v>0.30000000002339872</v>
          </cell>
          <cell r="W19">
            <v>2524.5000001969001</v>
          </cell>
          <cell r="X19">
            <v>2.93316</v>
          </cell>
          <cell r="Y19">
            <v>0</v>
          </cell>
          <cell r="Z19">
            <v>0.30000000002339872</v>
          </cell>
          <cell r="AA19">
            <v>2524.5000001969001</v>
          </cell>
        </row>
        <row r="20">
          <cell r="B20" t="str">
            <v>A-03-07</v>
          </cell>
          <cell r="C20" t="str">
            <v>METOCLOPRAMIDA .:. 10 mg</v>
          </cell>
          <cell r="D20" t="str">
            <v>Comprimido</v>
          </cell>
          <cell r="E20">
            <v>518</v>
          </cell>
          <cell r="F20">
            <v>102.47993569659999</v>
          </cell>
          <cell r="H20">
            <v>1700</v>
          </cell>
          <cell r="J20">
            <v>408</v>
          </cell>
          <cell r="M20">
            <v>12</v>
          </cell>
          <cell r="N20">
            <v>2.7744719999999998</v>
          </cell>
          <cell r="P20">
            <v>1901</v>
          </cell>
          <cell r="R20">
            <v>437.18751133849997</v>
          </cell>
          <cell r="S20">
            <v>0</v>
          </cell>
          <cell r="T20">
            <v>0</v>
          </cell>
          <cell r="U20">
            <v>329</v>
          </cell>
          <cell r="V20">
            <v>0.23120637190911855</v>
          </cell>
          <cell r="W20">
            <v>76.066896358099996</v>
          </cell>
          <cell r="X20">
            <v>2.93316</v>
          </cell>
          <cell r="Y20">
            <v>0</v>
          </cell>
          <cell r="Z20">
            <v>0.23120637190911855</v>
          </cell>
          <cell r="AA20">
            <v>76.066896358099996</v>
          </cell>
        </row>
        <row r="21">
          <cell r="B21" t="str">
            <v>A-03-08</v>
          </cell>
          <cell r="C21" t="str">
            <v>METOCLOPRAMIDA .:. 10 mg/2ml</v>
          </cell>
          <cell r="D21" t="str">
            <v>Inyectable</v>
          </cell>
          <cell r="E21">
            <v>475</v>
          </cell>
          <cell r="F21">
            <v>585.48052782750005</v>
          </cell>
          <cell r="H21">
            <v>1400</v>
          </cell>
          <cell r="J21">
            <v>3080</v>
          </cell>
          <cell r="M21">
            <v>250</v>
          </cell>
          <cell r="N21">
            <v>465.93864400000001</v>
          </cell>
          <cell r="P21">
            <v>1386</v>
          </cell>
          <cell r="R21">
            <v>2526.4419627746001</v>
          </cell>
          <cell r="S21">
            <v>0</v>
          </cell>
          <cell r="T21">
            <v>0</v>
          </cell>
          <cell r="U21">
            <v>739</v>
          </cell>
          <cell r="V21">
            <v>2.1718230163097427</v>
          </cell>
          <cell r="W21">
            <v>1604.9772090529</v>
          </cell>
          <cell r="X21">
            <v>2.93316</v>
          </cell>
          <cell r="Y21">
            <v>0</v>
          </cell>
          <cell r="Z21">
            <v>2.1718230163097427</v>
          </cell>
          <cell r="AA21">
            <v>1604.9772090529</v>
          </cell>
        </row>
        <row r="22">
          <cell r="B22" t="str">
            <v>A-03-09</v>
          </cell>
          <cell r="C22" t="str">
            <v>METOCLOPRAMIDA .:. 0,35% o 0,5%</v>
          </cell>
          <cell r="D22" t="str">
            <v>Solución oral gotas</v>
          </cell>
          <cell r="E22">
            <v>31</v>
          </cell>
          <cell r="F22">
            <v>217</v>
          </cell>
          <cell r="H22">
            <v>0</v>
          </cell>
          <cell r="J22">
            <v>0</v>
          </cell>
          <cell r="M22">
            <v>20</v>
          </cell>
          <cell r="N22">
            <v>140</v>
          </cell>
          <cell r="P22">
            <v>25</v>
          </cell>
          <cell r="R22">
            <v>175</v>
          </cell>
          <cell r="S22">
            <v>19</v>
          </cell>
          <cell r="T22">
            <v>133</v>
          </cell>
          <cell r="U22">
            <v>7</v>
          </cell>
          <cell r="V22">
            <v>7</v>
          </cell>
          <cell r="W22">
            <v>49</v>
          </cell>
          <cell r="X22">
            <v>2.93316</v>
          </cell>
          <cell r="Y22">
            <v>0</v>
          </cell>
          <cell r="Z22">
            <v>7</v>
          </cell>
          <cell r="AA22">
            <v>49</v>
          </cell>
        </row>
        <row r="23">
          <cell r="B23" t="str">
            <v>A-03-10</v>
          </cell>
          <cell r="C23" t="str">
            <v>PROPINOXATO .:. 10 mg</v>
          </cell>
          <cell r="D23" t="str">
            <v>Comprimido</v>
          </cell>
          <cell r="E23">
            <v>575</v>
          </cell>
          <cell r="F23">
            <v>921.39026656750002</v>
          </cell>
          <cell r="H23">
            <v>1100</v>
          </cell>
          <cell r="J23">
            <v>2090</v>
          </cell>
          <cell r="M23">
            <v>2</v>
          </cell>
          <cell r="N23">
            <v>3.7751139999999999</v>
          </cell>
          <cell r="P23">
            <v>1293</v>
          </cell>
          <cell r="R23">
            <v>2290.3432857967</v>
          </cell>
          <cell r="S23">
            <v>0</v>
          </cell>
          <cell r="T23">
            <v>0</v>
          </cell>
          <cell r="U23">
            <v>384</v>
          </cell>
          <cell r="V23">
            <v>1.8875575384656249</v>
          </cell>
          <cell r="W23">
            <v>724.82209477080005</v>
          </cell>
          <cell r="X23">
            <v>2.93316</v>
          </cell>
          <cell r="Y23">
            <v>0</v>
          </cell>
          <cell r="Z23">
            <v>1.8875575384656249</v>
          </cell>
          <cell r="AA23">
            <v>724.82209477080005</v>
          </cell>
        </row>
        <row r="24">
          <cell r="B24" t="str">
            <v>A-03-11</v>
          </cell>
          <cell r="C24" t="str">
            <v>PROPINOXATO .:. 5 mg/ml</v>
          </cell>
          <cell r="D24" t="str">
            <v>Inyectable</v>
          </cell>
          <cell r="E24">
            <v>133</v>
          </cell>
          <cell r="F24">
            <v>816.42811938379998</v>
          </cell>
          <cell r="H24">
            <v>500</v>
          </cell>
          <cell r="J24">
            <v>4250</v>
          </cell>
          <cell r="M24">
            <v>1</v>
          </cell>
          <cell r="N24">
            <v>6.1385569999999996</v>
          </cell>
          <cell r="P24">
            <v>396</v>
          </cell>
          <cell r="R24">
            <v>3066.9937575131999</v>
          </cell>
          <cell r="S24">
            <v>0</v>
          </cell>
          <cell r="T24">
            <v>0</v>
          </cell>
          <cell r="U24">
            <v>238</v>
          </cell>
          <cell r="V24">
            <v>8.4267769700445374</v>
          </cell>
          <cell r="W24">
            <v>2005.5729188706</v>
          </cell>
          <cell r="X24">
            <v>2.93316</v>
          </cell>
          <cell r="Y24">
            <v>0</v>
          </cell>
          <cell r="Z24">
            <v>8.4267769700445374</v>
          </cell>
          <cell r="AA24">
            <v>2005.5729188706</v>
          </cell>
        </row>
        <row r="25">
          <cell r="B25" t="str">
            <v>A-03-12</v>
          </cell>
          <cell r="C25" t="str">
            <v>SIMETICONA .:. 3% o 4%</v>
          </cell>
          <cell r="D25" t="str">
            <v>Suspensión</v>
          </cell>
          <cell r="E25">
            <v>27</v>
          </cell>
          <cell r="F25">
            <v>534.1621621626</v>
          </cell>
          <cell r="H25">
            <v>0</v>
          </cell>
          <cell r="J25">
            <v>0</v>
          </cell>
          <cell r="M25">
            <v>0</v>
          </cell>
          <cell r="N25">
            <v>0</v>
          </cell>
          <cell r="P25">
            <v>27</v>
          </cell>
          <cell r="R25">
            <v>534.1621621626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2.93316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A-03-13</v>
          </cell>
          <cell r="C26" t="str">
            <v>SIMETICONA .:. 100 mg</v>
          </cell>
          <cell r="D26" t="str">
            <v>Comprimido</v>
          </cell>
          <cell r="E26">
            <v>6702</v>
          </cell>
          <cell r="F26">
            <v>7689.8305748424</v>
          </cell>
          <cell r="H26">
            <v>15000</v>
          </cell>
          <cell r="J26">
            <v>17100</v>
          </cell>
          <cell r="M26">
            <v>3</v>
          </cell>
          <cell r="N26">
            <v>3.4253610000000001</v>
          </cell>
          <cell r="P26">
            <v>13997</v>
          </cell>
          <cell r="R26">
            <v>15992.3598653267</v>
          </cell>
          <cell r="S26">
            <v>0</v>
          </cell>
          <cell r="T26">
            <v>0</v>
          </cell>
          <cell r="U26">
            <v>7708</v>
          </cell>
          <cell r="V26">
            <v>1.1417872431909315</v>
          </cell>
          <cell r="W26">
            <v>8800.8960705157006</v>
          </cell>
          <cell r="X26">
            <v>2.93316</v>
          </cell>
          <cell r="Y26">
            <v>0</v>
          </cell>
          <cell r="Z26">
            <v>1.1417872431909315</v>
          </cell>
          <cell r="AA26">
            <v>8800.8960705157006</v>
          </cell>
        </row>
        <row r="27">
          <cell r="B27" t="str">
            <v>A-04-01</v>
          </cell>
          <cell r="C27" t="str">
            <v>ONDANSETRON .:. 8 mg</v>
          </cell>
          <cell r="D27" t="str">
            <v>Inyectable</v>
          </cell>
          <cell r="E27">
            <v>106</v>
          </cell>
          <cell r="F27">
            <v>952.78730229359996</v>
          </cell>
          <cell r="H27">
            <v>850</v>
          </cell>
          <cell r="J27">
            <v>5431.5</v>
          </cell>
          <cell r="M27">
            <v>127</v>
          </cell>
          <cell r="N27">
            <v>813.53593799999999</v>
          </cell>
          <cell r="P27">
            <v>861</v>
          </cell>
          <cell r="R27">
            <v>5775.5628088720996</v>
          </cell>
          <cell r="S27">
            <v>0</v>
          </cell>
          <cell r="T27">
            <v>0</v>
          </cell>
          <cell r="U27">
            <v>222</v>
          </cell>
          <cell r="V27">
            <v>6.4065785199166667</v>
          </cell>
          <cell r="W27">
            <v>1422.2604314215</v>
          </cell>
          <cell r="X27">
            <v>2.93316</v>
          </cell>
          <cell r="Y27">
            <v>0</v>
          </cell>
          <cell r="Z27">
            <v>6.4065785199166667</v>
          </cell>
          <cell r="AA27">
            <v>1422.2604314215</v>
          </cell>
        </row>
        <row r="28">
          <cell r="B28" t="str">
            <v>A-04-02</v>
          </cell>
          <cell r="C28" t="str">
            <v>ONDANSETRON .:. 8 mg</v>
          </cell>
          <cell r="D28" t="str">
            <v>Comprimido</v>
          </cell>
          <cell r="E28">
            <v>196</v>
          </cell>
          <cell r="F28">
            <v>783.99837459160005</v>
          </cell>
          <cell r="H28">
            <v>400</v>
          </cell>
          <cell r="J28">
            <v>1600</v>
          </cell>
          <cell r="M28">
            <v>202</v>
          </cell>
          <cell r="N28">
            <v>807.999638</v>
          </cell>
          <cell r="P28">
            <v>468</v>
          </cell>
          <cell r="R28">
            <v>1871.9982227646999</v>
          </cell>
          <cell r="S28">
            <v>0</v>
          </cell>
          <cell r="T28">
            <v>0</v>
          </cell>
          <cell r="U28">
            <v>330</v>
          </cell>
          <cell r="V28">
            <v>3.9999993631118183</v>
          </cell>
          <cell r="W28">
            <v>1319.9997898269</v>
          </cell>
          <cell r="X28">
            <v>2.93316</v>
          </cell>
          <cell r="Y28">
            <v>0</v>
          </cell>
          <cell r="Z28">
            <v>3.9999993631118183</v>
          </cell>
          <cell r="AA28">
            <v>1319.9997898269</v>
          </cell>
        </row>
        <row r="29">
          <cell r="B29" t="str">
            <v>A-05-01</v>
          </cell>
          <cell r="C29" t="str">
            <v xml:space="preserve">ACIDO URSODEOXICOLICO  250 MG .:. 250 MG. </v>
          </cell>
          <cell r="D29" t="str">
            <v>Comprimido o Cápsula</v>
          </cell>
          <cell r="E29">
            <v>900</v>
          </cell>
          <cell r="F29">
            <v>6761.0826446399997</v>
          </cell>
          <cell r="H29">
            <v>2500</v>
          </cell>
          <cell r="J29">
            <v>18725</v>
          </cell>
          <cell r="M29">
            <v>6</v>
          </cell>
          <cell r="N29">
            <v>44.965907999999999</v>
          </cell>
          <cell r="P29">
            <v>2293</v>
          </cell>
          <cell r="R29">
            <v>17189.871677229501</v>
          </cell>
          <cell r="S29">
            <v>0</v>
          </cell>
          <cell r="T29">
            <v>0</v>
          </cell>
          <cell r="U29">
            <v>1113</v>
          </cell>
          <cell r="V29">
            <v>7.4943188458315362</v>
          </cell>
          <cell r="W29">
            <v>8341.1768754104996</v>
          </cell>
          <cell r="X29">
            <v>2.93316</v>
          </cell>
          <cell r="Y29">
            <v>0</v>
          </cell>
          <cell r="Z29">
            <v>7.4943188458315362</v>
          </cell>
          <cell r="AA29">
            <v>8341.1768754104996</v>
          </cell>
        </row>
        <row r="30">
          <cell r="B30" t="str">
            <v>A-06-01</v>
          </cell>
          <cell r="C30" t="str">
            <v>ACEITE MINERAL .:. 0.4</v>
          </cell>
          <cell r="D30" t="str">
            <v>Emulsión oral</v>
          </cell>
          <cell r="E30">
            <v>32</v>
          </cell>
          <cell r="F30">
            <v>476.8</v>
          </cell>
          <cell r="H30">
            <v>220</v>
          </cell>
          <cell r="J30">
            <v>3036</v>
          </cell>
          <cell r="M30">
            <v>0</v>
          </cell>
          <cell r="N30">
            <v>0</v>
          </cell>
          <cell r="P30">
            <v>223</v>
          </cell>
          <cell r="R30">
            <v>3110.8201716824001</v>
          </cell>
          <cell r="S30">
            <v>0</v>
          </cell>
          <cell r="T30">
            <v>0</v>
          </cell>
          <cell r="U30">
            <v>29</v>
          </cell>
          <cell r="V30">
            <v>13.861373390262068</v>
          </cell>
          <cell r="W30">
            <v>401.97982831759998</v>
          </cell>
          <cell r="X30">
            <v>2.93316</v>
          </cell>
          <cell r="Y30">
            <v>0</v>
          </cell>
          <cell r="Z30">
            <v>13.861373390262068</v>
          </cell>
          <cell r="AA30">
            <v>401.97982831759998</v>
          </cell>
        </row>
        <row r="31">
          <cell r="B31" t="str">
            <v>A-06-02</v>
          </cell>
          <cell r="C31" t="str">
            <v>BISACODILO .:. 5 mg</v>
          </cell>
          <cell r="D31" t="str">
            <v>Comprimido</v>
          </cell>
          <cell r="E31">
            <v>407</v>
          </cell>
          <cell r="F31">
            <v>274.89995477010001</v>
          </cell>
          <cell r="H31">
            <v>0</v>
          </cell>
          <cell r="J31">
            <v>0</v>
          </cell>
          <cell r="M31">
            <v>0</v>
          </cell>
          <cell r="N31">
            <v>0</v>
          </cell>
          <cell r="P31">
            <v>373</v>
          </cell>
          <cell r="R31">
            <v>251.93533938389999</v>
          </cell>
          <cell r="S31">
            <v>0</v>
          </cell>
          <cell r="T31">
            <v>0</v>
          </cell>
          <cell r="U31">
            <v>34</v>
          </cell>
          <cell r="V31">
            <v>0.67542986429999996</v>
          </cell>
          <cell r="W31">
            <v>22.964615386199998</v>
          </cell>
          <cell r="X31">
            <v>2.93316</v>
          </cell>
          <cell r="Y31">
            <v>0</v>
          </cell>
          <cell r="Z31">
            <v>0.67542986429999996</v>
          </cell>
          <cell r="AA31">
            <v>22.964615386199998</v>
          </cell>
        </row>
        <row r="32">
          <cell r="B32" t="str">
            <v>A-06-04</v>
          </cell>
          <cell r="C32" t="str">
            <v>FIBRA NATURAL .:. Según disponibilidad</v>
          </cell>
          <cell r="D32" t="str">
            <v>Polvo o granulado</v>
          </cell>
          <cell r="E32">
            <v>15</v>
          </cell>
          <cell r="F32">
            <v>44.846117653500002</v>
          </cell>
          <cell r="H32">
            <v>6000</v>
          </cell>
          <cell r="J32">
            <v>17920</v>
          </cell>
          <cell r="M32">
            <v>3</v>
          </cell>
          <cell r="N32">
            <v>8.9574540000000002</v>
          </cell>
          <cell r="P32">
            <v>3691</v>
          </cell>
          <cell r="R32">
            <v>11025.8041422274</v>
          </cell>
          <cell r="S32">
            <v>0</v>
          </cell>
          <cell r="T32">
            <v>0</v>
          </cell>
          <cell r="U32">
            <v>2327</v>
          </cell>
          <cell r="V32">
            <v>2.9858184054259134</v>
          </cell>
          <cell r="W32">
            <v>6947.9994294260996</v>
          </cell>
          <cell r="X32">
            <v>2.93316</v>
          </cell>
          <cell r="Y32">
            <v>0</v>
          </cell>
          <cell r="Z32">
            <v>2.9858184054259134</v>
          </cell>
          <cell r="AA32">
            <v>6947.9994294260996</v>
          </cell>
        </row>
        <row r="33">
          <cell r="B33" t="str">
            <v>A-06-06</v>
          </cell>
          <cell r="C33" t="str">
            <v>GLICEROL (GLICERINA) .:. 1 g a 1,80 g (infantil)</v>
          </cell>
          <cell r="D33" t="str">
            <v>Supositorio</v>
          </cell>
          <cell r="E33">
            <v>17</v>
          </cell>
          <cell r="F33">
            <v>26.243749999999999</v>
          </cell>
          <cell r="H33">
            <v>0</v>
          </cell>
          <cell r="J33">
            <v>0</v>
          </cell>
          <cell r="M33">
            <v>0</v>
          </cell>
          <cell r="N33">
            <v>0</v>
          </cell>
          <cell r="P33">
            <v>6</v>
          </cell>
          <cell r="R33">
            <v>9.2624999999999993</v>
          </cell>
          <cell r="S33">
            <v>0</v>
          </cell>
          <cell r="T33">
            <v>0</v>
          </cell>
          <cell r="U33">
            <v>11</v>
          </cell>
          <cell r="V33">
            <v>1.54375</v>
          </cell>
          <cell r="W33">
            <v>16.981249999999999</v>
          </cell>
          <cell r="X33">
            <v>2.93316</v>
          </cell>
          <cell r="Y33">
            <v>0</v>
          </cell>
          <cell r="Z33">
            <v>1.54375</v>
          </cell>
          <cell r="AA33">
            <v>16.981249999999999</v>
          </cell>
        </row>
        <row r="34">
          <cell r="B34" t="str">
            <v>A-06-07</v>
          </cell>
          <cell r="C34" t="str">
            <v>LACTULOSA .:. 65% hasta 66.7%</v>
          </cell>
          <cell r="D34" t="str">
            <v>Solución oral</v>
          </cell>
          <cell r="E34">
            <v>75</v>
          </cell>
          <cell r="F34">
            <v>1952.2277210100001</v>
          </cell>
          <cell r="H34">
            <v>270</v>
          </cell>
          <cell r="J34">
            <v>8100</v>
          </cell>
          <cell r="M34">
            <v>0</v>
          </cell>
          <cell r="N34">
            <v>0</v>
          </cell>
          <cell r="P34">
            <v>335</v>
          </cell>
          <cell r="R34">
            <v>9756.5518064856005</v>
          </cell>
          <cell r="S34">
            <v>0</v>
          </cell>
          <cell r="T34">
            <v>0</v>
          </cell>
          <cell r="U34">
            <v>10</v>
          </cell>
          <cell r="V34">
            <v>29.567591452439999</v>
          </cell>
          <cell r="W34">
            <v>295.67591452440001</v>
          </cell>
          <cell r="X34">
            <v>2.93316</v>
          </cell>
          <cell r="Y34">
            <v>0</v>
          </cell>
          <cell r="Z34">
            <v>29.567591452439999</v>
          </cell>
          <cell r="AA34">
            <v>295.67591452440001</v>
          </cell>
        </row>
        <row r="35">
          <cell r="B35" t="str">
            <v>A-07-02</v>
          </cell>
          <cell r="C35" t="str">
            <v>LOPERAMIDA .:. 2 mg</v>
          </cell>
          <cell r="D35" t="str">
            <v>Cápsula o Comprimido</v>
          </cell>
          <cell r="E35">
            <v>930</v>
          </cell>
          <cell r="F35">
            <v>186</v>
          </cell>
          <cell r="H35">
            <v>0</v>
          </cell>
          <cell r="J35">
            <v>0</v>
          </cell>
          <cell r="M35">
            <v>20</v>
          </cell>
          <cell r="N35">
            <v>4</v>
          </cell>
          <cell r="P35">
            <v>436</v>
          </cell>
          <cell r="R35">
            <v>87.2</v>
          </cell>
          <cell r="S35">
            <v>0</v>
          </cell>
          <cell r="T35">
            <v>0</v>
          </cell>
          <cell r="U35">
            <v>514</v>
          </cell>
          <cell r="V35">
            <v>0.2</v>
          </cell>
          <cell r="W35">
            <v>102.8</v>
          </cell>
          <cell r="X35">
            <v>2.93316</v>
          </cell>
          <cell r="Y35">
            <v>0</v>
          </cell>
          <cell r="Z35">
            <v>0.2</v>
          </cell>
          <cell r="AA35">
            <v>102.8</v>
          </cell>
        </row>
        <row r="36">
          <cell r="B36" t="str">
            <v>A-07-04</v>
          </cell>
          <cell r="C36" t="str">
            <v>NISTATINA .:. 500.000 UI/5 ml</v>
          </cell>
          <cell r="D36" t="str">
            <v>Suspensión</v>
          </cell>
          <cell r="E36">
            <v>14</v>
          </cell>
          <cell r="F36">
            <v>182.1758650278</v>
          </cell>
          <cell r="H36">
            <v>160</v>
          </cell>
          <cell r="J36">
            <v>2990</v>
          </cell>
          <cell r="M36">
            <v>0</v>
          </cell>
          <cell r="N36">
            <v>0</v>
          </cell>
          <cell r="P36">
            <v>109</v>
          </cell>
          <cell r="R36">
            <v>1872.1758650278</v>
          </cell>
          <cell r="S36">
            <v>0</v>
          </cell>
          <cell r="T36">
            <v>0</v>
          </cell>
          <cell r="U36">
            <v>65</v>
          </cell>
          <cell r="V36">
            <v>20</v>
          </cell>
          <cell r="W36">
            <v>1300</v>
          </cell>
          <cell r="X36">
            <v>2.93316</v>
          </cell>
          <cell r="Y36">
            <v>0</v>
          </cell>
          <cell r="Z36">
            <v>20</v>
          </cell>
          <cell r="AA36">
            <v>1300</v>
          </cell>
        </row>
        <row r="37">
          <cell r="B37" t="str">
            <v>A-07-06</v>
          </cell>
          <cell r="C37" t="str">
            <v>SALES DE REHIDRATACION ORAL (SRO) BAJA OSMOLARIDAD .:. Según concentración eestándar</v>
          </cell>
          <cell r="D37" t="str">
            <v>Sobres</v>
          </cell>
          <cell r="E37">
            <v>186</v>
          </cell>
          <cell r="F37">
            <v>276.78230769660001</v>
          </cell>
          <cell r="H37">
            <v>650</v>
          </cell>
          <cell r="J37">
            <v>1040</v>
          </cell>
          <cell r="M37">
            <v>6</v>
          </cell>
          <cell r="N37">
            <v>9.5770440000000008</v>
          </cell>
          <cell r="P37">
            <v>640</v>
          </cell>
          <cell r="R37">
            <v>1003.9320052691</v>
          </cell>
          <cell r="S37">
            <v>0</v>
          </cell>
          <cell r="T37">
            <v>0</v>
          </cell>
          <cell r="U37">
            <v>202</v>
          </cell>
          <cell r="V37">
            <v>1.5961749823143565</v>
          </cell>
          <cell r="W37">
            <v>322.42734642750003</v>
          </cell>
          <cell r="X37">
            <v>2.93316</v>
          </cell>
          <cell r="Y37">
            <v>0</v>
          </cell>
          <cell r="Z37">
            <v>1.5961749823143565</v>
          </cell>
          <cell r="AA37">
            <v>322.42734642750003</v>
          </cell>
        </row>
        <row r="38">
          <cell r="B38" t="str">
            <v>A-07-07</v>
          </cell>
          <cell r="C38" t="str">
            <v>MESALAZINA .:. 500 mg</v>
          </cell>
          <cell r="D38" t="str">
            <v>Comprimido</v>
          </cell>
          <cell r="E38">
            <v>368</v>
          </cell>
          <cell r="F38">
            <v>3124.7447846815999</v>
          </cell>
          <cell r="H38">
            <v>1400</v>
          </cell>
          <cell r="J38">
            <v>24550</v>
          </cell>
          <cell r="M38">
            <v>0</v>
          </cell>
          <cell r="N38">
            <v>0</v>
          </cell>
          <cell r="P38">
            <v>1048</v>
          </cell>
          <cell r="R38">
            <v>13274.744784672799</v>
          </cell>
          <cell r="S38">
            <v>0</v>
          </cell>
          <cell r="T38">
            <v>0</v>
          </cell>
          <cell r="U38">
            <v>720</v>
          </cell>
          <cell r="V38">
            <v>20.000000000012221</v>
          </cell>
          <cell r="W38">
            <v>14400.0000000088</v>
          </cell>
          <cell r="X38">
            <v>2.93316</v>
          </cell>
          <cell r="Y38">
            <v>0</v>
          </cell>
          <cell r="Z38">
            <v>20.000000000012221</v>
          </cell>
          <cell r="AA38">
            <v>14400.0000000088</v>
          </cell>
        </row>
        <row r="39">
          <cell r="B39" t="str">
            <v>A-09-01</v>
          </cell>
          <cell r="C39" t="str">
            <v>ENZIMAS PANCREATICAS (LIPASA, PROTEASA Y AMILASA EN COMBINACION) .:. Según disponibilidad</v>
          </cell>
          <cell r="D39" t="str">
            <v>Comprimido</v>
          </cell>
          <cell r="E39">
            <v>387</v>
          </cell>
          <cell r="F39">
            <v>363.78</v>
          </cell>
          <cell r="H39">
            <v>1000</v>
          </cell>
          <cell r="J39">
            <v>1040</v>
          </cell>
          <cell r="M39">
            <v>0</v>
          </cell>
          <cell r="N39">
            <v>0</v>
          </cell>
          <cell r="P39">
            <v>1387</v>
          </cell>
          <cell r="R39">
            <v>1403.7799999975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2.5000000000000001E-9</v>
          </cell>
          <cell r="X39">
            <v>2.93316</v>
          </cell>
          <cell r="Y39">
            <v>0</v>
          </cell>
          <cell r="Z39">
            <v>0</v>
          </cell>
          <cell r="AA39">
            <v>2.5000000000000001E-9</v>
          </cell>
        </row>
        <row r="40">
          <cell r="B40" t="str">
            <v>A-10-01</v>
          </cell>
          <cell r="C40" t="str">
            <v>GLIBENCLAMIDA .:. 5 mg</v>
          </cell>
          <cell r="D40" t="str">
            <v>Comprimido</v>
          </cell>
          <cell r="E40">
            <v>4217</v>
          </cell>
          <cell r="F40">
            <v>337.1419372432</v>
          </cell>
          <cell r="H40">
            <v>15000</v>
          </cell>
          <cell r="J40">
            <v>3300</v>
          </cell>
          <cell r="M40">
            <v>0</v>
          </cell>
          <cell r="N40">
            <v>0</v>
          </cell>
          <cell r="P40">
            <v>11709</v>
          </cell>
          <cell r="R40">
            <v>1982.2179205469999</v>
          </cell>
          <cell r="S40">
            <v>0</v>
          </cell>
          <cell r="T40">
            <v>0</v>
          </cell>
          <cell r="U40">
            <v>7508</v>
          </cell>
          <cell r="V40">
            <v>0.22042141937882259</v>
          </cell>
          <cell r="W40">
            <v>1654.9240166961999</v>
          </cell>
          <cell r="X40">
            <v>2.93316</v>
          </cell>
          <cell r="Y40">
            <v>0</v>
          </cell>
          <cell r="Z40">
            <v>0.22042141937882259</v>
          </cell>
          <cell r="AA40">
            <v>1654.9240166961999</v>
          </cell>
        </row>
        <row r="41">
          <cell r="B41" t="str">
            <v>A-10-02</v>
          </cell>
          <cell r="C41" t="str">
            <v>INSULINA RECOMBINANTE HUMANA NPH .:. 100 UI/ml</v>
          </cell>
          <cell r="D41" t="str">
            <v>Inyectable</v>
          </cell>
          <cell r="E41">
            <v>56</v>
          </cell>
          <cell r="F41">
            <v>5451.6722647072002</v>
          </cell>
          <cell r="H41">
            <v>320</v>
          </cell>
          <cell r="J41">
            <v>29920</v>
          </cell>
          <cell r="M41">
            <v>0</v>
          </cell>
          <cell r="N41">
            <v>0</v>
          </cell>
          <cell r="P41">
            <v>306</v>
          </cell>
          <cell r="R41">
            <v>28813.834627550699</v>
          </cell>
          <cell r="S41">
            <v>0</v>
          </cell>
          <cell r="T41">
            <v>0</v>
          </cell>
          <cell r="U41">
            <v>70</v>
          </cell>
          <cell r="V41">
            <v>93.683394816521428</v>
          </cell>
          <cell r="W41">
            <v>6557.8376371565</v>
          </cell>
          <cell r="X41">
            <v>2.93316</v>
          </cell>
          <cell r="Y41">
            <v>0</v>
          </cell>
          <cell r="Z41">
            <v>93.683394816521428</v>
          </cell>
          <cell r="AA41">
            <v>6557.8376371565</v>
          </cell>
        </row>
        <row r="42">
          <cell r="B42" t="str">
            <v>A-10-03</v>
          </cell>
          <cell r="C42" t="str">
            <v>INSULINA ZINC CRISTALINA  RECOMBINANTE HUMANA .:. 100 UI/ml</v>
          </cell>
          <cell r="D42" t="str">
            <v>Inyectable</v>
          </cell>
          <cell r="E42">
            <v>22</v>
          </cell>
          <cell r="F42">
            <v>2076.58</v>
          </cell>
          <cell r="H42">
            <v>100</v>
          </cell>
          <cell r="J42">
            <v>9579</v>
          </cell>
          <cell r="M42">
            <v>0</v>
          </cell>
          <cell r="N42">
            <v>0</v>
          </cell>
          <cell r="P42">
            <v>72</v>
          </cell>
          <cell r="R42">
            <v>6874.1330972921996</v>
          </cell>
          <cell r="S42">
            <v>0</v>
          </cell>
          <cell r="T42">
            <v>0</v>
          </cell>
          <cell r="U42">
            <v>50</v>
          </cell>
          <cell r="V42">
            <v>95.628938054155995</v>
          </cell>
          <cell r="W42">
            <v>4781.4469027078003</v>
          </cell>
          <cell r="X42">
            <v>2.93316</v>
          </cell>
          <cell r="Y42">
            <v>0</v>
          </cell>
          <cell r="Z42">
            <v>95.628938054155995</v>
          </cell>
          <cell r="AA42">
            <v>4781.4469027078003</v>
          </cell>
        </row>
        <row r="43">
          <cell r="B43" t="str">
            <v>A-10-04</v>
          </cell>
          <cell r="C43" t="str">
            <v>METFORMINA .:. 850 mg</v>
          </cell>
          <cell r="D43" t="str">
            <v>Comprimido</v>
          </cell>
          <cell r="E43">
            <v>13745</v>
          </cell>
          <cell r="F43">
            <v>3848.6</v>
          </cell>
          <cell r="H43">
            <v>90000</v>
          </cell>
          <cell r="J43">
            <v>27000</v>
          </cell>
          <cell r="M43">
            <v>0</v>
          </cell>
          <cell r="N43">
            <v>0</v>
          </cell>
          <cell r="P43">
            <v>75672</v>
          </cell>
          <cell r="R43">
            <v>22426.7</v>
          </cell>
          <cell r="S43">
            <v>0</v>
          </cell>
          <cell r="T43">
            <v>0</v>
          </cell>
          <cell r="U43">
            <v>28073</v>
          </cell>
          <cell r="V43">
            <v>0.3</v>
          </cell>
          <cell r="W43">
            <v>8421.9</v>
          </cell>
          <cell r="X43">
            <v>2.93316</v>
          </cell>
          <cell r="Y43">
            <v>0</v>
          </cell>
          <cell r="Z43">
            <v>0.3</v>
          </cell>
          <cell r="AA43">
            <v>8421.9</v>
          </cell>
        </row>
        <row r="44">
          <cell r="B44" t="str">
            <v>A-10-05</v>
          </cell>
          <cell r="C44" t="str">
            <v>INSULINA GLARGINA .:. 100 U.I / ml</v>
          </cell>
          <cell r="D44" t="str">
            <v>Inyectable</v>
          </cell>
          <cell r="E44">
            <v>16</v>
          </cell>
          <cell r="F44">
            <v>3839.84</v>
          </cell>
          <cell r="H44">
            <v>84</v>
          </cell>
          <cell r="J44">
            <v>33676</v>
          </cell>
          <cell r="M44">
            <v>0</v>
          </cell>
          <cell r="N44">
            <v>0</v>
          </cell>
          <cell r="P44">
            <v>74</v>
          </cell>
          <cell r="R44">
            <v>26829.839999999898</v>
          </cell>
          <cell r="S44">
            <v>0</v>
          </cell>
          <cell r="T44">
            <v>0</v>
          </cell>
          <cell r="U44">
            <v>26</v>
          </cell>
          <cell r="V44">
            <v>411.00000000000387</v>
          </cell>
          <cell r="W44">
            <v>10686.0000000001</v>
          </cell>
          <cell r="X44">
            <v>2.93316</v>
          </cell>
          <cell r="Y44">
            <v>0</v>
          </cell>
          <cell r="Z44">
            <v>411.00000000000387</v>
          </cell>
          <cell r="AA44">
            <v>10686.0000000001</v>
          </cell>
        </row>
        <row r="45">
          <cell r="B45" t="str">
            <v>A-10-07</v>
          </cell>
          <cell r="C45" t="str">
            <v>METFORMINA .:. 500 mg</v>
          </cell>
          <cell r="D45" t="str">
            <v>Comprimido</v>
          </cell>
          <cell r="E45">
            <v>1</v>
          </cell>
          <cell r="F45">
            <v>0.68</v>
          </cell>
          <cell r="H45">
            <v>0</v>
          </cell>
          <cell r="J45">
            <v>0</v>
          </cell>
          <cell r="M45">
            <v>0</v>
          </cell>
          <cell r="N45">
            <v>0</v>
          </cell>
          <cell r="P45">
            <v>0</v>
          </cell>
          <cell r="R45">
            <v>0</v>
          </cell>
          <cell r="S45">
            <v>0</v>
          </cell>
          <cell r="T45">
            <v>0</v>
          </cell>
          <cell r="U45">
            <v>1</v>
          </cell>
          <cell r="V45">
            <v>0.68</v>
          </cell>
          <cell r="W45">
            <v>0.68</v>
          </cell>
          <cell r="X45">
            <v>2.93316</v>
          </cell>
          <cell r="Y45">
            <v>0</v>
          </cell>
          <cell r="Z45">
            <v>0.68</v>
          </cell>
          <cell r="AA45">
            <v>0.68</v>
          </cell>
        </row>
        <row r="46">
          <cell r="B46" t="str">
            <v>A-11-02</v>
          </cell>
          <cell r="C46" t="str">
            <v>ACIDO ASCORBICO (VITAMINA C) .:. 500 mg/ml (2 ml)</v>
          </cell>
          <cell r="D46" t="str">
            <v>Inyectable</v>
          </cell>
          <cell r="E46">
            <v>195</v>
          </cell>
          <cell r="F46">
            <v>424.98050076300001</v>
          </cell>
          <cell r="H46">
            <v>1300</v>
          </cell>
          <cell r="J46">
            <v>4117</v>
          </cell>
          <cell r="M46">
            <v>92</v>
          </cell>
          <cell r="N46">
            <v>277.64816100000002</v>
          </cell>
          <cell r="P46">
            <v>1340</v>
          </cell>
          <cell r="R46">
            <v>3651.3186617653</v>
          </cell>
          <cell r="S46">
            <v>0</v>
          </cell>
          <cell r="T46">
            <v>0</v>
          </cell>
          <cell r="U46">
            <v>247</v>
          </cell>
          <cell r="V46">
            <v>4.7299999999906879</v>
          </cell>
          <cell r="W46">
            <v>1168.3099999977001</v>
          </cell>
          <cell r="X46">
            <v>2.93316</v>
          </cell>
          <cell r="Y46">
            <v>0</v>
          </cell>
          <cell r="Z46">
            <v>4.7299999999906879</v>
          </cell>
          <cell r="AA46">
            <v>1168.3099999977001</v>
          </cell>
        </row>
        <row r="47">
          <cell r="B47" t="str">
            <v>A-11-03</v>
          </cell>
          <cell r="C47" t="str">
            <v>ACIDO ASCORBICO (VITAMINA C) .:. Según disponibilidad</v>
          </cell>
          <cell r="D47" t="str">
            <v>Solución oral gotas</v>
          </cell>
          <cell r="E47">
            <v>10</v>
          </cell>
          <cell r="F47">
            <v>203</v>
          </cell>
          <cell r="H47">
            <v>0</v>
          </cell>
          <cell r="J47">
            <v>0</v>
          </cell>
          <cell r="M47">
            <v>0</v>
          </cell>
          <cell r="N47">
            <v>0</v>
          </cell>
          <cell r="P47">
            <v>10</v>
          </cell>
          <cell r="R47">
            <v>203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2.93316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A-11-04</v>
          </cell>
          <cell r="C48" t="str">
            <v>CIANOCOBALAMINA (VITAMINA B12) .:. 1 mg/ml</v>
          </cell>
          <cell r="D48" t="str">
            <v>Inyectable</v>
          </cell>
          <cell r="E48">
            <v>875</v>
          </cell>
          <cell r="F48">
            <v>4278.5304694124998</v>
          </cell>
          <cell r="H48">
            <v>0</v>
          </cell>
          <cell r="J48">
            <v>0</v>
          </cell>
          <cell r="M48">
            <v>14</v>
          </cell>
          <cell r="N48">
            <v>68.458744999999993</v>
          </cell>
          <cell r="P48">
            <v>880</v>
          </cell>
          <cell r="R48">
            <v>4302.9814726913</v>
          </cell>
          <cell r="S48">
            <v>9</v>
          </cell>
          <cell r="T48">
            <v>44.007741752400001</v>
          </cell>
          <cell r="U48">
            <v>0</v>
          </cell>
          <cell r="V48">
            <v>0</v>
          </cell>
          <cell r="W48">
            <v>-3.1200000000000001E-8</v>
          </cell>
          <cell r="X48">
            <v>2.93316</v>
          </cell>
          <cell r="Y48">
            <v>0</v>
          </cell>
          <cell r="Z48">
            <v>0</v>
          </cell>
          <cell r="AA48">
            <v>-3.1200000000000001E-8</v>
          </cell>
        </row>
        <row r="49">
          <cell r="B49" t="str">
            <v>A-11-06</v>
          </cell>
          <cell r="C49" t="str">
            <v>COMPLEJO  B (B1 + B6 + B12) .:. Según concentración eestándar</v>
          </cell>
          <cell r="D49" t="str">
            <v>Comprimido</v>
          </cell>
          <cell r="E49">
            <v>6300</v>
          </cell>
          <cell r="F49">
            <v>1173.6244346399999</v>
          </cell>
          <cell r="H49">
            <v>11400</v>
          </cell>
          <cell r="J49">
            <v>2508</v>
          </cell>
          <cell r="M49">
            <v>0</v>
          </cell>
          <cell r="N49">
            <v>0</v>
          </cell>
          <cell r="P49">
            <v>15288</v>
          </cell>
          <cell r="R49">
            <v>3152.3380417055</v>
          </cell>
          <cell r="S49">
            <v>0</v>
          </cell>
          <cell r="T49">
            <v>0</v>
          </cell>
          <cell r="U49">
            <v>2412</v>
          </cell>
          <cell r="V49">
            <v>0.21943880304083749</v>
          </cell>
          <cell r="W49">
            <v>529.28639293449999</v>
          </cell>
          <cell r="X49">
            <v>2.93316</v>
          </cell>
          <cell r="Y49">
            <v>0</v>
          </cell>
          <cell r="Z49">
            <v>0.21943880304083749</v>
          </cell>
          <cell r="AA49">
            <v>529.28639293449999</v>
          </cell>
        </row>
        <row r="50">
          <cell r="B50" t="str">
            <v>A-11-07</v>
          </cell>
          <cell r="C50" t="str">
            <v>COMPLEJO  B (B1 + B6 + B12) .:. Según concentración eestándar</v>
          </cell>
          <cell r="D50" t="str">
            <v>Inyectable</v>
          </cell>
          <cell r="E50">
            <v>702</v>
          </cell>
          <cell r="F50">
            <v>1328.1560269146</v>
          </cell>
          <cell r="H50">
            <v>3500</v>
          </cell>
          <cell r="J50">
            <v>6650</v>
          </cell>
          <cell r="M50">
            <v>113</v>
          </cell>
          <cell r="N50">
            <v>214.63130000000001</v>
          </cell>
          <cell r="P50">
            <v>3290</v>
          </cell>
          <cell r="R50">
            <v>6245.9103765157997</v>
          </cell>
          <cell r="S50">
            <v>0</v>
          </cell>
          <cell r="T50">
            <v>0</v>
          </cell>
          <cell r="U50">
            <v>1025</v>
          </cell>
          <cell r="V50">
            <v>1.8993921467305366</v>
          </cell>
          <cell r="W50">
            <v>1946.8769503988001</v>
          </cell>
          <cell r="X50">
            <v>2.93316</v>
          </cell>
          <cell r="Y50">
            <v>0</v>
          </cell>
          <cell r="Z50">
            <v>1.8993921467305366</v>
          </cell>
          <cell r="AA50">
            <v>1946.8769503988001</v>
          </cell>
        </row>
        <row r="51">
          <cell r="B51" t="str">
            <v>A-11-09</v>
          </cell>
          <cell r="C51" t="str">
            <v>MULTIVITAMINAS .:. Según concentración estándar</v>
          </cell>
          <cell r="D51" t="str">
            <v>Comprimido</v>
          </cell>
          <cell r="E51">
            <v>5132</v>
          </cell>
          <cell r="F51">
            <v>1664.4757751268</v>
          </cell>
          <cell r="H51">
            <v>0</v>
          </cell>
          <cell r="J51">
            <v>0</v>
          </cell>
          <cell r="M51">
            <v>0</v>
          </cell>
          <cell r="N51">
            <v>0</v>
          </cell>
          <cell r="P51">
            <v>5132</v>
          </cell>
          <cell r="R51">
            <v>1664.4757751268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2.93316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A-11-10</v>
          </cell>
          <cell r="C52" t="str">
            <v>MULTIVITAMINAS .:. Según concentración estándar</v>
          </cell>
          <cell r="D52" t="str">
            <v>Jarabe</v>
          </cell>
          <cell r="E52">
            <v>38</v>
          </cell>
          <cell r="F52">
            <v>570</v>
          </cell>
          <cell r="H52">
            <v>0</v>
          </cell>
          <cell r="J52">
            <v>0</v>
          </cell>
          <cell r="M52">
            <v>25</v>
          </cell>
          <cell r="N52">
            <v>375</v>
          </cell>
          <cell r="P52">
            <v>38</v>
          </cell>
          <cell r="R52">
            <v>570</v>
          </cell>
          <cell r="S52">
            <v>25</v>
          </cell>
          <cell r="T52">
            <v>375</v>
          </cell>
          <cell r="U52">
            <v>0</v>
          </cell>
          <cell r="V52">
            <v>0</v>
          </cell>
          <cell r="W52">
            <v>0</v>
          </cell>
          <cell r="X52">
            <v>2.93316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A-11-13</v>
          </cell>
          <cell r="C53" t="str">
            <v>RETINOL (VITAMINA A) .:. 10.000 UI</v>
          </cell>
          <cell r="D53" t="str">
            <v>Cápsula o Perla</v>
          </cell>
          <cell r="E53">
            <v>200</v>
          </cell>
          <cell r="F53">
            <v>160</v>
          </cell>
          <cell r="H53">
            <v>480</v>
          </cell>
          <cell r="J53">
            <v>384</v>
          </cell>
          <cell r="M53">
            <v>0</v>
          </cell>
          <cell r="N53">
            <v>0</v>
          </cell>
          <cell r="P53">
            <v>482</v>
          </cell>
          <cell r="R53">
            <v>385.6</v>
          </cell>
          <cell r="S53">
            <v>0</v>
          </cell>
          <cell r="T53">
            <v>0</v>
          </cell>
          <cell r="U53">
            <v>198</v>
          </cell>
          <cell r="V53">
            <v>0.8</v>
          </cell>
          <cell r="W53">
            <v>158.4</v>
          </cell>
          <cell r="X53">
            <v>2.93316</v>
          </cell>
          <cell r="Y53">
            <v>0</v>
          </cell>
          <cell r="Z53">
            <v>0.8</v>
          </cell>
          <cell r="AA53">
            <v>158.4</v>
          </cell>
        </row>
        <row r="54">
          <cell r="B54" t="str">
            <v>A-11-15</v>
          </cell>
          <cell r="C54" t="str">
            <v>RETINOL (VITAMINA A) .:. 100.000 UI</v>
          </cell>
          <cell r="D54" t="str">
            <v>Cápsula o Perla</v>
          </cell>
          <cell r="E54">
            <v>0</v>
          </cell>
          <cell r="F54">
            <v>0</v>
          </cell>
          <cell r="H54">
            <v>200</v>
          </cell>
          <cell r="J54">
            <v>292</v>
          </cell>
          <cell r="M54">
            <v>0</v>
          </cell>
          <cell r="N54">
            <v>0</v>
          </cell>
          <cell r="P54">
            <v>24</v>
          </cell>
          <cell r="R54">
            <v>35.04</v>
          </cell>
          <cell r="S54">
            <v>0</v>
          </cell>
          <cell r="T54">
            <v>0</v>
          </cell>
          <cell r="U54">
            <v>176</v>
          </cell>
          <cell r="V54">
            <v>1.46</v>
          </cell>
          <cell r="W54">
            <v>256.95999999999998</v>
          </cell>
          <cell r="X54">
            <v>2.93316</v>
          </cell>
          <cell r="Y54">
            <v>0</v>
          </cell>
          <cell r="Z54">
            <v>1.46</v>
          </cell>
          <cell r="AA54">
            <v>256.95999999999998</v>
          </cell>
        </row>
        <row r="55">
          <cell r="B55" t="str">
            <v>A-11-18</v>
          </cell>
          <cell r="C55" t="str">
            <v>TIAMINA (VITAMINA B 1) .:. 100 mg/ml</v>
          </cell>
          <cell r="D55" t="str">
            <v>Inyectable</v>
          </cell>
          <cell r="E55">
            <v>94</v>
          </cell>
          <cell r="F55">
            <v>285.76</v>
          </cell>
          <cell r="H55">
            <v>250</v>
          </cell>
          <cell r="J55">
            <v>760</v>
          </cell>
          <cell r="M55">
            <v>39</v>
          </cell>
          <cell r="N55">
            <v>118.56</v>
          </cell>
          <cell r="P55">
            <v>270</v>
          </cell>
          <cell r="R55">
            <v>820.8</v>
          </cell>
          <cell r="S55">
            <v>0</v>
          </cell>
          <cell r="T55">
            <v>0</v>
          </cell>
          <cell r="U55">
            <v>113</v>
          </cell>
          <cell r="V55">
            <v>3.04</v>
          </cell>
          <cell r="W55">
            <v>343.52</v>
          </cell>
          <cell r="X55">
            <v>2.93316</v>
          </cell>
          <cell r="Y55">
            <v>0</v>
          </cell>
          <cell r="Z55">
            <v>3.04</v>
          </cell>
          <cell r="AA55">
            <v>343.52</v>
          </cell>
        </row>
        <row r="56">
          <cell r="B56" t="str">
            <v>A-11-19</v>
          </cell>
          <cell r="C56" t="str">
            <v>TOCOFEROL (VITAMINA E) .:. 1.000 UI</v>
          </cell>
          <cell r="D56" t="str">
            <v>Cápsula blanda</v>
          </cell>
          <cell r="E56">
            <v>2222</v>
          </cell>
          <cell r="F56">
            <v>3599.64</v>
          </cell>
          <cell r="H56">
            <v>5000</v>
          </cell>
          <cell r="J56">
            <v>9820</v>
          </cell>
          <cell r="M56">
            <v>0</v>
          </cell>
          <cell r="N56">
            <v>0</v>
          </cell>
          <cell r="P56">
            <v>5582</v>
          </cell>
          <cell r="R56">
            <v>9401.6399999507994</v>
          </cell>
          <cell r="S56">
            <v>0</v>
          </cell>
          <cell r="T56">
            <v>0</v>
          </cell>
          <cell r="U56">
            <v>1640</v>
          </cell>
          <cell r="V56">
            <v>2.4500000000300002</v>
          </cell>
          <cell r="W56">
            <v>4018.0000000492</v>
          </cell>
          <cell r="X56">
            <v>2.93316</v>
          </cell>
          <cell r="Y56">
            <v>0</v>
          </cell>
          <cell r="Z56">
            <v>2.4500000000300002</v>
          </cell>
          <cell r="AA56">
            <v>4018.0000000492</v>
          </cell>
        </row>
        <row r="57">
          <cell r="B57" t="str">
            <v>A-12-01</v>
          </cell>
          <cell r="C57" t="str">
            <v>CALCIO (CARBONATO O CITRATO) .:. 500 mg (ión calcio)</v>
          </cell>
          <cell r="D57" t="str">
            <v>Comprimido</v>
          </cell>
          <cell r="E57">
            <v>0</v>
          </cell>
          <cell r="F57">
            <v>0</v>
          </cell>
          <cell r="H57">
            <v>2100</v>
          </cell>
          <cell r="J57">
            <v>2100</v>
          </cell>
          <cell r="M57">
            <v>0</v>
          </cell>
          <cell r="N57">
            <v>0</v>
          </cell>
          <cell r="P57">
            <v>880</v>
          </cell>
          <cell r="R57">
            <v>880</v>
          </cell>
          <cell r="S57">
            <v>0</v>
          </cell>
          <cell r="T57">
            <v>0</v>
          </cell>
          <cell r="U57">
            <v>1220</v>
          </cell>
          <cell r="V57">
            <v>1</v>
          </cell>
          <cell r="W57">
            <v>1220</v>
          </cell>
          <cell r="X57">
            <v>2.93316</v>
          </cell>
          <cell r="Y57">
            <v>0</v>
          </cell>
          <cell r="Z57">
            <v>1</v>
          </cell>
          <cell r="AA57">
            <v>1220</v>
          </cell>
        </row>
        <row r="58">
          <cell r="B58" t="str">
            <v>A-12-02</v>
          </cell>
          <cell r="C58" t="str">
            <v>CALCIO + VITAMINA D .:. 500 mg (ión calcio); Según disponibilidad</v>
          </cell>
          <cell r="D58" t="str">
            <v>Comprimido o Cápsula</v>
          </cell>
          <cell r="E58">
            <v>0</v>
          </cell>
          <cell r="F58">
            <v>0</v>
          </cell>
          <cell r="H58">
            <v>20000</v>
          </cell>
          <cell r="J58">
            <v>12400</v>
          </cell>
          <cell r="M58">
            <v>0</v>
          </cell>
          <cell r="N58">
            <v>0</v>
          </cell>
          <cell r="P58">
            <v>12675</v>
          </cell>
          <cell r="R58">
            <v>7858.5</v>
          </cell>
          <cell r="S58">
            <v>0</v>
          </cell>
          <cell r="T58">
            <v>0</v>
          </cell>
          <cell r="U58">
            <v>7325</v>
          </cell>
          <cell r="V58">
            <v>0.62</v>
          </cell>
          <cell r="W58">
            <v>4541.5</v>
          </cell>
          <cell r="X58">
            <v>2.93316</v>
          </cell>
          <cell r="Y58">
            <v>0</v>
          </cell>
          <cell r="Z58">
            <v>0.62</v>
          </cell>
          <cell r="AA58">
            <v>4541.5</v>
          </cell>
        </row>
        <row r="59">
          <cell r="B59" t="str">
            <v>A-12-05</v>
          </cell>
          <cell r="C59" t="str">
            <v>ZINC .:. 20 mg/5 ml (Como zinc elemental)</v>
          </cell>
          <cell r="D59" t="str">
            <v>Jarabe</v>
          </cell>
          <cell r="E59">
            <v>20</v>
          </cell>
          <cell r="F59">
            <v>178.10975609799999</v>
          </cell>
          <cell r="H59">
            <v>70</v>
          </cell>
          <cell r="J59">
            <v>658</v>
          </cell>
          <cell r="M59">
            <v>0</v>
          </cell>
          <cell r="N59">
            <v>0</v>
          </cell>
          <cell r="P59">
            <v>53</v>
          </cell>
          <cell r="R59">
            <v>491.35924796699999</v>
          </cell>
          <cell r="S59">
            <v>0</v>
          </cell>
          <cell r="T59">
            <v>0</v>
          </cell>
          <cell r="U59">
            <v>37</v>
          </cell>
          <cell r="V59">
            <v>9.317581300837837</v>
          </cell>
          <cell r="W59">
            <v>344.750508131</v>
          </cell>
          <cell r="X59">
            <v>2.93316</v>
          </cell>
          <cell r="Y59">
            <v>0</v>
          </cell>
          <cell r="Z59">
            <v>9.317581300837837</v>
          </cell>
          <cell r="AA59">
            <v>344.750508131</v>
          </cell>
        </row>
        <row r="60">
          <cell r="B60" t="str">
            <v>A-12-06</v>
          </cell>
          <cell r="C60" t="str">
            <v>ZINC (COMO SULFATO) .:. 20 mg</v>
          </cell>
          <cell r="D60" t="str">
            <v>Comprimido</v>
          </cell>
          <cell r="E60">
            <v>2447</v>
          </cell>
          <cell r="F60">
            <v>709.63</v>
          </cell>
          <cell r="H60">
            <v>0</v>
          </cell>
          <cell r="J60">
            <v>0</v>
          </cell>
          <cell r="M60">
            <v>0</v>
          </cell>
          <cell r="N60">
            <v>0</v>
          </cell>
          <cell r="P60">
            <v>2012</v>
          </cell>
          <cell r="R60">
            <v>583.48</v>
          </cell>
          <cell r="S60">
            <v>0</v>
          </cell>
          <cell r="T60">
            <v>0</v>
          </cell>
          <cell r="U60">
            <v>435</v>
          </cell>
          <cell r="V60">
            <v>0.28999999999999998</v>
          </cell>
          <cell r="W60">
            <v>126.15</v>
          </cell>
          <cell r="X60">
            <v>2.93316</v>
          </cell>
          <cell r="Y60">
            <v>0</v>
          </cell>
          <cell r="Z60">
            <v>0.28999999999999998</v>
          </cell>
          <cell r="AA60">
            <v>126.15</v>
          </cell>
        </row>
        <row r="61">
          <cell r="B61" t="str">
            <v>B-01-01</v>
          </cell>
          <cell r="C61" t="str">
            <v>ACIDO ACETIL SALICILICO .:. 100 mg</v>
          </cell>
          <cell r="D61" t="str">
            <v>Comprimido</v>
          </cell>
          <cell r="E61">
            <v>9780</v>
          </cell>
          <cell r="F61">
            <v>1659.810969918</v>
          </cell>
          <cell r="H61">
            <v>30500</v>
          </cell>
          <cell r="J61">
            <v>6100</v>
          </cell>
          <cell r="M61">
            <v>13</v>
          </cell>
          <cell r="N61">
            <v>2.5341420000000001</v>
          </cell>
          <cell r="P61">
            <v>29360</v>
          </cell>
          <cell r="R61">
            <v>5631.1255922068003</v>
          </cell>
          <cell r="S61">
            <v>0</v>
          </cell>
          <cell r="T61">
            <v>0</v>
          </cell>
          <cell r="U61">
            <v>10933</v>
          </cell>
          <cell r="V61">
            <v>0.19493455773449189</v>
          </cell>
          <cell r="W61">
            <v>2131.2195197112001</v>
          </cell>
          <cell r="X61">
            <v>2.93316</v>
          </cell>
          <cell r="Y61">
            <v>0</v>
          </cell>
          <cell r="Z61">
            <v>0.19493455773449189</v>
          </cell>
          <cell r="AA61">
            <v>2131.2195197112001</v>
          </cell>
        </row>
        <row r="62">
          <cell r="B62" t="str">
            <v>B-01-03</v>
          </cell>
          <cell r="C62" t="str">
            <v>HEPARINA DE BAJO PESO MOLECULAR .:. 40 M.G.</v>
          </cell>
          <cell r="D62" t="str">
            <v>Inyectable</v>
          </cell>
          <cell r="E62">
            <v>3</v>
          </cell>
          <cell r="F62">
            <v>143.8984295493</v>
          </cell>
          <cell r="H62">
            <v>104</v>
          </cell>
          <cell r="J62">
            <v>7280</v>
          </cell>
          <cell r="M62">
            <v>13</v>
          </cell>
          <cell r="N62">
            <v>910</v>
          </cell>
          <cell r="P62">
            <v>116</v>
          </cell>
          <cell r="R62">
            <v>8053.8984295493001</v>
          </cell>
          <cell r="S62">
            <v>0</v>
          </cell>
          <cell r="T62">
            <v>0</v>
          </cell>
          <cell r="U62">
            <v>4</v>
          </cell>
          <cell r="V62">
            <v>70</v>
          </cell>
          <cell r="W62">
            <v>280</v>
          </cell>
          <cell r="X62">
            <v>2.93316</v>
          </cell>
          <cell r="Y62">
            <v>0</v>
          </cell>
          <cell r="Z62">
            <v>70</v>
          </cell>
          <cell r="AA62">
            <v>280</v>
          </cell>
        </row>
        <row r="63">
          <cell r="B63" t="str">
            <v>B-01-031</v>
          </cell>
          <cell r="C63" t="str">
            <v>HEPARINA DE BAJO PESO MOLECULAR  60 MG .:. 60 MG</v>
          </cell>
          <cell r="D63" t="str">
            <v>Inyectable</v>
          </cell>
          <cell r="E63">
            <v>61</v>
          </cell>
          <cell r="F63">
            <v>3526.4971257449001</v>
          </cell>
          <cell r="H63">
            <v>195</v>
          </cell>
          <cell r="J63">
            <v>12599</v>
          </cell>
          <cell r="M63">
            <v>11</v>
          </cell>
          <cell r="N63">
            <v>702.49273200000005</v>
          </cell>
          <cell r="P63">
            <v>267</v>
          </cell>
          <cell r="R63">
            <v>16827.9898577411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3.8000000000000001E-9</v>
          </cell>
          <cell r="X63">
            <v>2.93316</v>
          </cell>
          <cell r="Y63">
            <v>0</v>
          </cell>
          <cell r="Z63">
            <v>0</v>
          </cell>
          <cell r="AA63">
            <v>3.8000000000000001E-9</v>
          </cell>
        </row>
        <row r="64">
          <cell r="B64" t="str">
            <v>B-01-04</v>
          </cell>
          <cell r="C64" t="str">
            <v>HEPARINA SODICA .:. 5.000 UI/ml</v>
          </cell>
          <cell r="D64" t="str">
            <v>Inyectable</v>
          </cell>
          <cell r="E64">
            <v>11</v>
          </cell>
          <cell r="F64">
            <v>485.32</v>
          </cell>
          <cell r="H64">
            <v>50</v>
          </cell>
          <cell r="J64">
            <v>2860</v>
          </cell>
          <cell r="M64">
            <v>0</v>
          </cell>
          <cell r="N64">
            <v>0</v>
          </cell>
          <cell r="P64">
            <v>16</v>
          </cell>
          <cell r="R64">
            <v>782.86117647080005</v>
          </cell>
          <cell r="S64">
            <v>0</v>
          </cell>
          <cell r="T64">
            <v>0</v>
          </cell>
          <cell r="U64">
            <v>45</v>
          </cell>
          <cell r="V64">
            <v>56.943529411759997</v>
          </cell>
          <cell r="W64">
            <v>2562.4588235291999</v>
          </cell>
          <cell r="X64">
            <v>2.93316</v>
          </cell>
          <cell r="Y64">
            <v>0</v>
          </cell>
          <cell r="Z64">
            <v>56.943529411759997</v>
          </cell>
          <cell r="AA64">
            <v>2562.4588235291999</v>
          </cell>
        </row>
        <row r="65">
          <cell r="B65" t="str">
            <v>B-01-05</v>
          </cell>
          <cell r="C65" t="str">
            <v>WARFARINA .:. 5 mg</v>
          </cell>
          <cell r="D65" t="str">
            <v>Comprimido ranurado</v>
          </cell>
          <cell r="E65">
            <v>174</v>
          </cell>
          <cell r="F65">
            <v>85.26</v>
          </cell>
          <cell r="H65">
            <v>5800</v>
          </cell>
          <cell r="J65">
            <v>4250</v>
          </cell>
          <cell r="M65">
            <v>0</v>
          </cell>
          <cell r="N65">
            <v>0</v>
          </cell>
          <cell r="P65">
            <v>1985</v>
          </cell>
          <cell r="R65">
            <v>1263.7300000262001</v>
          </cell>
          <cell r="S65">
            <v>0</v>
          </cell>
          <cell r="T65">
            <v>0</v>
          </cell>
          <cell r="U65">
            <v>3989</v>
          </cell>
          <cell r="V65">
            <v>0.76999999999343194</v>
          </cell>
          <cell r="W65">
            <v>3071.5299999737999</v>
          </cell>
          <cell r="X65">
            <v>2.93316</v>
          </cell>
          <cell r="Y65">
            <v>0</v>
          </cell>
          <cell r="Z65">
            <v>0.76999999999343194</v>
          </cell>
          <cell r="AA65">
            <v>3071.5299999737999</v>
          </cell>
        </row>
        <row r="66">
          <cell r="B66" t="str">
            <v>B-01-06</v>
          </cell>
          <cell r="C66" t="str">
            <v>CLOPIDOGREL .:. 75 mg</v>
          </cell>
          <cell r="D66" t="str">
            <v>Comprimido</v>
          </cell>
          <cell r="E66">
            <v>1013</v>
          </cell>
          <cell r="F66">
            <v>1215.5999999999999</v>
          </cell>
          <cell r="H66">
            <v>14600</v>
          </cell>
          <cell r="J66">
            <v>20550</v>
          </cell>
          <cell r="M66">
            <v>5</v>
          </cell>
          <cell r="N66">
            <v>6.9776899999999999</v>
          </cell>
          <cell r="P66">
            <v>9858</v>
          </cell>
          <cell r="R66">
            <v>13734.2763392533</v>
          </cell>
          <cell r="S66">
            <v>0</v>
          </cell>
          <cell r="T66">
            <v>0</v>
          </cell>
          <cell r="U66">
            <v>5760</v>
          </cell>
          <cell r="V66">
            <v>1.3955384289490798</v>
          </cell>
          <cell r="W66">
            <v>8038.3013507467003</v>
          </cell>
          <cell r="X66">
            <v>2.93316</v>
          </cell>
          <cell r="Y66">
            <v>0</v>
          </cell>
          <cell r="Z66">
            <v>1.3955384289490798</v>
          </cell>
          <cell r="AA66">
            <v>8038.3013507467003</v>
          </cell>
        </row>
        <row r="67">
          <cell r="B67" t="str">
            <v>B-01-07</v>
          </cell>
          <cell r="C67" t="str">
            <v xml:space="preserve">RIBAROXABAN  .:. 10 MG </v>
          </cell>
          <cell r="D67" t="str">
            <v>Comprimido</v>
          </cell>
          <cell r="E67">
            <v>800</v>
          </cell>
          <cell r="F67">
            <v>1854.7899973599999</v>
          </cell>
          <cell r="H67">
            <v>5000</v>
          </cell>
          <cell r="J67">
            <v>11450</v>
          </cell>
          <cell r="M67">
            <v>0</v>
          </cell>
          <cell r="N67">
            <v>0</v>
          </cell>
          <cell r="P67">
            <v>4125</v>
          </cell>
          <cell r="R67">
            <v>9465.8933256650998</v>
          </cell>
          <cell r="S67">
            <v>0</v>
          </cell>
          <cell r="T67">
            <v>0</v>
          </cell>
          <cell r="U67">
            <v>1675</v>
          </cell>
          <cell r="V67">
            <v>2.2918786099671045</v>
          </cell>
          <cell r="W67">
            <v>3838.8966716948999</v>
          </cell>
          <cell r="X67">
            <v>2.93316</v>
          </cell>
          <cell r="Y67">
            <v>0</v>
          </cell>
          <cell r="Z67">
            <v>2.2918786099671045</v>
          </cell>
          <cell r="AA67">
            <v>3838.8966716948999</v>
          </cell>
        </row>
        <row r="68">
          <cell r="B68" t="str">
            <v>B-02-02</v>
          </cell>
          <cell r="C68" t="str">
            <v>FITOMENADIONA  (VITAMINA K1) .:. 10 mg/ml</v>
          </cell>
          <cell r="D68" t="str">
            <v>Inyectable</v>
          </cell>
          <cell r="E68">
            <v>94</v>
          </cell>
          <cell r="F68">
            <v>216.20691073899999</v>
          </cell>
          <cell r="H68">
            <v>200</v>
          </cell>
          <cell r="J68">
            <v>576</v>
          </cell>
          <cell r="M68">
            <v>21</v>
          </cell>
          <cell r="N68">
            <v>58.636862999999998</v>
          </cell>
          <cell r="P68">
            <v>202</v>
          </cell>
          <cell r="R68">
            <v>526.05260498409996</v>
          </cell>
          <cell r="S68">
            <v>0</v>
          </cell>
          <cell r="T68">
            <v>0</v>
          </cell>
          <cell r="U68">
            <v>113</v>
          </cell>
          <cell r="V68">
            <v>2.8742581305743364</v>
          </cell>
          <cell r="W68">
            <v>324.79116875490001</v>
          </cell>
          <cell r="X68">
            <v>2.93316</v>
          </cell>
          <cell r="Y68">
            <v>0</v>
          </cell>
          <cell r="Z68">
            <v>2.8742581305743364</v>
          </cell>
          <cell r="AA68">
            <v>324.79116875490001</v>
          </cell>
        </row>
        <row r="69">
          <cell r="B69" t="str">
            <v>B-02-06</v>
          </cell>
          <cell r="C69" t="str">
            <v>ACIDO TRANEXAMICO .:. 500 mg</v>
          </cell>
          <cell r="D69" t="str">
            <v>Inyectable</v>
          </cell>
          <cell r="E69">
            <v>36</v>
          </cell>
          <cell r="F69">
            <v>936</v>
          </cell>
          <cell r="H69">
            <v>575</v>
          </cell>
          <cell r="J69">
            <v>7110</v>
          </cell>
          <cell r="M69">
            <v>19</v>
          </cell>
          <cell r="N69">
            <v>214.43723199999999</v>
          </cell>
          <cell r="P69">
            <v>357</v>
          </cell>
          <cell r="R69">
            <v>4438.4372319987997</v>
          </cell>
          <cell r="S69">
            <v>0</v>
          </cell>
          <cell r="T69">
            <v>0</v>
          </cell>
          <cell r="U69">
            <v>273</v>
          </cell>
          <cell r="V69">
            <v>14.000000000004396</v>
          </cell>
          <cell r="W69">
            <v>3822.0000000012001</v>
          </cell>
          <cell r="X69">
            <v>2.93316</v>
          </cell>
          <cell r="Y69">
            <v>0</v>
          </cell>
          <cell r="Z69">
            <v>14.000000000004396</v>
          </cell>
          <cell r="AA69">
            <v>3822.0000000012001</v>
          </cell>
        </row>
        <row r="70">
          <cell r="B70" t="str">
            <v>B-03-01</v>
          </cell>
          <cell r="C70" t="str">
            <v>ACIDO FOLICO .:. 5 mg</v>
          </cell>
          <cell r="D70" t="str">
            <v>Comprimido</v>
          </cell>
          <cell r="E70">
            <v>2057</v>
          </cell>
          <cell r="F70">
            <v>362.5573518347</v>
          </cell>
          <cell r="H70">
            <v>7000</v>
          </cell>
          <cell r="J70">
            <v>2780</v>
          </cell>
          <cell r="M70">
            <v>0</v>
          </cell>
          <cell r="N70">
            <v>0</v>
          </cell>
          <cell r="P70">
            <v>6119</v>
          </cell>
          <cell r="R70">
            <v>1732.8294801295999</v>
          </cell>
          <cell r="S70">
            <v>0</v>
          </cell>
          <cell r="T70">
            <v>0</v>
          </cell>
          <cell r="U70">
            <v>2938</v>
          </cell>
          <cell r="V70">
            <v>0.47982568812290671</v>
          </cell>
          <cell r="W70">
            <v>1409.7278717050999</v>
          </cell>
          <cell r="X70">
            <v>2.93316</v>
          </cell>
          <cell r="Y70">
            <v>0</v>
          </cell>
          <cell r="Z70">
            <v>0.47982568812290671</v>
          </cell>
          <cell r="AA70">
            <v>1409.7278717050999</v>
          </cell>
        </row>
        <row r="71">
          <cell r="B71" t="str">
            <v>B-03-02</v>
          </cell>
          <cell r="C71" t="str">
            <v>ERITROPOYETINA .:. 10.000 UI</v>
          </cell>
          <cell r="D71" t="str">
            <v>Inyectable</v>
          </cell>
          <cell r="E71">
            <v>13</v>
          </cell>
          <cell r="F71">
            <v>640.4210526311</v>
          </cell>
          <cell r="H71">
            <v>40</v>
          </cell>
          <cell r="J71">
            <v>4096.3999999999996</v>
          </cell>
          <cell r="M71">
            <v>0</v>
          </cell>
          <cell r="N71">
            <v>0</v>
          </cell>
          <cell r="P71">
            <v>51</v>
          </cell>
          <cell r="R71">
            <v>4532.0010526310998</v>
          </cell>
          <cell r="S71">
            <v>0</v>
          </cell>
          <cell r="T71">
            <v>0</v>
          </cell>
          <cell r="U71">
            <v>2</v>
          </cell>
          <cell r="V71">
            <v>102.41</v>
          </cell>
          <cell r="W71">
            <v>204.82</v>
          </cell>
          <cell r="X71">
            <v>2.93316</v>
          </cell>
          <cell r="Y71">
            <v>0</v>
          </cell>
          <cell r="Z71">
            <v>102.41</v>
          </cell>
          <cell r="AA71">
            <v>204.82</v>
          </cell>
        </row>
        <row r="72">
          <cell r="B72" t="str">
            <v>B-03-04</v>
          </cell>
          <cell r="C72" t="str">
            <v>HIERRO .:. 100 mg - IM o IV</v>
          </cell>
          <cell r="D72" t="str">
            <v>Inyectable</v>
          </cell>
          <cell r="E72">
            <v>29</v>
          </cell>
          <cell r="F72">
            <v>638</v>
          </cell>
          <cell r="H72">
            <v>100</v>
          </cell>
          <cell r="J72">
            <v>2600</v>
          </cell>
          <cell r="M72">
            <v>3</v>
          </cell>
          <cell r="N72">
            <v>77.764703999999995</v>
          </cell>
          <cell r="P72">
            <v>88</v>
          </cell>
          <cell r="R72">
            <v>2175.2156853922002</v>
          </cell>
          <cell r="S72">
            <v>0</v>
          </cell>
          <cell r="T72">
            <v>0</v>
          </cell>
          <cell r="U72">
            <v>44</v>
          </cell>
          <cell r="V72">
            <v>25.921568604722726</v>
          </cell>
          <cell r="W72">
            <v>1140.5490186078</v>
          </cell>
          <cell r="X72">
            <v>2.93316</v>
          </cell>
          <cell r="Y72">
            <v>0</v>
          </cell>
          <cell r="Z72">
            <v>25.921568604722726</v>
          </cell>
          <cell r="AA72">
            <v>1140.5490186078</v>
          </cell>
        </row>
        <row r="73">
          <cell r="B73" t="str">
            <v>B-03-05</v>
          </cell>
          <cell r="C73" t="str">
            <v>MICRONUTRIENTES (VIT. C + VIT A + FE + ZN + AC. FOLICO) (CHISPITAS NUTRICIONALES) .:. Según concentración estándard</v>
          </cell>
          <cell r="D73" t="str">
            <v>Polvo</v>
          </cell>
          <cell r="E73">
            <v>200</v>
          </cell>
          <cell r="F73">
            <v>82</v>
          </cell>
          <cell r="H73">
            <v>0</v>
          </cell>
          <cell r="J73">
            <v>0</v>
          </cell>
          <cell r="M73">
            <v>0</v>
          </cell>
          <cell r="N73">
            <v>0</v>
          </cell>
          <cell r="P73">
            <v>200</v>
          </cell>
          <cell r="R73">
            <v>82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2.93316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B-03-08</v>
          </cell>
          <cell r="C74" t="str">
            <v>SULFATO FERROSO + AC. FOLICO + VITAMINA C .:. 200 mg + 0,5 mg + 150 mg</v>
          </cell>
          <cell r="D74" t="str">
            <v>Comprimido</v>
          </cell>
          <cell r="E74">
            <v>2110</v>
          </cell>
          <cell r="F74">
            <v>316.5</v>
          </cell>
          <cell r="H74">
            <v>5600</v>
          </cell>
          <cell r="J74">
            <v>1960</v>
          </cell>
          <cell r="M74">
            <v>10</v>
          </cell>
          <cell r="N74">
            <v>1.5</v>
          </cell>
          <cell r="P74">
            <v>2495</v>
          </cell>
          <cell r="R74">
            <v>449.25</v>
          </cell>
          <cell r="S74">
            <v>0</v>
          </cell>
          <cell r="T74">
            <v>0</v>
          </cell>
          <cell r="U74">
            <v>5225</v>
          </cell>
          <cell r="V74">
            <v>0.35</v>
          </cell>
          <cell r="W74">
            <v>1828.75</v>
          </cell>
          <cell r="X74">
            <v>2.93316</v>
          </cell>
          <cell r="Y74">
            <v>0</v>
          </cell>
          <cell r="Z74">
            <v>0.35</v>
          </cell>
          <cell r="AA74">
            <v>1828.75</v>
          </cell>
        </row>
        <row r="75">
          <cell r="B75" t="str">
            <v>B-05-01</v>
          </cell>
          <cell r="C75" t="str">
            <v>AGUA PARA INYECCION .:. 5 ml</v>
          </cell>
          <cell r="D75" t="str">
            <v>Inyectable</v>
          </cell>
          <cell r="E75">
            <v>461</v>
          </cell>
          <cell r="F75">
            <v>337.26815863979999</v>
          </cell>
          <cell r="H75">
            <v>4000</v>
          </cell>
          <cell r="J75">
            <v>3435</v>
          </cell>
          <cell r="M75">
            <v>169</v>
          </cell>
          <cell r="N75">
            <v>137.72917899999999</v>
          </cell>
          <cell r="P75">
            <v>3532</v>
          </cell>
          <cell r="R75">
            <v>2922.5201591267</v>
          </cell>
          <cell r="S75">
            <v>0</v>
          </cell>
          <cell r="T75">
            <v>0</v>
          </cell>
          <cell r="U75">
            <v>1098</v>
          </cell>
          <cell r="V75">
            <v>0.89934169263488162</v>
          </cell>
          <cell r="W75">
            <v>987.47717851309994</v>
          </cell>
          <cell r="X75">
            <v>2.93316</v>
          </cell>
          <cell r="Y75">
            <v>0</v>
          </cell>
          <cell r="Z75">
            <v>0.89934169263488162</v>
          </cell>
          <cell r="AA75">
            <v>987.47717851309994</v>
          </cell>
        </row>
        <row r="76">
          <cell r="B76" t="str">
            <v>B-05-02</v>
          </cell>
          <cell r="C76" t="str">
            <v>ALBUMINA HUMANA .:. 0.2</v>
          </cell>
          <cell r="D76" t="str">
            <v>Inyectable</v>
          </cell>
          <cell r="E76">
            <v>0</v>
          </cell>
          <cell r="F76">
            <v>0</v>
          </cell>
          <cell r="H76">
            <v>93</v>
          </cell>
          <cell r="J76">
            <v>63734</v>
          </cell>
          <cell r="M76">
            <v>6</v>
          </cell>
          <cell r="N76">
            <v>3312.5</v>
          </cell>
          <cell r="P76">
            <v>99</v>
          </cell>
          <cell r="R76">
            <v>67046.499999999796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2.0000000000000001E-10</v>
          </cell>
          <cell r="X76">
            <v>2.93316</v>
          </cell>
          <cell r="Y76">
            <v>0</v>
          </cell>
          <cell r="Z76">
            <v>0</v>
          </cell>
          <cell r="AA76">
            <v>2.0000000000000001E-10</v>
          </cell>
        </row>
        <row r="77">
          <cell r="B77" t="str">
            <v>B-05-03</v>
          </cell>
          <cell r="C77" t="str">
            <v>AMINOACIDOS .:. 0.1</v>
          </cell>
          <cell r="D77" t="str">
            <v>Solución parenteral de gran volumen</v>
          </cell>
          <cell r="E77">
            <v>5</v>
          </cell>
          <cell r="F77">
            <v>739.5</v>
          </cell>
          <cell r="H77">
            <v>114</v>
          </cell>
          <cell r="J77">
            <v>18948.900000000001</v>
          </cell>
          <cell r="M77">
            <v>2</v>
          </cell>
          <cell r="N77">
            <v>323.39999999999998</v>
          </cell>
          <cell r="P77">
            <v>121</v>
          </cell>
          <cell r="R77">
            <v>20011.8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2.93316</v>
          </cell>
          <cell r="Y77">
            <v>0</v>
          </cell>
          <cell r="Z77">
            <v>0</v>
          </cell>
          <cell r="AA77">
            <v>0</v>
          </cell>
        </row>
        <row r="78">
          <cell r="B78" t="str">
            <v>B-05-04</v>
          </cell>
          <cell r="C78" t="str">
            <v>BICARBONATO DE SODIO .:. 0.08</v>
          </cell>
          <cell r="D78" t="str">
            <v>Inyectable</v>
          </cell>
          <cell r="E78">
            <v>124</v>
          </cell>
          <cell r="F78">
            <v>992</v>
          </cell>
          <cell r="H78">
            <v>0</v>
          </cell>
          <cell r="J78">
            <v>0</v>
          </cell>
          <cell r="M78">
            <v>0</v>
          </cell>
          <cell r="N78">
            <v>0</v>
          </cell>
          <cell r="P78">
            <v>56</v>
          </cell>
          <cell r="R78">
            <v>448</v>
          </cell>
          <cell r="S78">
            <v>0</v>
          </cell>
          <cell r="T78">
            <v>0</v>
          </cell>
          <cell r="U78">
            <v>68</v>
          </cell>
          <cell r="V78">
            <v>8</v>
          </cell>
          <cell r="W78">
            <v>544</v>
          </cell>
          <cell r="X78">
            <v>2.93316</v>
          </cell>
          <cell r="Y78">
            <v>0</v>
          </cell>
          <cell r="Z78">
            <v>8</v>
          </cell>
          <cell r="AA78">
            <v>544</v>
          </cell>
        </row>
        <row r="79">
          <cell r="B79" t="str">
            <v>B-05-06</v>
          </cell>
          <cell r="C79" t="str">
            <v>CLORURO DE POTASIO .:. 0.2</v>
          </cell>
          <cell r="D79" t="str">
            <v>Inyectable</v>
          </cell>
          <cell r="E79">
            <v>337</v>
          </cell>
          <cell r="F79">
            <v>1176.3929050905999</v>
          </cell>
          <cell r="H79">
            <v>650</v>
          </cell>
          <cell r="J79">
            <v>2230</v>
          </cell>
          <cell r="M79">
            <v>86</v>
          </cell>
          <cell r="N79">
            <v>296.69036799999998</v>
          </cell>
          <cell r="P79">
            <v>751</v>
          </cell>
          <cell r="R79">
            <v>2592.1832730652</v>
          </cell>
          <cell r="S79">
            <v>0</v>
          </cell>
          <cell r="T79">
            <v>0</v>
          </cell>
          <cell r="U79">
            <v>322</v>
          </cell>
          <cell r="V79">
            <v>3.450000000078882</v>
          </cell>
          <cell r="W79">
            <v>1110.9000000254</v>
          </cell>
          <cell r="X79">
            <v>2.93316</v>
          </cell>
          <cell r="Y79">
            <v>0</v>
          </cell>
          <cell r="Z79">
            <v>3.450000000078882</v>
          </cell>
          <cell r="AA79">
            <v>1110.9000000254</v>
          </cell>
        </row>
        <row r="80">
          <cell r="B80" t="str">
            <v>B-05-07</v>
          </cell>
          <cell r="C80" t="str">
            <v>CLORURO DE SODIO .:. 0.2</v>
          </cell>
          <cell r="D80" t="str">
            <v>Inyectable</v>
          </cell>
          <cell r="E80">
            <v>0</v>
          </cell>
          <cell r="F80">
            <v>0</v>
          </cell>
          <cell r="H80">
            <v>300</v>
          </cell>
          <cell r="J80">
            <v>1130</v>
          </cell>
          <cell r="M80">
            <v>24</v>
          </cell>
          <cell r="N80">
            <v>86.842636999999996</v>
          </cell>
          <cell r="P80">
            <v>163</v>
          </cell>
          <cell r="R80">
            <v>587.96192883549998</v>
          </cell>
          <cell r="S80">
            <v>0</v>
          </cell>
          <cell r="T80">
            <v>0</v>
          </cell>
          <cell r="U80">
            <v>161</v>
          </cell>
          <cell r="V80">
            <v>3.9060913550590062</v>
          </cell>
          <cell r="W80">
            <v>628.88070816449999</v>
          </cell>
          <cell r="X80">
            <v>2.93316</v>
          </cell>
          <cell r="Y80">
            <v>0</v>
          </cell>
          <cell r="Z80">
            <v>3.9060913550590062</v>
          </cell>
          <cell r="AA80">
            <v>628.88070816449999</v>
          </cell>
        </row>
        <row r="81">
          <cell r="B81" t="str">
            <v>B-05-09</v>
          </cell>
          <cell r="C81" t="str">
            <v>EMULSION DE LIPIDOS .:. Según disponibilidad</v>
          </cell>
          <cell r="D81" t="str">
            <v>Emulsión inyectable</v>
          </cell>
          <cell r="E81">
            <v>9</v>
          </cell>
          <cell r="F81">
            <v>1305</v>
          </cell>
          <cell r="H81">
            <v>47</v>
          </cell>
          <cell r="J81">
            <v>8634.06</v>
          </cell>
          <cell r="M81">
            <v>11</v>
          </cell>
          <cell r="N81">
            <v>1900.88</v>
          </cell>
          <cell r="P81">
            <v>61</v>
          </cell>
          <cell r="R81">
            <v>10804.42</v>
          </cell>
          <cell r="S81">
            <v>2</v>
          </cell>
          <cell r="T81">
            <v>290</v>
          </cell>
          <cell r="U81">
            <v>4</v>
          </cell>
          <cell r="V81">
            <v>186.38</v>
          </cell>
          <cell r="W81">
            <v>745.52</v>
          </cell>
          <cell r="X81">
            <v>2.93316</v>
          </cell>
          <cell r="Y81">
            <v>0</v>
          </cell>
          <cell r="Z81">
            <v>186.38</v>
          </cell>
          <cell r="AA81">
            <v>745.52</v>
          </cell>
        </row>
        <row r="82">
          <cell r="B82" t="str">
            <v>B-05-10</v>
          </cell>
          <cell r="C82" t="str">
            <v>GLUCONATO CALCICO (CALCIO GLUCONATO) .:. 0.1</v>
          </cell>
          <cell r="D82" t="str">
            <v>Inyectable</v>
          </cell>
          <cell r="E82">
            <v>50</v>
          </cell>
          <cell r="F82">
            <v>150</v>
          </cell>
          <cell r="H82">
            <v>150</v>
          </cell>
          <cell r="J82">
            <v>570</v>
          </cell>
          <cell r="M82">
            <v>10</v>
          </cell>
          <cell r="N82">
            <v>36.4</v>
          </cell>
          <cell r="P82">
            <v>192</v>
          </cell>
          <cell r="R82">
            <v>688</v>
          </cell>
          <cell r="S82">
            <v>0</v>
          </cell>
          <cell r="T82">
            <v>0</v>
          </cell>
          <cell r="U82">
            <v>18</v>
          </cell>
          <cell r="V82">
            <v>3.8</v>
          </cell>
          <cell r="W82">
            <v>68.400000000000006</v>
          </cell>
          <cell r="X82">
            <v>2.93316</v>
          </cell>
          <cell r="Y82">
            <v>0</v>
          </cell>
          <cell r="Z82">
            <v>3.8</v>
          </cell>
          <cell r="AA82">
            <v>68.400000000000006</v>
          </cell>
        </row>
        <row r="83">
          <cell r="B83" t="str">
            <v>B-05-11</v>
          </cell>
          <cell r="C83" t="str">
            <v>OLIGOELEMENTOS PARA NUTRICION PARENTERAL .:. Según disponibilidad</v>
          </cell>
          <cell r="D83" t="str">
            <v>Solucion parenteral de gran volumen</v>
          </cell>
          <cell r="E83">
            <v>6</v>
          </cell>
          <cell r="F83">
            <v>274.98</v>
          </cell>
          <cell r="H83">
            <v>90</v>
          </cell>
          <cell r="J83">
            <v>4124.7</v>
          </cell>
          <cell r="M83">
            <v>2</v>
          </cell>
          <cell r="N83">
            <v>91.66</v>
          </cell>
          <cell r="P83">
            <v>77</v>
          </cell>
          <cell r="R83">
            <v>3528.91</v>
          </cell>
          <cell r="S83">
            <v>0</v>
          </cell>
          <cell r="T83">
            <v>0</v>
          </cell>
          <cell r="U83">
            <v>21</v>
          </cell>
          <cell r="V83">
            <v>45.83</v>
          </cell>
          <cell r="W83">
            <v>962.43</v>
          </cell>
          <cell r="X83">
            <v>2.93316</v>
          </cell>
          <cell r="Y83">
            <v>0</v>
          </cell>
          <cell r="Z83">
            <v>45.83</v>
          </cell>
          <cell r="AA83">
            <v>962.43</v>
          </cell>
        </row>
        <row r="84">
          <cell r="B84" t="str">
            <v>B-05-15</v>
          </cell>
          <cell r="C84" t="str">
            <v>SOLUCION DE GLUCOSA .:. 5% (500 ml)</v>
          </cell>
          <cell r="D84" t="str">
            <v>Solución parenteral de gran volumen</v>
          </cell>
          <cell r="E84">
            <v>69</v>
          </cell>
          <cell r="F84">
            <v>607.14231642779998</v>
          </cell>
          <cell r="H84">
            <v>250</v>
          </cell>
          <cell r="J84">
            <v>2147.5</v>
          </cell>
          <cell r="M84">
            <v>54</v>
          </cell>
          <cell r="N84">
            <v>464.69665600000002</v>
          </cell>
          <cell r="P84">
            <v>336</v>
          </cell>
          <cell r="R84">
            <v>2901.5089724267</v>
          </cell>
          <cell r="S84">
            <v>0</v>
          </cell>
          <cell r="T84">
            <v>0</v>
          </cell>
          <cell r="U84">
            <v>37</v>
          </cell>
          <cell r="V84">
            <v>8.590000000029729</v>
          </cell>
          <cell r="W84">
            <v>317.83000000110002</v>
          </cell>
          <cell r="X84">
            <v>2.93316</v>
          </cell>
          <cell r="Y84">
            <v>0</v>
          </cell>
          <cell r="Z84">
            <v>8.590000000029729</v>
          </cell>
          <cell r="AA84">
            <v>317.83000000110002</v>
          </cell>
        </row>
        <row r="85">
          <cell r="B85" t="str">
            <v>B-05-16</v>
          </cell>
          <cell r="C85" t="str">
            <v>SOLUCION DE GLUCOSA .:. 5% (1.000 ml)</v>
          </cell>
          <cell r="D85" t="str">
            <v>Solución parenteral de gran volumen</v>
          </cell>
          <cell r="E85">
            <v>48</v>
          </cell>
          <cell r="F85">
            <v>572.52827752799999</v>
          </cell>
          <cell r="H85">
            <v>280</v>
          </cell>
          <cell r="J85">
            <v>3360</v>
          </cell>
          <cell r="M85">
            <v>36</v>
          </cell>
          <cell r="N85">
            <v>431.753288</v>
          </cell>
          <cell r="P85">
            <v>176</v>
          </cell>
          <cell r="R85">
            <v>2109.5708980219001</v>
          </cell>
          <cell r="S85">
            <v>0</v>
          </cell>
          <cell r="T85">
            <v>0</v>
          </cell>
          <cell r="U85">
            <v>188</v>
          </cell>
          <cell r="V85">
            <v>11.993141848436702</v>
          </cell>
          <cell r="W85">
            <v>2254.7106675061</v>
          </cell>
          <cell r="X85">
            <v>2.93316</v>
          </cell>
          <cell r="Y85">
            <v>0</v>
          </cell>
          <cell r="Z85">
            <v>11.993141848436702</v>
          </cell>
          <cell r="AA85">
            <v>2254.7106675061</v>
          </cell>
        </row>
        <row r="86">
          <cell r="B86" t="str">
            <v>B-05-17</v>
          </cell>
          <cell r="C86" t="str">
            <v>SOLUCION DE GLUCOSA .:. 10% (500 ml)</v>
          </cell>
          <cell r="D86" t="str">
            <v>Solución parenteral de gran volumen</v>
          </cell>
          <cell r="E86">
            <v>38</v>
          </cell>
          <cell r="F86">
            <v>337.06</v>
          </cell>
          <cell r="H86">
            <v>0</v>
          </cell>
          <cell r="J86">
            <v>0</v>
          </cell>
          <cell r="M86">
            <v>13</v>
          </cell>
          <cell r="N86">
            <v>115.31</v>
          </cell>
          <cell r="P86">
            <v>51</v>
          </cell>
          <cell r="R86">
            <v>452.37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2.93316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B-05-18</v>
          </cell>
          <cell r="C87" t="str">
            <v>SOLUCION DE GLUCOSA .:. 10% (1.000 ml)</v>
          </cell>
          <cell r="D87" t="str">
            <v>Solución parenteral de gran volumen</v>
          </cell>
          <cell r="E87">
            <v>0</v>
          </cell>
          <cell r="F87">
            <v>0</v>
          </cell>
          <cell r="H87">
            <v>132</v>
          </cell>
          <cell r="J87">
            <v>1402.32</v>
          </cell>
          <cell r="M87">
            <v>33</v>
          </cell>
          <cell r="N87">
            <v>349.35</v>
          </cell>
          <cell r="P87">
            <v>102</v>
          </cell>
          <cell r="R87">
            <v>1070.6400000000001</v>
          </cell>
          <cell r="S87">
            <v>0</v>
          </cell>
          <cell r="T87">
            <v>0</v>
          </cell>
          <cell r="U87">
            <v>63</v>
          </cell>
          <cell r="V87">
            <v>10.81</v>
          </cell>
          <cell r="W87">
            <v>681.03</v>
          </cell>
          <cell r="X87">
            <v>2.93316</v>
          </cell>
          <cell r="Y87">
            <v>0</v>
          </cell>
          <cell r="Z87">
            <v>10.81</v>
          </cell>
          <cell r="AA87">
            <v>681.03</v>
          </cell>
        </row>
        <row r="88">
          <cell r="B88" t="str">
            <v>B-05-19</v>
          </cell>
          <cell r="C88" t="str">
            <v>SOLUCION DE GLUCOSA .:. 50% (500 ml)</v>
          </cell>
          <cell r="D88" t="str">
            <v>Solución parenteral de gran volumen</v>
          </cell>
          <cell r="E88">
            <v>57</v>
          </cell>
          <cell r="F88">
            <v>1105.8</v>
          </cell>
          <cell r="H88">
            <v>0</v>
          </cell>
          <cell r="J88">
            <v>0</v>
          </cell>
          <cell r="M88">
            <v>14</v>
          </cell>
          <cell r="N88">
            <v>271.60000000000002</v>
          </cell>
          <cell r="P88">
            <v>71</v>
          </cell>
          <cell r="R88">
            <v>1377.4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2.93316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B-05-20</v>
          </cell>
          <cell r="C89" t="str">
            <v>SOLUCION DE GLUCOSA .:. 50% (20 ml)</v>
          </cell>
          <cell r="D89" t="str">
            <v>Inyectable</v>
          </cell>
          <cell r="E89">
            <v>17</v>
          </cell>
          <cell r="F89">
            <v>114.24</v>
          </cell>
          <cell r="H89">
            <v>0</v>
          </cell>
          <cell r="J89">
            <v>0</v>
          </cell>
          <cell r="M89">
            <v>17</v>
          </cell>
          <cell r="N89">
            <v>114.24</v>
          </cell>
          <cell r="P89">
            <v>0</v>
          </cell>
          <cell r="R89">
            <v>0</v>
          </cell>
          <cell r="S89">
            <v>17</v>
          </cell>
          <cell r="T89">
            <v>114.24</v>
          </cell>
          <cell r="U89">
            <v>17</v>
          </cell>
          <cell r="V89">
            <v>6.72</v>
          </cell>
          <cell r="W89">
            <v>114.24</v>
          </cell>
          <cell r="X89">
            <v>2.93316</v>
          </cell>
          <cell r="Y89">
            <v>0</v>
          </cell>
          <cell r="Z89">
            <v>6.72</v>
          </cell>
          <cell r="AA89">
            <v>114.24</v>
          </cell>
        </row>
        <row r="90">
          <cell r="B90" t="str">
            <v>B-05-21</v>
          </cell>
          <cell r="C90" t="str">
            <v>SOLUCION DE MANITOL .:. 20% (500 ml)</v>
          </cell>
          <cell r="D90" t="str">
            <v>Solución parenteral de gran volumen</v>
          </cell>
          <cell r="E90">
            <v>12</v>
          </cell>
          <cell r="F90">
            <v>286.8</v>
          </cell>
          <cell r="H90">
            <v>45</v>
          </cell>
          <cell r="J90">
            <v>1075.5</v>
          </cell>
          <cell r="M90">
            <v>0</v>
          </cell>
          <cell r="N90">
            <v>0</v>
          </cell>
          <cell r="P90">
            <v>35</v>
          </cell>
          <cell r="R90">
            <v>836.5</v>
          </cell>
          <cell r="S90">
            <v>0</v>
          </cell>
          <cell r="T90">
            <v>0</v>
          </cell>
          <cell r="U90">
            <v>22</v>
          </cell>
          <cell r="V90">
            <v>23.9</v>
          </cell>
          <cell r="W90">
            <v>525.79999999999995</v>
          </cell>
          <cell r="X90">
            <v>2.93316</v>
          </cell>
          <cell r="Y90">
            <v>0</v>
          </cell>
          <cell r="Z90">
            <v>23.9</v>
          </cell>
          <cell r="AA90">
            <v>525.79999999999995</v>
          </cell>
        </row>
        <row r="91">
          <cell r="B91" t="str">
            <v>B-05-22</v>
          </cell>
          <cell r="C91" t="str">
            <v>SOLUCION FISIOLOGICA .:. 0,9% (500 ml)</v>
          </cell>
          <cell r="D91" t="str">
            <v>Solución parenteral de gran volumen</v>
          </cell>
          <cell r="E91">
            <v>254</v>
          </cell>
          <cell r="F91">
            <v>2236.4672844098</v>
          </cell>
          <cell r="H91">
            <v>1200</v>
          </cell>
          <cell r="J91">
            <v>10788</v>
          </cell>
          <cell r="M91">
            <v>40</v>
          </cell>
          <cell r="N91">
            <v>358.66003799999999</v>
          </cell>
          <cell r="P91">
            <v>995</v>
          </cell>
          <cell r="R91">
            <v>8908.8459483239003</v>
          </cell>
          <cell r="S91">
            <v>0</v>
          </cell>
          <cell r="T91">
            <v>0</v>
          </cell>
          <cell r="U91">
            <v>499</v>
          </cell>
          <cell r="V91">
            <v>8.9664957396511014</v>
          </cell>
          <cell r="W91">
            <v>4474.2813740859001</v>
          </cell>
          <cell r="X91">
            <v>2.93316</v>
          </cell>
          <cell r="Y91">
            <v>0</v>
          </cell>
          <cell r="Z91">
            <v>8.9664957396511014</v>
          </cell>
          <cell r="AA91">
            <v>4474.2813740859001</v>
          </cell>
        </row>
        <row r="92">
          <cell r="B92" t="str">
            <v>B-05-23</v>
          </cell>
          <cell r="C92" t="str">
            <v>SOLUCION FISIOLOGICA .:. 0,9% (1.000 ml)</v>
          </cell>
          <cell r="D92" t="str">
            <v>Solución parenteral de gran volumen</v>
          </cell>
          <cell r="E92">
            <v>377</v>
          </cell>
          <cell r="F92">
            <v>3626.7389534857002</v>
          </cell>
          <cell r="H92">
            <v>1700</v>
          </cell>
          <cell r="J92">
            <v>16660</v>
          </cell>
          <cell r="M92">
            <v>276</v>
          </cell>
          <cell r="N92">
            <v>2697.3778520000001</v>
          </cell>
          <cell r="P92">
            <v>1864</v>
          </cell>
          <cell r="R92">
            <v>18205.067248301599</v>
          </cell>
          <cell r="S92">
            <v>0</v>
          </cell>
          <cell r="T92">
            <v>0</v>
          </cell>
          <cell r="U92">
            <v>489</v>
          </cell>
          <cell r="V92">
            <v>9.7731074789040893</v>
          </cell>
          <cell r="W92">
            <v>4779.0495571841002</v>
          </cell>
          <cell r="X92">
            <v>2.93316</v>
          </cell>
          <cell r="Y92">
            <v>0</v>
          </cell>
          <cell r="Z92">
            <v>9.7731074789040893</v>
          </cell>
          <cell r="AA92">
            <v>4779.0495571841002</v>
          </cell>
        </row>
        <row r="93">
          <cell r="B93" t="str">
            <v>B-05-25</v>
          </cell>
          <cell r="C93" t="str">
            <v>SOLUCION GLUCOSADA CLORURADA .:. 1.000 ml</v>
          </cell>
          <cell r="D93" t="str">
            <v>Solución parenteral de gran volumen</v>
          </cell>
          <cell r="E93">
            <v>2</v>
          </cell>
          <cell r="F93">
            <v>18.096</v>
          </cell>
          <cell r="H93">
            <v>0</v>
          </cell>
          <cell r="J93">
            <v>0</v>
          </cell>
          <cell r="M93">
            <v>0</v>
          </cell>
          <cell r="N93">
            <v>0</v>
          </cell>
          <cell r="P93">
            <v>0</v>
          </cell>
          <cell r="R93">
            <v>0</v>
          </cell>
          <cell r="S93">
            <v>0</v>
          </cell>
          <cell r="T93">
            <v>0</v>
          </cell>
          <cell r="U93">
            <v>2</v>
          </cell>
          <cell r="V93">
            <v>9.048</v>
          </cell>
          <cell r="W93">
            <v>18.096</v>
          </cell>
          <cell r="X93">
            <v>2.93316</v>
          </cell>
          <cell r="Y93">
            <v>0</v>
          </cell>
          <cell r="Z93">
            <v>9.048</v>
          </cell>
          <cell r="AA93">
            <v>18.096</v>
          </cell>
        </row>
        <row r="94">
          <cell r="B94" t="str">
            <v>B-05-29</v>
          </cell>
          <cell r="C94" t="str">
            <v>SOLUCION RINGER LACTATO .:. 500 ml</v>
          </cell>
          <cell r="D94" t="str">
            <v>Solución parenteral de gran volumen</v>
          </cell>
          <cell r="E94">
            <v>8</v>
          </cell>
          <cell r="F94">
            <v>64.08</v>
          </cell>
          <cell r="H94">
            <v>25</v>
          </cell>
          <cell r="J94">
            <v>200.25</v>
          </cell>
          <cell r="M94">
            <v>2</v>
          </cell>
          <cell r="N94">
            <v>16.02</v>
          </cell>
          <cell r="P94">
            <v>19</v>
          </cell>
          <cell r="R94">
            <v>152.19</v>
          </cell>
          <cell r="S94">
            <v>0</v>
          </cell>
          <cell r="T94">
            <v>0</v>
          </cell>
          <cell r="U94">
            <v>16</v>
          </cell>
          <cell r="V94">
            <v>8.01</v>
          </cell>
          <cell r="W94">
            <v>128.16</v>
          </cell>
          <cell r="X94">
            <v>2.93316</v>
          </cell>
          <cell r="Y94">
            <v>0</v>
          </cell>
          <cell r="Z94">
            <v>8.01</v>
          </cell>
          <cell r="AA94">
            <v>128.16</v>
          </cell>
        </row>
        <row r="95">
          <cell r="B95" t="str">
            <v>B-05-30</v>
          </cell>
          <cell r="C95" t="str">
            <v>SOLUCION RINGER LACTATO .:. 1.000 ml</v>
          </cell>
          <cell r="D95" t="str">
            <v>Solución parenteral de gran volumen</v>
          </cell>
          <cell r="E95">
            <v>96</v>
          </cell>
          <cell r="F95">
            <v>1050.7465819199999</v>
          </cell>
          <cell r="H95">
            <v>60</v>
          </cell>
          <cell r="J95">
            <v>659.4</v>
          </cell>
          <cell r="M95">
            <v>13</v>
          </cell>
          <cell r="N95">
            <v>142.51511300000001</v>
          </cell>
          <cell r="P95">
            <v>158</v>
          </cell>
          <cell r="R95">
            <v>1732.0719787357</v>
          </cell>
          <cell r="S95">
            <v>0</v>
          </cell>
          <cell r="T95">
            <v>0</v>
          </cell>
          <cell r="U95">
            <v>11</v>
          </cell>
          <cell r="V95">
            <v>10.962701471300001</v>
          </cell>
          <cell r="W95">
            <v>120.5897161843</v>
          </cell>
          <cell r="X95">
            <v>2.93316</v>
          </cell>
          <cell r="Y95">
            <v>0</v>
          </cell>
          <cell r="Z95">
            <v>10.962701471300001</v>
          </cell>
          <cell r="AA95">
            <v>120.5897161843</v>
          </cell>
        </row>
        <row r="96">
          <cell r="B96" t="str">
            <v>B-05-31</v>
          </cell>
          <cell r="C96" t="str">
            <v>SOLUCION RINGER NORMAL .:. 500 ml</v>
          </cell>
          <cell r="D96" t="str">
            <v>Solución parenteral de gran volumen</v>
          </cell>
          <cell r="E96">
            <v>54</v>
          </cell>
          <cell r="F96">
            <v>474.74748463319997</v>
          </cell>
          <cell r="H96">
            <v>170</v>
          </cell>
          <cell r="J96">
            <v>1494.3</v>
          </cell>
          <cell r="M96">
            <v>23</v>
          </cell>
          <cell r="N96">
            <v>202.17650900000001</v>
          </cell>
          <cell r="P96">
            <v>214</v>
          </cell>
          <cell r="R96">
            <v>1881.1446521818</v>
          </cell>
          <cell r="S96">
            <v>0</v>
          </cell>
          <cell r="T96">
            <v>0</v>
          </cell>
          <cell r="U96">
            <v>33</v>
          </cell>
          <cell r="V96">
            <v>8.790283074284849</v>
          </cell>
          <cell r="W96">
            <v>290.07934145140001</v>
          </cell>
          <cell r="X96">
            <v>2.93316</v>
          </cell>
          <cell r="Y96">
            <v>0</v>
          </cell>
          <cell r="Z96">
            <v>8.790283074284849</v>
          </cell>
          <cell r="AA96">
            <v>290.07934145140001</v>
          </cell>
        </row>
        <row r="97">
          <cell r="B97" t="str">
            <v>B-05-32</v>
          </cell>
          <cell r="C97" t="str">
            <v>SOLUCION RINGER NORMAL .:. 1.000 ml</v>
          </cell>
          <cell r="D97" t="str">
            <v>Solución parenteral de gran volumen</v>
          </cell>
          <cell r="E97">
            <v>306</v>
          </cell>
          <cell r="F97">
            <v>3319.6478333166001</v>
          </cell>
          <cell r="H97">
            <v>2000</v>
          </cell>
          <cell r="J97">
            <v>22000</v>
          </cell>
          <cell r="M97">
            <v>226</v>
          </cell>
          <cell r="N97">
            <v>2483.3906040000002</v>
          </cell>
          <cell r="P97">
            <v>1479</v>
          </cell>
          <cell r="R97">
            <v>16232.2060727839</v>
          </cell>
          <cell r="S97">
            <v>0</v>
          </cell>
          <cell r="T97">
            <v>0</v>
          </cell>
          <cell r="U97">
            <v>1053</v>
          </cell>
          <cell r="V97">
            <v>10.988444790629345</v>
          </cell>
          <cell r="W97">
            <v>11570.8323645327</v>
          </cell>
          <cell r="X97">
            <v>2.93316</v>
          </cell>
          <cell r="Y97">
            <v>0</v>
          </cell>
          <cell r="Z97">
            <v>10.988444790629345</v>
          </cell>
          <cell r="AA97">
            <v>11570.8323645327</v>
          </cell>
        </row>
        <row r="98">
          <cell r="B98" t="str">
            <v>B-05-33</v>
          </cell>
          <cell r="C98" t="str">
            <v>SULFATO DE MAGNESIO .:. 0.1</v>
          </cell>
          <cell r="D98" t="str">
            <v>Inyectable</v>
          </cell>
          <cell r="E98">
            <v>296</v>
          </cell>
          <cell r="F98">
            <v>1477.0400000295999</v>
          </cell>
          <cell r="H98">
            <v>50</v>
          </cell>
          <cell r="J98">
            <v>249.5</v>
          </cell>
          <cell r="M98">
            <v>61</v>
          </cell>
          <cell r="N98">
            <v>304.39</v>
          </cell>
          <cell r="P98">
            <v>407</v>
          </cell>
          <cell r="R98">
            <v>2030.9300000407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-1.11E-8</v>
          </cell>
          <cell r="X98">
            <v>2.93316</v>
          </cell>
          <cell r="Y98">
            <v>0</v>
          </cell>
          <cell r="Z98">
            <v>0</v>
          </cell>
          <cell r="AA98">
            <v>-1.11E-8</v>
          </cell>
        </row>
        <row r="99">
          <cell r="B99" t="str">
            <v>C-01-02</v>
          </cell>
          <cell r="C99" t="str">
            <v>AMIODARONA (CLORHIDRATO) .:. 200 mg</v>
          </cell>
          <cell r="D99" t="str">
            <v>Comprimido</v>
          </cell>
          <cell r="E99">
            <v>2214</v>
          </cell>
          <cell r="F99">
            <v>2546.1</v>
          </cell>
          <cell r="H99">
            <v>4500</v>
          </cell>
          <cell r="J99">
            <v>5355</v>
          </cell>
          <cell r="M99">
            <v>0</v>
          </cell>
          <cell r="N99">
            <v>0</v>
          </cell>
          <cell r="P99">
            <v>4275</v>
          </cell>
          <cell r="R99">
            <v>5024.8994385216001</v>
          </cell>
          <cell r="S99">
            <v>0</v>
          </cell>
          <cell r="T99">
            <v>0</v>
          </cell>
          <cell r="U99">
            <v>2439</v>
          </cell>
          <cell r="V99">
            <v>1.1792540227463715</v>
          </cell>
          <cell r="W99">
            <v>2876.2005614783998</v>
          </cell>
          <cell r="X99">
            <v>2.93316</v>
          </cell>
          <cell r="Y99">
            <v>0</v>
          </cell>
          <cell r="Z99">
            <v>1.1792540227463715</v>
          </cell>
          <cell r="AA99">
            <v>2876.2005614783998</v>
          </cell>
        </row>
        <row r="100">
          <cell r="B100" t="str">
            <v>C-01-03</v>
          </cell>
          <cell r="C100" t="str">
            <v>AMIODARONA (CLORHIDRATO) .:. 50 mg/ml</v>
          </cell>
          <cell r="D100" t="str">
            <v>Inyectable</v>
          </cell>
          <cell r="E100">
            <v>0</v>
          </cell>
          <cell r="F100">
            <v>0</v>
          </cell>
          <cell r="H100">
            <v>80</v>
          </cell>
          <cell r="J100">
            <v>1245</v>
          </cell>
          <cell r="M100">
            <v>0</v>
          </cell>
          <cell r="N100">
            <v>0</v>
          </cell>
          <cell r="P100">
            <v>38</v>
          </cell>
          <cell r="R100">
            <v>479.2298360652</v>
          </cell>
          <cell r="S100">
            <v>0</v>
          </cell>
          <cell r="T100">
            <v>0</v>
          </cell>
          <cell r="U100">
            <v>42</v>
          </cell>
          <cell r="V100">
            <v>18.232622950828571</v>
          </cell>
          <cell r="W100">
            <v>765.77016393480005</v>
          </cell>
          <cell r="X100">
            <v>2.93316</v>
          </cell>
          <cell r="Y100">
            <v>0</v>
          </cell>
          <cell r="Z100">
            <v>18.232622950828571</v>
          </cell>
          <cell r="AA100">
            <v>765.77016393480005</v>
          </cell>
        </row>
        <row r="101">
          <cell r="B101" t="str">
            <v>C-01-06</v>
          </cell>
          <cell r="C101" t="str">
            <v>DIGOXINA .:. 0,25 mg</v>
          </cell>
          <cell r="D101" t="str">
            <v>Comprimido ranurado</v>
          </cell>
          <cell r="E101">
            <v>192</v>
          </cell>
          <cell r="F101">
            <v>65.28</v>
          </cell>
          <cell r="H101">
            <v>0</v>
          </cell>
          <cell r="J101">
            <v>0</v>
          </cell>
          <cell r="M101">
            <v>0</v>
          </cell>
          <cell r="N101">
            <v>0</v>
          </cell>
          <cell r="P101">
            <v>192</v>
          </cell>
          <cell r="R101">
            <v>65.28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2.93316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C-01-10</v>
          </cell>
          <cell r="C102" t="str">
            <v>EPINEFRINA (ADRENALINA) .:. 1 mg/ml</v>
          </cell>
          <cell r="D102" t="str">
            <v>Inyectable</v>
          </cell>
          <cell r="E102">
            <v>38</v>
          </cell>
          <cell r="F102">
            <v>239.4</v>
          </cell>
          <cell r="H102">
            <v>100</v>
          </cell>
          <cell r="J102">
            <v>689</v>
          </cell>
          <cell r="M102">
            <v>23</v>
          </cell>
          <cell r="N102">
            <v>145.49</v>
          </cell>
          <cell r="P102">
            <v>85</v>
          </cell>
          <cell r="R102">
            <v>563.23</v>
          </cell>
          <cell r="S102">
            <v>22</v>
          </cell>
          <cell r="T102">
            <v>138.6</v>
          </cell>
          <cell r="U102">
            <v>54</v>
          </cell>
          <cell r="V102">
            <v>6.89</v>
          </cell>
          <cell r="W102">
            <v>372.06</v>
          </cell>
          <cell r="X102">
            <v>2.93316</v>
          </cell>
          <cell r="Y102">
            <v>0</v>
          </cell>
          <cell r="Z102">
            <v>6.89</v>
          </cell>
          <cell r="AA102">
            <v>372.06</v>
          </cell>
        </row>
        <row r="103">
          <cell r="B103" t="str">
            <v>C-01-13</v>
          </cell>
          <cell r="C103" t="str">
            <v>ETILEFRINA .:. 10 mg/ml</v>
          </cell>
          <cell r="D103" t="str">
            <v>Inyectable</v>
          </cell>
          <cell r="E103">
            <v>10</v>
          </cell>
          <cell r="F103">
            <v>138</v>
          </cell>
          <cell r="H103">
            <v>60</v>
          </cell>
          <cell r="J103">
            <v>828</v>
          </cell>
          <cell r="M103">
            <v>0</v>
          </cell>
          <cell r="N103">
            <v>0</v>
          </cell>
          <cell r="P103">
            <v>31</v>
          </cell>
          <cell r="R103">
            <v>427.8</v>
          </cell>
          <cell r="S103">
            <v>0</v>
          </cell>
          <cell r="T103">
            <v>0</v>
          </cell>
          <cell r="U103">
            <v>39</v>
          </cell>
          <cell r="V103">
            <v>13.8</v>
          </cell>
          <cell r="W103">
            <v>538.20000000000005</v>
          </cell>
          <cell r="X103">
            <v>2.93316</v>
          </cell>
          <cell r="Y103">
            <v>0</v>
          </cell>
          <cell r="Z103">
            <v>13.8</v>
          </cell>
          <cell r="AA103">
            <v>538.20000000000005</v>
          </cell>
        </row>
        <row r="104">
          <cell r="B104" t="str">
            <v>C-01-15</v>
          </cell>
          <cell r="C104" t="str">
            <v>NORADRENALINA .:. 1 mg/ml</v>
          </cell>
          <cell r="D104" t="str">
            <v>Inyectable</v>
          </cell>
          <cell r="E104">
            <v>58</v>
          </cell>
          <cell r="F104">
            <v>558.06544881399998</v>
          </cell>
          <cell r="H104">
            <v>70</v>
          </cell>
          <cell r="J104">
            <v>2099.33</v>
          </cell>
          <cell r="M104">
            <v>14</v>
          </cell>
          <cell r="N104">
            <v>134.70545200000001</v>
          </cell>
          <cell r="P104">
            <v>133</v>
          </cell>
          <cell r="R104">
            <v>2534.4082100139999</v>
          </cell>
          <cell r="S104">
            <v>0</v>
          </cell>
          <cell r="T104">
            <v>0</v>
          </cell>
          <cell r="U104">
            <v>9</v>
          </cell>
          <cell r="V104">
            <v>28.632521199999999</v>
          </cell>
          <cell r="W104">
            <v>257.69269079999998</v>
          </cell>
          <cell r="X104">
            <v>2.93316</v>
          </cell>
          <cell r="Y104">
            <v>0</v>
          </cell>
          <cell r="Z104">
            <v>28.632521199999999</v>
          </cell>
          <cell r="AA104">
            <v>257.69269079999998</v>
          </cell>
        </row>
        <row r="105">
          <cell r="B105" t="str">
            <v>C-02-04</v>
          </cell>
          <cell r="C105" t="str">
            <v>METILDOPA (ALFAMETILDOPA) .:. 500 mg</v>
          </cell>
          <cell r="D105" t="str">
            <v>Comprimido</v>
          </cell>
          <cell r="E105">
            <v>29</v>
          </cell>
          <cell r="F105">
            <v>33.878815000000003</v>
          </cell>
          <cell r="H105">
            <v>0</v>
          </cell>
          <cell r="J105">
            <v>0</v>
          </cell>
          <cell r="M105">
            <v>0</v>
          </cell>
          <cell r="N105">
            <v>0</v>
          </cell>
          <cell r="P105">
            <v>29</v>
          </cell>
          <cell r="R105">
            <v>33.878815000000003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2.93316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C-02-08</v>
          </cell>
          <cell r="C106" t="str">
            <v>SILDENAFILO .:. 50 mg</v>
          </cell>
          <cell r="D106" t="str">
            <v>Comprimido</v>
          </cell>
          <cell r="E106">
            <v>0</v>
          </cell>
          <cell r="F106">
            <v>0</v>
          </cell>
          <cell r="H106">
            <v>360</v>
          </cell>
          <cell r="J106">
            <v>1015.2</v>
          </cell>
          <cell r="M106">
            <v>0</v>
          </cell>
          <cell r="N106">
            <v>0</v>
          </cell>
          <cell r="P106">
            <v>360</v>
          </cell>
          <cell r="R106">
            <v>1015.2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2.93316</v>
          </cell>
          <cell r="Y106">
            <v>0</v>
          </cell>
          <cell r="Z106">
            <v>0</v>
          </cell>
          <cell r="AA106">
            <v>0</v>
          </cell>
        </row>
        <row r="107">
          <cell r="B107" t="str">
            <v>C-03-01</v>
          </cell>
          <cell r="C107" t="str">
            <v>ACETAZOLAMIDA .:. 250 mg</v>
          </cell>
          <cell r="D107" t="str">
            <v>Comprimido</v>
          </cell>
          <cell r="E107">
            <v>20</v>
          </cell>
          <cell r="F107">
            <v>24.094999999999999</v>
          </cell>
          <cell r="H107">
            <v>300</v>
          </cell>
          <cell r="J107">
            <v>663</v>
          </cell>
          <cell r="M107">
            <v>0</v>
          </cell>
          <cell r="N107">
            <v>0</v>
          </cell>
          <cell r="P107">
            <v>20</v>
          </cell>
          <cell r="R107">
            <v>42.943437500000002</v>
          </cell>
          <cell r="S107">
            <v>0</v>
          </cell>
          <cell r="T107">
            <v>0</v>
          </cell>
          <cell r="U107">
            <v>300</v>
          </cell>
          <cell r="V107">
            <v>2.1471718750000002</v>
          </cell>
          <cell r="W107">
            <v>644.15156249999995</v>
          </cell>
          <cell r="X107">
            <v>2.93316</v>
          </cell>
          <cell r="Y107">
            <v>0</v>
          </cell>
          <cell r="Z107">
            <v>2.1471718750000002</v>
          </cell>
          <cell r="AA107">
            <v>644.15156249999995</v>
          </cell>
        </row>
        <row r="108">
          <cell r="B108" t="str">
            <v>C-03-02</v>
          </cell>
          <cell r="C108" t="str">
            <v>ESPIRONOLACTONA .:. 100 mg</v>
          </cell>
          <cell r="D108" t="str">
            <v>Comprimido</v>
          </cell>
          <cell r="E108">
            <v>460</v>
          </cell>
          <cell r="F108">
            <v>547.37678085599998</v>
          </cell>
          <cell r="H108">
            <v>2000</v>
          </cell>
          <cell r="J108">
            <v>2380</v>
          </cell>
          <cell r="M108">
            <v>0</v>
          </cell>
          <cell r="N108">
            <v>0</v>
          </cell>
          <cell r="P108">
            <v>2334</v>
          </cell>
          <cell r="R108">
            <v>2777.4368186982001</v>
          </cell>
          <cell r="S108">
            <v>0</v>
          </cell>
          <cell r="T108">
            <v>0</v>
          </cell>
          <cell r="U108">
            <v>126</v>
          </cell>
          <cell r="V108">
            <v>1.1899996996650795</v>
          </cell>
          <cell r="W108">
            <v>149.93996215780001</v>
          </cell>
          <cell r="X108">
            <v>2.93316</v>
          </cell>
          <cell r="Y108">
            <v>0</v>
          </cell>
          <cell r="Z108">
            <v>1.1899996996650795</v>
          </cell>
          <cell r="AA108">
            <v>149.93996215780001</v>
          </cell>
        </row>
        <row r="109">
          <cell r="B109" t="str">
            <v>C-03-03</v>
          </cell>
          <cell r="C109" t="str">
            <v>ESPIRONOLACTONA .:. 25 mg</v>
          </cell>
          <cell r="D109" t="str">
            <v>Comprimido</v>
          </cell>
          <cell r="E109">
            <v>339</v>
          </cell>
          <cell r="F109">
            <v>203.430494745</v>
          </cell>
          <cell r="H109">
            <v>7900</v>
          </cell>
          <cell r="J109">
            <v>5620</v>
          </cell>
          <cell r="M109">
            <v>7</v>
          </cell>
          <cell r="N109">
            <v>4.2</v>
          </cell>
          <cell r="P109">
            <v>6581</v>
          </cell>
          <cell r="R109">
            <v>4495.6304947449999</v>
          </cell>
          <cell r="S109">
            <v>0</v>
          </cell>
          <cell r="T109">
            <v>0</v>
          </cell>
          <cell r="U109">
            <v>1665</v>
          </cell>
          <cell r="V109">
            <v>0.8</v>
          </cell>
          <cell r="W109">
            <v>1332</v>
          </cell>
          <cell r="X109">
            <v>2.93316</v>
          </cell>
          <cell r="Y109">
            <v>0</v>
          </cell>
          <cell r="Z109">
            <v>0.8</v>
          </cell>
          <cell r="AA109">
            <v>1332</v>
          </cell>
        </row>
        <row r="110">
          <cell r="B110" t="str">
            <v>C-03-04</v>
          </cell>
          <cell r="C110" t="str">
            <v>FUROSEMIDA .:. 40 mg</v>
          </cell>
          <cell r="D110" t="str">
            <v>Comprimido ranurado</v>
          </cell>
          <cell r="E110">
            <v>1769</v>
          </cell>
          <cell r="F110">
            <v>336.11</v>
          </cell>
          <cell r="H110">
            <v>1200</v>
          </cell>
          <cell r="J110">
            <v>660</v>
          </cell>
          <cell r="M110">
            <v>5</v>
          </cell>
          <cell r="N110">
            <v>0.95</v>
          </cell>
          <cell r="P110">
            <v>2189</v>
          </cell>
          <cell r="R110">
            <v>566.24885562680004</v>
          </cell>
          <cell r="S110">
            <v>0</v>
          </cell>
          <cell r="T110">
            <v>0</v>
          </cell>
          <cell r="U110">
            <v>785</v>
          </cell>
          <cell r="V110">
            <v>0.54880400557095543</v>
          </cell>
          <cell r="W110">
            <v>430.81114437320002</v>
          </cell>
          <cell r="X110">
            <v>2.93316</v>
          </cell>
          <cell r="Y110">
            <v>0</v>
          </cell>
          <cell r="Z110">
            <v>0.54880400557095543</v>
          </cell>
          <cell r="AA110">
            <v>430.81114437320002</v>
          </cell>
        </row>
        <row r="111">
          <cell r="B111" t="str">
            <v>C-03-05</v>
          </cell>
          <cell r="C111" t="str">
            <v>FUROSEMIDA .:. 10 mg/ml</v>
          </cell>
          <cell r="D111" t="str">
            <v>Inyectable</v>
          </cell>
          <cell r="E111">
            <v>146</v>
          </cell>
          <cell r="F111">
            <v>189.8</v>
          </cell>
          <cell r="H111">
            <v>600</v>
          </cell>
          <cell r="J111">
            <v>990</v>
          </cell>
          <cell r="M111">
            <v>29</v>
          </cell>
          <cell r="N111">
            <v>42.879604999999998</v>
          </cell>
          <cell r="P111">
            <v>463</v>
          </cell>
          <cell r="R111">
            <v>709.34362185400005</v>
          </cell>
          <cell r="S111">
            <v>0</v>
          </cell>
          <cell r="T111">
            <v>0</v>
          </cell>
          <cell r="U111">
            <v>312</v>
          </cell>
          <cell r="V111">
            <v>1.6453076382884615</v>
          </cell>
          <cell r="W111">
            <v>513.33598314599999</v>
          </cell>
          <cell r="X111">
            <v>2.93316</v>
          </cell>
          <cell r="Y111">
            <v>0</v>
          </cell>
          <cell r="Z111">
            <v>1.6453076382884615</v>
          </cell>
          <cell r="AA111">
            <v>513.33598314599999</v>
          </cell>
        </row>
        <row r="112">
          <cell r="B112" t="str">
            <v>C-03-06</v>
          </cell>
          <cell r="C112" t="str">
            <v>HIDROCLOROTIAZIDA .:. 50 mg</v>
          </cell>
          <cell r="D112" t="str">
            <v>Comprimido ranurado</v>
          </cell>
          <cell r="E112">
            <v>1683</v>
          </cell>
          <cell r="F112">
            <v>312.34523630310002</v>
          </cell>
          <cell r="H112">
            <v>4800</v>
          </cell>
          <cell r="J112">
            <v>1080</v>
          </cell>
          <cell r="M112">
            <v>0</v>
          </cell>
          <cell r="N112">
            <v>0</v>
          </cell>
          <cell r="P112">
            <v>4178</v>
          </cell>
          <cell r="R112">
            <v>816.09523625120005</v>
          </cell>
          <cell r="S112">
            <v>0</v>
          </cell>
          <cell r="T112">
            <v>0</v>
          </cell>
          <cell r="U112">
            <v>2305</v>
          </cell>
          <cell r="V112">
            <v>0.25000000002251627</v>
          </cell>
          <cell r="W112">
            <v>576.25000005189997</v>
          </cell>
          <cell r="X112">
            <v>2.93316</v>
          </cell>
          <cell r="Y112">
            <v>0</v>
          </cell>
          <cell r="Z112">
            <v>0.25000000002251627</v>
          </cell>
          <cell r="AA112">
            <v>576.25000005189997</v>
          </cell>
        </row>
        <row r="113">
          <cell r="B113" t="str">
            <v>C-03-07</v>
          </cell>
          <cell r="C113" t="str">
            <v>HIDROCLOROTIAZIDA + AMILORIDA .:. 50 mg + 5 mg</v>
          </cell>
          <cell r="D113" t="str">
            <v>Comprimido</v>
          </cell>
          <cell r="E113">
            <v>215</v>
          </cell>
          <cell r="F113">
            <v>208.95603941100001</v>
          </cell>
          <cell r="H113">
            <v>0</v>
          </cell>
          <cell r="J113">
            <v>0</v>
          </cell>
          <cell r="M113">
            <v>79</v>
          </cell>
          <cell r="N113">
            <v>76.73</v>
          </cell>
          <cell r="P113">
            <v>168</v>
          </cell>
          <cell r="R113">
            <v>163.25734986399999</v>
          </cell>
          <cell r="S113">
            <v>79</v>
          </cell>
          <cell r="T113">
            <v>76.779195876599999</v>
          </cell>
          <cell r="U113">
            <v>47</v>
          </cell>
          <cell r="V113">
            <v>0.97126582277446805</v>
          </cell>
          <cell r="W113">
            <v>45.649493670399998</v>
          </cell>
          <cell r="X113">
            <v>2.93316</v>
          </cell>
          <cell r="Y113">
            <v>0</v>
          </cell>
          <cell r="Z113">
            <v>0.97126582277446805</v>
          </cell>
          <cell r="AA113">
            <v>45.649493670399998</v>
          </cell>
        </row>
        <row r="114">
          <cell r="B114" t="str">
            <v>C-05-01</v>
          </cell>
          <cell r="C114" t="str">
            <v>CORTICOIDE + ANESTESICO .:. Según disponibilidad</v>
          </cell>
          <cell r="D114" t="str">
            <v>Supositorio</v>
          </cell>
          <cell r="E114">
            <v>284</v>
          </cell>
          <cell r="F114">
            <v>852</v>
          </cell>
          <cell r="H114">
            <v>700</v>
          </cell>
          <cell r="J114">
            <v>2100</v>
          </cell>
          <cell r="M114">
            <v>197</v>
          </cell>
          <cell r="N114">
            <v>591</v>
          </cell>
          <cell r="P114">
            <v>516</v>
          </cell>
          <cell r="R114">
            <v>1548</v>
          </cell>
          <cell r="S114">
            <v>197</v>
          </cell>
          <cell r="T114">
            <v>591</v>
          </cell>
          <cell r="U114">
            <v>468</v>
          </cell>
          <cell r="V114">
            <v>3</v>
          </cell>
          <cell r="W114">
            <v>1404</v>
          </cell>
          <cell r="X114">
            <v>2.93316</v>
          </cell>
          <cell r="Y114">
            <v>0</v>
          </cell>
          <cell r="Z114">
            <v>3</v>
          </cell>
          <cell r="AA114">
            <v>1404</v>
          </cell>
        </row>
        <row r="115">
          <cell r="B115" t="str">
            <v>C-05-02</v>
          </cell>
          <cell r="C115" t="str">
            <v>CORTICOIDE + ANESTESICO .:. Según disponibilidad</v>
          </cell>
          <cell r="D115" t="str">
            <v>Crema o Pomada</v>
          </cell>
          <cell r="E115">
            <v>0</v>
          </cell>
          <cell r="F115">
            <v>0</v>
          </cell>
          <cell r="H115">
            <v>60</v>
          </cell>
          <cell r="J115">
            <v>2523</v>
          </cell>
          <cell r="M115">
            <v>0</v>
          </cell>
          <cell r="N115">
            <v>0</v>
          </cell>
          <cell r="P115">
            <v>48</v>
          </cell>
          <cell r="R115">
            <v>2018.4</v>
          </cell>
          <cell r="S115">
            <v>0</v>
          </cell>
          <cell r="T115">
            <v>0</v>
          </cell>
          <cell r="U115">
            <v>12</v>
          </cell>
          <cell r="V115">
            <v>42.05</v>
          </cell>
          <cell r="W115">
            <v>504.6</v>
          </cell>
          <cell r="X115">
            <v>2.93316</v>
          </cell>
          <cell r="Y115">
            <v>0</v>
          </cell>
          <cell r="Z115">
            <v>42.05</v>
          </cell>
          <cell r="AA115">
            <v>504.6</v>
          </cell>
        </row>
        <row r="116">
          <cell r="B116" t="str">
            <v>C-07-01</v>
          </cell>
          <cell r="C116" t="str">
            <v>ATENOLOL .:. 100 mg</v>
          </cell>
          <cell r="D116" t="str">
            <v>Comprimido ranurado</v>
          </cell>
          <cell r="E116">
            <v>0</v>
          </cell>
          <cell r="F116">
            <v>0</v>
          </cell>
          <cell r="H116">
            <v>1100</v>
          </cell>
          <cell r="J116">
            <v>465</v>
          </cell>
          <cell r="M116">
            <v>0</v>
          </cell>
          <cell r="N116">
            <v>0</v>
          </cell>
          <cell r="P116">
            <v>652</v>
          </cell>
          <cell r="R116">
            <v>272.36</v>
          </cell>
          <cell r="S116">
            <v>0</v>
          </cell>
          <cell r="T116">
            <v>0</v>
          </cell>
          <cell r="U116">
            <v>448</v>
          </cell>
          <cell r="V116">
            <v>0.43</v>
          </cell>
          <cell r="W116">
            <v>192.64</v>
          </cell>
          <cell r="X116">
            <v>2.93316</v>
          </cell>
          <cell r="Y116">
            <v>0</v>
          </cell>
          <cell r="Z116">
            <v>0.43</v>
          </cell>
          <cell r="AA116">
            <v>192.64</v>
          </cell>
        </row>
        <row r="117">
          <cell r="B117" t="str">
            <v>C-07-02</v>
          </cell>
          <cell r="C117" t="str">
            <v>PROPRANOLOL .:. 40 mg</v>
          </cell>
          <cell r="D117" t="str">
            <v>Comprimido</v>
          </cell>
          <cell r="E117">
            <v>75</v>
          </cell>
          <cell r="F117">
            <v>22.5</v>
          </cell>
          <cell r="H117">
            <v>1000</v>
          </cell>
          <cell r="J117">
            <v>300</v>
          </cell>
          <cell r="M117">
            <v>570</v>
          </cell>
          <cell r="N117">
            <v>171</v>
          </cell>
          <cell r="P117">
            <v>565</v>
          </cell>
          <cell r="R117">
            <v>169.5</v>
          </cell>
          <cell r="S117">
            <v>570</v>
          </cell>
          <cell r="T117">
            <v>171</v>
          </cell>
          <cell r="U117">
            <v>510</v>
          </cell>
          <cell r="V117">
            <v>0.3</v>
          </cell>
          <cell r="W117">
            <v>153</v>
          </cell>
          <cell r="X117">
            <v>2.93316</v>
          </cell>
          <cell r="Y117">
            <v>0</v>
          </cell>
          <cell r="Z117">
            <v>0.3</v>
          </cell>
          <cell r="AA117">
            <v>153</v>
          </cell>
        </row>
        <row r="118">
          <cell r="B118" t="str">
            <v>C-07-04</v>
          </cell>
          <cell r="C118" t="str">
            <v>CARVEDILOL .:. 6,25 mg</v>
          </cell>
          <cell r="D118" t="str">
            <v>Comprimido</v>
          </cell>
          <cell r="E118">
            <v>3080</v>
          </cell>
          <cell r="F118">
            <v>2054.1118567200001</v>
          </cell>
          <cell r="H118">
            <v>28300</v>
          </cell>
          <cell r="J118">
            <v>16697</v>
          </cell>
          <cell r="M118">
            <v>74</v>
          </cell>
          <cell r="N118">
            <v>43.664217999999998</v>
          </cell>
          <cell r="P118">
            <v>24254</v>
          </cell>
          <cell r="R118">
            <v>14546.3654175581</v>
          </cell>
          <cell r="S118">
            <v>0</v>
          </cell>
          <cell r="T118">
            <v>0</v>
          </cell>
          <cell r="U118">
            <v>7200</v>
          </cell>
          <cell r="V118">
            <v>0.59005703571693058</v>
          </cell>
          <cell r="W118">
            <v>4248.4106571619004</v>
          </cell>
          <cell r="X118">
            <v>2.93316</v>
          </cell>
          <cell r="Y118">
            <v>0</v>
          </cell>
          <cell r="Z118">
            <v>0.59005703571693058</v>
          </cell>
          <cell r="AA118">
            <v>4248.4106571619004</v>
          </cell>
        </row>
        <row r="119">
          <cell r="B119" t="str">
            <v>C-07-05</v>
          </cell>
          <cell r="C119" t="str">
            <v>CARVEDILOL .:. 12,5 mg</v>
          </cell>
          <cell r="D119" t="str">
            <v>Comprimido</v>
          </cell>
          <cell r="E119">
            <v>3654</v>
          </cell>
          <cell r="F119">
            <v>2996.28</v>
          </cell>
          <cell r="H119">
            <v>15500</v>
          </cell>
          <cell r="J119">
            <v>10850</v>
          </cell>
          <cell r="M119">
            <v>0</v>
          </cell>
          <cell r="N119">
            <v>0</v>
          </cell>
          <cell r="P119">
            <v>14170</v>
          </cell>
          <cell r="R119">
            <v>10304.836515187601</v>
          </cell>
          <cell r="S119">
            <v>0</v>
          </cell>
          <cell r="T119">
            <v>0</v>
          </cell>
          <cell r="U119">
            <v>4984</v>
          </cell>
          <cell r="V119">
            <v>0.71056249695272877</v>
          </cell>
          <cell r="W119">
            <v>3541.4434848124001</v>
          </cell>
          <cell r="X119">
            <v>2.93316</v>
          </cell>
          <cell r="Y119">
            <v>0</v>
          </cell>
          <cell r="Z119">
            <v>0.71056249695272877</v>
          </cell>
          <cell r="AA119">
            <v>3541.4434848124001</v>
          </cell>
        </row>
        <row r="120">
          <cell r="B120" t="str">
            <v>C-07-06</v>
          </cell>
          <cell r="C120" t="str">
            <v>BISOPROLOL .:. 5 mg</v>
          </cell>
          <cell r="D120" t="str">
            <v>Comprimido</v>
          </cell>
          <cell r="E120">
            <v>2119</v>
          </cell>
          <cell r="F120">
            <v>1271.4000000000001</v>
          </cell>
          <cell r="H120">
            <v>9580</v>
          </cell>
          <cell r="J120">
            <v>21156.799999999999</v>
          </cell>
          <cell r="M120">
            <v>0</v>
          </cell>
          <cell r="N120">
            <v>0</v>
          </cell>
          <cell r="P120">
            <v>7538</v>
          </cell>
          <cell r="R120">
            <v>15104.84</v>
          </cell>
          <cell r="S120">
            <v>0</v>
          </cell>
          <cell r="T120">
            <v>0</v>
          </cell>
          <cell r="U120">
            <v>4161</v>
          </cell>
          <cell r="V120">
            <v>1.76</v>
          </cell>
          <cell r="W120">
            <v>7323.36</v>
          </cell>
          <cell r="X120">
            <v>2.93316</v>
          </cell>
          <cell r="Y120">
            <v>0</v>
          </cell>
          <cell r="Z120">
            <v>1.76</v>
          </cell>
          <cell r="AA120">
            <v>7323.36</v>
          </cell>
        </row>
        <row r="121">
          <cell r="B121" t="str">
            <v>C-08-02</v>
          </cell>
          <cell r="C121" t="str">
            <v>NIMODIPINA .:. 30 mg</v>
          </cell>
          <cell r="D121" t="str">
            <v>Comprimido</v>
          </cell>
          <cell r="E121">
            <v>1369</v>
          </cell>
          <cell r="F121">
            <v>414.68789713690001</v>
          </cell>
          <cell r="H121">
            <v>9200</v>
          </cell>
          <cell r="J121">
            <v>3588</v>
          </cell>
          <cell r="M121">
            <v>0</v>
          </cell>
          <cell r="N121">
            <v>0</v>
          </cell>
          <cell r="P121">
            <v>7840</v>
          </cell>
          <cell r="R121">
            <v>2948.4937380639999</v>
          </cell>
          <cell r="S121">
            <v>0</v>
          </cell>
          <cell r="T121">
            <v>0</v>
          </cell>
          <cell r="U121">
            <v>2729</v>
          </cell>
          <cell r="V121">
            <v>0.38629320596295347</v>
          </cell>
          <cell r="W121">
            <v>1054.1941590729</v>
          </cell>
          <cell r="X121">
            <v>2.93316</v>
          </cell>
          <cell r="Y121">
            <v>0</v>
          </cell>
          <cell r="Z121">
            <v>0.38629320596295347</v>
          </cell>
          <cell r="AA121">
            <v>1054.1941590729</v>
          </cell>
        </row>
        <row r="122">
          <cell r="B122" t="str">
            <v>C-08-07</v>
          </cell>
          <cell r="C122" t="str">
            <v>AMLODIPINA .:. 10 mg</v>
          </cell>
          <cell r="D122" t="str">
            <v>Comprimido</v>
          </cell>
          <cell r="E122">
            <v>3858</v>
          </cell>
          <cell r="F122">
            <v>538.96071189480006</v>
          </cell>
          <cell r="H122">
            <v>18000</v>
          </cell>
          <cell r="J122">
            <v>9000</v>
          </cell>
          <cell r="M122">
            <v>4</v>
          </cell>
          <cell r="N122">
            <v>0.55879599999999996</v>
          </cell>
          <cell r="P122">
            <v>15277</v>
          </cell>
          <cell r="R122">
            <v>5581.6184226322002</v>
          </cell>
          <cell r="S122">
            <v>0</v>
          </cell>
          <cell r="T122">
            <v>0</v>
          </cell>
          <cell r="U122">
            <v>6585</v>
          </cell>
          <cell r="V122">
            <v>0.60104800079917997</v>
          </cell>
          <cell r="W122">
            <v>3957.9010852626002</v>
          </cell>
          <cell r="X122">
            <v>2.93316</v>
          </cell>
          <cell r="Y122">
            <v>0</v>
          </cell>
          <cell r="Z122">
            <v>0.60104800079917997</v>
          </cell>
          <cell r="AA122">
            <v>3957.9010852626002</v>
          </cell>
        </row>
        <row r="123">
          <cell r="B123" t="str">
            <v>C-09-01</v>
          </cell>
          <cell r="C123" t="str">
            <v>ENALAPRIL MALEATO .:. 10 mg</v>
          </cell>
          <cell r="D123" t="str">
            <v>Comprimido ranurado</v>
          </cell>
          <cell r="E123">
            <v>2066</v>
          </cell>
          <cell r="F123">
            <v>410.79372153600002</v>
          </cell>
          <cell r="H123">
            <v>4100</v>
          </cell>
          <cell r="J123">
            <v>943</v>
          </cell>
          <cell r="M123">
            <v>0</v>
          </cell>
          <cell r="N123">
            <v>0</v>
          </cell>
          <cell r="P123">
            <v>3446</v>
          </cell>
          <cell r="R123">
            <v>752.4658455435</v>
          </cell>
          <cell r="S123">
            <v>0</v>
          </cell>
          <cell r="T123">
            <v>0</v>
          </cell>
          <cell r="U123">
            <v>2720</v>
          </cell>
          <cell r="V123">
            <v>0.22107642499724264</v>
          </cell>
          <cell r="W123">
            <v>601.32787599250003</v>
          </cell>
          <cell r="X123">
            <v>2.93316</v>
          </cell>
          <cell r="Y123">
            <v>0</v>
          </cell>
          <cell r="Z123">
            <v>0.22107642499724264</v>
          </cell>
          <cell r="AA123">
            <v>601.32787599250003</v>
          </cell>
        </row>
        <row r="124">
          <cell r="B124" t="str">
            <v>C-09-02</v>
          </cell>
          <cell r="C124" t="str">
            <v>LOSARTAN .:. 50 mg</v>
          </cell>
          <cell r="D124" t="str">
            <v>Comprimido</v>
          </cell>
          <cell r="E124">
            <v>24292</v>
          </cell>
          <cell r="F124">
            <v>9627.5643388303997</v>
          </cell>
          <cell r="H124">
            <v>144000</v>
          </cell>
          <cell r="J124">
            <v>28800</v>
          </cell>
          <cell r="M124">
            <v>0</v>
          </cell>
          <cell r="N124">
            <v>0</v>
          </cell>
          <cell r="P124">
            <v>118642</v>
          </cell>
          <cell r="R124">
            <v>27830.2857127674</v>
          </cell>
          <cell r="S124">
            <v>0</v>
          </cell>
          <cell r="T124">
            <v>0</v>
          </cell>
          <cell r="U124">
            <v>49650</v>
          </cell>
          <cell r="V124">
            <v>0.21343965007176233</v>
          </cell>
          <cell r="W124">
            <v>10597.278626063</v>
          </cell>
          <cell r="X124">
            <v>2.93316</v>
          </cell>
          <cell r="Y124">
            <v>0</v>
          </cell>
          <cell r="Z124">
            <v>0.21343965007176233</v>
          </cell>
          <cell r="AA124">
            <v>10597.278626063</v>
          </cell>
        </row>
        <row r="125">
          <cell r="B125" t="str">
            <v>C-10-01</v>
          </cell>
          <cell r="C125" t="str">
            <v>ATORVASTATINA .:. 10 mg</v>
          </cell>
          <cell r="D125" t="str">
            <v>Comprimido</v>
          </cell>
          <cell r="E125">
            <v>7731</v>
          </cell>
          <cell r="F125">
            <v>1925.4904224642</v>
          </cell>
          <cell r="H125">
            <v>6000</v>
          </cell>
          <cell r="J125">
            <v>1080</v>
          </cell>
          <cell r="M125">
            <v>0</v>
          </cell>
          <cell r="N125">
            <v>0</v>
          </cell>
          <cell r="P125">
            <v>12287</v>
          </cell>
          <cell r="R125">
            <v>2695.2513901199</v>
          </cell>
          <cell r="S125">
            <v>0</v>
          </cell>
          <cell r="T125">
            <v>0</v>
          </cell>
          <cell r="U125">
            <v>1444</v>
          </cell>
          <cell r="V125">
            <v>0.21484697530768698</v>
          </cell>
          <cell r="W125">
            <v>310.23903234430003</v>
          </cell>
          <cell r="X125">
            <v>2.93316</v>
          </cell>
          <cell r="Y125">
            <v>0</v>
          </cell>
          <cell r="Z125">
            <v>0.21484697530768698</v>
          </cell>
          <cell r="AA125">
            <v>310.23903234430003</v>
          </cell>
        </row>
        <row r="126">
          <cell r="B126" t="str">
            <v>C-10-02</v>
          </cell>
          <cell r="C126" t="str">
            <v>GENFIBROZILO .:. 600 mg</v>
          </cell>
          <cell r="D126" t="str">
            <v>Comprimido</v>
          </cell>
          <cell r="E126">
            <v>3233</v>
          </cell>
          <cell r="F126">
            <v>2885.0887622825999</v>
          </cell>
          <cell r="H126">
            <v>5300</v>
          </cell>
          <cell r="J126">
            <v>10070</v>
          </cell>
          <cell r="M126">
            <v>0</v>
          </cell>
          <cell r="N126">
            <v>0</v>
          </cell>
          <cell r="P126">
            <v>4893</v>
          </cell>
          <cell r="R126">
            <v>6039.0887622826003</v>
          </cell>
          <cell r="S126">
            <v>0</v>
          </cell>
          <cell r="T126">
            <v>0</v>
          </cell>
          <cell r="U126">
            <v>3640</v>
          </cell>
          <cell r="V126">
            <v>1.9</v>
          </cell>
          <cell r="W126">
            <v>6916</v>
          </cell>
          <cell r="X126">
            <v>2.93316</v>
          </cell>
          <cell r="Y126">
            <v>0</v>
          </cell>
          <cell r="Z126">
            <v>1.9</v>
          </cell>
          <cell r="AA126">
            <v>6916</v>
          </cell>
        </row>
        <row r="127">
          <cell r="B127" t="str">
            <v>C-10-03</v>
          </cell>
          <cell r="C127" t="str">
            <v>ROSUVASTATINA .:. 20 mg</v>
          </cell>
          <cell r="D127" t="str">
            <v>Comprimido</v>
          </cell>
          <cell r="E127">
            <v>2171</v>
          </cell>
          <cell r="F127">
            <v>5569.7156794148996</v>
          </cell>
          <cell r="H127">
            <v>3600</v>
          </cell>
          <cell r="J127">
            <v>9684</v>
          </cell>
          <cell r="M127">
            <v>0</v>
          </cell>
          <cell r="N127">
            <v>0</v>
          </cell>
          <cell r="P127">
            <v>598</v>
          </cell>
          <cell r="R127">
            <v>1576.393117763</v>
          </cell>
          <cell r="S127">
            <v>0</v>
          </cell>
          <cell r="T127">
            <v>0</v>
          </cell>
          <cell r="U127">
            <v>5173</v>
          </cell>
          <cell r="V127">
            <v>2.6439827105455054</v>
          </cell>
          <cell r="W127">
            <v>13677.322561651899</v>
          </cell>
          <cell r="X127">
            <v>2.93316</v>
          </cell>
          <cell r="Y127">
            <v>0</v>
          </cell>
          <cell r="Z127">
            <v>2.6439827105455054</v>
          </cell>
          <cell r="AA127">
            <v>13677.322561651899</v>
          </cell>
        </row>
        <row r="128">
          <cell r="B128" t="str">
            <v>C-10-04</v>
          </cell>
          <cell r="C128" t="str">
            <v>FENOFIBRATO .:. 200 mg</v>
          </cell>
          <cell r="D128" t="str">
            <v>Cápsula o Comprimido</v>
          </cell>
          <cell r="E128">
            <v>684</v>
          </cell>
          <cell r="F128">
            <v>2600.346091932</v>
          </cell>
          <cell r="H128">
            <v>6000</v>
          </cell>
          <cell r="J128">
            <v>15000</v>
          </cell>
          <cell r="M128">
            <v>0</v>
          </cell>
          <cell r="N128">
            <v>0</v>
          </cell>
          <cell r="P128">
            <v>5468</v>
          </cell>
          <cell r="R128">
            <v>14541.0622512176</v>
          </cell>
          <cell r="S128">
            <v>0</v>
          </cell>
          <cell r="T128">
            <v>0</v>
          </cell>
          <cell r="U128">
            <v>1216</v>
          </cell>
          <cell r="V128">
            <v>2.5158584216401314</v>
          </cell>
          <cell r="W128">
            <v>3059.2838407144</v>
          </cell>
          <cell r="X128">
            <v>2.93316</v>
          </cell>
          <cell r="Y128">
            <v>0</v>
          </cell>
          <cell r="Z128">
            <v>2.5158584216401314</v>
          </cell>
          <cell r="AA128">
            <v>3059.2838407144</v>
          </cell>
        </row>
        <row r="129">
          <cell r="B129" t="str">
            <v>C-10-05</v>
          </cell>
          <cell r="C129" t="str">
            <v>ATORVASTATINA .:. 20 mg.</v>
          </cell>
          <cell r="D129" t="str">
            <v>Comprimido</v>
          </cell>
          <cell r="E129">
            <v>6515</v>
          </cell>
          <cell r="F129">
            <v>3517.9636599434998</v>
          </cell>
          <cell r="H129">
            <v>70000</v>
          </cell>
          <cell r="J129">
            <v>41300</v>
          </cell>
          <cell r="M129">
            <v>130</v>
          </cell>
          <cell r="N129">
            <v>76.7</v>
          </cell>
          <cell r="P129">
            <v>59919</v>
          </cell>
          <cell r="R129">
            <v>35026.323659943497</v>
          </cell>
          <cell r="S129">
            <v>0</v>
          </cell>
          <cell r="T129">
            <v>0</v>
          </cell>
          <cell r="U129">
            <v>16726</v>
          </cell>
          <cell r="V129">
            <v>0.59</v>
          </cell>
          <cell r="W129">
            <v>9868.34</v>
          </cell>
          <cell r="X129">
            <v>2.93316</v>
          </cell>
          <cell r="Y129">
            <v>0</v>
          </cell>
          <cell r="Z129">
            <v>0.59</v>
          </cell>
          <cell r="AA129">
            <v>9868.34</v>
          </cell>
        </row>
        <row r="130">
          <cell r="B130" t="str">
            <v>D-01-02</v>
          </cell>
          <cell r="C130" t="str">
            <v>BACITRACINA + NEOMICINA SULFATO .:. 500 UI + 5 mg/g</v>
          </cell>
          <cell r="D130" t="str">
            <v>Crema o Pomada</v>
          </cell>
          <cell r="E130">
            <v>31</v>
          </cell>
          <cell r="F130">
            <v>204.6</v>
          </cell>
          <cell r="H130">
            <v>150</v>
          </cell>
          <cell r="J130">
            <v>988.5</v>
          </cell>
          <cell r="M130">
            <v>0</v>
          </cell>
          <cell r="N130">
            <v>0</v>
          </cell>
          <cell r="P130">
            <v>107</v>
          </cell>
          <cell r="R130">
            <v>705.35294117759997</v>
          </cell>
          <cell r="S130">
            <v>0</v>
          </cell>
          <cell r="T130">
            <v>0</v>
          </cell>
          <cell r="U130">
            <v>74</v>
          </cell>
          <cell r="V130">
            <v>6.5911764705729734</v>
          </cell>
          <cell r="W130">
            <v>487.74705882239999</v>
          </cell>
          <cell r="X130">
            <v>2.93316</v>
          </cell>
          <cell r="Y130">
            <v>0</v>
          </cell>
          <cell r="Z130">
            <v>6.5911764705729734</v>
          </cell>
          <cell r="AA130">
            <v>487.74705882239999</v>
          </cell>
        </row>
        <row r="131">
          <cell r="B131" t="str">
            <v>D-01-03</v>
          </cell>
          <cell r="C131" t="str">
            <v>CLOTRIMAZOL .:. 0.01</v>
          </cell>
          <cell r="D131" t="str">
            <v>Crema o Pomada</v>
          </cell>
          <cell r="E131">
            <v>18</v>
          </cell>
          <cell r="F131">
            <v>57.6</v>
          </cell>
          <cell r="H131">
            <v>470</v>
          </cell>
          <cell r="J131">
            <v>2820</v>
          </cell>
          <cell r="M131">
            <v>0</v>
          </cell>
          <cell r="N131">
            <v>0</v>
          </cell>
          <cell r="P131">
            <v>216</v>
          </cell>
          <cell r="R131">
            <v>1248.3511137850001</v>
          </cell>
          <cell r="S131">
            <v>0</v>
          </cell>
          <cell r="T131">
            <v>0</v>
          </cell>
          <cell r="U131">
            <v>272</v>
          </cell>
          <cell r="V131">
            <v>5.9898856110845591</v>
          </cell>
          <cell r="W131">
            <v>1629.2488862150001</v>
          </cell>
          <cell r="X131">
            <v>2.93316</v>
          </cell>
          <cell r="Y131">
            <v>0</v>
          </cell>
          <cell r="Z131">
            <v>5.9898856110845591</v>
          </cell>
          <cell r="AA131">
            <v>1629.2488862150001</v>
          </cell>
        </row>
        <row r="132">
          <cell r="B132" t="str">
            <v>D-02-02</v>
          </cell>
          <cell r="C132" t="str">
            <v>OXIDO DE ZINC CON O SIN ACEITE .:. Según disponibilidad</v>
          </cell>
          <cell r="D132" t="str">
            <v>Pasta o Pomada</v>
          </cell>
          <cell r="E132">
            <v>9</v>
          </cell>
          <cell r="F132">
            <v>70.650000000000006</v>
          </cell>
          <cell r="H132">
            <v>40</v>
          </cell>
          <cell r="J132">
            <v>359.6</v>
          </cell>
          <cell r="M132">
            <v>0</v>
          </cell>
          <cell r="N132">
            <v>0</v>
          </cell>
          <cell r="P132">
            <v>49</v>
          </cell>
          <cell r="R132">
            <v>430.25000000159997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-1.6000000000000001E-9</v>
          </cell>
          <cell r="X132">
            <v>2.93316</v>
          </cell>
          <cell r="Y132">
            <v>0</v>
          </cell>
          <cell r="Z132">
            <v>0</v>
          </cell>
          <cell r="AA132">
            <v>-1.6000000000000001E-9</v>
          </cell>
        </row>
        <row r="133">
          <cell r="B133" t="str">
            <v>D-02-04</v>
          </cell>
          <cell r="C133" t="str">
            <v>VASELINA LIQUIDA .:. Según disponibilidad</v>
          </cell>
          <cell r="D133" t="str">
            <v>Solución 1 l</v>
          </cell>
          <cell r="E133">
            <v>0</v>
          </cell>
          <cell r="F133">
            <v>0</v>
          </cell>
          <cell r="H133">
            <v>50</v>
          </cell>
          <cell r="J133">
            <v>2499.5</v>
          </cell>
          <cell r="M133">
            <v>0</v>
          </cell>
          <cell r="N133">
            <v>0</v>
          </cell>
          <cell r="P133">
            <v>35</v>
          </cell>
          <cell r="R133">
            <v>1749.65</v>
          </cell>
          <cell r="S133">
            <v>0</v>
          </cell>
          <cell r="T133">
            <v>0</v>
          </cell>
          <cell r="U133">
            <v>15</v>
          </cell>
          <cell r="V133">
            <v>49.99</v>
          </cell>
          <cell r="W133">
            <v>749.85</v>
          </cell>
          <cell r="X133">
            <v>2.93316</v>
          </cell>
          <cell r="Y133">
            <v>0</v>
          </cell>
          <cell r="Z133">
            <v>49.99</v>
          </cell>
          <cell r="AA133">
            <v>749.85</v>
          </cell>
        </row>
        <row r="134">
          <cell r="B134" t="str">
            <v>D-04-01</v>
          </cell>
          <cell r="C134" t="str">
            <v>LIDOCAINA .:. 0.02</v>
          </cell>
          <cell r="D134" t="str">
            <v>Gel o Jalea</v>
          </cell>
          <cell r="E134">
            <v>0</v>
          </cell>
          <cell r="F134">
            <v>0</v>
          </cell>
          <cell r="H134">
            <v>80</v>
          </cell>
          <cell r="J134">
            <v>1820</v>
          </cell>
          <cell r="M134">
            <v>0</v>
          </cell>
          <cell r="N134">
            <v>0</v>
          </cell>
          <cell r="P134">
            <v>53</v>
          </cell>
          <cell r="R134">
            <v>1199</v>
          </cell>
          <cell r="S134">
            <v>0</v>
          </cell>
          <cell r="T134">
            <v>0</v>
          </cell>
          <cell r="U134">
            <v>27</v>
          </cell>
          <cell r="V134">
            <v>23</v>
          </cell>
          <cell r="W134">
            <v>621</v>
          </cell>
          <cell r="X134">
            <v>2.93316</v>
          </cell>
          <cell r="Y134">
            <v>0</v>
          </cell>
          <cell r="Z134">
            <v>23</v>
          </cell>
          <cell r="AA134">
            <v>621</v>
          </cell>
        </row>
        <row r="135">
          <cell r="B135" t="str">
            <v>D-04-011</v>
          </cell>
          <cell r="C135" t="str">
            <v>LIDOCAINA  2%  ANESTESICO TOPICO (ODONTOLOGICO) .:. 2%</v>
          </cell>
          <cell r="D135" t="str">
            <v>Frasco</v>
          </cell>
          <cell r="E135">
            <v>0</v>
          </cell>
          <cell r="F135">
            <v>0</v>
          </cell>
          <cell r="H135">
            <v>4</v>
          </cell>
          <cell r="J135">
            <v>190</v>
          </cell>
          <cell r="M135">
            <v>0</v>
          </cell>
          <cell r="N135">
            <v>0</v>
          </cell>
          <cell r="P135">
            <v>4</v>
          </cell>
          <cell r="R135">
            <v>190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2.93316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D-06-02</v>
          </cell>
          <cell r="C136" t="str">
            <v>SULFADIAZINA DE PLATA .:. 0.01</v>
          </cell>
          <cell r="D136" t="str">
            <v>Crema o Pomada</v>
          </cell>
          <cell r="E136">
            <v>13</v>
          </cell>
          <cell r="F136">
            <v>556.77566150049995</v>
          </cell>
          <cell r="H136">
            <v>10</v>
          </cell>
          <cell r="J136">
            <v>481</v>
          </cell>
          <cell r="M136">
            <v>0</v>
          </cell>
          <cell r="N136">
            <v>0</v>
          </cell>
          <cell r="P136">
            <v>13</v>
          </cell>
          <cell r="R136">
            <v>568.93974525759995</v>
          </cell>
          <cell r="S136">
            <v>0</v>
          </cell>
          <cell r="T136">
            <v>0</v>
          </cell>
          <cell r="U136">
            <v>10</v>
          </cell>
          <cell r="V136">
            <v>46.883591624289998</v>
          </cell>
          <cell r="W136">
            <v>468.8359162429</v>
          </cell>
          <cell r="X136">
            <v>2.93316</v>
          </cell>
          <cell r="Y136">
            <v>0</v>
          </cell>
          <cell r="Z136">
            <v>46.883591624289998</v>
          </cell>
          <cell r="AA136">
            <v>468.8359162429</v>
          </cell>
        </row>
        <row r="137">
          <cell r="B137" t="str">
            <v>D-06-021</v>
          </cell>
          <cell r="C137" t="str">
            <v>SULFADIAZINA DE PLATA FRASCO DE 500 MG .:. 0.01</v>
          </cell>
          <cell r="D137" t="str">
            <v>Frasco</v>
          </cell>
          <cell r="E137">
            <v>0</v>
          </cell>
          <cell r="F137">
            <v>0</v>
          </cell>
          <cell r="H137">
            <v>2</v>
          </cell>
          <cell r="J137">
            <v>404</v>
          </cell>
          <cell r="M137">
            <v>0</v>
          </cell>
          <cell r="N137">
            <v>0</v>
          </cell>
          <cell r="P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2</v>
          </cell>
          <cell r="V137">
            <v>202</v>
          </cell>
          <cell r="W137">
            <v>404</v>
          </cell>
          <cell r="X137">
            <v>2.93316</v>
          </cell>
          <cell r="Y137">
            <v>0</v>
          </cell>
          <cell r="Z137">
            <v>202</v>
          </cell>
          <cell r="AA137">
            <v>404</v>
          </cell>
        </row>
        <row r="138">
          <cell r="B138" t="str">
            <v>D-06-03</v>
          </cell>
          <cell r="C138" t="str">
            <v>ACICLOVIR .:. 0.05</v>
          </cell>
          <cell r="D138" t="str">
            <v>Crema dermica</v>
          </cell>
          <cell r="E138">
            <v>46</v>
          </cell>
          <cell r="F138">
            <v>331.2</v>
          </cell>
          <cell r="H138">
            <v>55</v>
          </cell>
          <cell r="J138">
            <v>742.5</v>
          </cell>
          <cell r="M138">
            <v>4</v>
          </cell>
          <cell r="N138">
            <v>28.8</v>
          </cell>
          <cell r="P138">
            <v>64</v>
          </cell>
          <cell r="R138">
            <v>549</v>
          </cell>
          <cell r="S138">
            <v>0</v>
          </cell>
          <cell r="T138">
            <v>0</v>
          </cell>
          <cell r="U138">
            <v>41</v>
          </cell>
          <cell r="V138">
            <v>13.5</v>
          </cell>
          <cell r="W138">
            <v>553.5</v>
          </cell>
          <cell r="X138">
            <v>2.93316</v>
          </cell>
          <cell r="Y138">
            <v>0</v>
          </cell>
          <cell r="Z138">
            <v>13.5</v>
          </cell>
          <cell r="AA138">
            <v>553.5</v>
          </cell>
        </row>
        <row r="139">
          <cell r="B139" t="str">
            <v>D-07-01</v>
          </cell>
          <cell r="C139" t="str">
            <v>BETAMETASONA (VALERATO) .:. 0,1%</v>
          </cell>
          <cell r="D139" t="str">
            <v>Crema o Pomada</v>
          </cell>
          <cell r="E139">
            <v>54</v>
          </cell>
          <cell r="F139">
            <v>486</v>
          </cell>
          <cell r="H139">
            <v>140</v>
          </cell>
          <cell r="J139">
            <v>1327.2</v>
          </cell>
          <cell r="M139">
            <v>0</v>
          </cell>
          <cell r="N139">
            <v>0</v>
          </cell>
          <cell r="P139">
            <v>79</v>
          </cell>
          <cell r="R139">
            <v>723</v>
          </cell>
          <cell r="S139">
            <v>0</v>
          </cell>
          <cell r="T139">
            <v>0</v>
          </cell>
          <cell r="U139">
            <v>115</v>
          </cell>
          <cell r="V139">
            <v>9.48</v>
          </cell>
          <cell r="W139">
            <v>1090.2</v>
          </cell>
          <cell r="X139">
            <v>2.93316</v>
          </cell>
          <cell r="Y139">
            <v>0</v>
          </cell>
          <cell r="Z139">
            <v>9.48</v>
          </cell>
          <cell r="AA139">
            <v>1090.2</v>
          </cell>
        </row>
        <row r="140">
          <cell r="B140" t="str">
            <v>D-07-02</v>
          </cell>
          <cell r="C140" t="str">
            <v>CLOBETASOL .:. 0,05%</v>
          </cell>
          <cell r="D140" t="str">
            <v>Crema o Pomada</v>
          </cell>
          <cell r="E140">
            <v>21</v>
          </cell>
          <cell r="F140">
            <v>237.3</v>
          </cell>
          <cell r="H140">
            <v>100</v>
          </cell>
          <cell r="J140">
            <v>1230</v>
          </cell>
          <cell r="M140">
            <v>0</v>
          </cell>
          <cell r="N140">
            <v>0</v>
          </cell>
          <cell r="P140">
            <v>109</v>
          </cell>
          <cell r="R140">
            <v>1319.7</v>
          </cell>
          <cell r="S140">
            <v>0</v>
          </cell>
          <cell r="T140">
            <v>0</v>
          </cell>
          <cell r="U140">
            <v>12</v>
          </cell>
          <cell r="V140">
            <v>12.3</v>
          </cell>
          <cell r="W140">
            <v>147.6</v>
          </cell>
          <cell r="X140">
            <v>2.93316</v>
          </cell>
          <cell r="Y140">
            <v>0</v>
          </cell>
          <cell r="Z140">
            <v>12.3</v>
          </cell>
          <cell r="AA140">
            <v>147.6</v>
          </cell>
        </row>
        <row r="141">
          <cell r="B141" t="str">
            <v>D-07-03</v>
          </cell>
          <cell r="C141" t="str">
            <v>CLOBETASOL .:. 0,05%</v>
          </cell>
          <cell r="D141" t="str">
            <v>Solución</v>
          </cell>
          <cell r="E141">
            <v>15</v>
          </cell>
          <cell r="F141">
            <v>853.5</v>
          </cell>
          <cell r="H141">
            <v>15</v>
          </cell>
          <cell r="J141">
            <v>853.5</v>
          </cell>
          <cell r="M141">
            <v>0</v>
          </cell>
          <cell r="N141">
            <v>0</v>
          </cell>
          <cell r="P141">
            <v>30</v>
          </cell>
          <cell r="R141">
            <v>1707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2.93316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D-07-04</v>
          </cell>
          <cell r="C142" t="str">
            <v>HIDROCORTISONA ACETATO .:. 0.01</v>
          </cell>
          <cell r="D142" t="str">
            <v>Crema o Pomada</v>
          </cell>
          <cell r="E142">
            <v>83</v>
          </cell>
          <cell r="F142">
            <v>581</v>
          </cell>
          <cell r="H142">
            <v>30</v>
          </cell>
          <cell r="J142">
            <v>239.7</v>
          </cell>
          <cell r="M142">
            <v>0</v>
          </cell>
          <cell r="N142">
            <v>0</v>
          </cell>
          <cell r="P142">
            <v>113</v>
          </cell>
          <cell r="R142">
            <v>820.69999999920003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8.0000000000000003E-10</v>
          </cell>
          <cell r="X142">
            <v>2.93316</v>
          </cell>
          <cell r="Y142">
            <v>0</v>
          </cell>
          <cell r="Z142">
            <v>0</v>
          </cell>
          <cell r="AA142">
            <v>8.0000000000000003E-10</v>
          </cell>
        </row>
        <row r="143">
          <cell r="B143" t="str">
            <v>D-08-01</v>
          </cell>
          <cell r="C143" t="str">
            <v>ALCOHOL ETILICO (ETANOL) .:. 70% a 95%</v>
          </cell>
          <cell r="D143" t="str">
            <v>Solución 1 l</v>
          </cell>
          <cell r="E143">
            <v>160</v>
          </cell>
          <cell r="F143">
            <v>2984.5899176480002</v>
          </cell>
          <cell r="H143">
            <v>100</v>
          </cell>
          <cell r="J143">
            <v>1900</v>
          </cell>
          <cell r="M143">
            <v>0</v>
          </cell>
          <cell r="N143">
            <v>0</v>
          </cell>
          <cell r="P143">
            <v>235</v>
          </cell>
          <cell r="R143">
            <v>4414.7846128729998</v>
          </cell>
          <cell r="S143">
            <v>0</v>
          </cell>
          <cell r="T143">
            <v>0</v>
          </cell>
          <cell r="U143">
            <v>25</v>
          </cell>
          <cell r="V143">
            <v>18.792212191000001</v>
          </cell>
          <cell r="W143">
            <v>469.80530477500002</v>
          </cell>
          <cell r="X143">
            <v>2.93316</v>
          </cell>
          <cell r="Y143">
            <v>0</v>
          </cell>
          <cell r="Z143">
            <v>18.792212191000001</v>
          </cell>
          <cell r="AA143">
            <v>469.80530477500002</v>
          </cell>
        </row>
        <row r="144">
          <cell r="B144" t="str">
            <v>D-08-02</v>
          </cell>
          <cell r="C144" t="str">
            <v>CLORHEXIDINA GLUCONATO .:. Según disponibilidad</v>
          </cell>
          <cell r="D144" t="str">
            <v>Solución</v>
          </cell>
          <cell r="E144">
            <v>5</v>
          </cell>
          <cell r="F144">
            <v>343</v>
          </cell>
          <cell r="H144">
            <v>0</v>
          </cell>
          <cell r="J144">
            <v>0</v>
          </cell>
          <cell r="M144">
            <v>0</v>
          </cell>
          <cell r="N144">
            <v>0</v>
          </cell>
          <cell r="P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5</v>
          </cell>
          <cell r="V144">
            <v>68.599999999999994</v>
          </cell>
          <cell r="W144">
            <v>343</v>
          </cell>
          <cell r="X144">
            <v>2.93316</v>
          </cell>
          <cell r="Y144">
            <v>0</v>
          </cell>
          <cell r="Z144">
            <v>68.599999999999994</v>
          </cell>
          <cell r="AA144">
            <v>343</v>
          </cell>
        </row>
        <row r="145">
          <cell r="B145" t="str">
            <v>D-08-021</v>
          </cell>
          <cell r="C145" t="str">
            <v>CLORHEXIDINA (ODONTOLOGIA) .:. SEGUN DISPONIBILIDAD</v>
          </cell>
          <cell r="D145" t="str">
            <v>Frasco</v>
          </cell>
          <cell r="E145">
            <v>0</v>
          </cell>
          <cell r="F145">
            <v>0</v>
          </cell>
          <cell r="H145">
            <v>4</v>
          </cell>
          <cell r="J145">
            <v>520</v>
          </cell>
          <cell r="M145">
            <v>0</v>
          </cell>
          <cell r="N145">
            <v>0</v>
          </cell>
          <cell r="P145">
            <v>4</v>
          </cell>
          <cell r="R145">
            <v>520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2.93316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D-08-03</v>
          </cell>
          <cell r="C146" t="str">
            <v>ETER ALIFATICO DIETILAMINO ETANOL .:. Según disponibilidad</v>
          </cell>
          <cell r="D146" t="str">
            <v>Solución 1 l</v>
          </cell>
          <cell r="E146">
            <v>3</v>
          </cell>
          <cell r="F146">
            <v>1844.76</v>
          </cell>
          <cell r="H146">
            <v>0</v>
          </cell>
          <cell r="J146">
            <v>0</v>
          </cell>
          <cell r="M146">
            <v>0</v>
          </cell>
          <cell r="N146">
            <v>0</v>
          </cell>
          <cell r="P146">
            <v>1</v>
          </cell>
          <cell r="R146">
            <v>614.91999999999996</v>
          </cell>
          <cell r="S146">
            <v>0</v>
          </cell>
          <cell r="T146">
            <v>0</v>
          </cell>
          <cell r="U146">
            <v>2</v>
          </cell>
          <cell r="V146">
            <v>614.91999999999996</v>
          </cell>
          <cell r="W146">
            <v>1229.8399999999999</v>
          </cell>
          <cell r="X146">
            <v>2.93316</v>
          </cell>
          <cell r="Y146">
            <v>0</v>
          </cell>
          <cell r="Z146">
            <v>614.91999999999996</v>
          </cell>
          <cell r="AA146">
            <v>1229.8399999999999</v>
          </cell>
        </row>
        <row r="147">
          <cell r="B147" t="str">
            <v>D-08-08</v>
          </cell>
          <cell r="C147" t="str">
            <v>IODO POVIDONA (YODOPOVIDONA) .:. 0.1</v>
          </cell>
          <cell r="D147" t="str">
            <v>Solución</v>
          </cell>
          <cell r="E147">
            <v>9</v>
          </cell>
          <cell r="F147">
            <v>492.54545454570001</v>
          </cell>
          <cell r="H147">
            <v>0</v>
          </cell>
          <cell r="J147">
            <v>0</v>
          </cell>
          <cell r="M147">
            <v>0</v>
          </cell>
          <cell r="N147">
            <v>0</v>
          </cell>
          <cell r="P147">
            <v>8</v>
          </cell>
          <cell r="R147">
            <v>437.81818181839998</v>
          </cell>
          <cell r="S147">
            <v>0</v>
          </cell>
          <cell r="T147">
            <v>0</v>
          </cell>
          <cell r="U147">
            <v>1</v>
          </cell>
          <cell r="V147">
            <v>54.727272727299997</v>
          </cell>
          <cell r="W147">
            <v>54.727272727299997</v>
          </cell>
          <cell r="X147">
            <v>2.93316</v>
          </cell>
          <cell r="Y147">
            <v>0</v>
          </cell>
          <cell r="Z147">
            <v>54.727272727299997</v>
          </cell>
          <cell r="AA147">
            <v>54.727272727299997</v>
          </cell>
        </row>
        <row r="148">
          <cell r="B148" t="str">
            <v>D-08-10</v>
          </cell>
          <cell r="C148" t="str">
            <v>PEROXIDO DE HIDROGENO (AGUA OXIGENADA) .:. 2% o 3%</v>
          </cell>
          <cell r="D148" t="str">
            <v>Solución</v>
          </cell>
          <cell r="E148">
            <v>7</v>
          </cell>
          <cell r="F148">
            <v>84</v>
          </cell>
          <cell r="H148">
            <v>0</v>
          </cell>
          <cell r="J148">
            <v>0</v>
          </cell>
          <cell r="M148">
            <v>0</v>
          </cell>
          <cell r="N148">
            <v>0</v>
          </cell>
          <cell r="P148">
            <v>5</v>
          </cell>
          <cell r="R148">
            <v>60</v>
          </cell>
          <cell r="S148">
            <v>0</v>
          </cell>
          <cell r="T148">
            <v>0</v>
          </cell>
          <cell r="U148">
            <v>2</v>
          </cell>
          <cell r="V148">
            <v>12</v>
          </cell>
          <cell r="W148">
            <v>24</v>
          </cell>
          <cell r="X148">
            <v>2.93316</v>
          </cell>
          <cell r="Y148">
            <v>0</v>
          </cell>
          <cell r="Z148">
            <v>12</v>
          </cell>
          <cell r="AA148">
            <v>24</v>
          </cell>
        </row>
        <row r="149">
          <cell r="B149" t="str">
            <v>D-10-03</v>
          </cell>
          <cell r="C149" t="str">
            <v>PEROXIDO DE BENZOILO .:. 0.05</v>
          </cell>
          <cell r="D149" t="str">
            <v>Crema, Pomada o Gel</v>
          </cell>
          <cell r="E149">
            <v>26</v>
          </cell>
          <cell r="F149">
            <v>364</v>
          </cell>
          <cell r="H149">
            <v>0</v>
          </cell>
          <cell r="J149">
            <v>0</v>
          </cell>
          <cell r="M149">
            <v>0</v>
          </cell>
          <cell r="N149">
            <v>0</v>
          </cell>
          <cell r="P149">
            <v>26</v>
          </cell>
          <cell r="R149">
            <v>364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2.93316</v>
          </cell>
          <cell r="Y149">
            <v>0</v>
          </cell>
          <cell r="Z149">
            <v>0</v>
          </cell>
          <cell r="AA149">
            <v>0</v>
          </cell>
        </row>
        <row r="150">
          <cell r="B150" t="str">
            <v>D-10-04</v>
          </cell>
          <cell r="C150" t="str">
            <v>RESORCINOL .:. 0.1</v>
          </cell>
          <cell r="D150" t="str">
            <v>Crema o Pomada</v>
          </cell>
          <cell r="E150">
            <v>8</v>
          </cell>
          <cell r="F150">
            <v>171.01</v>
          </cell>
          <cell r="H150">
            <v>0</v>
          </cell>
          <cell r="J150">
            <v>0</v>
          </cell>
          <cell r="M150">
            <v>0</v>
          </cell>
          <cell r="N150">
            <v>0</v>
          </cell>
          <cell r="P150">
            <v>1</v>
          </cell>
          <cell r="R150">
            <v>21.376249999999999</v>
          </cell>
          <cell r="S150">
            <v>0</v>
          </cell>
          <cell r="T150">
            <v>0</v>
          </cell>
          <cell r="U150">
            <v>7</v>
          </cell>
          <cell r="V150">
            <v>21.376249999999999</v>
          </cell>
          <cell r="W150">
            <v>149.63374999999999</v>
          </cell>
          <cell r="X150">
            <v>2.93316</v>
          </cell>
          <cell r="Y150">
            <v>0</v>
          </cell>
          <cell r="Z150">
            <v>21.376249999999999</v>
          </cell>
          <cell r="AA150">
            <v>149.63374999999999</v>
          </cell>
        </row>
        <row r="151">
          <cell r="B151" t="str">
            <v>DAC001</v>
          </cell>
          <cell r="C151" t="str">
            <v>AGUJA DESCARTABLE .:. 18 * 1 1/2 "</v>
          </cell>
          <cell r="D151" t="str">
            <v>Sobre estéril</v>
          </cell>
          <cell r="E151">
            <v>13</v>
          </cell>
          <cell r="F151">
            <v>3.12</v>
          </cell>
          <cell r="H151">
            <v>250</v>
          </cell>
          <cell r="J151">
            <v>45</v>
          </cell>
          <cell r="M151">
            <v>3</v>
          </cell>
          <cell r="N151">
            <v>0.54</v>
          </cell>
          <cell r="P151">
            <v>208</v>
          </cell>
          <cell r="R151">
            <v>38.22</v>
          </cell>
          <cell r="S151">
            <v>0</v>
          </cell>
          <cell r="T151">
            <v>0</v>
          </cell>
          <cell r="U151">
            <v>58</v>
          </cell>
          <cell r="V151">
            <v>0.18</v>
          </cell>
          <cell r="W151">
            <v>10.44</v>
          </cell>
          <cell r="X151">
            <v>2.93316</v>
          </cell>
          <cell r="Y151">
            <v>0</v>
          </cell>
          <cell r="Z151">
            <v>0.18</v>
          </cell>
          <cell r="AA151">
            <v>10.44</v>
          </cell>
        </row>
        <row r="152">
          <cell r="B152" t="str">
            <v>DAC007</v>
          </cell>
          <cell r="C152" t="str">
            <v>AGUJA DESCARTABLE .:. N° 25 * 5/8"</v>
          </cell>
          <cell r="D152" t="str">
            <v>Sobre estéril</v>
          </cell>
          <cell r="E152">
            <v>744</v>
          </cell>
          <cell r="F152">
            <v>175.88423018879999</v>
          </cell>
          <cell r="H152">
            <v>1600</v>
          </cell>
          <cell r="J152">
            <v>720</v>
          </cell>
          <cell r="M152">
            <v>0</v>
          </cell>
          <cell r="N152">
            <v>0</v>
          </cell>
          <cell r="P152">
            <v>1704</v>
          </cell>
          <cell r="R152">
            <v>642.56974483629995</v>
          </cell>
          <cell r="S152">
            <v>0</v>
          </cell>
          <cell r="T152">
            <v>0</v>
          </cell>
          <cell r="U152">
            <v>640</v>
          </cell>
          <cell r="V152">
            <v>0.39580388336328126</v>
          </cell>
          <cell r="W152">
            <v>253.31448535249999</v>
          </cell>
          <cell r="X152">
            <v>2.93316</v>
          </cell>
          <cell r="Y152">
            <v>0</v>
          </cell>
          <cell r="Z152">
            <v>0.39580388336328126</v>
          </cell>
          <cell r="AA152">
            <v>253.31448535249999</v>
          </cell>
        </row>
        <row r="153">
          <cell r="B153" t="str">
            <v>DAC008</v>
          </cell>
          <cell r="C153" t="str">
            <v>AGUJA DESCARTABLE .:. N° 21 * 1 1/2"</v>
          </cell>
          <cell r="D153" t="str">
            <v>Sobre estéril</v>
          </cell>
          <cell r="E153">
            <v>763</v>
          </cell>
          <cell r="F153">
            <v>160.22999999999999</v>
          </cell>
          <cell r="H153">
            <v>2500</v>
          </cell>
          <cell r="J153">
            <v>435</v>
          </cell>
          <cell r="M153">
            <v>0</v>
          </cell>
          <cell r="N153">
            <v>0</v>
          </cell>
          <cell r="P153">
            <v>1301</v>
          </cell>
          <cell r="R153">
            <v>242.80500507970001</v>
          </cell>
          <cell r="S153">
            <v>0</v>
          </cell>
          <cell r="T153">
            <v>0</v>
          </cell>
          <cell r="U153">
            <v>1962</v>
          </cell>
          <cell r="V153">
            <v>0.17962537967395514</v>
          </cell>
          <cell r="W153">
            <v>352.42499492029998</v>
          </cell>
          <cell r="X153">
            <v>2.93316</v>
          </cell>
          <cell r="Y153">
            <v>0</v>
          </cell>
          <cell r="Z153">
            <v>0.17962537967395514</v>
          </cell>
          <cell r="AA153">
            <v>352.42499492029998</v>
          </cell>
        </row>
        <row r="154">
          <cell r="B154" t="str">
            <v>DAC010</v>
          </cell>
          <cell r="C154" t="str">
            <v>AGUJA DESCARTABLE .:. N° 23 * 1 1/2"</v>
          </cell>
          <cell r="D154" t="str">
            <v>Sobre estéril</v>
          </cell>
          <cell r="E154">
            <v>482</v>
          </cell>
          <cell r="F154">
            <v>139.78</v>
          </cell>
          <cell r="H154">
            <v>1800</v>
          </cell>
          <cell r="J154">
            <v>313.2</v>
          </cell>
          <cell r="M154">
            <v>0</v>
          </cell>
          <cell r="N154">
            <v>0</v>
          </cell>
          <cell r="P154">
            <v>1708</v>
          </cell>
          <cell r="R154">
            <v>347.02035331249999</v>
          </cell>
          <cell r="S154">
            <v>0</v>
          </cell>
          <cell r="T154">
            <v>0</v>
          </cell>
          <cell r="U154">
            <v>574</v>
          </cell>
          <cell r="V154">
            <v>0.18459868760888501</v>
          </cell>
          <cell r="W154">
            <v>105.9596466875</v>
          </cell>
          <cell r="X154">
            <v>2.93316</v>
          </cell>
          <cell r="Y154">
            <v>0</v>
          </cell>
          <cell r="Z154">
            <v>0.18459868760888501</v>
          </cell>
          <cell r="AA154">
            <v>105.9596466875</v>
          </cell>
        </row>
        <row r="155">
          <cell r="B155" t="str">
            <v>DAC013</v>
          </cell>
          <cell r="C155" t="str">
            <v>AGUJA PARA ANESTESIA RAQUIDEA .:. N° 25 PUNTA DE LAPIZ</v>
          </cell>
          <cell r="D155" t="str">
            <v>Sobre estéril</v>
          </cell>
          <cell r="E155">
            <v>30</v>
          </cell>
          <cell r="F155">
            <v>1458.1818181829999</v>
          </cell>
          <cell r="H155">
            <v>0</v>
          </cell>
          <cell r="J155">
            <v>0</v>
          </cell>
          <cell r="M155">
            <v>0</v>
          </cell>
          <cell r="N155">
            <v>0</v>
          </cell>
          <cell r="P155">
            <v>2</v>
          </cell>
          <cell r="R155">
            <v>97.212121212200003</v>
          </cell>
          <cell r="S155">
            <v>0</v>
          </cell>
          <cell r="T155">
            <v>0</v>
          </cell>
          <cell r="U155">
            <v>28</v>
          </cell>
          <cell r="V155">
            <v>48.606060606100002</v>
          </cell>
          <cell r="W155">
            <v>1360.9696969708</v>
          </cell>
          <cell r="X155">
            <v>2.93316</v>
          </cell>
          <cell r="Y155">
            <v>0</v>
          </cell>
          <cell r="Z155">
            <v>48.606060606100002</v>
          </cell>
          <cell r="AA155">
            <v>1360.9696969708</v>
          </cell>
        </row>
        <row r="156">
          <cell r="B156" t="str">
            <v>DAC014</v>
          </cell>
          <cell r="C156" t="str">
            <v>AGUJA PARA ANESTESIA RAQUIDEA .:. N° 27 PUNTA DE LAPIZ</v>
          </cell>
          <cell r="D156" t="str">
            <v>Sobre estéril</v>
          </cell>
          <cell r="E156">
            <v>53</v>
          </cell>
          <cell r="F156">
            <v>2703</v>
          </cell>
          <cell r="H156">
            <v>0</v>
          </cell>
          <cell r="J156">
            <v>0</v>
          </cell>
          <cell r="M156">
            <v>0</v>
          </cell>
          <cell r="N156">
            <v>0</v>
          </cell>
          <cell r="P156">
            <v>53</v>
          </cell>
          <cell r="R156">
            <v>2703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2.93316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DAC055</v>
          </cell>
          <cell r="C157" t="str">
            <v>CATETER VENOSO CENTRAL .:. DOBLE LUMEN 7 X 20 (PARA CANALIZACION DE VENA SUBCLAVIA)</v>
          </cell>
          <cell r="D157" t="str">
            <v>Sobre estéril</v>
          </cell>
          <cell r="E157">
            <v>6</v>
          </cell>
          <cell r="F157">
            <v>2099.94</v>
          </cell>
          <cell r="H157">
            <v>4</v>
          </cell>
          <cell r="J157">
            <v>2421.1999999999998</v>
          </cell>
          <cell r="M157">
            <v>0</v>
          </cell>
          <cell r="N157">
            <v>0</v>
          </cell>
          <cell r="P157">
            <v>10</v>
          </cell>
          <cell r="R157">
            <v>4521.1400000000003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2.93316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DAC065</v>
          </cell>
          <cell r="C158" t="str">
            <v>CATETER VENOSO PERIFERICO .:. Nº  18  CON ALETAS DE FIJACION</v>
          </cell>
          <cell r="D158" t="str">
            <v>Sobre estéril</v>
          </cell>
          <cell r="E158">
            <v>1</v>
          </cell>
          <cell r="F158">
            <v>3.85</v>
          </cell>
          <cell r="H158">
            <v>350</v>
          </cell>
          <cell r="J158">
            <v>1738</v>
          </cell>
          <cell r="M158">
            <v>1</v>
          </cell>
          <cell r="N158">
            <v>4.9400000000000004</v>
          </cell>
          <cell r="P158">
            <v>173</v>
          </cell>
          <cell r="R158">
            <v>862.53</v>
          </cell>
          <cell r="S158">
            <v>0</v>
          </cell>
          <cell r="T158">
            <v>0</v>
          </cell>
          <cell r="U158">
            <v>179</v>
          </cell>
          <cell r="V158">
            <v>4.9400000000000004</v>
          </cell>
          <cell r="W158">
            <v>884.26</v>
          </cell>
          <cell r="X158">
            <v>2.93316</v>
          </cell>
          <cell r="Y158">
            <v>0</v>
          </cell>
          <cell r="Z158">
            <v>4.9400000000000004</v>
          </cell>
          <cell r="AA158">
            <v>884.26</v>
          </cell>
        </row>
        <row r="159">
          <cell r="B159" t="str">
            <v>DAC066</v>
          </cell>
          <cell r="C159" t="str">
            <v>CATETER VENOSO PERIFERICO .:. Nº 20 CON ALETAS DE FIJACION</v>
          </cell>
          <cell r="D159" t="str">
            <v>Sobre estéril</v>
          </cell>
          <cell r="E159">
            <v>147</v>
          </cell>
          <cell r="F159">
            <v>617.03358549209997</v>
          </cell>
          <cell r="H159">
            <v>350</v>
          </cell>
          <cell r="J159">
            <v>1750</v>
          </cell>
          <cell r="M159">
            <v>13</v>
          </cell>
          <cell r="N159">
            <v>65</v>
          </cell>
          <cell r="P159">
            <v>510</v>
          </cell>
          <cell r="R159">
            <v>2432.0335854921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2.93316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DAC067</v>
          </cell>
          <cell r="C160" t="str">
            <v>CATETER VENOSO PERIFERICO .:. Nº  22 CON ALETAS DE FIJACION</v>
          </cell>
          <cell r="D160" t="str">
            <v>Sobre estéril</v>
          </cell>
          <cell r="E160">
            <v>130</v>
          </cell>
          <cell r="F160">
            <v>494</v>
          </cell>
          <cell r="H160">
            <v>1350</v>
          </cell>
          <cell r="J160">
            <v>7259</v>
          </cell>
          <cell r="M160">
            <v>35</v>
          </cell>
          <cell r="N160">
            <v>193.17750899999999</v>
          </cell>
          <cell r="P160">
            <v>1039</v>
          </cell>
          <cell r="R160">
            <v>5474.7370972521003</v>
          </cell>
          <cell r="S160">
            <v>0</v>
          </cell>
          <cell r="T160">
            <v>0</v>
          </cell>
          <cell r="U160">
            <v>476</v>
          </cell>
          <cell r="V160">
            <v>5.192101705352731</v>
          </cell>
          <cell r="W160">
            <v>2471.4404117478998</v>
          </cell>
          <cell r="X160">
            <v>2.93316</v>
          </cell>
          <cell r="Y160">
            <v>0</v>
          </cell>
          <cell r="Z160">
            <v>5.192101705352731</v>
          </cell>
          <cell r="AA160">
            <v>2471.4404117478998</v>
          </cell>
        </row>
        <row r="161">
          <cell r="B161" t="str">
            <v>DAC068</v>
          </cell>
          <cell r="C161" t="str">
            <v>CATETER VENOSO PERIFERICO .:. Nº  24 CON ALETAS DE FIJACION</v>
          </cell>
          <cell r="D161" t="str">
            <v>Sobre estéril</v>
          </cell>
          <cell r="E161">
            <v>131</v>
          </cell>
          <cell r="F161">
            <v>497.8</v>
          </cell>
          <cell r="H161">
            <v>0</v>
          </cell>
          <cell r="J161">
            <v>0</v>
          </cell>
          <cell r="M161">
            <v>1</v>
          </cell>
          <cell r="N161">
            <v>3.8</v>
          </cell>
          <cell r="P161">
            <v>132</v>
          </cell>
          <cell r="R161">
            <v>501.6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2.93316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DAC069</v>
          </cell>
          <cell r="C162" t="str">
            <v>DISPOSITIVO BIDIRECCIONAL .:. PARA TRANSFERENCIA DE MEDICAMENTOS</v>
          </cell>
          <cell r="D162" t="str">
            <v>Sobre estéril</v>
          </cell>
          <cell r="E162">
            <v>20</v>
          </cell>
          <cell r="F162">
            <v>99.227260000000001</v>
          </cell>
          <cell r="H162">
            <v>0</v>
          </cell>
          <cell r="J162">
            <v>0</v>
          </cell>
          <cell r="M162">
            <v>0</v>
          </cell>
          <cell r="N162">
            <v>0</v>
          </cell>
          <cell r="P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20</v>
          </cell>
          <cell r="V162">
            <v>4.9613630000000004</v>
          </cell>
          <cell r="W162">
            <v>99.227260000000001</v>
          </cell>
          <cell r="X162">
            <v>2.93316</v>
          </cell>
          <cell r="Y162">
            <v>0</v>
          </cell>
          <cell r="Z162">
            <v>4.9613630000000004</v>
          </cell>
          <cell r="AA162">
            <v>99.227260000000001</v>
          </cell>
        </row>
        <row r="163">
          <cell r="B163" t="str">
            <v>DAC074</v>
          </cell>
          <cell r="C163" t="str">
            <v>EQUIPO DE VENOCLISIS .:. CON AGUJA Nº 21</v>
          </cell>
          <cell r="D163" t="str">
            <v>Sobre estéril</v>
          </cell>
          <cell r="E163">
            <v>401</v>
          </cell>
          <cell r="F163">
            <v>1060.1000592856001</v>
          </cell>
          <cell r="H163">
            <v>1900</v>
          </cell>
          <cell r="J163">
            <v>5714</v>
          </cell>
          <cell r="M163">
            <v>88</v>
          </cell>
          <cell r="N163">
            <v>259.11651899999998</v>
          </cell>
          <cell r="P163">
            <v>1756</v>
          </cell>
          <cell r="R163">
            <v>5139.4858697082</v>
          </cell>
          <cell r="S163">
            <v>0</v>
          </cell>
          <cell r="T163">
            <v>0</v>
          </cell>
          <cell r="U163">
            <v>633</v>
          </cell>
          <cell r="V163">
            <v>2.9916756849563981</v>
          </cell>
          <cell r="W163">
            <v>1893.7307085774</v>
          </cell>
          <cell r="X163">
            <v>2.93316</v>
          </cell>
          <cell r="Y163">
            <v>0</v>
          </cell>
          <cell r="Z163">
            <v>2.9916756849563981</v>
          </cell>
          <cell r="AA163">
            <v>1893.7307085774</v>
          </cell>
        </row>
        <row r="164">
          <cell r="B164" t="str">
            <v>DAC076</v>
          </cell>
          <cell r="C164" t="str">
            <v>EQUIPO VENOCLISIS .:. COLOR AMBAR</v>
          </cell>
          <cell r="D164" t="str">
            <v>Sobre estéril</v>
          </cell>
          <cell r="E164">
            <v>21</v>
          </cell>
          <cell r="F164">
            <v>745.42499999940003</v>
          </cell>
          <cell r="H164">
            <v>20</v>
          </cell>
          <cell r="J164">
            <v>999.6</v>
          </cell>
          <cell r="M164">
            <v>1</v>
          </cell>
          <cell r="N164">
            <v>35.496428000000002</v>
          </cell>
          <cell r="P164">
            <v>27</v>
          </cell>
          <cell r="R164">
            <v>1080.9568676638</v>
          </cell>
          <cell r="S164">
            <v>0</v>
          </cell>
          <cell r="T164">
            <v>0</v>
          </cell>
          <cell r="U164">
            <v>15</v>
          </cell>
          <cell r="V164">
            <v>46.637637355706666</v>
          </cell>
          <cell r="W164">
            <v>699.56456033560005</v>
          </cell>
          <cell r="X164">
            <v>2.93316</v>
          </cell>
          <cell r="Y164">
            <v>0</v>
          </cell>
          <cell r="Z164">
            <v>46.637637355706666</v>
          </cell>
          <cell r="AA164">
            <v>699.56456033560005</v>
          </cell>
        </row>
        <row r="165">
          <cell r="B165" t="str">
            <v>DAC088</v>
          </cell>
          <cell r="C165" t="str">
            <v>LLAVE DE 3 VIAS .:. CON ALARGADOR 50 CM - 10CM</v>
          </cell>
          <cell r="D165" t="str">
            <v>Sobre estéril</v>
          </cell>
          <cell r="E165">
            <v>134</v>
          </cell>
          <cell r="F165">
            <v>603</v>
          </cell>
          <cell r="H165">
            <v>270</v>
          </cell>
          <cell r="J165">
            <v>1350</v>
          </cell>
          <cell r="M165">
            <v>4</v>
          </cell>
          <cell r="N165">
            <v>19.607140000000001</v>
          </cell>
          <cell r="P165">
            <v>271</v>
          </cell>
          <cell r="R165">
            <v>1301.0624992101</v>
          </cell>
          <cell r="S165">
            <v>0</v>
          </cell>
          <cell r="T165">
            <v>0</v>
          </cell>
          <cell r="U165">
            <v>137</v>
          </cell>
          <cell r="V165">
            <v>4.90178569919635</v>
          </cell>
          <cell r="W165">
            <v>671.54464078989997</v>
          </cell>
          <cell r="X165">
            <v>2.93316</v>
          </cell>
          <cell r="Y165">
            <v>0</v>
          </cell>
          <cell r="Z165">
            <v>4.90178569919635</v>
          </cell>
          <cell r="AA165">
            <v>671.54464078989997</v>
          </cell>
        </row>
        <row r="166">
          <cell r="B166" t="str">
            <v>DAC089</v>
          </cell>
          <cell r="C166" t="str">
            <v>LLAVE DE 3 VIAS .:. SIN ALARGADOR</v>
          </cell>
          <cell r="D166" t="str">
            <v>Sobre estéril</v>
          </cell>
          <cell r="E166">
            <v>6</v>
          </cell>
          <cell r="F166">
            <v>21</v>
          </cell>
          <cell r="H166">
            <v>200</v>
          </cell>
          <cell r="J166">
            <v>600</v>
          </cell>
          <cell r="M166">
            <v>0</v>
          </cell>
          <cell r="N166">
            <v>0</v>
          </cell>
          <cell r="P166">
            <v>141</v>
          </cell>
          <cell r="R166">
            <v>425.20731708</v>
          </cell>
          <cell r="S166">
            <v>0</v>
          </cell>
          <cell r="T166">
            <v>0</v>
          </cell>
          <cell r="U166">
            <v>65</v>
          </cell>
          <cell r="V166">
            <v>3.0121951218461538</v>
          </cell>
          <cell r="W166">
            <v>195.79268292</v>
          </cell>
          <cell r="X166">
            <v>2.93316</v>
          </cell>
          <cell r="Y166">
            <v>0</v>
          </cell>
          <cell r="Z166">
            <v>3.0121951218461538</v>
          </cell>
          <cell r="AA166">
            <v>195.79268292</v>
          </cell>
        </row>
        <row r="167">
          <cell r="B167" t="str">
            <v>DAC091</v>
          </cell>
          <cell r="C167" t="str">
            <v>MICROGOTERO .:. CON DEPOSITO RIGIDO 100 ML - 150ML</v>
          </cell>
          <cell r="D167" t="str">
            <v>Sobre estéril</v>
          </cell>
          <cell r="E167">
            <v>44</v>
          </cell>
          <cell r="F167">
            <v>310.2</v>
          </cell>
          <cell r="H167">
            <v>210</v>
          </cell>
          <cell r="J167">
            <v>2688</v>
          </cell>
          <cell r="M167">
            <v>20</v>
          </cell>
          <cell r="N167">
            <v>256</v>
          </cell>
          <cell r="P167">
            <v>270</v>
          </cell>
          <cell r="R167">
            <v>3203</v>
          </cell>
          <cell r="S167">
            <v>0</v>
          </cell>
          <cell r="T167">
            <v>0</v>
          </cell>
          <cell r="U167">
            <v>4</v>
          </cell>
          <cell r="V167">
            <v>12.8</v>
          </cell>
          <cell r="W167">
            <v>51.2</v>
          </cell>
          <cell r="X167">
            <v>2.93316</v>
          </cell>
          <cell r="Y167">
            <v>0</v>
          </cell>
          <cell r="Z167">
            <v>12.8</v>
          </cell>
          <cell r="AA167">
            <v>51.2</v>
          </cell>
        </row>
        <row r="168">
          <cell r="B168" t="str">
            <v>DAC093</v>
          </cell>
          <cell r="C168" t="str">
            <v>TAPON HEPARINIZADO .:. PIEZA</v>
          </cell>
          <cell r="D168" t="str">
            <v>Pieza</v>
          </cell>
          <cell r="E168">
            <v>102</v>
          </cell>
          <cell r="F168">
            <v>202.3317756996</v>
          </cell>
          <cell r="H168">
            <v>250</v>
          </cell>
          <cell r="J168">
            <v>450</v>
          </cell>
          <cell r="M168">
            <v>5</v>
          </cell>
          <cell r="N168">
            <v>9.1655800000000003</v>
          </cell>
          <cell r="P168">
            <v>210</v>
          </cell>
          <cell r="R168">
            <v>392.02926256130002</v>
          </cell>
          <cell r="S168">
            <v>0</v>
          </cell>
          <cell r="T168">
            <v>0</v>
          </cell>
          <cell r="U168">
            <v>147</v>
          </cell>
          <cell r="V168">
            <v>1.833116279852381</v>
          </cell>
          <cell r="W168">
            <v>269.46809313829999</v>
          </cell>
          <cell r="X168">
            <v>2.93316</v>
          </cell>
          <cell r="Y168">
            <v>0</v>
          </cell>
          <cell r="Z168">
            <v>1.833116279852381</v>
          </cell>
          <cell r="AA168">
            <v>269.46809313829999</v>
          </cell>
        </row>
        <row r="169">
          <cell r="B169" t="str">
            <v>DB002</v>
          </cell>
          <cell r="C169" t="str">
            <v>BOLSA COLECTORA DE ORINA .:. 2000 ML. CON VALVULA ANTIRREFLUJO</v>
          </cell>
          <cell r="D169" t="str">
            <v>Bolsa esteril</v>
          </cell>
          <cell r="E169">
            <v>20</v>
          </cell>
          <cell r="F169">
            <v>67.2</v>
          </cell>
          <cell r="H169">
            <v>150</v>
          </cell>
          <cell r="J169">
            <v>714</v>
          </cell>
          <cell r="M169">
            <v>3</v>
          </cell>
          <cell r="N169">
            <v>12.88</v>
          </cell>
          <cell r="P169">
            <v>128</v>
          </cell>
          <cell r="R169">
            <v>579.88</v>
          </cell>
          <cell r="S169">
            <v>0</v>
          </cell>
          <cell r="T169">
            <v>0</v>
          </cell>
          <cell r="U169">
            <v>45</v>
          </cell>
          <cell r="V169">
            <v>4.76</v>
          </cell>
          <cell r="W169">
            <v>214.2</v>
          </cell>
          <cell r="X169">
            <v>2.93316</v>
          </cell>
          <cell r="Y169">
            <v>0</v>
          </cell>
          <cell r="Z169">
            <v>4.76</v>
          </cell>
          <cell r="AA169">
            <v>214.2</v>
          </cell>
        </row>
        <row r="170">
          <cell r="B170" t="str">
            <v>DB009</v>
          </cell>
          <cell r="C170" t="str">
            <v>BOLSA DE NUTRICION PARENTERAL .:. 500 ML.</v>
          </cell>
          <cell r="D170" t="str">
            <v>Sobre estéril</v>
          </cell>
          <cell r="E170">
            <v>11</v>
          </cell>
          <cell r="F170">
            <v>929.5</v>
          </cell>
          <cell r="H170">
            <v>25</v>
          </cell>
          <cell r="J170">
            <v>2112.5</v>
          </cell>
          <cell r="M170">
            <v>2</v>
          </cell>
          <cell r="N170">
            <v>169</v>
          </cell>
          <cell r="P170">
            <v>29</v>
          </cell>
          <cell r="R170">
            <v>2450.5</v>
          </cell>
          <cell r="S170">
            <v>0</v>
          </cell>
          <cell r="T170">
            <v>0</v>
          </cell>
          <cell r="U170">
            <v>9</v>
          </cell>
          <cell r="V170">
            <v>84.5</v>
          </cell>
          <cell r="W170">
            <v>760.5</v>
          </cell>
          <cell r="X170">
            <v>2.93316</v>
          </cell>
          <cell r="Y170">
            <v>0</v>
          </cell>
          <cell r="Z170">
            <v>84.5</v>
          </cell>
          <cell r="AA170">
            <v>760.5</v>
          </cell>
        </row>
        <row r="171">
          <cell r="B171" t="str">
            <v>DB011</v>
          </cell>
          <cell r="C171" t="str">
            <v>BOLSA DE NUTRICION PARENTERAL .:. 2000 ML.</v>
          </cell>
          <cell r="D171" t="str">
            <v>Sobre estéril</v>
          </cell>
          <cell r="E171">
            <v>5</v>
          </cell>
          <cell r="F171">
            <v>442</v>
          </cell>
          <cell r="H171">
            <v>65</v>
          </cell>
          <cell r="J171">
            <v>8823.75</v>
          </cell>
          <cell r="M171">
            <v>2</v>
          </cell>
          <cell r="N171">
            <v>271.5</v>
          </cell>
          <cell r="P171">
            <v>34</v>
          </cell>
          <cell r="R171">
            <v>4378.75</v>
          </cell>
          <cell r="S171">
            <v>0</v>
          </cell>
          <cell r="T171">
            <v>0</v>
          </cell>
          <cell r="U171">
            <v>38</v>
          </cell>
          <cell r="V171">
            <v>135.75</v>
          </cell>
          <cell r="W171">
            <v>5158.5</v>
          </cell>
          <cell r="X171">
            <v>2.93316</v>
          </cell>
          <cell r="Y171">
            <v>0</v>
          </cell>
          <cell r="Z171">
            <v>135.75</v>
          </cell>
          <cell r="AA171">
            <v>5158.5</v>
          </cell>
        </row>
        <row r="172">
          <cell r="B172" t="str">
            <v>DE003</v>
          </cell>
          <cell r="C172" t="str">
            <v>CONTROL QUIMICO EXTERNO .:. CINTA TESTIGO EXTERNA PARA VAPOR  3/4 PULGADAS</v>
          </cell>
          <cell r="D172" t="str">
            <v>Rollo</v>
          </cell>
          <cell r="E172">
            <v>0</v>
          </cell>
          <cell r="F172">
            <v>0</v>
          </cell>
          <cell r="H172">
            <v>1</v>
          </cell>
          <cell r="J172">
            <v>72.5</v>
          </cell>
          <cell r="M172">
            <v>0</v>
          </cell>
          <cell r="N172">
            <v>0</v>
          </cell>
          <cell r="P172">
            <v>1</v>
          </cell>
          <cell r="R172">
            <v>72.5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2.93316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DE012</v>
          </cell>
          <cell r="C173" t="str">
            <v xml:space="preserve">INDICADOR MULTIPARAMETRO QUIMICO .:. </v>
          </cell>
          <cell r="D173" t="str">
            <v>Caja</v>
          </cell>
          <cell r="E173">
            <v>0</v>
          </cell>
          <cell r="F173">
            <v>0</v>
          </cell>
          <cell r="H173">
            <v>2</v>
          </cell>
          <cell r="J173">
            <v>966</v>
          </cell>
          <cell r="M173">
            <v>0</v>
          </cell>
          <cell r="N173">
            <v>0</v>
          </cell>
          <cell r="P173">
            <v>2</v>
          </cell>
          <cell r="R173">
            <v>966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2.93316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DI-01-00</v>
          </cell>
          <cell r="C174" t="str">
            <v>MARCAPASO CARDIACO DEFINITIVO DOBLE CAMARA DDDR .:. PIEZAS</v>
          </cell>
          <cell r="D174" t="str">
            <v>Pieza</v>
          </cell>
          <cell r="E174">
            <v>0</v>
          </cell>
          <cell r="F174">
            <v>0</v>
          </cell>
          <cell r="H174">
            <v>2</v>
          </cell>
          <cell r="J174">
            <v>60000</v>
          </cell>
          <cell r="M174">
            <v>0</v>
          </cell>
          <cell r="N174">
            <v>0</v>
          </cell>
          <cell r="P174">
            <v>2</v>
          </cell>
          <cell r="R174">
            <v>60000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2.93316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DI-01-03</v>
          </cell>
          <cell r="C175" t="str">
            <v>MARCAPASO UNICAMERAL VVI .:. SEGUN CONCENTRACION</v>
          </cell>
          <cell r="D175" t="str">
            <v>Pieza</v>
          </cell>
          <cell r="E175">
            <v>0</v>
          </cell>
          <cell r="F175">
            <v>0</v>
          </cell>
          <cell r="H175">
            <v>1</v>
          </cell>
          <cell r="J175">
            <v>14962</v>
          </cell>
          <cell r="M175">
            <v>0</v>
          </cell>
          <cell r="N175">
            <v>0</v>
          </cell>
          <cell r="P175">
            <v>1</v>
          </cell>
          <cell r="R175">
            <v>14962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2.93316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DI-01-05</v>
          </cell>
          <cell r="C176" t="str">
            <v>ELECTRODO TENDRIL DE 58 CM .:. 58 CM</v>
          </cell>
          <cell r="D176" t="str">
            <v>Pieza</v>
          </cell>
          <cell r="E176">
            <v>0</v>
          </cell>
          <cell r="F176">
            <v>0</v>
          </cell>
          <cell r="H176">
            <v>1</v>
          </cell>
          <cell r="J176">
            <v>3055.5</v>
          </cell>
          <cell r="M176">
            <v>0</v>
          </cell>
          <cell r="N176">
            <v>0</v>
          </cell>
          <cell r="P176">
            <v>1</v>
          </cell>
          <cell r="R176">
            <v>3055.5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2.93316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DI-01-06</v>
          </cell>
          <cell r="C177" t="str">
            <v>ELECTRODO QUARTET PARA VENTRICULO IZQUIERDO .:. SEGUN DISPONIBILIDAD</v>
          </cell>
          <cell r="D177" t="str">
            <v>Pieza</v>
          </cell>
          <cell r="E177">
            <v>0</v>
          </cell>
          <cell r="F177">
            <v>0</v>
          </cell>
          <cell r="H177">
            <v>1</v>
          </cell>
          <cell r="J177">
            <v>12778.56</v>
          </cell>
          <cell r="M177">
            <v>0</v>
          </cell>
          <cell r="N177">
            <v>0</v>
          </cell>
          <cell r="P177">
            <v>1</v>
          </cell>
          <cell r="R177">
            <v>12778.56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2.93316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DI-01-07</v>
          </cell>
          <cell r="C178" t="str">
            <v>CORTADOR PARA CANULA .:. SEGUN DISONIBILIDAD</v>
          </cell>
          <cell r="D178" t="str">
            <v>Pieza</v>
          </cell>
          <cell r="E178">
            <v>0</v>
          </cell>
          <cell r="F178">
            <v>0</v>
          </cell>
          <cell r="H178">
            <v>1</v>
          </cell>
          <cell r="J178">
            <v>1064.74</v>
          </cell>
          <cell r="M178">
            <v>0</v>
          </cell>
          <cell r="N178">
            <v>0</v>
          </cell>
          <cell r="P178">
            <v>1</v>
          </cell>
          <cell r="R178">
            <v>1064.74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2.93316</v>
          </cell>
          <cell r="Y178">
            <v>0</v>
          </cell>
          <cell r="Z178">
            <v>0</v>
          </cell>
          <cell r="AA178">
            <v>0</v>
          </cell>
        </row>
        <row r="179">
          <cell r="B179" t="str">
            <v>DI-01-08</v>
          </cell>
          <cell r="C179" t="str">
            <v>GUIA 0.014 (CARDIOLOGIA) .:. 0.014</v>
          </cell>
          <cell r="D179" t="str">
            <v>Pieza</v>
          </cell>
          <cell r="E179">
            <v>0</v>
          </cell>
          <cell r="F179">
            <v>0</v>
          </cell>
          <cell r="H179">
            <v>1</v>
          </cell>
          <cell r="J179">
            <v>873.2</v>
          </cell>
          <cell r="M179">
            <v>0</v>
          </cell>
          <cell r="N179">
            <v>0</v>
          </cell>
          <cell r="P179">
            <v>1</v>
          </cell>
          <cell r="R179">
            <v>873.2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2.93316</v>
          </cell>
          <cell r="Y179">
            <v>0</v>
          </cell>
          <cell r="Z179">
            <v>0</v>
          </cell>
          <cell r="AA179">
            <v>0</v>
          </cell>
        </row>
        <row r="180">
          <cell r="B180" t="str">
            <v>DJ003</v>
          </cell>
          <cell r="C180" t="str">
            <v>JERINGA DESCARTABLE .:. 3 ML CON AGUJA 21 X 1 1/2" C/ROSCA</v>
          </cell>
          <cell r="D180" t="str">
            <v>Sobre estéril</v>
          </cell>
          <cell r="E180">
            <v>0</v>
          </cell>
          <cell r="F180">
            <v>0</v>
          </cell>
          <cell r="H180">
            <v>2500</v>
          </cell>
          <cell r="J180">
            <v>1100</v>
          </cell>
          <cell r="M180">
            <v>2</v>
          </cell>
          <cell r="N180">
            <v>0.88</v>
          </cell>
          <cell r="P180">
            <v>1936</v>
          </cell>
          <cell r="R180">
            <v>851.84</v>
          </cell>
          <cell r="S180">
            <v>0</v>
          </cell>
          <cell r="T180">
            <v>0</v>
          </cell>
          <cell r="U180">
            <v>566</v>
          </cell>
          <cell r="V180">
            <v>0.44</v>
          </cell>
          <cell r="W180">
            <v>249.04</v>
          </cell>
          <cell r="X180">
            <v>2.93316</v>
          </cell>
          <cell r="Y180">
            <v>0</v>
          </cell>
          <cell r="Z180">
            <v>0.44</v>
          </cell>
          <cell r="AA180">
            <v>249.04</v>
          </cell>
        </row>
        <row r="181">
          <cell r="B181" t="str">
            <v>DJ004</v>
          </cell>
          <cell r="C181" t="str">
            <v>JERINGA DESCARTABLE .:. 5 ML CON AGUJA 21 X 1 1/2" C/ROSCA</v>
          </cell>
          <cell r="D181" t="str">
            <v>Sobre estéril</v>
          </cell>
          <cell r="E181">
            <v>931</v>
          </cell>
          <cell r="F181">
            <v>262.9445906542</v>
          </cell>
          <cell r="H181">
            <v>5200</v>
          </cell>
          <cell r="J181">
            <v>2392</v>
          </cell>
          <cell r="M181">
            <v>6</v>
          </cell>
          <cell r="N181">
            <v>2.7331919999999998</v>
          </cell>
          <cell r="P181">
            <v>4926</v>
          </cell>
          <cell r="R181">
            <v>2106.0280189938999</v>
          </cell>
          <cell r="S181">
            <v>0</v>
          </cell>
          <cell r="T181">
            <v>0</v>
          </cell>
          <cell r="U181">
            <v>1211</v>
          </cell>
          <cell r="V181">
            <v>0.4555324225105698</v>
          </cell>
          <cell r="W181">
            <v>551.64976366029998</v>
          </cell>
          <cell r="X181">
            <v>2.93316</v>
          </cell>
          <cell r="Y181">
            <v>0</v>
          </cell>
          <cell r="Z181">
            <v>0.4555324225105698</v>
          </cell>
          <cell r="AA181">
            <v>551.64976366029998</v>
          </cell>
        </row>
        <row r="182">
          <cell r="B182" t="str">
            <v>DJ005</v>
          </cell>
          <cell r="C182" t="str">
            <v>JERINGA DESCARTABLE .:. 10 ML CON AGUJA 21 X 1 1/2" C/ROSCA</v>
          </cell>
          <cell r="D182" t="str">
            <v>Sobre estéril</v>
          </cell>
          <cell r="E182">
            <v>452</v>
          </cell>
          <cell r="F182">
            <v>168.84031255400001</v>
          </cell>
          <cell r="H182">
            <v>21100</v>
          </cell>
          <cell r="J182">
            <v>14498</v>
          </cell>
          <cell r="M182">
            <v>803</v>
          </cell>
          <cell r="N182">
            <v>544.66416600000002</v>
          </cell>
          <cell r="P182">
            <v>16082</v>
          </cell>
          <cell r="R182">
            <v>10832.331190369099</v>
          </cell>
          <cell r="S182">
            <v>0</v>
          </cell>
          <cell r="T182">
            <v>0</v>
          </cell>
          <cell r="U182">
            <v>6273</v>
          </cell>
          <cell r="V182">
            <v>0.69809872280964447</v>
          </cell>
          <cell r="W182">
            <v>4379.1732881849002</v>
          </cell>
          <cell r="X182">
            <v>2.93316</v>
          </cell>
          <cell r="Y182">
            <v>0</v>
          </cell>
          <cell r="Z182">
            <v>0.69809872280964447</v>
          </cell>
          <cell r="AA182">
            <v>4379.1732881849002</v>
          </cell>
        </row>
        <row r="183">
          <cell r="B183" t="str">
            <v>DJ006</v>
          </cell>
          <cell r="C183" t="str">
            <v>JERINGA DESCARTABLE .:. 20 ML CON AGUJA 21X 1 1/2" C/ ROSCA</v>
          </cell>
          <cell r="D183" t="str">
            <v>Sobre estéril</v>
          </cell>
          <cell r="E183">
            <v>1267</v>
          </cell>
          <cell r="F183">
            <v>744.54501008299997</v>
          </cell>
          <cell r="H183">
            <v>4000</v>
          </cell>
          <cell r="J183">
            <v>4400</v>
          </cell>
          <cell r="M183">
            <v>108</v>
          </cell>
          <cell r="N183">
            <v>108.524111</v>
          </cell>
          <cell r="P183">
            <v>3448</v>
          </cell>
          <cell r="R183">
            <v>3166.5259744332002</v>
          </cell>
          <cell r="S183">
            <v>0</v>
          </cell>
          <cell r="T183">
            <v>0</v>
          </cell>
          <cell r="U183">
            <v>1927</v>
          </cell>
          <cell r="V183">
            <v>1.0827935374415154</v>
          </cell>
          <cell r="W183">
            <v>2086.5431466497998</v>
          </cell>
          <cell r="X183">
            <v>2.93316</v>
          </cell>
          <cell r="Y183">
            <v>0</v>
          </cell>
          <cell r="Z183">
            <v>1.0827935374415154</v>
          </cell>
          <cell r="AA183">
            <v>2086.5431466497998</v>
          </cell>
        </row>
        <row r="184">
          <cell r="B184" t="str">
            <v>DJ007</v>
          </cell>
          <cell r="C184" t="str">
            <v>JERINGA DESCARTABLE 50 ML LUER .:. 50 ML LUER</v>
          </cell>
          <cell r="D184" t="str">
            <v>Sobre estéril</v>
          </cell>
          <cell r="E184">
            <v>210</v>
          </cell>
          <cell r="F184">
            <v>510.3</v>
          </cell>
          <cell r="H184">
            <v>200</v>
          </cell>
          <cell r="J184">
            <v>720</v>
          </cell>
          <cell r="M184">
            <v>0</v>
          </cell>
          <cell r="N184">
            <v>0</v>
          </cell>
          <cell r="P184">
            <v>258</v>
          </cell>
          <cell r="R184">
            <v>683.1</v>
          </cell>
          <cell r="S184">
            <v>0</v>
          </cell>
          <cell r="T184">
            <v>0</v>
          </cell>
          <cell r="U184">
            <v>152</v>
          </cell>
          <cell r="V184">
            <v>3.6</v>
          </cell>
          <cell r="W184">
            <v>547.20000000000005</v>
          </cell>
          <cell r="X184">
            <v>2.93316</v>
          </cell>
          <cell r="Y184">
            <v>0</v>
          </cell>
          <cell r="Z184">
            <v>3.6</v>
          </cell>
          <cell r="AA184">
            <v>547.20000000000005</v>
          </cell>
        </row>
        <row r="185">
          <cell r="B185" t="str">
            <v>DJ009</v>
          </cell>
          <cell r="C185" t="str">
            <v>JERINGA INSULINA DESCARTABLE .:. 1 ML C/AGUJA DESMONTABLE N° 28</v>
          </cell>
          <cell r="D185" t="str">
            <v>Sobre estéril</v>
          </cell>
          <cell r="E185">
            <v>300</v>
          </cell>
          <cell r="F185">
            <v>188.97434859000001</v>
          </cell>
          <cell r="H185">
            <v>1000</v>
          </cell>
          <cell r="J185">
            <v>457</v>
          </cell>
          <cell r="M185">
            <v>37</v>
          </cell>
          <cell r="N185">
            <v>18.370882000000002</v>
          </cell>
          <cell r="P185">
            <v>912</v>
          </cell>
          <cell r="R185">
            <v>462.18687364160002</v>
          </cell>
          <cell r="S185">
            <v>0</v>
          </cell>
          <cell r="T185">
            <v>0</v>
          </cell>
          <cell r="U185">
            <v>425</v>
          </cell>
          <cell r="V185">
            <v>0.47566672223152939</v>
          </cell>
          <cell r="W185">
            <v>202.15835694840001</v>
          </cell>
          <cell r="X185">
            <v>2.93316</v>
          </cell>
          <cell r="Y185">
            <v>0</v>
          </cell>
          <cell r="Z185">
            <v>0.47566672223152939</v>
          </cell>
          <cell r="AA185">
            <v>202.15835694840001</v>
          </cell>
        </row>
        <row r="186">
          <cell r="B186" t="str">
            <v>DL3661</v>
          </cell>
          <cell r="C186" t="str">
            <v>TIRAS REACTIVAS PARA GLUCOMETRO .:. TIRAS DE BUENA REPRODUCIBILIDAD REPETITIVIDAD TENGA ESTABILIDAD EXACTITUD APTA PARA USO A DIFERENTES ALTURAS, HASTA 4000 M. DE ALTURA SOBRE EL NIVEL DE MAR (PRESENTAR CERTIFICADO DE CALIBRACION DE ALTURA DE LA FABRICA DE ORIGEN).</v>
          </cell>
          <cell r="D186" t="str">
            <v>Pieza</v>
          </cell>
          <cell r="E186">
            <v>139</v>
          </cell>
          <cell r="F186">
            <v>556</v>
          </cell>
          <cell r="H186">
            <v>0</v>
          </cell>
          <cell r="J186">
            <v>0</v>
          </cell>
          <cell r="M186">
            <v>0</v>
          </cell>
          <cell r="N186">
            <v>0</v>
          </cell>
          <cell r="P186">
            <v>139</v>
          </cell>
          <cell r="R186">
            <v>556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2.93316</v>
          </cell>
          <cell r="Y186">
            <v>0</v>
          </cell>
          <cell r="Z186">
            <v>0</v>
          </cell>
          <cell r="AA186">
            <v>0</v>
          </cell>
        </row>
        <row r="187">
          <cell r="B187" t="str">
            <v>DMQ0051</v>
          </cell>
          <cell r="C187" t="str">
            <v xml:space="preserve">CAMPOS OPERATORIOS DESECHABLES (ODONTOLOGIA  .::. PIEZA .:. CAMPOS OPERATORIOS DESECHABLES </v>
          </cell>
          <cell r="D187" t="str">
            <v>Pieza</v>
          </cell>
          <cell r="E187">
            <v>0</v>
          </cell>
          <cell r="F187">
            <v>0</v>
          </cell>
          <cell r="H187">
            <v>20</v>
          </cell>
          <cell r="J187">
            <v>1430</v>
          </cell>
          <cell r="M187">
            <v>0</v>
          </cell>
          <cell r="N187">
            <v>0</v>
          </cell>
          <cell r="P187">
            <v>20</v>
          </cell>
          <cell r="R187">
            <v>1430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2.93316</v>
          </cell>
          <cell r="Y187">
            <v>0</v>
          </cell>
          <cell r="Z187">
            <v>0</v>
          </cell>
          <cell r="AA187">
            <v>0</v>
          </cell>
        </row>
        <row r="188">
          <cell r="B188" t="str">
            <v>DMQ012</v>
          </cell>
          <cell r="C188" t="str">
            <v>ELECTRODOS .:. DE ESPUMA PARA ADULTO</v>
          </cell>
          <cell r="D188" t="str">
            <v>Sobre</v>
          </cell>
          <cell r="E188">
            <v>260</v>
          </cell>
          <cell r="F188">
            <v>388.70646765599997</v>
          </cell>
          <cell r="H188">
            <v>700</v>
          </cell>
          <cell r="J188">
            <v>1554</v>
          </cell>
          <cell r="M188">
            <v>11</v>
          </cell>
          <cell r="N188">
            <v>25.74</v>
          </cell>
          <cell r="P188">
            <v>682</v>
          </cell>
          <cell r="R188">
            <v>1292.1864676600001</v>
          </cell>
          <cell r="S188">
            <v>0</v>
          </cell>
          <cell r="T188">
            <v>0</v>
          </cell>
          <cell r="U188">
            <v>289</v>
          </cell>
          <cell r="V188">
            <v>2.3399999999861594</v>
          </cell>
          <cell r="W188">
            <v>676.25999999600003</v>
          </cell>
          <cell r="X188">
            <v>2.93316</v>
          </cell>
          <cell r="Y188">
            <v>0</v>
          </cell>
          <cell r="Z188">
            <v>2.3399999999861594</v>
          </cell>
          <cell r="AA188">
            <v>676.25999999600003</v>
          </cell>
        </row>
        <row r="189">
          <cell r="B189" t="str">
            <v>DMQ020</v>
          </cell>
          <cell r="C189" t="str">
            <v>GUANTES QUIRURGICOS ESTERIL .:. N° 6 1/2 PUNO LARGO</v>
          </cell>
          <cell r="D189" t="str">
            <v>Sobre estéril</v>
          </cell>
          <cell r="E189">
            <v>216</v>
          </cell>
          <cell r="F189">
            <v>550.32825729599995</v>
          </cell>
          <cell r="H189">
            <v>350</v>
          </cell>
          <cell r="J189">
            <v>1015</v>
          </cell>
          <cell r="M189">
            <v>0</v>
          </cell>
          <cell r="N189">
            <v>0</v>
          </cell>
          <cell r="P189">
            <v>325</v>
          </cell>
          <cell r="R189">
            <v>889.80000300879999</v>
          </cell>
          <cell r="S189">
            <v>0</v>
          </cell>
          <cell r="T189">
            <v>0</v>
          </cell>
          <cell r="U189">
            <v>241</v>
          </cell>
          <cell r="V189">
            <v>2.8030218020215769</v>
          </cell>
          <cell r="W189">
            <v>675.52825428719996</v>
          </cell>
          <cell r="X189">
            <v>2.93316</v>
          </cell>
          <cell r="Y189">
            <v>0</v>
          </cell>
          <cell r="Z189">
            <v>2.8030218020215769</v>
          </cell>
          <cell r="AA189">
            <v>675.52825428719996</v>
          </cell>
        </row>
        <row r="190">
          <cell r="B190" t="str">
            <v>DMQ021</v>
          </cell>
          <cell r="C190" t="str">
            <v>GUANTES QUIRURGICOS ESTERIL .:. N° 7 PUNO LARGO</v>
          </cell>
          <cell r="D190" t="str">
            <v>Sobre estéril</v>
          </cell>
          <cell r="E190">
            <v>67</v>
          </cell>
          <cell r="F190">
            <v>174.664816989</v>
          </cell>
          <cell r="H190">
            <v>400</v>
          </cell>
          <cell r="J190">
            <v>1160</v>
          </cell>
          <cell r="M190">
            <v>0</v>
          </cell>
          <cell r="N190">
            <v>0</v>
          </cell>
          <cell r="P190">
            <v>444</v>
          </cell>
          <cell r="R190">
            <v>1267.9648169889999</v>
          </cell>
          <cell r="S190">
            <v>0</v>
          </cell>
          <cell r="T190">
            <v>0</v>
          </cell>
          <cell r="U190">
            <v>23</v>
          </cell>
          <cell r="V190">
            <v>2.9</v>
          </cell>
          <cell r="W190">
            <v>66.7</v>
          </cell>
          <cell r="X190">
            <v>2.93316</v>
          </cell>
          <cell r="Y190">
            <v>0</v>
          </cell>
          <cell r="Z190">
            <v>2.9</v>
          </cell>
          <cell r="AA190">
            <v>66.7</v>
          </cell>
        </row>
        <row r="191">
          <cell r="B191" t="str">
            <v>DMQ022</v>
          </cell>
          <cell r="C191" t="str">
            <v>GUANTES QUIRURGICOS ESTERIL .:. N° 7 1/2 PUNO LARGO</v>
          </cell>
          <cell r="D191" t="str">
            <v>Sobre estéril</v>
          </cell>
          <cell r="E191">
            <v>108</v>
          </cell>
          <cell r="F191">
            <v>282.93626373839999</v>
          </cell>
          <cell r="H191">
            <v>500</v>
          </cell>
          <cell r="J191">
            <v>1400</v>
          </cell>
          <cell r="M191">
            <v>1</v>
          </cell>
          <cell r="N191">
            <v>2.8007230000000001</v>
          </cell>
          <cell r="P191">
            <v>601</v>
          </cell>
          <cell r="R191">
            <v>1663.33119577</v>
          </cell>
          <cell r="S191">
            <v>0</v>
          </cell>
          <cell r="T191">
            <v>0</v>
          </cell>
          <cell r="U191">
            <v>8</v>
          </cell>
          <cell r="V191">
            <v>2.8007238710500002</v>
          </cell>
          <cell r="W191">
            <v>22.405790968400002</v>
          </cell>
          <cell r="X191">
            <v>2.93316</v>
          </cell>
          <cell r="Y191">
            <v>0</v>
          </cell>
          <cell r="Z191">
            <v>2.8007238710500002</v>
          </cell>
          <cell r="AA191">
            <v>22.405790968400002</v>
          </cell>
        </row>
        <row r="192">
          <cell r="B192" t="str">
            <v>DMQ023</v>
          </cell>
          <cell r="C192" t="str">
            <v>GUANTES QUIRURGICOS ESTERIL .:. N° 8 PUNO LARGO</v>
          </cell>
          <cell r="D192" t="str">
            <v>Sobre estéril</v>
          </cell>
          <cell r="E192">
            <v>37</v>
          </cell>
          <cell r="F192">
            <v>88.939508196600002</v>
          </cell>
          <cell r="H192">
            <v>150</v>
          </cell>
          <cell r="J192">
            <v>630</v>
          </cell>
          <cell r="M192">
            <v>0</v>
          </cell>
          <cell r="N192">
            <v>0</v>
          </cell>
          <cell r="P192">
            <v>71</v>
          </cell>
          <cell r="R192">
            <v>231.73950819660001</v>
          </cell>
          <cell r="S192">
            <v>0</v>
          </cell>
          <cell r="T192">
            <v>0</v>
          </cell>
          <cell r="U192">
            <v>116</v>
          </cell>
          <cell r="V192">
            <v>4.2</v>
          </cell>
          <cell r="W192">
            <v>487.2</v>
          </cell>
          <cell r="X192">
            <v>2.93316</v>
          </cell>
          <cell r="Y192">
            <v>0</v>
          </cell>
          <cell r="Z192">
            <v>4.2</v>
          </cell>
          <cell r="AA192">
            <v>487.2</v>
          </cell>
        </row>
        <row r="193">
          <cell r="B193" t="str">
            <v>DMQ028</v>
          </cell>
          <cell r="C193" t="str">
            <v>HOJAS DE BISTURI .:. N° 11</v>
          </cell>
          <cell r="D193" t="str">
            <v>Sobre estéril</v>
          </cell>
          <cell r="E193">
            <v>66</v>
          </cell>
          <cell r="F193">
            <v>42.9</v>
          </cell>
          <cell r="H193">
            <v>150</v>
          </cell>
          <cell r="J193">
            <v>101.55</v>
          </cell>
          <cell r="M193">
            <v>0</v>
          </cell>
          <cell r="N193">
            <v>0</v>
          </cell>
          <cell r="P193">
            <v>147</v>
          </cell>
          <cell r="R193">
            <v>98.038826114700001</v>
          </cell>
          <cell r="S193">
            <v>0</v>
          </cell>
          <cell r="T193">
            <v>0</v>
          </cell>
          <cell r="U193">
            <v>69</v>
          </cell>
          <cell r="V193">
            <v>0.67262570848260872</v>
          </cell>
          <cell r="W193">
            <v>46.411173885300002</v>
          </cell>
          <cell r="X193">
            <v>2.93316</v>
          </cell>
          <cell r="Y193">
            <v>0</v>
          </cell>
          <cell r="Z193">
            <v>0.67262570848260872</v>
          </cell>
          <cell r="AA193">
            <v>46.411173885300002</v>
          </cell>
        </row>
        <row r="194">
          <cell r="B194" t="str">
            <v>DMQ030</v>
          </cell>
          <cell r="C194" t="str">
            <v>HOJAS DE BISTURI N° 15 .:. N° 15</v>
          </cell>
          <cell r="D194" t="str">
            <v>Sobre estéril</v>
          </cell>
          <cell r="E194">
            <v>92</v>
          </cell>
          <cell r="F194">
            <v>59.8</v>
          </cell>
          <cell r="H194">
            <v>0</v>
          </cell>
          <cell r="J194">
            <v>0</v>
          </cell>
          <cell r="M194">
            <v>0</v>
          </cell>
          <cell r="N194">
            <v>0</v>
          </cell>
          <cell r="P194">
            <v>41</v>
          </cell>
          <cell r="R194">
            <v>26.65</v>
          </cell>
          <cell r="S194">
            <v>0</v>
          </cell>
          <cell r="T194">
            <v>0</v>
          </cell>
          <cell r="U194">
            <v>51</v>
          </cell>
          <cell r="V194">
            <v>0.65</v>
          </cell>
          <cell r="W194">
            <v>33.15</v>
          </cell>
          <cell r="X194">
            <v>2.93316</v>
          </cell>
          <cell r="Y194">
            <v>0</v>
          </cell>
          <cell r="Z194">
            <v>0.65</v>
          </cell>
          <cell r="AA194">
            <v>33.15</v>
          </cell>
        </row>
        <row r="195">
          <cell r="B195" t="str">
            <v>DMQ034</v>
          </cell>
          <cell r="C195" t="str">
            <v>MALLA DE POLIPROPILENO .:. 15 X 15 CM</v>
          </cell>
          <cell r="D195" t="str">
            <v>Sobre estéril</v>
          </cell>
          <cell r="E195">
            <v>2</v>
          </cell>
          <cell r="F195">
            <v>920</v>
          </cell>
          <cell r="H195">
            <v>2</v>
          </cell>
          <cell r="J195">
            <v>1940</v>
          </cell>
          <cell r="M195">
            <v>4</v>
          </cell>
          <cell r="N195">
            <v>2860</v>
          </cell>
          <cell r="P195">
            <v>5</v>
          </cell>
          <cell r="R195">
            <v>3830</v>
          </cell>
          <cell r="S195">
            <v>2</v>
          </cell>
          <cell r="T195">
            <v>920</v>
          </cell>
          <cell r="U195">
            <v>1</v>
          </cell>
          <cell r="V195">
            <v>970</v>
          </cell>
          <cell r="W195">
            <v>970</v>
          </cell>
          <cell r="X195">
            <v>2.93316</v>
          </cell>
          <cell r="Y195">
            <v>0</v>
          </cell>
          <cell r="Z195">
            <v>970</v>
          </cell>
          <cell r="AA195">
            <v>970</v>
          </cell>
        </row>
        <row r="196">
          <cell r="B196" t="str">
            <v>DO001</v>
          </cell>
          <cell r="C196" t="str">
            <v>ACIDO GRABADOR .:. GEL  37%</v>
          </cell>
          <cell r="D196" t="str">
            <v>Jeringa</v>
          </cell>
          <cell r="E196">
            <v>0</v>
          </cell>
          <cell r="F196">
            <v>0</v>
          </cell>
          <cell r="H196">
            <v>12</v>
          </cell>
          <cell r="J196">
            <v>830</v>
          </cell>
          <cell r="M196">
            <v>0</v>
          </cell>
          <cell r="N196">
            <v>0</v>
          </cell>
          <cell r="P196">
            <v>12</v>
          </cell>
          <cell r="R196">
            <v>830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2.93316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DO002</v>
          </cell>
          <cell r="C197" t="str">
            <v>ADHESIVO DENTINARIO .:. UNIDAD</v>
          </cell>
          <cell r="D197" t="str">
            <v>Frasco</v>
          </cell>
          <cell r="E197">
            <v>0</v>
          </cell>
          <cell r="F197">
            <v>0</v>
          </cell>
          <cell r="H197">
            <v>6</v>
          </cell>
          <cell r="J197">
            <v>2277</v>
          </cell>
          <cell r="M197">
            <v>0</v>
          </cell>
          <cell r="N197">
            <v>0</v>
          </cell>
          <cell r="P197">
            <v>6</v>
          </cell>
          <cell r="R197">
            <v>2277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2.93316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DO004</v>
          </cell>
          <cell r="C198" t="str">
            <v>AGUJA PARA CARPULE  LARGA .:. 27 G</v>
          </cell>
          <cell r="D198" t="str">
            <v>Caja</v>
          </cell>
          <cell r="E198">
            <v>0</v>
          </cell>
          <cell r="F198">
            <v>0</v>
          </cell>
          <cell r="H198">
            <v>2</v>
          </cell>
          <cell r="J198">
            <v>196</v>
          </cell>
          <cell r="M198">
            <v>0</v>
          </cell>
          <cell r="N198">
            <v>0</v>
          </cell>
          <cell r="P198">
            <v>2</v>
          </cell>
          <cell r="R198">
            <v>196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2.93316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DO005</v>
          </cell>
          <cell r="C199" t="str">
            <v>AGUJA PARA CARPULE CORTA .:. 30 G</v>
          </cell>
          <cell r="D199" t="str">
            <v>Caja</v>
          </cell>
          <cell r="E199">
            <v>0</v>
          </cell>
          <cell r="F199">
            <v>0</v>
          </cell>
          <cell r="H199">
            <v>6</v>
          </cell>
          <cell r="J199">
            <v>567</v>
          </cell>
          <cell r="M199">
            <v>0</v>
          </cell>
          <cell r="N199">
            <v>0</v>
          </cell>
          <cell r="P199">
            <v>6</v>
          </cell>
          <cell r="R199">
            <v>567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2.93316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DO006</v>
          </cell>
          <cell r="C200" t="str">
            <v>APLICADORES PARA ADHESIVO .:. DIFERENTES FORMAS</v>
          </cell>
          <cell r="D200" t="str">
            <v>Frasco</v>
          </cell>
          <cell r="E200">
            <v>0</v>
          </cell>
          <cell r="F200">
            <v>0</v>
          </cell>
          <cell r="H200">
            <v>12</v>
          </cell>
          <cell r="J200">
            <v>552</v>
          </cell>
          <cell r="M200">
            <v>0</v>
          </cell>
          <cell r="N200">
            <v>0</v>
          </cell>
          <cell r="P200">
            <v>12</v>
          </cell>
          <cell r="R200">
            <v>552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2.93316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DO009</v>
          </cell>
          <cell r="C201" t="str">
            <v>CEMENTO ENDODONTICO .:. NO REABSORVIBLE</v>
          </cell>
          <cell r="D201" t="str">
            <v>Caja</v>
          </cell>
          <cell r="E201">
            <v>0</v>
          </cell>
          <cell r="F201">
            <v>0</v>
          </cell>
          <cell r="H201">
            <v>3</v>
          </cell>
          <cell r="J201">
            <v>885</v>
          </cell>
          <cell r="M201">
            <v>0</v>
          </cell>
          <cell r="N201">
            <v>0</v>
          </cell>
          <cell r="P201">
            <v>3</v>
          </cell>
          <cell r="R201">
            <v>885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2.93316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DO010</v>
          </cell>
          <cell r="C202" t="str">
            <v>CEMENTO ENDODONTICO  . .:. REABSORBIBLE POLVO / LIQUIDO</v>
          </cell>
          <cell r="D202" t="str">
            <v>Caja</v>
          </cell>
          <cell r="E202">
            <v>0</v>
          </cell>
          <cell r="F202">
            <v>0</v>
          </cell>
          <cell r="H202">
            <v>2</v>
          </cell>
          <cell r="J202">
            <v>330</v>
          </cell>
          <cell r="M202">
            <v>0</v>
          </cell>
          <cell r="N202">
            <v>0</v>
          </cell>
          <cell r="P202">
            <v>2</v>
          </cell>
          <cell r="R202">
            <v>330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2.93316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DO011</v>
          </cell>
          <cell r="C203" t="str">
            <v>CEMENTO OXIFOSFATO .:. POLVO  LIQUIDO</v>
          </cell>
          <cell r="D203" t="str">
            <v>Caja</v>
          </cell>
          <cell r="E203">
            <v>0</v>
          </cell>
          <cell r="F203">
            <v>0</v>
          </cell>
          <cell r="H203">
            <v>4</v>
          </cell>
          <cell r="J203">
            <v>360</v>
          </cell>
          <cell r="M203">
            <v>0</v>
          </cell>
          <cell r="N203">
            <v>0</v>
          </cell>
          <cell r="P203">
            <v>4</v>
          </cell>
          <cell r="R203">
            <v>360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2.93316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DO012</v>
          </cell>
          <cell r="C204" t="str">
            <v>CEMENTO PROVISIONAL .:. LIBRE DE EUGENOL</v>
          </cell>
          <cell r="D204" t="str">
            <v>Frasco/TUBO</v>
          </cell>
          <cell r="E204">
            <v>0</v>
          </cell>
          <cell r="F204">
            <v>0</v>
          </cell>
          <cell r="H204">
            <v>5</v>
          </cell>
          <cell r="J204">
            <v>244</v>
          </cell>
          <cell r="M204">
            <v>0</v>
          </cell>
          <cell r="N204">
            <v>0</v>
          </cell>
          <cell r="P204">
            <v>5</v>
          </cell>
          <cell r="R204">
            <v>244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2.93316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DO017</v>
          </cell>
          <cell r="C205" t="str">
            <v>CEPILLO PROFILACTICO .:. DIFERENTES FORMAS</v>
          </cell>
          <cell r="D205" t="str">
            <v>Pieza</v>
          </cell>
          <cell r="E205">
            <v>0</v>
          </cell>
          <cell r="F205">
            <v>0</v>
          </cell>
          <cell r="H205">
            <v>20</v>
          </cell>
          <cell r="J205">
            <v>80</v>
          </cell>
          <cell r="M205">
            <v>0</v>
          </cell>
          <cell r="N205">
            <v>0</v>
          </cell>
          <cell r="P205">
            <v>20</v>
          </cell>
          <cell r="R205">
            <v>80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2.93316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DO018</v>
          </cell>
          <cell r="C206" t="str">
            <v>CHLORBUTANOL .:. SOLUCION</v>
          </cell>
          <cell r="D206" t="str">
            <v>Frasco</v>
          </cell>
          <cell r="E206">
            <v>0</v>
          </cell>
          <cell r="F206">
            <v>0</v>
          </cell>
          <cell r="H206">
            <v>1</v>
          </cell>
          <cell r="J206">
            <v>180</v>
          </cell>
          <cell r="M206">
            <v>0</v>
          </cell>
          <cell r="N206">
            <v>0</v>
          </cell>
          <cell r="P206">
            <v>1</v>
          </cell>
          <cell r="R206">
            <v>180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2.93316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DO019</v>
          </cell>
          <cell r="C207" t="str">
            <v>CONOS DE GUTAPERCHA .:. 1° SERIE: 15  40</v>
          </cell>
          <cell r="D207" t="str">
            <v>Caja</v>
          </cell>
          <cell r="E207">
            <v>0</v>
          </cell>
          <cell r="F207">
            <v>0</v>
          </cell>
          <cell r="H207">
            <v>11</v>
          </cell>
          <cell r="J207">
            <v>650</v>
          </cell>
          <cell r="M207">
            <v>0</v>
          </cell>
          <cell r="N207">
            <v>0</v>
          </cell>
          <cell r="P207">
            <v>11</v>
          </cell>
          <cell r="R207">
            <v>650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2.93316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DO023</v>
          </cell>
          <cell r="C208" t="str">
            <v>CUBETAS DESCARTABLES PARA FLUOR .:. DIFERENTES TAMANOS</v>
          </cell>
          <cell r="D208" t="str">
            <v>Bolsa x 100 U</v>
          </cell>
          <cell r="E208">
            <v>0</v>
          </cell>
          <cell r="F208">
            <v>0</v>
          </cell>
          <cell r="H208">
            <v>100</v>
          </cell>
          <cell r="J208">
            <v>250</v>
          </cell>
          <cell r="M208">
            <v>0</v>
          </cell>
          <cell r="N208">
            <v>0</v>
          </cell>
          <cell r="P208">
            <v>100</v>
          </cell>
          <cell r="R208">
            <v>250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2.93316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DO028</v>
          </cell>
          <cell r="C209" t="str">
            <v>DISCOS PARAPULIR RESINA CON MANDRIL .:. DIFERENTE TEXTURA DE ACABADO Y TAMANO</v>
          </cell>
          <cell r="D209" t="str">
            <v>kit</v>
          </cell>
          <cell r="E209">
            <v>0</v>
          </cell>
          <cell r="F209">
            <v>0</v>
          </cell>
          <cell r="H209">
            <v>2</v>
          </cell>
          <cell r="J209">
            <v>610</v>
          </cell>
          <cell r="M209">
            <v>0</v>
          </cell>
          <cell r="N209">
            <v>0</v>
          </cell>
          <cell r="P209">
            <v>2</v>
          </cell>
          <cell r="R209">
            <v>610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2.93316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DO033</v>
          </cell>
          <cell r="C210" t="str">
            <v>EUGENOL .:. SOLUCION</v>
          </cell>
          <cell r="D210" t="str">
            <v>Frasco</v>
          </cell>
          <cell r="E210">
            <v>0</v>
          </cell>
          <cell r="F210">
            <v>0</v>
          </cell>
          <cell r="H210">
            <v>3</v>
          </cell>
          <cell r="J210">
            <v>240</v>
          </cell>
          <cell r="M210">
            <v>0</v>
          </cell>
          <cell r="N210">
            <v>0</v>
          </cell>
          <cell r="P210">
            <v>3</v>
          </cell>
          <cell r="R210">
            <v>240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2.93316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DO034</v>
          </cell>
          <cell r="C211" t="str">
            <v>EYECTORES DE SALIVA .:. PIEZA</v>
          </cell>
          <cell r="D211" t="str">
            <v>Bolsa x 100 U</v>
          </cell>
          <cell r="E211">
            <v>0</v>
          </cell>
          <cell r="F211">
            <v>0</v>
          </cell>
          <cell r="H211">
            <v>17</v>
          </cell>
          <cell r="J211">
            <v>940</v>
          </cell>
          <cell r="M211">
            <v>0</v>
          </cell>
          <cell r="N211">
            <v>0</v>
          </cell>
          <cell r="P211">
            <v>17</v>
          </cell>
          <cell r="R211">
            <v>940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2.93316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DO035</v>
          </cell>
          <cell r="C212" t="str">
            <v>FLUOR ACIDULADO .:. GEL</v>
          </cell>
          <cell r="D212" t="str">
            <v>Frasco</v>
          </cell>
          <cell r="E212">
            <v>0</v>
          </cell>
          <cell r="F212">
            <v>0</v>
          </cell>
          <cell r="H212">
            <v>4</v>
          </cell>
          <cell r="J212">
            <v>170</v>
          </cell>
          <cell r="M212">
            <v>0</v>
          </cell>
          <cell r="N212">
            <v>0</v>
          </cell>
          <cell r="P212">
            <v>4</v>
          </cell>
          <cell r="R212">
            <v>170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2.93316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DO038</v>
          </cell>
          <cell r="C213" t="str">
            <v>FRESA  PARA PULIR RESINA .:. DIFRENTES FORMAS</v>
          </cell>
          <cell r="D213" t="str">
            <v>kit</v>
          </cell>
          <cell r="E213">
            <v>0</v>
          </cell>
          <cell r="F213">
            <v>0</v>
          </cell>
          <cell r="H213">
            <v>20</v>
          </cell>
          <cell r="J213">
            <v>330</v>
          </cell>
          <cell r="M213">
            <v>0</v>
          </cell>
          <cell r="N213">
            <v>0</v>
          </cell>
          <cell r="P213">
            <v>20</v>
          </cell>
          <cell r="R213">
            <v>330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2.93316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DO0402</v>
          </cell>
          <cell r="C214" t="str">
            <v xml:space="preserve">FRESAS DE CARBURO  .:. </v>
          </cell>
          <cell r="D214" t="str">
            <v>Pieza</v>
          </cell>
          <cell r="E214">
            <v>0</v>
          </cell>
          <cell r="F214">
            <v>0</v>
          </cell>
          <cell r="H214">
            <v>35</v>
          </cell>
          <cell r="J214">
            <v>925</v>
          </cell>
          <cell r="M214">
            <v>0</v>
          </cell>
          <cell r="N214">
            <v>0</v>
          </cell>
          <cell r="P214">
            <v>35</v>
          </cell>
          <cell r="R214">
            <v>925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2.93316</v>
          </cell>
          <cell r="Y214">
            <v>0</v>
          </cell>
          <cell r="Z214">
            <v>0</v>
          </cell>
          <cell r="AA214">
            <v>0</v>
          </cell>
        </row>
        <row r="215">
          <cell r="B215" t="str">
            <v>DO042</v>
          </cell>
          <cell r="C215" t="str">
            <v>FRESAS DE DIAMANTE AV .:. DIFERENTES FORMAS Y TAMANOS</v>
          </cell>
          <cell r="D215" t="str">
            <v>Pieza</v>
          </cell>
          <cell r="E215">
            <v>0</v>
          </cell>
          <cell r="F215">
            <v>0</v>
          </cell>
          <cell r="H215">
            <v>60</v>
          </cell>
          <cell r="J215">
            <v>960</v>
          </cell>
          <cell r="M215">
            <v>0</v>
          </cell>
          <cell r="N215">
            <v>0</v>
          </cell>
          <cell r="P215">
            <v>60</v>
          </cell>
          <cell r="R215">
            <v>960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2.93316</v>
          </cell>
          <cell r="Y215">
            <v>0</v>
          </cell>
          <cell r="Z215">
            <v>0</v>
          </cell>
          <cell r="AA215">
            <v>0</v>
          </cell>
        </row>
        <row r="216">
          <cell r="B216" t="str">
            <v>DO047</v>
          </cell>
          <cell r="C216" t="str">
            <v>GANCHOS PARA BABERO .:. METALICO</v>
          </cell>
          <cell r="D216" t="str">
            <v>Pieza</v>
          </cell>
          <cell r="E216">
            <v>0</v>
          </cell>
          <cell r="F216">
            <v>0</v>
          </cell>
          <cell r="H216">
            <v>6</v>
          </cell>
          <cell r="J216">
            <v>66</v>
          </cell>
          <cell r="M216">
            <v>0</v>
          </cell>
          <cell r="N216">
            <v>0</v>
          </cell>
          <cell r="P216">
            <v>6</v>
          </cell>
          <cell r="R216">
            <v>66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2.93316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DO050</v>
          </cell>
          <cell r="C217" t="str">
            <v>HEMOSTATICO .:. GEL</v>
          </cell>
          <cell r="D217" t="str">
            <v>Jeringa</v>
          </cell>
          <cell r="E217">
            <v>0</v>
          </cell>
          <cell r="F217">
            <v>0</v>
          </cell>
          <cell r="H217">
            <v>2</v>
          </cell>
          <cell r="J217">
            <v>382</v>
          </cell>
          <cell r="M217">
            <v>0</v>
          </cell>
          <cell r="N217">
            <v>0</v>
          </cell>
          <cell r="P217">
            <v>2</v>
          </cell>
          <cell r="R217">
            <v>382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2.93316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DO053</v>
          </cell>
          <cell r="C218" t="str">
            <v>HIDROXIDO DE CALCIO .:. PASTA/ BASE Y CATALIZADOR</v>
          </cell>
          <cell r="D218" t="str">
            <v>Caja</v>
          </cell>
          <cell r="E218">
            <v>0</v>
          </cell>
          <cell r="F218">
            <v>0</v>
          </cell>
          <cell r="H218">
            <v>2</v>
          </cell>
          <cell r="J218">
            <v>412</v>
          </cell>
          <cell r="M218">
            <v>0</v>
          </cell>
          <cell r="N218">
            <v>0</v>
          </cell>
          <cell r="P218">
            <v>2</v>
          </cell>
          <cell r="R218">
            <v>412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2.93316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DO054</v>
          </cell>
          <cell r="C219" t="str">
            <v>HIDROXIDO DE CALCIO QUIMICAMENTE PURO .:. POLVO .</v>
          </cell>
          <cell r="D219" t="str">
            <v>Frasco</v>
          </cell>
          <cell r="E219">
            <v>0</v>
          </cell>
          <cell r="F219">
            <v>0</v>
          </cell>
          <cell r="H219">
            <v>2</v>
          </cell>
          <cell r="J219">
            <v>83</v>
          </cell>
          <cell r="M219">
            <v>0</v>
          </cell>
          <cell r="N219">
            <v>0</v>
          </cell>
          <cell r="P219">
            <v>2</v>
          </cell>
          <cell r="R219">
            <v>83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2.93316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DO055</v>
          </cell>
          <cell r="C220" t="str">
            <v>HILO DENTAL .:. PIEZA</v>
          </cell>
          <cell r="D220" t="str">
            <v>Pieza</v>
          </cell>
          <cell r="E220">
            <v>0</v>
          </cell>
          <cell r="F220">
            <v>0</v>
          </cell>
          <cell r="H220">
            <v>2</v>
          </cell>
          <cell r="J220">
            <v>50</v>
          </cell>
          <cell r="M220">
            <v>0</v>
          </cell>
          <cell r="N220">
            <v>0</v>
          </cell>
          <cell r="P220">
            <v>2</v>
          </cell>
          <cell r="R220">
            <v>50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2.93316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DO056</v>
          </cell>
          <cell r="C221" t="str">
            <v>IODOFORMO .:. POLVO</v>
          </cell>
          <cell r="D221" t="str">
            <v>Frasco</v>
          </cell>
          <cell r="E221">
            <v>0</v>
          </cell>
          <cell r="F221">
            <v>0</v>
          </cell>
          <cell r="H221">
            <v>1</v>
          </cell>
          <cell r="J221">
            <v>100</v>
          </cell>
          <cell r="M221">
            <v>0</v>
          </cell>
          <cell r="N221">
            <v>0</v>
          </cell>
          <cell r="P221">
            <v>1</v>
          </cell>
          <cell r="R221">
            <v>100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2.93316</v>
          </cell>
          <cell r="Y221">
            <v>0</v>
          </cell>
          <cell r="Z221">
            <v>0</v>
          </cell>
          <cell r="AA221">
            <v>0</v>
          </cell>
        </row>
        <row r="222">
          <cell r="B222" t="str">
            <v>DO059</v>
          </cell>
          <cell r="C222" t="str">
            <v>IONOMERO DE VIDRIO BASE .:. AUTOPOLIMERIZABLE POLVO LIQUIDO</v>
          </cell>
          <cell r="D222" t="str">
            <v>Caja</v>
          </cell>
          <cell r="E222">
            <v>0</v>
          </cell>
          <cell r="F222">
            <v>0</v>
          </cell>
          <cell r="H222">
            <v>11</v>
          </cell>
          <cell r="J222">
            <v>2000</v>
          </cell>
          <cell r="M222">
            <v>0</v>
          </cell>
          <cell r="N222">
            <v>0</v>
          </cell>
          <cell r="P222">
            <v>11</v>
          </cell>
          <cell r="R222">
            <v>2000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2.93316</v>
          </cell>
          <cell r="Y222">
            <v>0</v>
          </cell>
          <cell r="Z222">
            <v>0</v>
          </cell>
          <cell r="AA222">
            <v>0</v>
          </cell>
        </row>
        <row r="223">
          <cell r="B223" t="str">
            <v>DO060</v>
          </cell>
          <cell r="C223" t="str">
            <v>IONOMERO DE VIDRIO DE  RESTAURACION .:. AUTOPOLIMERIZABLE POLVO LIQUIDO</v>
          </cell>
          <cell r="D223" t="str">
            <v>Caja</v>
          </cell>
          <cell r="E223">
            <v>0</v>
          </cell>
          <cell r="F223">
            <v>0</v>
          </cell>
          <cell r="H223">
            <v>11</v>
          </cell>
          <cell r="J223">
            <v>2040</v>
          </cell>
          <cell r="M223">
            <v>0</v>
          </cell>
          <cell r="N223">
            <v>0</v>
          </cell>
          <cell r="P223">
            <v>11</v>
          </cell>
          <cell r="R223">
            <v>2040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2.93316</v>
          </cell>
          <cell r="Y223">
            <v>0</v>
          </cell>
          <cell r="Z223">
            <v>0</v>
          </cell>
          <cell r="AA223">
            <v>0</v>
          </cell>
        </row>
        <row r="224">
          <cell r="B224" t="str">
            <v>DO063</v>
          </cell>
          <cell r="C224" t="str">
            <v>LIMA H .:. DE 15  40: 21MM, 25MM Y 31 MM</v>
          </cell>
          <cell r="D224" t="str">
            <v>Caja</v>
          </cell>
          <cell r="E224">
            <v>0</v>
          </cell>
          <cell r="F224">
            <v>0</v>
          </cell>
          <cell r="H224">
            <v>6</v>
          </cell>
          <cell r="J224">
            <v>561</v>
          </cell>
          <cell r="M224">
            <v>0</v>
          </cell>
          <cell r="N224">
            <v>0</v>
          </cell>
          <cell r="P224">
            <v>6</v>
          </cell>
          <cell r="R224">
            <v>561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2.93316</v>
          </cell>
          <cell r="Y224">
            <v>0</v>
          </cell>
          <cell r="Z224">
            <v>0</v>
          </cell>
          <cell r="AA224">
            <v>0</v>
          </cell>
        </row>
        <row r="225">
          <cell r="B225" t="str">
            <v>DO064</v>
          </cell>
          <cell r="C225" t="str">
            <v>LIMA K .:. DE 45  80: 21MM, 25MM Y 31 MM</v>
          </cell>
          <cell r="D225" t="str">
            <v>Caja</v>
          </cell>
          <cell r="E225">
            <v>0</v>
          </cell>
          <cell r="F225">
            <v>0</v>
          </cell>
          <cell r="H225">
            <v>6</v>
          </cell>
          <cell r="J225">
            <v>294</v>
          </cell>
          <cell r="M225">
            <v>0</v>
          </cell>
          <cell r="N225">
            <v>0</v>
          </cell>
          <cell r="P225">
            <v>6</v>
          </cell>
          <cell r="R225">
            <v>294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2.93316</v>
          </cell>
          <cell r="Y225">
            <v>0</v>
          </cell>
          <cell r="Z225">
            <v>0</v>
          </cell>
          <cell r="AA225">
            <v>0</v>
          </cell>
        </row>
        <row r="226">
          <cell r="B226" t="str">
            <v>DO067</v>
          </cell>
          <cell r="C226" t="str">
            <v>LIMA K .:. 21 MM: N° 06,08,10</v>
          </cell>
          <cell r="D226" t="str">
            <v>Caja</v>
          </cell>
          <cell r="E226">
            <v>0</v>
          </cell>
          <cell r="F226">
            <v>0</v>
          </cell>
          <cell r="H226">
            <v>4</v>
          </cell>
          <cell r="J226">
            <v>180</v>
          </cell>
          <cell r="M226">
            <v>0</v>
          </cell>
          <cell r="N226">
            <v>0</v>
          </cell>
          <cell r="P226">
            <v>4</v>
          </cell>
          <cell r="R226">
            <v>180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2.93316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DO068</v>
          </cell>
          <cell r="C227" t="str">
            <v>LIMA K .:. 25 MM: N° 06,08,10</v>
          </cell>
          <cell r="D227" t="str">
            <v>Caja</v>
          </cell>
          <cell r="E227">
            <v>0</v>
          </cell>
          <cell r="F227">
            <v>0</v>
          </cell>
          <cell r="H227">
            <v>3</v>
          </cell>
          <cell r="J227">
            <v>135</v>
          </cell>
          <cell r="M227">
            <v>0</v>
          </cell>
          <cell r="N227">
            <v>0</v>
          </cell>
          <cell r="P227">
            <v>3</v>
          </cell>
          <cell r="R227">
            <v>135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2.93316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DO072</v>
          </cell>
          <cell r="C228" t="str">
            <v>LUBRICANTE PARA AV  BV .:. SPRAY</v>
          </cell>
          <cell r="D228" t="str">
            <v>Frasco</v>
          </cell>
          <cell r="E228">
            <v>0</v>
          </cell>
          <cell r="F228">
            <v>0</v>
          </cell>
          <cell r="H228">
            <v>3</v>
          </cell>
          <cell r="J228">
            <v>460</v>
          </cell>
          <cell r="M228">
            <v>0</v>
          </cell>
          <cell r="N228">
            <v>0</v>
          </cell>
          <cell r="P228">
            <v>3</v>
          </cell>
          <cell r="R228">
            <v>460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2.93316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DO074</v>
          </cell>
          <cell r="C229" t="str">
            <v>MATRIZ METALICA .:. PIEZA</v>
          </cell>
          <cell r="D229" t="str">
            <v>CajaRollo</v>
          </cell>
          <cell r="E229">
            <v>0</v>
          </cell>
          <cell r="F229">
            <v>0</v>
          </cell>
          <cell r="H229">
            <v>7</v>
          </cell>
          <cell r="J229">
            <v>139</v>
          </cell>
          <cell r="M229">
            <v>0</v>
          </cell>
          <cell r="N229">
            <v>0</v>
          </cell>
          <cell r="P229">
            <v>7</v>
          </cell>
          <cell r="R229">
            <v>139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2.93316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DO076</v>
          </cell>
          <cell r="C230" t="str">
            <v>OXIDO DE ZINC .:. POLVO</v>
          </cell>
          <cell r="D230" t="str">
            <v>Frasco</v>
          </cell>
          <cell r="E230">
            <v>0</v>
          </cell>
          <cell r="F230">
            <v>0</v>
          </cell>
          <cell r="H230">
            <v>3</v>
          </cell>
          <cell r="J230">
            <v>165</v>
          </cell>
          <cell r="M230">
            <v>0</v>
          </cell>
          <cell r="N230">
            <v>0</v>
          </cell>
          <cell r="P230">
            <v>3</v>
          </cell>
          <cell r="R230">
            <v>165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2.93316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DO078</v>
          </cell>
          <cell r="C231" t="str">
            <v>PARAMONOCLOROFENOL .:. SOLUCION</v>
          </cell>
          <cell r="D231" t="str">
            <v>Frasco</v>
          </cell>
          <cell r="E231">
            <v>0</v>
          </cell>
          <cell r="F231">
            <v>0</v>
          </cell>
          <cell r="H231">
            <v>1</v>
          </cell>
          <cell r="J231">
            <v>70</v>
          </cell>
          <cell r="M231">
            <v>0</v>
          </cell>
          <cell r="N231">
            <v>0</v>
          </cell>
          <cell r="P231">
            <v>1</v>
          </cell>
          <cell r="R231">
            <v>70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2.93316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DO083</v>
          </cell>
          <cell r="C232" t="str">
            <v>PASTA PROFILACTICA .:. PASTA</v>
          </cell>
          <cell r="D232" t="str">
            <v>Frasco</v>
          </cell>
          <cell r="E232">
            <v>0</v>
          </cell>
          <cell r="F232">
            <v>0</v>
          </cell>
          <cell r="H232">
            <v>4</v>
          </cell>
          <cell r="J232">
            <v>166</v>
          </cell>
          <cell r="M232">
            <v>0</v>
          </cell>
          <cell r="N232">
            <v>0</v>
          </cell>
          <cell r="P232">
            <v>4</v>
          </cell>
          <cell r="R232">
            <v>166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2.93316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DO087</v>
          </cell>
          <cell r="C233" t="str">
            <v>RESINA FLUIDA .:. FOTOPOLIMERIZABLE A1A2 DE 2 G</v>
          </cell>
          <cell r="D233" t="str">
            <v>Jeringa .</v>
          </cell>
          <cell r="E233">
            <v>0</v>
          </cell>
          <cell r="F233">
            <v>0</v>
          </cell>
          <cell r="H233">
            <v>10</v>
          </cell>
          <cell r="J233">
            <v>2505</v>
          </cell>
          <cell r="M233">
            <v>0</v>
          </cell>
          <cell r="N233">
            <v>0</v>
          </cell>
          <cell r="P233">
            <v>10</v>
          </cell>
          <cell r="R233">
            <v>2505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2.93316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DO088</v>
          </cell>
          <cell r="C234" t="str">
            <v>RESINA FOTOPOLIMERIZABLE .:. A1,A2,A3</v>
          </cell>
          <cell r="D234" t="str">
            <v>Jeringa</v>
          </cell>
          <cell r="E234">
            <v>0</v>
          </cell>
          <cell r="F234">
            <v>0</v>
          </cell>
          <cell r="H234">
            <v>40</v>
          </cell>
          <cell r="J234">
            <v>8800</v>
          </cell>
          <cell r="M234">
            <v>0</v>
          </cell>
          <cell r="N234">
            <v>0</v>
          </cell>
          <cell r="P234">
            <v>45</v>
          </cell>
          <cell r="R234">
            <v>9830</v>
          </cell>
          <cell r="S234">
            <v>0</v>
          </cell>
          <cell r="T234">
            <v>0</v>
          </cell>
          <cell r="U234">
            <v>-5</v>
          </cell>
          <cell r="V234">
            <v>0</v>
          </cell>
          <cell r="W234">
            <v>-1030</v>
          </cell>
          <cell r="X234">
            <v>2.93316</v>
          </cell>
          <cell r="Y234">
            <v>0</v>
          </cell>
          <cell r="Z234">
            <v>0</v>
          </cell>
          <cell r="AA234">
            <v>-1030</v>
          </cell>
        </row>
        <row r="235">
          <cell r="B235" t="str">
            <v>DO091</v>
          </cell>
          <cell r="C235" t="str">
            <v>ROLLOS DE ALGODON .:. TRENZADO</v>
          </cell>
          <cell r="D235" t="str">
            <v>Bolsa</v>
          </cell>
          <cell r="E235">
            <v>0</v>
          </cell>
          <cell r="F235">
            <v>0</v>
          </cell>
          <cell r="H235">
            <v>10</v>
          </cell>
          <cell r="J235">
            <v>1250</v>
          </cell>
          <cell r="M235">
            <v>0</v>
          </cell>
          <cell r="N235">
            <v>0</v>
          </cell>
          <cell r="P235">
            <v>10</v>
          </cell>
          <cell r="R235">
            <v>1250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2.93316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DO097</v>
          </cell>
          <cell r="C236" t="str">
            <v>TIRA NERVIOS .:. LARGOS</v>
          </cell>
          <cell r="D236" t="str">
            <v>Caja</v>
          </cell>
          <cell r="E236">
            <v>0</v>
          </cell>
          <cell r="F236">
            <v>0</v>
          </cell>
          <cell r="H236">
            <v>3</v>
          </cell>
          <cell r="J236">
            <v>210</v>
          </cell>
          <cell r="M236">
            <v>0</v>
          </cell>
          <cell r="N236">
            <v>0</v>
          </cell>
          <cell r="P236">
            <v>3</v>
          </cell>
          <cell r="R236">
            <v>210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2.93316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DO099</v>
          </cell>
          <cell r="C237" t="str">
            <v>TIRAS DE LIJA METALICA .:. UNIDAD DE 4 Y 6 MM</v>
          </cell>
          <cell r="D237" t="str">
            <v>Caja</v>
          </cell>
          <cell r="E237">
            <v>0</v>
          </cell>
          <cell r="F237">
            <v>0</v>
          </cell>
          <cell r="H237">
            <v>1</v>
          </cell>
          <cell r="J237">
            <v>563</v>
          </cell>
          <cell r="M237">
            <v>0</v>
          </cell>
          <cell r="N237">
            <v>0</v>
          </cell>
          <cell r="P237">
            <v>1</v>
          </cell>
          <cell r="R237">
            <v>563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2.93316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DOI001</v>
          </cell>
          <cell r="C238" t="str">
            <v>ABRE BOCA DE MOLT .:. ACERO INOXIDABLE PEDIATRICO / ADULTO</v>
          </cell>
          <cell r="D238" t="str">
            <v>Pieza</v>
          </cell>
          <cell r="E238">
            <v>0</v>
          </cell>
          <cell r="F238">
            <v>0</v>
          </cell>
          <cell r="H238">
            <v>4</v>
          </cell>
          <cell r="J238">
            <v>140</v>
          </cell>
          <cell r="M238">
            <v>0</v>
          </cell>
          <cell r="N238">
            <v>0</v>
          </cell>
          <cell r="P238">
            <v>4</v>
          </cell>
          <cell r="R238">
            <v>140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2.93316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DOI008</v>
          </cell>
          <cell r="C239" t="str">
            <v>CAJA METALICA .:. 30X25X4 CM</v>
          </cell>
          <cell r="D239" t="str">
            <v>Pieza</v>
          </cell>
          <cell r="E239">
            <v>0</v>
          </cell>
          <cell r="F239">
            <v>0</v>
          </cell>
          <cell r="H239">
            <v>1</v>
          </cell>
          <cell r="J239">
            <v>180</v>
          </cell>
          <cell r="M239">
            <v>0</v>
          </cell>
          <cell r="N239">
            <v>0</v>
          </cell>
          <cell r="P239">
            <v>1</v>
          </cell>
          <cell r="R239">
            <v>180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2.93316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DOI019</v>
          </cell>
          <cell r="C240" t="str">
            <v>ESPEJO BUCAL .:. PIEZA</v>
          </cell>
          <cell r="D240" t="str">
            <v>Pieza</v>
          </cell>
          <cell r="E240">
            <v>0</v>
          </cell>
          <cell r="F240">
            <v>0</v>
          </cell>
          <cell r="H240">
            <v>22</v>
          </cell>
          <cell r="J240">
            <v>420</v>
          </cell>
          <cell r="M240">
            <v>0</v>
          </cell>
          <cell r="N240">
            <v>0</v>
          </cell>
          <cell r="P240">
            <v>22</v>
          </cell>
          <cell r="R240">
            <v>420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2.93316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DOI037</v>
          </cell>
          <cell r="C241" t="str">
            <v>PIEZA DE ALTA VELOCIDAD .:. MICROMOTOR, CONTRANGULO Y PIEZA RECTA</v>
          </cell>
          <cell r="D241" t="str">
            <v>kit</v>
          </cell>
          <cell r="E241">
            <v>1</v>
          </cell>
          <cell r="F241">
            <v>2082.5</v>
          </cell>
          <cell r="H241">
            <v>0</v>
          </cell>
          <cell r="J241">
            <v>0</v>
          </cell>
          <cell r="M241">
            <v>0</v>
          </cell>
          <cell r="N241">
            <v>0</v>
          </cell>
          <cell r="P241">
            <v>1</v>
          </cell>
          <cell r="R241">
            <v>2082.5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2.93316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DOT005</v>
          </cell>
          <cell r="C242" t="str">
            <v>ALGODON .:. 100 GRS.</v>
          </cell>
          <cell r="D242" t="str">
            <v>Paquete</v>
          </cell>
          <cell r="E242">
            <v>15</v>
          </cell>
          <cell r="F242">
            <v>120</v>
          </cell>
          <cell r="H242">
            <v>70</v>
          </cell>
          <cell r="J242">
            <v>661.5</v>
          </cell>
          <cell r="M242">
            <v>0</v>
          </cell>
          <cell r="N242">
            <v>0</v>
          </cell>
          <cell r="P242">
            <v>38</v>
          </cell>
          <cell r="R242">
            <v>344.33974359029997</v>
          </cell>
          <cell r="S242">
            <v>0</v>
          </cell>
          <cell r="T242">
            <v>0</v>
          </cell>
          <cell r="U242">
            <v>47</v>
          </cell>
          <cell r="V242">
            <v>9.3012820512702135</v>
          </cell>
          <cell r="W242">
            <v>437.16025640970003</v>
          </cell>
          <cell r="X242">
            <v>2.93316</v>
          </cell>
          <cell r="Y242">
            <v>0</v>
          </cell>
          <cell r="Z242">
            <v>9.3012820512702135</v>
          </cell>
          <cell r="AA242">
            <v>437.16025640970003</v>
          </cell>
        </row>
        <row r="243">
          <cell r="B243" t="str">
            <v>DOT006</v>
          </cell>
          <cell r="C243" t="str">
            <v>ALGODON .:. 400 GRS.</v>
          </cell>
          <cell r="D243" t="str">
            <v>Paquete</v>
          </cell>
          <cell r="E243">
            <v>16</v>
          </cell>
          <cell r="F243">
            <v>512</v>
          </cell>
          <cell r="H243">
            <v>37</v>
          </cell>
          <cell r="J243">
            <v>1221</v>
          </cell>
          <cell r="M243">
            <v>0</v>
          </cell>
          <cell r="N243">
            <v>0</v>
          </cell>
          <cell r="P243">
            <v>26</v>
          </cell>
          <cell r="R243">
            <v>848.18749999930003</v>
          </cell>
          <cell r="S243">
            <v>0</v>
          </cell>
          <cell r="T243">
            <v>0</v>
          </cell>
          <cell r="U243">
            <v>27</v>
          </cell>
          <cell r="V243">
            <v>32.770833333359256</v>
          </cell>
          <cell r="W243">
            <v>884.81250000069997</v>
          </cell>
          <cell r="X243">
            <v>2.93316</v>
          </cell>
          <cell r="Y243">
            <v>0</v>
          </cell>
          <cell r="Z243">
            <v>32.770833333359256</v>
          </cell>
          <cell r="AA243">
            <v>884.81250000069997</v>
          </cell>
        </row>
        <row r="244">
          <cell r="B244" t="str">
            <v>DOT024</v>
          </cell>
          <cell r="C244" t="str">
            <v>BAJA LENGUA .:. DE MADERA ADULTOS</v>
          </cell>
          <cell r="D244" t="str">
            <v>Caja x 100</v>
          </cell>
          <cell r="E244">
            <v>34</v>
          </cell>
          <cell r="F244">
            <v>593.64</v>
          </cell>
          <cell r="H244">
            <v>50</v>
          </cell>
          <cell r="J244">
            <v>1500</v>
          </cell>
          <cell r="M244">
            <v>0</v>
          </cell>
          <cell r="N244">
            <v>0</v>
          </cell>
          <cell r="P244">
            <v>51</v>
          </cell>
          <cell r="R244">
            <v>1077.2259574466</v>
          </cell>
          <cell r="S244">
            <v>0</v>
          </cell>
          <cell r="T244">
            <v>0</v>
          </cell>
          <cell r="U244">
            <v>33</v>
          </cell>
          <cell r="V244">
            <v>30.800425531921213</v>
          </cell>
          <cell r="W244">
            <v>1016.4140425534</v>
          </cell>
          <cell r="X244">
            <v>2.93316</v>
          </cell>
          <cell r="Y244">
            <v>0</v>
          </cell>
          <cell r="Z244">
            <v>30.800425531921213</v>
          </cell>
          <cell r="AA244">
            <v>1016.4140425534</v>
          </cell>
        </row>
        <row r="245">
          <cell r="B245" t="str">
            <v>DOT035</v>
          </cell>
          <cell r="C245" t="str">
            <v>FILTRO ANTIMICROBIANO .:. PARA RESPIRADORES PARA OXIGENO</v>
          </cell>
          <cell r="D245" t="str">
            <v>Sobre estéril</v>
          </cell>
          <cell r="E245">
            <v>26</v>
          </cell>
          <cell r="F245">
            <v>1092</v>
          </cell>
          <cell r="H245">
            <v>0</v>
          </cell>
          <cell r="J245">
            <v>0</v>
          </cell>
          <cell r="M245">
            <v>11</v>
          </cell>
          <cell r="N245">
            <v>462</v>
          </cell>
          <cell r="P245">
            <v>9</v>
          </cell>
          <cell r="R245">
            <v>378</v>
          </cell>
          <cell r="S245">
            <v>11</v>
          </cell>
          <cell r="T245">
            <v>462</v>
          </cell>
          <cell r="U245">
            <v>17</v>
          </cell>
          <cell r="V245">
            <v>42</v>
          </cell>
          <cell r="W245">
            <v>714</v>
          </cell>
          <cell r="X245">
            <v>2.93316</v>
          </cell>
          <cell r="Y245">
            <v>0</v>
          </cell>
          <cell r="Z245">
            <v>42</v>
          </cell>
          <cell r="AA245">
            <v>714</v>
          </cell>
        </row>
        <row r="246">
          <cell r="B246" t="str">
            <v>DOT037</v>
          </cell>
          <cell r="C246" t="str">
            <v>GASA .:. 100 YARDAS MALLA 20  X  24 MM CON HILO RADIOPACO, CORTADA A REQUERIMIENTO</v>
          </cell>
          <cell r="D246" t="str">
            <v>Rollo</v>
          </cell>
          <cell r="E246">
            <v>1</v>
          </cell>
          <cell r="F246">
            <v>605</v>
          </cell>
          <cell r="H246">
            <v>3</v>
          </cell>
          <cell r="J246">
            <v>2070</v>
          </cell>
          <cell r="M246">
            <v>0</v>
          </cell>
          <cell r="N246">
            <v>0</v>
          </cell>
          <cell r="P246">
            <v>2</v>
          </cell>
          <cell r="R246">
            <v>1295</v>
          </cell>
          <cell r="S246">
            <v>0</v>
          </cell>
          <cell r="T246">
            <v>0</v>
          </cell>
          <cell r="U246">
            <v>2</v>
          </cell>
          <cell r="V246">
            <v>690</v>
          </cell>
          <cell r="W246">
            <v>1380</v>
          </cell>
          <cell r="X246">
            <v>2.93316</v>
          </cell>
          <cell r="Y246">
            <v>0</v>
          </cell>
          <cell r="Z246">
            <v>690</v>
          </cell>
          <cell r="AA246">
            <v>1380</v>
          </cell>
        </row>
        <row r="247">
          <cell r="B247" t="str">
            <v>DOT045</v>
          </cell>
          <cell r="C247" t="str">
            <v>PAPEL GRADO MEDICO .:. CON POLIETILENO 15 CM X 200 M SIN FUELLE PARASTERILIZAR A VAPOR</v>
          </cell>
          <cell r="D247" t="str">
            <v>Rollo</v>
          </cell>
          <cell r="E247">
            <v>0</v>
          </cell>
          <cell r="F247">
            <v>0</v>
          </cell>
          <cell r="H247">
            <v>1</v>
          </cell>
          <cell r="J247">
            <v>654.20000000000005</v>
          </cell>
          <cell r="M247">
            <v>0</v>
          </cell>
          <cell r="N247">
            <v>0</v>
          </cell>
          <cell r="P247">
            <v>1</v>
          </cell>
          <cell r="R247">
            <v>654.20000000000005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2.93316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DOT052</v>
          </cell>
          <cell r="C248" t="str">
            <v>TELA ADHESIVA .:. CORRIENTE 4 X 10 CM</v>
          </cell>
          <cell r="D248" t="str">
            <v>Rollo</v>
          </cell>
          <cell r="E248">
            <v>14</v>
          </cell>
          <cell r="F248">
            <v>623</v>
          </cell>
          <cell r="H248">
            <v>25</v>
          </cell>
          <cell r="J248">
            <v>1325</v>
          </cell>
          <cell r="M248">
            <v>0</v>
          </cell>
          <cell r="N248">
            <v>0</v>
          </cell>
          <cell r="P248">
            <v>24</v>
          </cell>
          <cell r="R248">
            <v>1153</v>
          </cell>
          <cell r="S248">
            <v>0</v>
          </cell>
          <cell r="T248">
            <v>0</v>
          </cell>
          <cell r="U248">
            <v>15</v>
          </cell>
          <cell r="V248">
            <v>53</v>
          </cell>
          <cell r="W248">
            <v>795</v>
          </cell>
          <cell r="X248">
            <v>2.93316</v>
          </cell>
          <cell r="Y248">
            <v>0</v>
          </cell>
          <cell r="Z248">
            <v>53</v>
          </cell>
          <cell r="AA248">
            <v>795</v>
          </cell>
        </row>
        <row r="249">
          <cell r="B249" t="str">
            <v>DOT054</v>
          </cell>
          <cell r="C249" t="str">
            <v>TELA ADHESIVA .:. ANTIALERGICA COLOR PIEL 1/2"</v>
          </cell>
          <cell r="D249" t="str">
            <v>Rollo</v>
          </cell>
          <cell r="E249">
            <v>2</v>
          </cell>
          <cell r="F249">
            <v>7.98</v>
          </cell>
          <cell r="H249">
            <v>50</v>
          </cell>
          <cell r="J249">
            <v>190</v>
          </cell>
          <cell r="M249">
            <v>0</v>
          </cell>
          <cell r="N249">
            <v>0</v>
          </cell>
          <cell r="P249">
            <v>34</v>
          </cell>
          <cell r="R249">
            <v>129.58000000000001</v>
          </cell>
          <cell r="S249">
            <v>0</v>
          </cell>
          <cell r="T249">
            <v>0</v>
          </cell>
          <cell r="U249">
            <v>18</v>
          </cell>
          <cell r="V249">
            <v>3.8</v>
          </cell>
          <cell r="W249">
            <v>68.400000000000006</v>
          </cell>
          <cell r="X249">
            <v>2.93316</v>
          </cell>
          <cell r="Y249">
            <v>0</v>
          </cell>
          <cell r="Z249">
            <v>3.8</v>
          </cell>
          <cell r="AA249">
            <v>68.400000000000006</v>
          </cell>
        </row>
        <row r="250">
          <cell r="B250" t="str">
            <v>DOT055</v>
          </cell>
          <cell r="C250" t="str">
            <v>TELA ADHESIVA .:. ANTIALERGICA COLOR PIEL 1 "</v>
          </cell>
          <cell r="D250" t="str">
            <v>Rollo</v>
          </cell>
          <cell r="E250">
            <v>6</v>
          </cell>
          <cell r="F250">
            <v>44.7</v>
          </cell>
          <cell r="H250">
            <v>30</v>
          </cell>
          <cell r="J250">
            <v>201</v>
          </cell>
          <cell r="M250">
            <v>0</v>
          </cell>
          <cell r="N250">
            <v>0</v>
          </cell>
          <cell r="P250">
            <v>27</v>
          </cell>
          <cell r="R250">
            <v>184.6058823525</v>
          </cell>
          <cell r="S250">
            <v>0</v>
          </cell>
          <cell r="T250">
            <v>0</v>
          </cell>
          <cell r="U250">
            <v>9</v>
          </cell>
          <cell r="V250">
            <v>6.7882352941666664</v>
          </cell>
          <cell r="W250">
            <v>61.094117647499999</v>
          </cell>
          <cell r="X250">
            <v>2.93316</v>
          </cell>
          <cell r="Y250">
            <v>0</v>
          </cell>
          <cell r="Z250">
            <v>6.7882352941666664</v>
          </cell>
          <cell r="AA250">
            <v>61.094117647499999</v>
          </cell>
        </row>
        <row r="251">
          <cell r="B251" t="str">
            <v>DOT070</v>
          </cell>
          <cell r="C251" t="str">
            <v>VENDA DE GASA .:. 3" (7.5 CENTIMETROS)</v>
          </cell>
          <cell r="D251" t="str">
            <v>Rollo</v>
          </cell>
          <cell r="E251">
            <v>18</v>
          </cell>
          <cell r="F251">
            <v>93.6</v>
          </cell>
          <cell r="H251">
            <v>70</v>
          </cell>
          <cell r="J251">
            <v>335.3</v>
          </cell>
          <cell r="M251">
            <v>0</v>
          </cell>
          <cell r="N251">
            <v>0</v>
          </cell>
          <cell r="P251">
            <v>36</v>
          </cell>
          <cell r="R251">
            <v>179.82</v>
          </cell>
          <cell r="S251">
            <v>0</v>
          </cell>
          <cell r="T251">
            <v>0</v>
          </cell>
          <cell r="U251">
            <v>52</v>
          </cell>
          <cell r="V251">
            <v>4.79</v>
          </cell>
          <cell r="W251">
            <v>249.08</v>
          </cell>
          <cell r="X251">
            <v>2.93316</v>
          </cell>
          <cell r="Y251">
            <v>0</v>
          </cell>
          <cell r="Z251">
            <v>4.79</v>
          </cell>
          <cell r="AA251">
            <v>249.08</v>
          </cell>
        </row>
        <row r="252">
          <cell r="B252" t="str">
            <v>DOT071</v>
          </cell>
          <cell r="C252" t="str">
            <v>VENDA DE GASA .:. 4" (10 CENTIMETROS)</v>
          </cell>
          <cell r="D252" t="str">
            <v>Rollo</v>
          </cell>
          <cell r="E252">
            <v>0</v>
          </cell>
          <cell r="F252">
            <v>0</v>
          </cell>
          <cell r="H252">
            <v>200</v>
          </cell>
          <cell r="J252">
            <v>1200</v>
          </cell>
          <cell r="M252">
            <v>0</v>
          </cell>
          <cell r="N252">
            <v>0</v>
          </cell>
          <cell r="P252">
            <v>112</v>
          </cell>
          <cell r="R252">
            <v>672</v>
          </cell>
          <cell r="S252">
            <v>0</v>
          </cell>
          <cell r="T252">
            <v>0</v>
          </cell>
          <cell r="U252">
            <v>88</v>
          </cell>
          <cell r="V252">
            <v>6</v>
          </cell>
          <cell r="W252">
            <v>528</v>
          </cell>
          <cell r="X252">
            <v>2.93316</v>
          </cell>
          <cell r="Y252">
            <v>0</v>
          </cell>
          <cell r="Z252">
            <v>6</v>
          </cell>
          <cell r="AA252">
            <v>528</v>
          </cell>
        </row>
        <row r="253">
          <cell r="B253" t="str">
            <v>DOT072</v>
          </cell>
          <cell r="C253" t="str">
            <v>VENDA DE GASA .:. 1.5"</v>
          </cell>
          <cell r="D253" t="str">
            <v>Rollo</v>
          </cell>
          <cell r="E253">
            <v>0</v>
          </cell>
          <cell r="F253">
            <v>0</v>
          </cell>
          <cell r="H253">
            <v>50</v>
          </cell>
          <cell r="J253">
            <v>175</v>
          </cell>
          <cell r="M253">
            <v>0</v>
          </cell>
          <cell r="N253">
            <v>0</v>
          </cell>
          <cell r="P253">
            <v>30</v>
          </cell>
          <cell r="R253">
            <v>105</v>
          </cell>
          <cell r="S253">
            <v>0</v>
          </cell>
          <cell r="T253">
            <v>0</v>
          </cell>
          <cell r="U253">
            <v>20</v>
          </cell>
          <cell r="V253">
            <v>3.5</v>
          </cell>
          <cell r="W253">
            <v>70</v>
          </cell>
          <cell r="X253">
            <v>2.93316</v>
          </cell>
          <cell r="Y253">
            <v>0</v>
          </cell>
          <cell r="Z253">
            <v>3.5</v>
          </cell>
          <cell r="AA253">
            <v>70</v>
          </cell>
        </row>
        <row r="254">
          <cell r="B254" t="str">
            <v>DOT073</v>
          </cell>
          <cell r="C254" t="str">
            <v>VENDA DE GASA .:. 6"</v>
          </cell>
          <cell r="D254" t="str">
            <v>Rollo</v>
          </cell>
          <cell r="E254">
            <v>38</v>
          </cell>
          <cell r="F254">
            <v>304</v>
          </cell>
          <cell r="H254">
            <v>0</v>
          </cell>
          <cell r="J254">
            <v>0</v>
          </cell>
          <cell r="M254">
            <v>0</v>
          </cell>
          <cell r="N254">
            <v>0</v>
          </cell>
          <cell r="P254">
            <v>28</v>
          </cell>
          <cell r="R254">
            <v>224</v>
          </cell>
          <cell r="S254">
            <v>0</v>
          </cell>
          <cell r="T254">
            <v>0</v>
          </cell>
          <cell r="U254">
            <v>10</v>
          </cell>
          <cell r="V254">
            <v>8</v>
          </cell>
          <cell r="W254">
            <v>80</v>
          </cell>
          <cell r="X254">
            <v>2.93316</v>
          </cell>
          <cell r="Y254">
            <v>0</v>
          </cell>
          <cell r="Z254">
            <v>8</v>
          </cell>
          <cell r="AA254">
            <v>80</v>
          </cell>
        </row>
        <row r="255">
          <cell r="B255" t="str">
            <v>DOT074</v>
          </cell>
          <cell r="C255" t="str">
            <v>VENDA DE YESO .:. 6" (15 CENTIMETROS)</v>
          </cell>
          <cell r="D255" t="str">
            <v>Rollo</v>
          </cell>
          <cell r="E255">
            <v>27</v>
          </cell>
          <cell r="F255">
            <v>540</v>
          </cell>
          <cell r="H255">
            <v>30</v>
          </cell>
          <cell r="J255">
            <v>750</v>
          </cell>
          <cell r="M255">
            <v>0</v>
          </cell>
          <cell r="N255">
            <v>0</v>
          </cell>
          <cell r="P255">
            <v>34</v>
          </cell>
          <cell r="R255">
            <v>715</v>
          </cell>
          <cell r="S255">
            <v>0</v>
          </cell>
          <cell r="T255">
            <v>0</v>
          </cell>
          <cell r="U255">
            <v>23</v>
          </cell>
          <cell r="V255">
            <v>25</v>
          </cell>
          <cell r="W255">
            <v>575</v>
          </cell>
          <cell r="X255">
            <v>2.93316</v>
          </cell>
          <cell r="Y255">
            <v>0</v>
          </cell>
          <cell r="Z255">
            <v>25</v>
          </cell>
          <cell r="AA255">
            <v>575</v>
          </cell>
        </row>
        <row r="256">
          <cell r="B256" t="str">
            <v>DOT075</v>
          </cell>
          <cell r="C256" t="str">
            <v>VENDA DE YESO .:. 4" (10 CM)</v>
          </cell>
          <cell r="D256" t="str">
            <v>Rollo</v>
          </cell>
          <cell r="E256">
            <v>8</v>
          </cell>
          <cell r="F256">
            <v>92.4</v>
          </cell>
          <cell r="H256">
            <v>48</v>
          </cell>
          <cell r="J256">
            <v>960</v>
          </cell>
          <cell r="M256">
            <v>0</v>
          </cell>
          <cell r="N256">
            <v>0</v>
          </cell>
          <cell r="P256">
            <v>51</v>
          </cell>
          <cell r="R256">
            <v>952.4</v>
          </cell>
          <cell r="S256">
            <v>0</v>
          </cell>
          <cell r="T256">
            <v>0</v>
          </cell>
          <cell r="U256">
            <v>5</v>
          </cell>
          <cell r="V256">
            <v>20</v>
          </cell>
          <cell r="W256">
            <v>100</v>
          </cell>
          <cell r="X256">
            <v>2.93316</v>
          </cell>
          <cell r="Y256">
            <v>0</v>
          </cell>
          <cell r="Z256">
            <v>20</v>
          </cell>
          <cell r="AA256">
            <v>100</v>
          </cell>
        </row>
        <row r="257">
          <cell r="B257" t="str">
            <v>DOT076</v>
          </cell>
          <cell r="C257" t="str">
            <v>VENDA DE YESO .:. 8" ( 20 CM)</v>
          </cell>
          <cell r="D257" t="str">
            <v>Rollo</v>
          </cell>
          <cell r="E257">
            <v>2</v>
          </cell>
          <cell r="F257">
            <v>43.097601513800001</v>
          </cell>
          <cell r="H257">
            <v>68</v>
          </cell>
          <cell r="J257">
            <v>2747.8</v>
          </cell>
          <cell r="M257">
            <v>0</v>
          </cell>
          <cell r="N257">
            <v>0</v>
          </cell>
          <cell r="P257">
            <v>50</v>
          </cell>
          <cell r="R257">
            <v>2050.8976015138001</v>
          </cell>
          <cell r="S257">
            <v>0</v>
          </cell>
          <cell r="T257">
            <v>0</v>
          </cell>
          <cell r="U257">
            <v>20</v>
          </cell>
          <cell r="V257">
            <v>37</v>
          </cell>
          <cell r="W257">
            <v>740</v>
          </cell>
          <cell r="X257">
            <v>2.93316</v>
          </cell>
          <cell r="Y257">
            <v>0</v>
          </cell>
          <cell r="Z257">
            <v>37</v>
          </cell>
          <cell r="AA257">
            <v>740</v>
          </cell>
        </row>
        <row r="258">
          <cell r="B258" t="str">
            <v>DOT081</v>
          </cell>
          <cell r="C258" t="str">
            <v>VENDA ELASTICA .:. 10 CM</v>
          </cell>
          <cell r="D258" t="str">
            <v>Rollo</v>
          </cell>
          <cell r="E258">
            <v>54</v>
          </cell>
          <cell r="F258">
            <v>270</v>
          </cell>
          <cell r="H258">
            <v>0</v>
          </cell>
          <cell r="J258">
            <v>0</v>
          </cell>
          <cell r="M258">
            <v>0</v>
          </cell>
          <cell r="N258">
            <v>0</v>
          </cell>
          <cell r="P258">
            <v>34</v>
          </cell>
          <cell r="R258">
            <v>170</v>
          </cell>
          <cell r="S258">
            <v>0</v>
          </cell>
          <cell r="T258">
            <v>0</v>
          </cell>
          <cell r="U258">
            <v>20</v>
          </cell>
          <cell r="V258">
            <v>5</v>
          </cell>
          <cell r="W258">
            <v>100</v>
          </cell>
          <cell r="X258">
            <v>2.93316</v>
          </cell>
          <cell r="Y258">
            <v>0</v>
          </cell>
          <cell r="Z258">
            <v>5</v>
          </cell>
          <cell r="AA258">
            <v>100</v>
          </cell>
        </row>
        <row r="259">
          <cell r="B259" t="str">
            <v>DOT082</v>
          </cell>
          <cell r="C259" t="str">
            <v>VENDA ELASTICA .:. 15 CM</v>
          </cell>
          <cell r="D259" t="str">
            <v>Rollo</v>
          </cell>
          <cell r="E259">
            <v>41</v>
          </cell>
          <cell r="F259">
            <v>328</v>
          </cell>
          <cell r="H259">
            <v>60</v>
          </cell>
          <cell r="J259">
            <v>780</v>
          </cell>
          <cell r="M259">
            <v>0</v>
          </cell>
          <cell r="N259">
            <v>0</v>
          </cell>
          <cell r="P259">
            <v>54</v>
          </cell>
          <cell r="R259">
            <v>566.11764705860003</v>
          </cell>
          <cell r="S259">
            <v>0</v>
          </cell>
          <cell r="T259">
            <v>0</v>
          </cell>
          <cell r="U259">
            <v>47</v>
          </cell>
          <cell r="V259">
            <v>11.529411764710638</v>
          </cell>
          <cell r="W259">
            <v>541.88235294139997</v>
          </cell>
          <cell r="X259">
            <v>2.93316</v>
          </cell>
          <cell r="Y259">
            <v>0</v>
          </cell>
          <cell r="Z259">
            <v>11.529411764710638</v>
          </cell>
          <cell r="AA259">
            <v>541.88235294139997</v>
          </cell>
        </row>
        <row r="260">
          <cell r="B260" t="str">
            <v>DPF003</v>
          </cell>
          <cell r="C260" t="str">
            <v>CONDON MASCULINO .:. PIEZA</v>
          </cell>
          <cell r="D260" t="str">
            <v>Sobre estéril</v>
          </cell>
          <cell r="E260">
            <v>855</v>
          </cell>
          <cell r="F260">
            <v>384.75</v>
          </cell>
          <cell r="H260">
            <v>0</v>
          </cell>
          <cell r="J260">
            <v>0</v>
          </cell>
          <cell r="M260">
            <v>0</v>
          </cell>
          <cell r="N260">
            <v>0</v>
          </cell>
          <cell r="P260">
            <v>295</v>
          </cell>
          <cell r="R260">
            <v>132.75</v>
          </cell>
          <cell r="S260">
            <v>0</v>
          </cell>
          <cell r="T260">
            <v>0</v>
          </cell>
          <cell r="U260">
            <v>560</v>
          </cell>
          <cell r="V260">
            <v>0.45</v>
          </cell>
          <cell r="W260">
            <v>252</v>
          </cell>
          <cell r="X260">
            <v>2.93316</v>
          </cell>
          <cell r="Y260">
            <v>0</v>
          </cell>
          <cell r="Z260">
            <v>0.45</v>
          </cell>
          <cell r="AA260">
            <v>252</v>
          </cell>
        </row>
        <row r="261">
          <cell r="B261" t="str">
            <v>DPF004</v>
          </cell>
          <cell r="C261" t="str">
            <v>DISPOSITIVO INTRAUTERINO T DE COBRE .:. PIEZA</v>
          </cell>
          <cell r="D261" t="str">
            <v>Sobre estéril</v>
          </cell>
          <cell r="E261">
            <v>3</v>
          </cell>
          <cell r="F261">
            <v>14.79</v>
          </cell>
          <cell r="H261">
            <v>0</v>
          </cell>
          <cell r="J261">
            <v>0</v>
          </cell>
          <cell r="M261">
            <v>0</v>
          </cell>
          <cell r="N261">
            <v>0</v>
          </cell>
          <cell r="P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3</v>
          </cell>
          <cell r="V261">
            <v>4.93</v>
          </cell>
          <cell r="W261">
            <v>14.79</v>
          </cell>
          <cell r="X261">
            <v>2.93316</v>
          </cell>
          <cell r="Y261">
            <v>0</v>
          </cell>
          <cell r="Z261">
            <v>4.93</v>
          </cell>
          <cell r="AA261">
            <v>14.79</v>
          </cell>
        </row>
        <row r="262">
          <cell r="B262" t="str">
            <v>DPP001</v>
          </cell>
          <cell r="C262" t="str">
            <v xml:space="preserve">BARBIJO HERMETICO (RESPIRADOR) .:. CON FILTRO  N95 </v>
          </cell>
          <cell r="D262" t="str">
            <v>Pieza</v>
          </cell>
          <cell r="E262">
            <v>94</v>
          </cell>
          <cell r="F262">
            <v>2313.3732759999998</v>
          </cell>
          <cell r="H262">
            <v>0</v>
          </cell>
          <cell r="J262">
            <v>0</v>
          </cell>
          <cell r="M262">
            <v>0</v>
          </cell>
          <cell r="N262">
            <v>0</v>
          </cell>
          <cell r="P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94</v>
          </cell>
          <cell r="V262">
            <v>24.610354000000001</v>
          </cell>
          <cell r="W262">
            <v>2313.3732759999998</v>
          </cell>
          <cell r="X262">
            <v>2.93316</v>
          </cell>
          <cell r="Y262">
            <v>0</v>
          </cell>
          <cell r="Z262">
            <v>24.610354000000001</v>
          </cell>
          <cell r="AA262">
            <v>2313.3732759999998</v>
          </cell>
        </row>
        <row r="263">
          <cell r="B263" t="str">
            <v>DPP0011</v>
          </cell>
          <cell r="C263" t="str">
            <v>BARBIJO .:. KN95  TALLA UNICA/CLIP NASAL</v>
          </cell>
          <cell r="D263" t="str">
            <v>Pieza</v>
          </cell>
          <cell r="E263">
            <v>424</v>
          </cell>
          <cell r="F263">
            <v>2076.8744385223999</v>
          </cell>
          <cell r="H263">
            <v>0</v>
          </cell>
          <cell r="J263">
            <v>0</v>
          </cell>
          <cell r="M263">
            <v>0</v>
          </cell>
          <cell r="N263">
            <v>0</v>
          </cell>
          <cell r="P263">
            <v>64</v>
          </cell>
          <cell r="R263">
            <v>313.49048128639998</v>
          </cell>
          <cell r="S263">
            <v>0</v>
          </cell>
          <cell r="T263">
            <v>0</v>
          </cell>
          <cell r="U263">
            <v>360</v>
          </cell>
          <cell r="V263">
            <v>4.8982887700999997</v>
          </cell>
          <cell r="W263">
            <v>1763.383957236</v>
          </cell>
          <cell r="X263">
            <v>2.93316</v>
          </cell>
          <cell r="Y263">
            <v>0</v>
          </cell>
          <cell r="Z263">
            <v>4.8982887700999997</v>
          </cell>
          <cell r="AA263">
            <v>1763.383957236</v>
          </cell>
        </row>
        <row r="264">
          <cell r="B264" t="str">
            <v>DPP0012</v>
          </cell>
          <cell r="C264" t="str">
            <v>BARBIJO NO HERMETICO .:. N95  BARBIJO SEGUN NORMA NIOSH</v>
          </cell>
          <cell r="D264" t="str">
            <v>Pieza</v>
          </cell>
          <cell r="E264">
            <v>418</v>
          </cell>
          <cell r="F264">
            <v>3135</v>
          </cell>
          <cell r="H264">
            <v>0</v>
          </cell>
          <cell r="J264">
            <v>0</v>
          </cell>
          <cell r="M264">
            <v>0</v>
          </cell>
          <cell r="N264">
            <v>0</v>
          </cell>
          <cell r="P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418</v>
          </cell>
          <cell r="V264">
            <v>7.5</v>
          </cell>
          <cell r="W264">
            <v>3135</v>
          </cell>
          <cell r="X264">
            <v>2.93316</v>
          </cell>
          <cell r="Y264">
            <v>0</v>
          </cell>
          <cell r="Z264">
            <v>7.5</v>
          </cell>
          <cell r="AA264">
            <v>3135</v>
          </cell>
        </row>
        <row r="265">
          <cell r="B265" t="str">
            <v>DPP003</v>
          </cell>
          <cell r="C265" t="str">
            <v>BARBIJO .:. DESCARTABLE TRIPLE CAPA CON LIGAS</v>
          </cell>
          <cell r="D265" t="str">
            <v>Caja x 50</v>
          </cell>
          <cell r="E265">
            <v>99</v>
          </cell>
          <cell r="F265">
            <v>1279.3777772093999</v>
          </cell>
          <cell r="H265">
            <v>0</v>
          </cell>
          <cell r="J265">
            <v>0</v>
          </cell>
          <cell r="M265">
            <v>0</v>
          </cell>
          <cell r="N265">
            <v>0</v>
          </cell>
          <cell r="P265">
            <v>98</v>
          </cell>
          <cell r="R265">
            <v>1266.4547693587999</v>
          </cell>
          <cell r="S265">
            <v>0</v>
          </cell>
          <cell r="T265">
            <v>0</v>
          </cell>
          <cell r="U265">
            <v>1</v>
          </cell>
          <cell r="V265">
            <v>12.923007850599999</v>
          </cell>
          <cell r="W265">
            <v>12.923007850599999</v>
          </cell>
          <cell r="X265">
            <v>2.93316</v>
          </cell>
          <cell r="Y265">
            <v>0</v>
          </cell>
          <cell r="Z265">
            <v>12.923007850599999</v>
          </cell>
          <cell r="AA265">
            <v>12.923007850599999</v>
          </cell>
        </row>
        <row r="266">
          <cell r="B266" t="str">
            <v>DPP0051</v>
          </cell>
          <cell r="C266" t="str">
            <v xml:space="preserve">CUBRE ZAPATOS  .:. </v>
          </cell>
          <cell r="D266" t="str">
            <v>Pieza</v>
          </cell>
          <cell r="E266">
            <v>778</v>
          </cell>
          <cell r="F266">
            <v>690.22448399999996</v>
          </cell>
          <cell r="H266">
            <v>0</v>
          </cell>
          <cell r="J266">
            <v>0</v>
          </cell>
          <cell r="M266">
            <v>0</v>
          </cell>
          <cell r="N266">
            <v>0</v>
          </cell>
          <cell r="P266">
            <v>100</v>
          </cell>
          <cell r="R266">
            <v>88.717799999999997</v>
          </cell>
          <cell r="S266">
            <v>0</v>
          </cell>
          <cell r="T266">
            <v>0</v>
          </cell>
          <cell r="U266">
            <v>678</v>
          </cell>
          <cell r="V266">
            <v>0.88717800000000002</v>
          </cell>
          <cell r="W266">
            <v>601.50668399999995</v>
          </cell>
          <cell r="X266">
            <v>2.93316</v>
          </cell>
          <cell r="Y266">
            <v>0</v>
          </cell>
          <cell r="Z266">
            <v>0.88717800000000002</v>
          </cell>
          <cell r="AA266">
            <v>601.50668399999995</v>
          </cell>
        </row>
        <row r="267">
          <cell r="B267" t="str">
            <v>DPP007</v>
          </cell>
          <cell r="C267" t="str">
            <v>GORRO DESCARTABLE .:. PARA MUJER EN PLATO</v>
          </cell>
          <cell r="D267" t="str">
            <v>Pieza</v>
          </cell>
          <cell r="E267">
            <v>2172</v>
          </cell>
          <cell r="F267">
            <v>941.64019199999996</v>
          </cell>
          <cell r="H267">
            <v>0</v>
          </cell>
          <cell r="J267">
            <v>0</v>
          </cell>
          <cell r="M267">
            <v>0</v>
          </cell>
          <cell r="N267">
            <v>0</v>
          </cell>
          <cell r="P267">
            <v>450</v>
          </cell>
          <cell r="R267">
            <v>195.09119999999999</v>
          </cell>
          <cell r="S267">
            <v>0</v>
          </cell>
          <cell r="T267">
            <v>0</v>
          </cell>
          <cell r="U267">
            <v>1722</v>
          </cell>
          <cell r="V267">
            <v>0.43353599999999998</v>
          </cell>
          <cell r="W267">
            <v>746.548992</v>
          </cell>
          <cell r="X267">
            <v>2.93316</v>
          </cell>
          <cell r="Y267">
            <v>0</v>
          </cell>
          <cell r="Z267">
            <v>0.43353599999999998</v>
          </cell>
          <cell r="AA267">
            <v>746.548992</v>
          </cell>
        </row>
        <row r="268">
          <cell r="B268" t="str">
            <v>DPP0081</v>
          </cell>
          <cell r="C268" t="str">
            <v>.:.GUANTES DE NITRILO .::. TALLA S .:. GUANTES DE NITRILO</v>
          </cell>
          <cell r="D268" t="str">
            <v>Caja x 100</v>
          </cell>
          <cell r="E268">
            <v>16</v>
          </cell>
          <cell r="F268">
            <v>464</v>
          </cell>
          <cell r="H268">
            <v>40</v>
          </cell>
          <cell r="J268">
            <v>1536</v>
          </cell>
          <cell r="M268">
            <v>0</v>
          </cell>
          <cell r="N268">
            <v>0</v>
          </cell>
          <cell r="P268">
            <v>16</v>
          </cell>
          <cell r="R268">
            <v>464</v>
          </cell>
          <cell r="S268">
            <v>40</v>
          </cell>
          <cell r="T268">
            <v>1536</v>
          </cell>
          <cell r="U268">
            <v>0</v>
          </cell>
          <cell r="V268">
            <v>0</v>
          </cell>
          <cell r="W268">
            <v>0</v>
          </cell>
          <cell r="X268">
            <v>2.93316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DPP0082</v>
          </cell>
          <cell r="C269" t="str">
            <v>GUANTES DE NITRILO.:. M .:. MEDIANO</v>
          </cell>
          <cell r="D269" t="str">
            <v>caja por 100</v>
          </cell>
          <cell r="E269">
            <v>19</v>
          </cell>
          <cell r="F269">
            <v>665</v>
          </cell>
          <cell r="H269">
            <v>70</v>
          </cell>
          <cell r="J269">
            <v>3850</v>
          </cell>
          <cell r="M269">
            <v>40</v>
          </cell>
          <cell r="N269">
            <v>1536</v>
          </cell>
          <cell r="P269">
            <v>77</v>
          </cell>
          <cell r="R269">
            <v>3190.9999999986999</v>
          </cell>
          <cell r="S269">
            <v>0</v>
          </cell>
          <cell r="T269">
            <v>0</v>
          </cell>
          <cell r="U269">
            <v>52</v>
          </cell>
          <cell r="V269">
            <v>55.000000000024997</v>
          </cell>
          <cell r="W269">
            <v>2860.0000000013001</v>
          </cell>
          <cell r="X269">
            <v>2.93316</v>
          </cell>
          <cell r="Y269">
            <v>0</v>
          </cell>
          <cell r="Z269">
            <v>55.000000000024997</v>
          </cell>
          <cell r="AA269">
            <v>2860.0000000013001</v>
          </cell>
        </row>
        <row r="270">
          <cell r="B270" t="str">
            <v>DPP011</v>
          </cell>
          <cell r="C270" t="str">
            <v>GUANTES DESCARTABLES .:. DE LATEX TALLA S</v>
          </cell>
          <cell r="D270" t="str">
            <v>Caja x 100</v>
          </cell>
          <cell r="E270">
            <v>32</v>
          </cell>
          <cell r="F270">
            <v>1280.285593024</v>
          </cell>
          <cell r="H270">
            <v>120</v>
          </cell>
          <cell r="J270">
            <v>5376</v>
          </cell>
          <cell r="M270">
            <v>0</v>
          </cell>
          <cell r="N270">
            <v>0</v>
          </cell>
          <cell r="P270">
            <v>99</v>
          </cell>
          <cell r="R270">
            <v>4281.8855930239997</v>
          </cell>
          <cell r="S270">
            <v>0</v>
          </cell>
          <cell r="T270">
            <v>0</v>
          </cell>
          <cell r="U270">
            <v>53</v>
          </cell>
          <cell r="V270">
            <v>44.8</v>
          </cell>
          <cell r="W270">
            <v>2374.4</v>
          </cell>
          <cell r="X270">
            <v>2.93316</v>
          </cell>
          <cell r="Y270">
            <v>0</v>
          </cell>
          <cell r="Z270">
            <v>44.8</v>
          </cell>
          <cell r="AA270">
            <v>2374.4</v>
          </cell>
        </row>
        <row r="271">
          <cell r="B271" t="str">
            <v>DPP012</v>
          </cell>
          <cell r="C271" t="str">
            <v>GUANTES DESCARTABLES .:. DE LATEX TALLA M</v>
          </cell>
          <cell r="D271" t="str">
            <v>Caja x 100</v>
          </cell>
          <cell r="E271">
            <v>7</v>
          </cell>
          <cell r="F271">
            <v>143.16543007830001</v>
          </cell>
          <cell r="H271">
            <v>150</v>
          </cell>
          <cell r="J271">
            <v>6682</v>
          </cell>
          <cell r="M271">
            <v>0</v>
          </cell>
          <cell r="N271">
            <v>0</v>
          </cell>
          <cell r="P271">
            <v>107</v>
          </cell>
          <cell r="R271">
            <v>4581.3654300783001</v>
          </cell>
          <cell r="S271">
            <v>0</v>
          </cell>
          <cell r="T271">
            <v>0</v>
          </cell>
          <cell r="U271">
            <v>50</v>
          </cell>
          <cell r="V271">
            <v>44.875999999999998</v>
          </cell>
          <cell r="W271">
            <v>2243.8000000000002</v>
          </cell>
          <cell r="X271">
            <v>2.93316</v>
          </cell>
          <cell r="Y271">
            <v>0</v>
          </cell>
          <cell r="Z271">
            <v>44.875999999999998</v>
          </cell>
          <cell r="AA271">
            <v>2243.8000000000002</v>
          </cell>
        </row>
        <row r="272">
          <cell r="B272" t="str">
            <v>DPP015</v>
          </cell>
          <cell r="C272" t="str">
            <v>LENTES DE PROTECCION .:. TRANSPARENTE</v>
          </cell>
          <cell r="D272" t="str">
            <v>Pieza</v>
          </cell>
          <cell r="E272">
            <v>23</v>
          </cell>
          <cell r="F272">
            <v>805</v>
          </cell>
          <cell r="H272">
            <v>0</v>
          </cell>
          <cell r="J272">
            <v>0</v>
          </cell>
          <cell r="M272">
            <v>0</v>
          </cell>
          <cell r="N272">
            <v>0</v>
          </cell>
          <cell r="P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23</v>
          </cell>
          <cell r="V272">
            <v>35</v>
          </cell>
          <cell r="W272">
            <v>805</v>
          </cell>
          <cell r="X272">
            <v>2.93316</v>
          </cell>
          <cell r="Y272">
            <v>0</v>
          </cell>
          <cell r="Z272">
            <v>35</v>
          </cell>
          <cell r="AA272">
            <v>805</v>
          </cell>
        </row>
        <row r="273">
          <cell r="B273" t="str">
            <v>DSC012</v>
          </cell>
          <cell r="C273" t="str">
            <v>SUTURA  CAT GUT CROMADO .:. N° 0 C/AGUJA  4 CM. 1/2 CIRC.</v>
          </cell>
          <cell r="D273" t="str">
            <v>Sobre estéril</v>
          </cell>
          <cell r="E273">
            <v>36</v>
          </cell>
          <cell r="F273">
            <v>502.44206400000002</v>
          </cell>
          <cell r="H273">
            <v>0</v>
          </cell>
          <cell r="J273">
            <v>0</v>
          </cell>
          <cell r="M273">
            <v>0</v>
          </cell>
          <cell r="N273">
            <v>0</v>
          </cell>
          <cell r="P273">
            <v>5</v>
          </cell>
          <cell r="R273">
            <v>69.783619999999999</v>
          </cell>
          <cell r="S273">
            <v>0</v>
          </cell>
          <cell r="T273">
            <v>0</v>
          </cell>
          <cell r="U273">
            <v>31</v>
          </cell>
          <cell r="V273">
            <v>13.956723999999999</v>
          </cell>
          <cell r="W273">
            <v>432.65844399999997</v>
          </cell>
          <cell r="X273">
            <v>2.93316</v>
          </cell>
          <cell r="Y273">
            <v>0</v>
          </cell>
          <cell r="Z273">
            <v>13.956723999999999</v>
          </cell>
          <cell r="AA273">
            <v>432.65844399999997</v>
          </cell>
        </row>
        <row r="274">
          <cell r="B274" t="str">
            <v>DSC013</v>
          </cell>
          <cell r="C274" t="str">
            <v>SUTURA  CAT GUT CROMADO .:. N° 1 C/AGUJA  4.8 CM 1/2 CIRC.</v>
          </cell>
          <cell r="D274" t="str">
            <v>Sobre estéril</v>
          </cell>
          <cell r="E274">
            <v>24</v>
          </cell>
          <cell r="F274">
            <v>408</v>
          </cell>
          <cell r="H274">
            <v>0</v>
          </cell>
          <cell r="J274">
            <v>0</v>
          </cell>
          <cell r="M274">
            <v>0</v>
          </cell>
          <cell r="N274">
            <v>0</v>
          </cell>
          <cell r="P274">
            <v>24</v>
          </cell>
          <cell r="R274">
            <v>408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2.93316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DSC020</v>
          </cell>
          <cell r="C275" t="str">
            <v>SUTURA CAT GUT SIMPLE .:. N° 1C/AGUJA  4.8 CM. 1/2 CIRC.</v>
          </cell>
          <cell r="D275" t="str">
            <v>Sobre estéril</v>
          </cell>
          <cell r="E275">
            <v>14</v>
          </cell>
          <cell r="F275">
            <v>233.8</v>
          </cell>
          <cell r="H275">
            <v>60</v>
          </cell>
          <cell r="J275">
            <v>1020</v>
          </cell>
          <cell r="M275">
            <v>0</v>
          </cell>
          <cell r="N275">
            <v>0</v>
          </cell>
          <cell r="P275">
            <v>45</v>
          </cell>
          <cell r="R275">
            <v>760.8</v>
          </cell>
          <cell r="S275">
            <v>0</v>
          </cell>
          <cell r="T275">
            <v>0</v>
          </cell>
          <cell r="U275">
            <v>29</v>
          </cell>
          <cell r="V275">
            <v>17</v>
          </cell>
          <cell r="W275">
            <v>493</v>
          </cell>
          <cell r="X275">
            <v>2.93316</v>
          </cell>
          <cell r="Y275">
            <v>0</v>
          </cell>
          <cell r="Z275">
            <v>17</v>
          </cell>
          <cell r="AA275">
            <v>493</v>
          </cell>
        </row>
        <row r="276">
          <cell r="B276" t="str">
            <v>DSC021</v>
          </cell>
          <cell r="C276" t="str">
            <v>SUTURA CAT GUT SIMPLE .:. N° 2/0 C/AGUJA 1.7 CM. 3/8 DE CIRC.</v>
          </cell>
          <cell r="D276" t="str">
            <v>Sobre estéril</v>
          </cell>
          <cell r="E276">
            <v>61</v>
          </cell>
          <cell r="F276">
            <v>1088.189736</v>
          </cell>
          <cell r="H276">
            <v>0</v>
          </cell>
          <cell r="J276">
            <v>0</v>
          </cell>
          <cell r="M276">
            <v>0</v>
          </cell>
          <cell r="N276">
            <v>0</v>
          </cell>
          <cell r="P276">
            <v>14</v>
          </cell>
          <cell r="R276">
            <v>249.74846400000001</v>
          </cell>
          <cell r="S276">
            <v>0</v>
          </cell>
          <cell r="T276">
            <v>0</v>
          </cell>
          <cell r="U276">
            <v>47</v>
          </cell>
          <cell r="V276">
            <v>17.839175999999998</v>
          </cell>
          <cell r="W276">
            <v>838.44127200000003</v>
          </cell>
          <cell r="X276">
            <v>2.93316</v>
          </cell>
          <cell r="Y276">
            <v>0</v>
          </cell>
          <cell r="Z276">
            <v>17.839175999999998</v>
          </cell>
          <cell r="AA276">
            <v>838.44127200000003</v>
          </cell>
        </row>
        <row r="277">
          <cell r="B277" t="str">
            <v>DSC023</v>
          </cell>
          <cell r="C277" t="str">
            <v>SUTURA CAT GUT SIMPLE .:. N° 3/0 C/AGUJA 2.5 CM. 1/2 CIRC.</v>
          </cell>
          <cell r="D277" t="str">
            <v>Sobre estéril</v>
          </cell>
          <cell r="E277">
            <v>19</v>
          </cell>
          <cell r="F277">
            <v>292.84115384630002</v>
          </cell>
          <cell r="H277">
            <v>0</v>
          </cell>
          <cell r="J277">
            <v>0</v>
          </cell>
          <cell r="M277">
            <v>0</v>
          </cell>
          <cell r="N277">
            <v>0</v>
          </cell>
          <cell r="P277">
            <v>8</v>
          </cell>
          <cell r="R277">
            <v>123.3015384616</v>
          </cell>
          <cell r="S277">
            <v>0</v>
          </cell>
          <cell r="T277">
            <v>0</v>
          </cell>
          <cell r="U277">
            <v>11</v>
          </cell>
          <cell r="V277">
            <v>15.4126923077</v>
          </cell>
          <cell r="W277">
            <v>169.5396153847</v>
          </cell>
          <cell r="X277">
            <v>2.93316</v>
          </cell>
          <cell r="Y277">
            <v>0</v>
          </cell>
          <cell r="Z277">
            <v>15.4126923077</v>
          </cell>
          <cell r="AA277">
            <v>169.5396153847</v>
          </cell>
        </row>
        <row r="278">
          <cell r="B278" t="str">
            <v>DSC024</v>
          </cell>
          <cell r="C278" t="str">
            <v>SUTURA CAT GUT SIMPLE .:. N° 4/0 C/AGUJA 2.0 CM. 1/2 CIRC.</v>
          </cell>
          <cell r="D278" t="str">
            <v>Sobre estéril</v>
          </cell>
          <cell r="E278">
            <v>19</v>
          </cell>
          <cell r="F278">
            <v>406.64221800000001</v>
          </cell>
          <cell r="H278">
            <v>0</v>
          </cell>
          <cell r="J278">
            <v>0</v>
          </cell>
          <cell r="M278">
            <v>0</v>
          </cell>
          <cell r="N278">
            <v>0</v>
          </cell>
          <cell r="P278">
            <v>1</v>
          </cell>
          <cell r="R278">
            <v>21.402221999999998</v>
          </cell>
          <cell r="S278">
            <v>0</v>
          </cell>
          <cell r="T278">
            <v>0</v>
          </cell>
          <cell r="U278">
            <v>18</v>
          </cell>
          <cell r="V278">
            <v>21.402221999999998</v>
          </cell>
          <cell r="W278">
            <v>385.23999600000002</v>
          </cell>
          <cell r="X278">
            <v>2.93316</v>
          </cell>
          <cell r="Y278">
            <v>0</v>
          </cell>
          <cell r="Z278">
            <v>21.402221999999998</v>
          </cell>
          <cell r="AA278">
            <v>385.23999600000002</v>
          </cell>
        </row>
        <row r="279">
          <cell r="B279" t="str">
            <v>DSC025</v>
          </cell>
          <cell r="C279" t="str">
            <v>SUTURA CAT GUT SIMPLE .:. N° 5/0 C/AGUJA 1.5 CM. 1/2 CIRC.</v>
          </cell>
          <cell r="D279" t="str">
            <v>Sobre estéril</v>
          </cell>
          <cell r="E279">
            <v>66</v>
          </cell>
          <cell r="F279">
            <v>1659.0599520000001</v>
          </cell>
          <cell r="H279">
            <v>0</v>
          </cell>
          <cell r="J279">
            <v>0</v>
          </cell>
          <cell r="M279">
            <v>0</v>
          </cell>
          <cell r="N279">
            <v>0</v>
          </cell>
          <cell r="P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66</v>
          </cell>
          <cell r="V279">
            <v>25.137271999999999</v>
          </cell>
          <cell r="W279">
            <v>1659.0599520000001</v>
          </cell>
          <cell r="X279">
            <v>2.93316</v>
          </cell>
          <cell r="Y279">
            <v>0</v>
          </cell>
          <cell r="Z279">
            <v>25.137271999999999</v>
          </cell>
          <cell r="AA279">
            <v>1659.0599520000001</v>
          </cell>
        </row>
        <row r="280">
          <cell r="B280" t="str">
            <v>DSC029</v>
          </cell>
          <cell r="C280" t="str">
            <v>SUTURA DE SEDA  .:. N° 3/0 C/AGUJA 2.5 1/2 CIRC.</v>
          </cell>
          <cell r="D280" t="str">
            <v>Sobre estéril</v>
          </cell>
          <cell r="E280">
            <v>0</v>
          </cell>
          <cell r="F280">
            <v>0</v>
          </cell>
          <cell r="H280">
            <v>50</v>
          </cell>
          <cell r="J280">
            <v>340</v>
          </cell>
          <cell r="M280">
            <v>0</v>
          </cell>
          <cell r="N280">
            <v>0</v>
          </cell>
          <cell r="P280">
            <v>50</v>
          </cell>
          <cell r="R280">
            <v>340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2.93316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DSC041</v>
          </cell>
          <cell r="C281" t="str">
            <v>SUTURA NYLON .:. N° 1 C/AGUJA 4.0 CM. CUTICULAR</v>
          </cell>
          <cell r="D281" t="str">
            <v>Sobre estéril</v>
          </cell>
          <cell r="E281">
            <v>39</v>
          </cell>
          <cell r="F281">
            <v>363.72538800000001</v>
          </cell>
          <cell r="H281">
            <v>0</v>
          </cell>
          <cell r="J281">
            <v>0</v>
          </cell>
          <cell r="M281">
            <v>0</v>
          </cell>
          <cell r="N281">
            <v>0</v>
          </cell>
          <cell r="P281">
            <v>5</v>
          </cell>
          <cell r="R281">
            <v>46.631459999999997</v>
          </cell>
          <cell r="S281">
            <v>0</v>
          </cell>
          <cell r="T281">
            <v>0</v>
          </cell>
          <cell r="U281">
            <v>34</v>
          </cell>
          <cell r="V281">
            <v>9.3262920000000005</v>
          </cell>
          <cell r="W281">
            <v>317.09392800000001</v>
          </cell>
          <cell r="X281">
            <v>2.93316</v>
          </cell>
          <cell r="Y281">
            <v>0</v>
          </cell>
          <cell r="Z281">
            <v>9.3262920000000005</v>
          </cell>
          <cell r="AA281">
            <v>317.09392800000001</v>
          </cell>
        </row>
        <row r="282">
          <cell r="B282" t="str">
            <v>DSC042</v>
          </cell>
          <cell r="C282" t="str">
            <v>SUTURA NYLON .:. N° 2/0 C/AGUJA 3 CM. CUTICULAR</v>
          </cell>
          <cell r="D282" t="str">
            <v>Sobre estéril</v>
          </cell>
          <cell r="E282">
            <v>65</v>
          </cell>
          <cell r="F282">
            <v>698.60869565500002</v>
          </cell>
          <cell r="H282">
            <v>0</v>
          </cell>
          <cell r="J282">
            <v>0</v>
          </cell>
          <cell r="M282">
            <v>0</v>
          </cell>
          <cell r="N282">
            <v>0</v>
          </cell>
          <cell r="P282">
            <v>53</v>
          </cell>
          <cell r="R282">
            <v>569.63478243700001</v>
          </cell>
          <cell r="S282">
            <v>0</v>
          </cell>
          <cell r="T282">
            <v>0</v>
          </cell>
          <cell r="U282">
            <v>12</v>
          </cell>
          <cell r="V282">
            <v>10.747826101499999</v>
          </cell>
          <cell r="W282">
            <v>128.97391321800001</v>
          </cell>
          <cell r="X282">
            <v>2.93316</v>
          </cell>
          <cell r="Y282">
            <v>0</v>
          </cell>
          <cell r="Z282">
            <v>10.747826101499999</v>
          </cell>
          <cell r="AA282">
            <v>128.97391321800001</v>
          </cell>
        </row>
        <row r="283">
          <cell r="B283" t="str">
            <v>DSC043</v>
          </cell>
          <cell r="C283" t="str">
            <v>SUTURA NYLON .:. N° 3/0 C/AGUJA 2.5 CM CUTICULAR</v>
          </cell>
          <cell r="D283" t="str">
            <v>Sobre estéril</v>
          </cell>
          <cell r="E283">
            <v>37</v>
          </cell>
          <cell r="F283">
            <v>177.6</v>
          </cell>
          <cell r="H283">
            <v>200</v>
          </cell>
          <cell r="J283">
            <v>1540</v>
          </cell>
          <cell r="M283">
            <v>1</v>
          </cell>
          <cell r="N283">
            <v>7.7</v>
          </cell>
          <cell r="P283">
            <v>192</v>
          </cell>
          <cell r="R283">
            <v>1371.1</v>
          </cell>
          <cell r="S283">
            <v>0</v>
          </cell>
          <cell r="T283">
            <v>0</v>
          </cell>
          <cell r="U283">
            <v>46</v>
          </cell>
          <cell r="V283">
            <v>7.7</v>
          </cell>
          <cell r="W283">
            <v>354.2</v>
          </cell>
          <cell r="X283">
            <v>2.93316</v>
          </cell>
          <cell r="Y283">
            <v>0</v>
          </cell>
          <cell r="Z283">
            <v>7.7</v>
          </cell>
          <cell r="AA283">
            <v>354.2</v>
          </cell>
        </row>
        <row r="284">
          <cell r="B284" t="str">
            <v>DSC045</v>
          </cell>
          <cell r="C284" t="str">
            <v>SUTURA NYLON .:. N° 5/0 C/AGUJA 1.5 CM CUTICULAR</v>
          </cell>
          <cell r="D284" t="str">
            <v>Sobre estéril</v>
          </cell>
          <cell r="E284">
            <v>19</v>
          </cell>
          <cell r="F284">
            <v>130.91</v>
          </cell>
          <cell r="H284">
            <v>0</v>
          </cell>
          <cell r="J284">
            <v>0</v>
          </cell>
          <cell r="M284">
            <v>0</v>
          </cell>
          <cell r="N284">
            <v>0</v>
          </cell>
          <cell r="P284">
            <v>7</v>
          </cell>
          <cell r="R284">
            <v>48.23</v>
          </cell>
          <cell r="S284">
            <v>0</v>
          </cell>
          <cell r="T284">
            <v>0</v>
          </cell>
          <cell r="U284">
            <v>12</v>
          </cell>
          <cell r="V284">
            <v>6.89</v>
          </cell>
          <cell r="W284">
            <v>82.68</v>
          </cell>
          <cell r="X284">
            <v>2.93316</v>
          </cell>
          <cell r="Y284">
            <v>0</v>
          </cell>
          <cell r="Z284">
            <v>6.89</v>
          </cell>
          <cell r="AA284">
            <v>82.68</v>
          </cell>
        </row>
        <row r="285">
          <cell r="B285" t="str">
            <v>DSC054</v>
          </cell>
          <cell r="C285" t="str">
            <v>SUTURA POLIGLACTINA 910 .:. RECUBIERTA CON ESTEARATO DE CALCIO  N°1 C/AGUJA 4 CM. 1/2 CIRC.</v>
          </cell>
          <cell r="D285" t="str">
            <v>Sobre estéril</v>
          </cell>
          <cell r="E285">
            <v>64</v>
          </cell>
          <cell r="F285">
            <v>950.93562231680005</v>
          </cell>
          <cell r="H285">
            <v>0</v>
          </cell>
          <cell r="J285">
            <v>0</v>
          </cell>
          <cell r="M285">
            <v>0</v>
          </cell>
          <cell r="N285">
            <v>0</v>
          </cell>
          <cell r="P285">
            <v>64</v>
          </cell>
          <cell r="R285">
            <v>950.93562231680005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2.93316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DSC056</v>
          </cell>
          <cell r="C286" t="str">
            <v>SUTURA POLIGLACTINA 910 .:. RECUBIERTA CON ESTEARATO DE CALCIO  N°3/ 0 C/AGUJA 2.5 CM. 1/2 CIRC.</v>
          </cell>
          <cell r="D286" t="str">
            <v>Sobre estéril</v>
          </cell>
          <cell r="E286">
            <v>42</v>
          </cell>
          <cell r="F286">
            <v>777</v>
          </cell>
          <cell r="H286">
            <v>0</v>
          </cell>
          <cell r="J286">
            <v>0</v>
          </cell>
          <cell r="M286">
            <v>0</v>
          </cell>
          <cell r="N286">
            <v>0</v>
          </cell>
          <cell r="P286">
            <v>42</v>
          </cell>
          <cell r="R286">
            <v>777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2.93316</v>
          </cell>
          <cell r="Y286">
            <v>0</v>
          </cell>
          <cell r="Z286">
            <v>0</v>
          </cell>
          <cell r="AA286">
            <v>0</v>
          </cell>
        </row>
        <row r="287">
          <cell r="B287" t="str">
            <v>DSD015</v>
          </cell>
          <cell r="C287" t="str">
            <v>SONDA DE ASPIRACION .:. CON SISTEMA DE CONTROL DE FLUJO N°14</v>
          </cell>
          <cell r="D287" t="str">
            <v>Sobre estéril</v>
          </cell>
          <cell r="E287">
            <v>34</v>
          </cell>
          <cell r="F287">
            <v>92.14</v>
          </cell>
          <cell r="H287">
            <v>60</v>
          </cell>
          <cell r="J287">
            <v>174</v>
          </cell>
          <cell r="M287">
            <v>0</v>
          </cell>
          <cell r="N287">
            <v>0</v>
          </cell>
          <cell r="P287">
            <v>35</v>
          </cell>
          <cell r="R287">
            <v>97.842500000000001</v>
          </cell>
          <cell r="S287">
            <v>0</v>
          </cell>
          <cell r="T287">
            <v>0</v>
          </cell>
          <cell r="U287">
            <v>59</v>
          </cell>
          <cell r="V287">
            <v>2.8525</v>
          </cell>
          <cell r="W287">
            <v>168.29750000000001</v>
          </cell>
          <cell r="X287">
            <v>2.93316</v>
          </cell>
          <cell r="Y287">
            <v>0</v>
          </cell>
          <cell r="Z287">
            <v>2.8525</v>
          </cell>
          <cell r="AA287">
            <v>168.29750000000001</v>
          </cell>
        </row>
        <row r="288">
          <cell r="B288" t="str">
            <v>DSD016</v>
          </cell>
          <cell r="C288" t="str">
            <v>SONDA DE ASPIRACION .:. CON SISTEMA DE CONTROL DE FLUJO N°16</v>
          </cell>
          <cell r="D288" t="str">
            <v>Sobre estéril</v>
          </cell>
          <cell r="E288">
            <v>22</v>
          </cell>
          <cell r="F288">
            <v>61.82</v>
          </cell>
          <cell r="H288">
            <v>90</v>
          </cell>
          <cell r="J288">
            <v>261</v>
          </cell>
          <cell r="M288">
            <v>4</v>
          </cell>
          <cell r="N288">
            <v>11.6</v>
          </cell>
          <cell r="P288">
            <v>76</v>
          </cell>
          <cell r="R288">
            <v>218.42</v>
          </cell>
          <cell r="S288">
            <v>0</v>
          </cell>
          <cell r="T288">
            <v>0</v>
          </cell>
          <cell r="U288">
            <v>40</v>
          </cell>
          <cell r="V288">
            <v>2.9</v>
          </cell>
          <cell r="W288">
            <v>116</v>
          </cell>
          <cell r="X288">
            <v>2.93316</v>
          </cell>
          <cell r="Y288">
            <v>0</v>
          </cell>
          <cell r="Z288">
            <v>2.9</v>
          </cell>
          <cell r="AA288">
            <v>116</v>
          </cell>
        </row>
        <row r="289">
          <cell r="B289" t="str">
            <v>DSD026</v>
          </cell>
          <cell r="C289" t="str">
            <v>SONDA FOLEY .:. SILICONIZADA 2 VÍAS N° 16 CON PICO LUER</v>
          </cell>
          <cell r="D289" t="str">
            <v>Sobre estéril</v>
          </cell>
          <cell r="E289">
            <v>0</v>
          </cell>
          <cell r="F289">
            <v>0</v>
          </cell>
          <cell r="H289">
            <v>70</v>
          </cell>
          <cell r="J289">
            <v>469</v>
          </cell>
          <cell r="M289">
            <v>0</v>
          </cell>
          <cell r="N289">
            <v>0</v>
          </cell>
          <cell r="P289">
            <v>41</v>
          </cell>
          <cell r="R289">
            <v>274.7</v>
          </cell>
          <cell r="S289">
            <v>0</v>
          </cell>
          <cell r="T289">
            <v>0</v>
          </cell>
          <cell r="U289">
            <v>29</v>
          </cell>
          <cell r="V289">
            <v>6.7</v>
          </cell>
          <cell r="W289">
            <v>194.3</v>
          </cell>
          <cell r="X289">
            <v>2.93316</v>
          </cell>
          <cell r="Y289">
            <v>0</v>
          </cell>
          <cell r="Z289">
            <v>6.7</v>
          </cell>
          <cell r="AA289">
            <v>194.3</v>
          </cell>
        </row>
        <row r="290">
          <cell r="B290" t="str">
            <v>DSD027</v>
          </cell>
          <cell r="C290" t="str">
            <v>SONDA FOLEY .:. SILICONIZADA 2 VIAS N° 18 CON PICO LUER</v>
          </cell>
          <cell r="D290" t="str">
            <v>Sobre estéril</v>
          </cell>
          <cell r="E290">
            <v>18</v>
          </cell>
          <cell r="F290">
            <v>124.02</v>
          </cell>
          <cell r="H290">
            <v>60</v>
          </cell>
          <cell r="J290">
            <v>402</v>
          </cell>
          <cell r="M290">
            <v>36</v>
          </cell>
          <cell r="N290">
            <v>241.42</v>
          </cell>
          <cell r="P290">
            <v>54</v>
          </cell>
          <cell r="R290">
            <v>365.07269949139999</v>
          </cell>
          <cell r="S290">
            <v>34</v>
          </cell>
          <cell r="T290">
            <v>228.00838709819999</v>
          </cell>
          <cell r="U290">
            <v>26</v>
          </cell>
          <cell r="V290">
            <v>6.7061120542461534</v>
          </cell>
          <cell r="W290">
            <v>174.35891341039999</v>
          </cell>
          <cell r="X290">
            <v>2.93316</v>
          </cell>
          <cell r="Y290">
            <v>0</v>
          </cell>
          <cell r="Z290">
            <v>6.7061120542461534</v>
          </cell>
          <cell r="AA290">
            <v>174.35891341039999</v>
          </cell>
        </row>
        <row r="291">
          <cell r="B291" t="str">
            <v>DSD041</v>
          </cell>
          <cell r="C291" t="str">
            <v>SONDA NASOGASTRICA .:. N°16</v>
          </cell>
          <cell r="D291" t="str">
            <v>Sobre estéril</v>
          </cell>
          <cell r="E291">
            <v>23</v>
          </cell>
          <cell r="F291">
            <v>57.04</v>
          </cell>
          <cell r="H291">
            <v>40</v>
          </cell>
          <cell r="J291">
            <v>164</v>
          </cell>
          <cell r="M291">
            <v>0</v>
          </cell>
          <cell r="N291">
            <v>0</v>
          </cell>
          <cell r="P291">
            <v>29</v>
          </cell>
          <cell r="R291">
            <v>81.64</v>
          </cell>
          <cell r="S291">
            <v>0</v>
          </cell>
          <cell r="T291">
            <v>0</v>
          </cell>
          <cell r="U291">
            <v>34</v>
          </cell>
          <cell r="V291">
            <v>4.0999999999999996</v>
          </cell>
          <cell r="W291">
            <v>139.4</v>
          </cell>
          <cell r="X291">
            <v>2.93316</v>
          </cell>
          <cell r="Y291">
            <v>0</v>
          </cell>
          <cell r="Z291">
            <v>4.0999999999999996</v>
          </cell>
          <cell r="AA291">
            <v>139.4</v>
          </cell>
        </row>
        <row r="292">
          <cell r="B292" t="str">
            <v>DSG0031</v>
          </cell>
          <cell r="C292" t="str">
            <v>ALCOHOL EN GEL .:. SOLUCION ALCOHOL 70% C/GLICERINA</v>
          </cell>
          <cell r="D292" t="str">
            <v>Frasco de 5000 ml</v>
          </cell>
          <cell r="E292">
            <v>19</v>
          </cell>
          <cell r="F292">
            <v>2915.4483690000002</v>
          </cell>
          <cell r="H292">
            <v>0</v>
          </cell>
          <cell r="J292">
            <v>0</v>
          </cell>
          <cell r="M292">
            <v>0</v>
          </cell>
          <cell r="N292">
            <v>0</v>
          </cell>
          <cell r="P292">
            <v>14</v>
          </cell>
          <cell r="R292">
            <v>2148.2251139999998</v>
          </cell>
          <cell r="S292">
            <v>0</v>
          </cell>
          <cell r="T292">
            <v>0</v>
          </cell>
          <cell r="U292">
            <v>5</v>
          </cell>
          <cell r="V292">
            <v>153.44465099999999</v>
          </cell>
          <cell r="W292">
            <v>767.22325499999999</v>
          </cell>
          <cell r="X292">
            <v>2.93316</v>
          </cell>
          <cell r="Y292">
            <v>0</v>
          </cell>
          <cell r="Z292">
            <v>153.44465099999999</v>
          </cell>
          <cell r="AA292">
            <v>767.22325499999999</v>
          </cell>
        </row>
        <row r="293">
          <cell r="B293" t="str">
            <v>DSG008</v>
          </cell>
          <cell r="C293" t="str">
            <v>GEL PARA DOOPLER .:. GEL</v>
          </cell>
          <cell r="D293" t="str">
            <v>Frasco de 5000 ml</v>
          </cell>
          <cell r="E293">
            <v>0</v>
          </cell>
          <cell r="F293">
            <v>0</v>
          </cell>
          <cell r="H293">
            <v>3</v>
          </cell>
          <cell r="J293">
            <v>489</v>
          </cell>
          <cell r="M293">
            <v>0</v>
          </cell>
          <cell r="N293">
            <v>0</v>
          </cell>
          <cell r="P293">
            <v>3</v>
          </cell>
          <cell r="R293">
            <v>489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2.93316</v>
          </cell>
          <cell r="Y293">
            <v>0</v>
          </cell>
          <cell r="Z293">
            <v>0</v>
          </cell>
          <cell r="AA293">
            <v>0</v>
          </cell>
        </row>
        <row r="294">
          <cell r="B294" t="str">
            <v>DTO003</v>
          </cell>
          <cell r="C294" t="str">
            <v>BIGOTERA PARA OXIGENO .:. SILICONADO (ADULTO)</v>
          </cell>
          <cell r="D294" t="str">
            <v>Pieza</v>
          </cell>
          <cell r="E294">
            <v>19</v>
          </cell>
          <cell r="F294">
            <v>142.5</v>
          </cell>
          <cell r="H294">
            <v>0</v>
          </cell>
          <cell r="J294">
            <v>0</v>
          </cell>
          <cell r="M294">
            <v>0</v>
          </cell>
          <cell r="N294">
            <v>0</v>
          </cell>
          <cell r="P294">
            <v>8</v>
          </cell>
          <cell r="R294">
            <v>60</v>
          </cell>
          <cell r="S294">
            <v>0</v>
          </cell>
          <cell r="T294">
            <v>0</v>
          </cell>
          <cell r="U294">
            <v>11</v>
          </cell>
          <cell r="V294">
            <v>7.5</v>
          </cell>
          <cell r="W294">
            <v>82.5</v>
          </cell>
          <cell r="X294">
            <v>2.93316</v>
          </cell>
          <cell r="Y294">
            <v>0</v>
          </cell>
          <cell r="Z294">
            <v>7.5</v>
          </cell>
          <cell r="AA294">
            <v>82.5</v>
          </cell>
        </row>
        <row r="295">
          <cell r="B295" t="str">
            <v>DTO006</v>
          </cell>
          <cell r="C295" t="str">
            <v>CANULA DE GUEDELL .:. ADULTO</v>
          </cell>
          <cell r="D295" t="str">
            <v>Juego x 5 piezas</v>
          </cell>
          <cell r="E295">
            <v>24</v>
          </cell>
          <cell r="F295">
            <v>120</v>
          </cell>
          <cell r="H295">
            <v>0</v>
          </cell>
          <cell r="J295">
            <v>0</v>
          </cell>
          <cell r="M295">
            <v>0</v>
          </cell>
          <cell r="N295">
            <v>0</v>
          </cell>
          <cell r="P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24</v>
          </cell>
          <cell r="V295">
            <v>5</v>
          </cell>
          <cell r="W295">
            <v>120</v>
          </cell>
          <cell r="X295">
            <v>2.93316</v>
          </cell>
          <cell r="Y295">
            <v>0</v>
          </cell>
          <cell r="Z295">
            <v>5</v>
          </cell>
          <cell r="AA295">
            <v>120</v>
          </cell>
        </row>
        <row r="296">
          <cell r="B296" t="str">
            <v>DTO013</v>
          </cell>
          <cell r="C296" t="str">
            <v>CANULA DE TRAQUEOSTOMIA .:. NO. 7</v>
          </cell>
          <cell r="D296" t="str">
            <v>Sobre estéril</v>
          </cell>
          <cell r="E296">
            <v>2</v>
          </cell>
          <cell r="F296">
            <v>454</v>
          </cell>
          <cell r="H296">
            <v>0</v>
          </cell>
          <cell r="J296">
            <v>0</v>
          </cell>
          <cell r="M296">
            <v>0</v>
          </cell>
          <cell r="N296">
            <v>0</v>
          </cell>
          <cell r="P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2</v>
          </cell>
          <cell r="V296">
            <v>227</v>
          </cell>
          <cell r="W296">
            <v>454</v>
          </cell>
          <cell r="X296">
            <v>2.93316</v>
          </cell>
          <cell r="Y296">
            <v>0</v>
          </cell>
          <cell r="Z296">
            <v>227</v>
          </cell>
          <cell r="AA296">
            <v>454</v>
          </cell>
        </row>
        <row r="297">
          <cell r="B297" t="str">
            <v>DTO015</v>
          </cell>
          <cell r="C297" t="str">
            <v>CANULA DE TRAQUEOSTOMIA .:. NO. 8</v>
          </cell>
          <cell r="D297" t="str">
            <v>Sobre estéril</v>
          </cell>
          <cell r="E297">
            <v>2</v>
          </cell>
          <cell r="F297">
            <v>454</v>
          </cell>
          <cell r="H297">
            <v>0</v>
          </cell>
          <cell r="J297">
            <v>0</v>
          </cell>
          <cell r="M297">
            <v>0</v>
          </cell>
          <cell r="N297">
            <v>0</v>
          </cell>
          <cell r="P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2</v>
          </cell>
          <cell r="V297">
            <v>227</v>
          </cell>
          <cell r="W297">
            <v>454</v>
          </cell>
          <cell r="X297">
            <v>2.93316</v>
          </cell>
          <cell r="Y297">
            <v>0</v>
          </cell>
          <cell r="Z297">
            <v>227</v>
          </cell>
          <cell r="AA297">
            <v>454</v>
          </cell>
        </row>
        <row r="298">
          <cell r="B298" t="str">
            <v>DTO030</v>
          </cell>
          <cell r="C298" t="str">
            <v>MASCARILLA .:. PARA ADULTO CON RESERVORIO</v>
          </cell>
          <cell r="D298" t="str">
            <v>Pieza</v>
          </cell>
          <cell r="E298">
            <v>24</v>
          </cell>
          <cell r="F298">
            <v>1092</v>
          </cell>
          <cell r="H298">
            <v>0</v>
          </cell>
          <cell r="J298">
            <v>0</v>
          </cell>
          <cell r="M298">
            <v>0</v>
          </cell>
          <cell r="N298">
            <v>0</v>
          </cell>
          <cell r="P298">
            <v>4</v>
          </cell>
          <cell r="R298">
            <v>182</v>
          </cell>
          <cell r="S298">
            <v>0</v>
          </cell>
          <cell r="T298">
            <v>0</v>
          </cell>
          <cell r="U298">
            <v>20</v>
          </cell>
          <cell r="V298">
            <v>45.5</v>
          </cell>
          <cell r="W298">
            <v>910</v>
          </cell>
          <cell r="X298">
            <v>2.93316</v>
          </cell>
          <cell r="Y298">
            <v>0</v>
          </cell>
          <cell r="Z298">
            <v>45.5</v>
          </cell>
          <cell r="AA298">
            <v>910</v>
          </cell>
        </row>
        <row r="299">
          <cell r="B299" t="str">
            <v>DTO039</v>
          </cell>
          <cell r="C299" t="str">
            <v>SISTEMA CERRADO DE ASPIRACION TRAQUEAL .:. NO. 16</v>
          </cell>
          <cell r="D299" t="str">
            <v>Sobre estéril</v>
          </cell>
          <cell r="E299">
            <v>9</v>
          </cell>
          <cell r="F299">
            <v>1269.9999989999999</v>
          </cell>
          <cell r="H299">
            <v>0</v>
          </cell>
          <cell r="J299">
            <v>0</v>
          </cell>
          <cell r="M299">
            <v>0</v>
          </cell>
          <cell r="N299">
            <v>0</v>
          </cell>
          <cell r="P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9</v>
          </cell>
          <cell r="V299">
            <v>141.11111099999999</v>
          </cell>
          <cell r="W299">
            <v>1269.9999989999999</v>
          </cell>
          <cell r="X299">
            <v>2.93316</v>
          </cell>
          <cell r="Y299">
            <v>0</v>
          </cell>
          <cell r="Z299">
            <v>141.11111099999999</v>
          </cell>
          <cell r="AA299">
            <v>1269.9999989999999</v>
          </cell>
        </row>
        <row r="300">
          <cell r="B300" t="str">
            <v>DTO044</v>
          </cell>
          <cell r="C300" t="str">
            <v>TUBO CORRUGADO .:. ADULTO PARA MAQUINA DE ANESTESIA</v>
          </cell>
          <cell r="D300" t="str">
            <v>Sobre estéril</v>
          </cell>
          <cell r="E300">
            <v>0</v>
          </cell>
          <cell r="F300">
            <v>0</v>
          </cell>
          <cell r="H300">
            <v>3</v>
          </cell>
          <cell r="J300">
            <v>825</v>
          </cell>
          <cell r="M300">
            <v>0</v>
          </cell>
          <cell r="N300">
            <v>0</v>
          </cell>
          <cell r="P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3</v>
          </cell>
          <cell r="V300">
            <v>275</v>
          </cell>
          <cell r="W300">
            <v>825</v>
          </cell>
          <cell r="X300">
            <v>2.93316</v>
          </cell>
          <cell r="Y300">
            <v>0</v>
          </cell>
          <cell r="Z300">
            <v>275</v>
          </cell>
          <cell r="AA300">
            <v>825</v>
          </cell>
        </row>
        <row r="301">
          <cell r="B301" t="str">
            <v>DTO051</v>
          </cell>
          <cell r="C301" t="str">
            <v>TUBO ENDOTRAQUEAL .:. PREFORMADO ORAL N°6.5 C/BALON</v>
          </cell>
          <cell r="D301" t="str">
            <v>Sobre estéril</v>
          </cell>
          <cell r="E301">
            <v>12</v>
          </cell>
          <cell r="F301">
            <v>74.16</v>
          </cell>
          <cell r="H301">
            <v>9</v>
          </cell>
          <cell r="J301">
            <v>55.62</v>
          </cell>
          <cell r="M301">
            <v>0</v>
          </cell>
          <cell r="N301">
            <v>0</v>
          </cell>
          <cell r="P301">
            <v>9</v>
          </cell>
          <cell r="R301">
            <v>55.62</v>
          </cell>
          <cell r="S301">
            <v>9</v>
          </cell>
          <cell r="T301">
            <v>55.62</v>
          </cell>
          <cell r="U301">
            <v>3</v>
          </cell>
          <cell r="V301">
            <v>6.18</v>
          </cell>
          <cell r="W301">
            <v>18.54</v>
          </cell>
          <cell r="X301">
            <v>2.93316</v>
          </cell>
          <cell r="Y301">
            <v>0</v>
          </cell>
          <cell r="Z301">
            <v>6.18</v>
          </cell>
          <cell r="AA301">
            <v>18.54</v>
          </cell>
        </row>
        <row r="302">
          <cell r="B302" t="str">
            <v>DTO052</v>
          </cell>
          <cell r="C302" t="str">
            <v>TUBO ENDOTRAQUEAL .:. PREFORMADO ORAL N° 7 C/BALON</v>
          </cell>
          <cell r="D302" t="str">
            <v>Sobre estéril</v>
          </cell>
          <cell r="E302">
            <v>8</v>
          </cell>
          <cell r="F302">
            <v>56</v>
          </cell>
          <cell r="H302">
            <v>40</v>
          </cell>
          <cell r="J302">
            <v>312</v>
          </cell>
          <cell r="M302">
            <v>0</v>
          </cell>
          <cell r="N302">
            <v>0</v>
          </cell>
          <cell r="P302">
            <v>44</v>
          </cell>
          <cell r="R302">
            <v>336.8</v>
          </cell>
          <cell r="S302">
            <v>0</v>
          </cell>
          <cell r="T302">
            <v>0</v>
          </cell>
          <cell r="U302">
            <v>4</v>
          </cell>
          <cell r="V302">
            <v>7.8</v>
          </cell>
          <cell r="W302">
            <v>31.2</v>
          </cell>
          <cell r="X302">
            <v>2.93316</v>
          </cell>
          <cell r="Y302">
            <v>0</v>
          </cell>
          <cell r="Z302">
            <v>7.8</v>
          </cell>
          <cell r="AA302">
            <v>31.2</v>
          </cell>
        </row>
        <row r="303">
          <cell r="B303" t="str">
            <v>DTO053</v>
          </cell>
          <cell r="C303" t="str">
            <v>TUBO ENDOTRAQUEAL .:. PREFORMADO ORAL N° 7.5 C/BALON</v>
          </cell>
          <cell r="D303" t="str">
            <v>Sobre estéril</v>
          </cell>
          <cell r="E303">
            <v>19</v>
          </cell>
          <cell r="F303">
            <v>133</v>
          </cell>
          <cell r="H303">
            <v>35</v>
          </cell>
          <cell r="J303">
            <v>273</v>
          </cell>
          <cell r="M303">
            <v>0</v>
          </cell>
          <cell r="N303">
            <v>0</v>
          </cell>
          <cell r="P303">
            <v>27</v>
          </cell>
          <cell r="R303">
            <v>200.19999999960001</v>
          </cell>
          <cell r="S303">
            <v>0</v>
          </cell>
          <cell r="T303">
            <v>0</v>
          </cell>
          <cell r="U303">
            <v>27</v>
          </cell>
          <cell r="V303">
            <v>7.6222222222370366</v>
          </cell>
          <cell r="W303">
            <v>205.80000000039999</v>
          </cell>
          <cell r="X303">
            <v>2.93316</v>
          </cell>
          <cell r="Y303">
            <v>0</v>
          </cell>
          <cell r="Z303">
            <v>7.6222222222370366</v>
          </cell>
          <cell r="AA303">
            <v>205.80000000039999</v>
          </cell>
        </row>
        <row r="304">
          <cell r="B304" t="str">
            <v>DTO054</v>
          </cell>
          <cell r="C304" t="str">
            <v>TUBO ENDOTRAQUEAL .:. PREFORMADO ORAL N° 8 C/BALON</v>
          </cell>
          <cell r="D304" t="str">
            <v>Sobre estéril</v>
          </cell>
          <cell r="E304">
            <v>10</v>
          </cell>
          <cell r="F304">
            <v>89.519047619000006</v>
          </cell>
          <cell r="H304">
            <v>0</v>
          </cell>
          <cell r="J304">
            <v>0</v>
          </cell>
          <cell r="M304">
            <v>0</v>
          </cell>
          <cell r="N304">
            <v>0</v>
          </cell>
          <cell r="P304">
            <v>9</v>
          </cell>
          <cell r="R304">
            <v>80.567142857099995</v>
          </cell>
          <cell r="S304">
            <v>0</v>
          </cell>
          <cell r="T304">
            <v>0</v>
          </cell>
          <cell r="U304">
            <v>1</v>
          </cell>
          <cell r="V304">
            <v>8.9519047618999998</v>
          </cell>
          <cell r="W304">
            <v>8.9519047618999998</v>
          </cell>
          <cell r="X304">
            <v>2.93316</v>
          </cell>
          <cell r="Y304">
            <v>0</v>
          </cell>
          <cell r="Z304">
            <v>8.9519047618999998</v>
          </cell>
          <cell r="AA304">
            <v>8.9519047618999998</v>
          </cell>
        </row>
        <row r="305">
          <cell r="B305" t="str">
            <v>EX-01-021</v>
          </cell>
          <cell r="C305" t="str">
            <v>DILTIAZEN   DILTIAZEN*   60 MG .:. 60 MG</v>
          </cell>
          <cell r="D305" t="str">
            <v>Comprimido</v>
          </cell>
          <cell r="E305">
            <v>260</v>
          </cell>
          <cell r="F305">
            <v>754</v>
          </cell>
          <cell r="H305">
            <v>240</v>
          </cell>
          <cell r="J305">
            <v>1140</v>
          </cell>
          <cell r="M305">
            <v>0</v>
          </cell>
          <cell r="N305">
            <v>0</v>
          </cell>
          <cell r="P305">
            <v>240</v>
          </cell>
          <cell r="R305">
            <v>696</v>
          </cell>
          <cell r="S305">
            <v>0</v>
          </cell>
          <cell r="T305">
            <v>0</v>
          </cell>
          <cell r="U305">
            <v>260</v>
          </cell>
          <cell r="V305">
            <v>4.6076923076923073</v>
          </cell>
          <cell r="W305">
            <v>1198</v>
          </cell>
          <cell r="X305">
            <v>2.93316</v>
          </cell>
          <cell r="Y305">
            <v>0</v>
          </cell>
          <cell r="Z305">
            <v>4.6076923076923073</v>
          </cell>
          <cell r="AA305">
            <v>1198</v>
          </cell>
        </row>
        <row r="306">
          <cell r="B306" t="str">
            <v>EX-01-16</v>
          </cell>
          <cell r="C306" t="str">
            <v>OCTREOTIDE .:. 100 MCG/ML</v>
          </cell>
          <cell r="D306" t="str">
            <v>Inyectable</v>
          </cell>
          <cell r="E306">
            <v>4</v>
          </cell>
          <cell r="F306">
            <v>418</v>
          </cell>
          <cell r="H306">
            <v>54</v>
          </cell>
          <cell r="J306">
            <v>6117</v>
          </cell>
          <cell r="M306">
            <v>0</v>
          </cell>
          <cell r="N306">
            <v>0</v>
          </cell>
          <cell r="P306">
            <v>58</v>
          </cell>
          <cell r="R306">
            <v>6534.9999999997999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2.0000000000000001E-10</v>
          </cell>
          <cell r="X306">
            <v>2.93316</v>
          </cell>
          <cell r="Y306">
            <v>0</v>
          </cell>
          <cell r="Z306">
            <v>0</v>
          </cell>
          <cell r="AA306">
            <v>2.0000000000000001E-10</v>
          </cell>
        </row>
        <row r="307">
          <cell r="B307" t="str">
            <v>G-01-02</v>
          </cell>
          <cell r="C307" t="str">
            <v>CLOTRIMAZOL .:. 100 mg</v>
          </cell>
          <cell r="D307" t="str">
            <v>Ovulo</v>
          </cell>
          <cell r="E307">
            <v>144</v>
          </cell>
          <cell r="F307">
            <v>199.13559655680001</v>
          </cell>
          <cell r="H307">
            <v>900</v>
          </cell>
          <cell r="J307">
            <v>1413</v>
          </cell>
          <cell r="M307">
            <v>0</v>
          </cell>
          <cell r="N307">
            <v>0</v>
          </cell>
          <cell r="P307">
            <v>769</v>
          </cell>
          <cell r="R307">
            <v>1180.7263669186</v>
          </cell>
          <cell r="S307">
            <v>0</v>
          </cell>
          <cell r="T307">
            <v>0</v>
          </cell>
          <cell r="U307">
            <v>275</v>
          </cell>
          <cell r="V307">
            <v>1.568760835048</v>
          </cell>
          <cell r="W307">
            <v>431.40922963819997</v>
          </cell>
          <cell r="X307">
            <v>2.93316</v>
          </cell>
          <cell r="Y307">
            <v>0</v>
          </cell>
          <cell r="Z307">
            <v>1.568760835048</v>
          </cell>
          <cell r="AA307">
            <v>431.40922963819997</v>
          </cell>
        </row>
        <row r="308">
          <cell r="B308" t="str">
            <v>G-01-03</v>
          </cell>
          <cell r="C308" t="str">
            <v>CLOTRIMAZOL .:. 0.01</v>
          </cell>
          <cell r="D308" t="str">
            <v>Crema vaginal</v>
          </cell>
          <cell r="E308">
            <v>12</v>
          </cell>
          <cell r="F308">
            <v>118.8</v>
          </cell>
          <cell r="H308">
            <v>100</v>
          </cell>
          <cell r="J308">
            <v>1050</v>
          </cell>
          <cell r="M308">
            <v>0</v>
          </cell>
          <cell r="N308">
            <v>0</v>
          </cell>
          <cell r="P308">
            <v>40</v>
          </cell>
          <cell r="R308">
            <v>412.8</v>
          </cell>
          <cell r="S308">
            <v>0</v>
          </cell>
          <cell r="T308">
            <v>0</v>
          </cell>
          <cell r="U308">
            <v>72</v>
          </cell>
          <cell r="V308">
            <v>10.5</v>
          </cell>
          <cell r="W308">
            <v>756</v>
          </cell>
          <cell r="X308">
            <v>2.93316</v>
          </cell>
          <cell r="Y308">
            <v>0</v>
          </cell>
          <cell r="Z308">
            <v>10.5</v>
          </cell>
          <cell r="AA308">
            <v>756</v>
          </cell>
        </row>
        <row r="309">
          <cell r="B309" t="str">
            <v>G-01-04</v>
          </cell>
          <cell r="C309" t="str">
            <v>METRONIDAZOL .:. 500 mg</v>
          </cell>
          <cell r="D309" t="str">
            <v>Óvulo</v>
          </cell>
          <cell r="E309">
            <v>792</v>
          </cell>
          <cell r="F309">
            <v>1345.2188613336</v>
          </cell>
          <cell r="H309">
            <v>1300</v>
          </cell>
          <cell r="J309">
            <v>1612</v>
          </cell>
          <cell r="M309">
            <v>0</v>
          </cell>
          <cell r="N309">
            <v>0</v>
          </cell>
          <cell r="P309">
            <v>1715</v>
          </cell>
          <cell r="R309">
            <v>2430.6608906211</v>
          </cell>
          <cell r="S309">
            <v>0</v>
          </cell>
          <cell r="T309">
            <v>0</v>
          </cell>
          <cell r="U309">
            <v>377</v>
          </cell>
          <cell r="V309">
            <v>1.3967054926061009</v>
          </cell>
          <cell r="W309">
            <v>526.55797071250004</v>
          </cell>
          <cell r="X309">
            <v>2.93316</v>
          </cell>
          <cell r="Y309">
            <v>0</v>
          </cell>
          <cell r="Z309">
            <v>1.3967054926061009</v>
          </cell>
          <cell r="AA309">
            <v>526.55797071250004</v>
          </cell>
        </row>
        <row r="310">
          <cell r="B310" t="str">
            <v>G-02-09</v>
          </cell>
          <cell r="C310" t="str">
            <v>OXITOCINA .:. 5UI/ml a 10 UI/ml</v>
          </cell>
          <cell r="D310" t="str">
            <v>Inyectable</v>
          </cell>
          <cell r="E310">
            <v>12</v>
          </cell>
          <cell r="F310">
            <v>20.399999999999999</v>
          </cell>
          <cell r="H310">
            <v>50</v>
          </cell>
          <cell r="J310">
            <v>85</v>
          </cell>
          <cell r="M310">
            <v>12</v>
          </cell>
          <cell r="N310">
            <v>20.399999999999999</v>
          </cell>
          <cell r="P310">
            <v>61</v>
          </cell>
          <cell r="R310">
            <v>103.7</v>
          </cell>
          <cell r="S310">
            <v>12</v>
          </cell>
          <cell r="T310">
            <v>20.399999999999999</v>
          </cell>
          <cell r="U310">
            <v>1</v>
          </cell>
          <cell r="V310">
            <v>1.7</v>
          </cell>
          <cell r="W310">
            <v>1.7</v>
          </cell>
          <cell r="X310">
            <v>2.93316</v>
          </cell>
          <cell r="Y310">
            <v>0</v>
          </cell>
          <cell r="Z310">
            <v>1.7</v>
          </cell>
          <cell r="AA310">
            <v>1.7</v>
          </cell>
        </row>
        <row r="311">
          <cell r="B311" t="str">
            <v>G-02-11</v>
          </cell>
          <cell r="C311" t="str">
            <v>CABERGOLINA .:. 0.5mg</v>
          </cell>
          <cell r="D311" t="str">
            <v>Comprimido</v>
          </cell>
          <cell r="E311">
            <v>0</v>
          </cell>
          <cell r="F311">
            <v>0</v>
          </cell>
          <cell r="H311">
            <v>150</v>
          </cell>
          <cell r="J311">
            <v>6388.5</v>
          </cell>
          <cell r="M311">
            <v>0</v>
          </cell>
          <cell r="N311">
            <v>0</v>
          </cell>
          <cell r="P311">
            <v>150</v>
          </cell>
          <cell r="R311">
            <v>6388.5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2.93316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G-03-02</v>
          </cell>
          <cell r="C312" t="str">
            <v>CIPROTERONA ACETATO + ESTRADIOL VALERATO .:. 2 mg + 0,035 mg</v>
          </cell>
          <cell r="D312" t="str">
            <v>Ciclo</v>
          </cell>
          <cell r="E312">
            <v>36</v>
          </cell>
          <cell r="F312">
            <v>1481.802012072</v>
          </cell>
          <cell r="H312">
            <v>80</v>
          </cell>
          <cell r="J312">
            <v>3280</v>
          </cell>
          <cell r="M312">
            <v>0</v>
          </cell>
          <cell r="N312">
            <v>0</v>
          </cell>
          <cell r="P312">
            <v>89</v>
          </cell>
          <cell r="R312">
            <v>3654.7482897394002</v>
          </cell>
          <cell r="S312">
            <v>0</v>
          </cell>
          <cell r="T312">
            <v>0</v>
          </cell>
          <cell r="U312">
            <v>27</v>
          </cell>
          <cell r="V312">
            <v>41.001989716022223</v>
          </cell>
          <cell r="W312">
            <v>1107.0537223326</v>
          </cell>
          <cell r="X312">
            <v>2.93316</v>
          </cell>
          <cell r="Y312">
            <v>0</v>
          </cell>
          <cell r="Z312">
            <v>41.001989716022223</v>
          </cell>
          <cell r="AA312">
            <v>1107.0537223326</v>
          </cell>
        </row>
        <row r="313">
          <cell r="B313" t="str">
            <v>G-03-03</v>
          </cell>
          <cell r="C313" t="str">
            <v>CLOMIFENO CITRATO .:. 50 mg</v>
          </cell>
          <cell r="D313" t="str">
            <v>Comprimido</v>
          </cell>
          <cell r="E313">
            <v>100</v>
          </cell>
          <cell r="F313">
            <v>239.63</v>
          </cell>
          <cell r="H313">
            <v>0</v>
          </cell>
          <cell r="J313">
            <v>0</v>
          </cell>
          <cell r="M313">
            <v>0</v>
          </cell>
          <cell r="N313">
            <v>0</v>
          </cell>
          <cell r="P313">
            <v>5</v>
          </cell>
          <cell r="R313">
            <v>11.9815</v>
          </cell>
          <cell r="S313">
            <v>0</v>
          </cell>
          <cell r="T313">
            <v>0</v>
          </cell>
          <cell r="U313">
            <v>95</v>
          </cell>
          <cell r="V313">
            <v>2.3963000000000001</v>
          </cell>
          <cell r="W313">
            <v>227.64850000000001</v>
          </cell>
          <cell r="X313">
            <v>2.93316</v>
          </cell>
          <cell r="Y313">
            <v>0</v>
          </cell>
          <cell r="Z313">
            <v>2.3963000000000001</v>
          </cell>
          <cell r="AA313">
            <v>227.64850000000001</v>
          </cell>
        </row>
        <row r="314">
          <cell r="B314" t="str">
            <v>G-03-12</v>
          </cell>
          <cell r="C314" t="str">
            <v>LEVONORGESTREL + ETINILESTRADIOL .:. 0,150 mg + 0,03 mg</v>
          </cell>
          <cell r="D314" t="str">
            <v>Caja</v>
          </cell>
          <cell r="E314">
            <v>50</v>
          </cell>
          <cell r="F314">
            <v>297.5</v>
          </cell>
          <cell r="H314">
            <v>0</v>
          </cell>
          <cell r="J314">
            <v>0</v>
          </cell>
          <cell r="M314">
            <v>0</v>
          </cell>
          <cell r="N314">
            <v>0</v>
          </cell>
          <cell r="P314">
            <v>23</v>
          </cell>
          <cell r="R314">
            <v>136.85</v>
          </cell>
          <cell r="S314">
            <v>0</v>
          </cell>
          <cell r="T314">
            <v>0</v>
          </cell>
          <cell r="U314">
            <v>27</v>
          </cell>
          <cell r="V314">
            <v>5.95</v>
          </cell>
          <cell r="W314">
            <v>160.65</v>
          </cell>
          <cell r="X314">
            <v>2.93316</v>
          </cell>
          <cell r="Y314">
            <v>0</v>
          </cell>
          <cell r="Z314">
            <v>5.95</v>
          </cell>
          <cell r="AA314">
            <v>160.65</v>
          </cell>
        </row>
        <row r="315">
          <cell r="B315" t="str">
            <v>G-03-18</v>
          </cell>
          <cell r="C315" t="str">
            <v>TESTOSTERONA UNDECANOATO .:. 1000 mg</v>
          </cell>
          <cell r="D315" t="str">
            <v>Inyectable</v>
          </cell>
          <cell r="E315">
            <v>7</v>
          </cell>
          <cell r="F315">
            <v>4486.7083333331002</v>
          </cell>
          <cell r="H315">
            <v>0</v>
          </cell>
          <cell r="J315">
            <v>0</v>
          </cell>
          <cell r="M315">
            <v>0</v>
          </cell>
          <cell r="N315">
            <v>0</v>
          </cell>
          <cell r="P315">
            <v>5</v>
          </cell>
          <cell r="R315">
            <v>3204.7916666665001</v>
          </cell>
          <cell r="S315">
            <v>0</v>
          </cell>
          <cell r="T315">
            <v>0</v>
          </cell>
          <cell r="U315">
            <v>2</v>
          </cell>
          <cell r="V315">
            <v>640.95833333329995</v>
          </cell>
          <cell r="W315">
            <v>1281.9166666665999</v>
          </cell>
          <cell r="X315">
            <v>2.93316</v>
          </cell>
          <cell r="Y315">
            <v>0</v>
          </cell>
          <cell r="Z315">
            <v>640.95833333329995</v>
          </cell>
          <cell r="AA315">
            <v>1281.9166666665999</v>
          </cell>
        </row>
        <row r="316">
          <cell r="B316" t="str">
            <v>G-03-19</v>
          </cell>
          <cell r="C316" t="str">
            <v>LEVONORGESTREL .:. 150 mg</v>
          </cell>
          <cell r="D316" t="str">
            <v>Implante subdérmico</v>
          </cell>
          <cell r="E316">
            <v>1</v>
          </cell>
          <cell r="F316">
            <v>121.41</v>
          </cell>
          <cell r="H316">
            <v>0</v>
          </cell>
          <cell r="J316">
            <v>0</v>
          </cell>
          <cell r="M316">
            <v>0</v>
          </cell>
          <cell r="N316">
            <v>0</v>
          </cell>
          <cell r="P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1</v>
          </cell>
          <cell r="V316">
            <v>121.41</v>
          </cell>
          <cell r="W316">
            <v>121.41</v>
          </cell>
          <cell r="X316">
            <v>2.93316</v>
          </cell>
          <cell r="Y316">
            <v>0</v>
          </cell>
          <cell r="Z316">
            <v>121.41</v>
          </cell>
          <cell r="AA316">
            <v>121.41</v>
          </cell>
        </row>
        <row r="317">
          <cell r="B317" t="str">
            <v>G-03-20</v>
          </cell>
          <cell r="C317" t="str">
            <v>LEVONORGESTREL .:. 1,5 mg</v>
          </cell>
          <cell r="D317" t="str">
            <v>Comprimido</v>
          </cell>
          <cell r="E317">
            <v>5</v>
          </cell>
          <cell r="F317">
            <v>16.8</v>
          </cell>
          <cell r="H317">
            <v>0</v>
          </cell>
          <cell r="J317">
            <v>0</v>
          </cell>
          <cell r="M317">
            <v>0</v>
          </cell>
          <cell r="N317">
            <v>0</v>
          </cell>
          <cell r="P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5</v>
          </cell>
          <cell r="V317">
            <v>3.36</v>
          </cell>
          <cell r="W317">
            <v>16.8</v>
          </cell>
          <cell r="X317">
            <v>2.93316</v>
          </cell>
          <cell r="Y317">
            <v>0</v>
          </cell>
          <cell r="Z317">
            <v>3.36</v>
          </cell>
          <cell r="AA317">
            <v>16.8</v>
          </cell>
        </row>
        <row r="318">
          <cell r="B318" t="str">
            <v>G-03-21</v>
          </cell>
          <cell r="C318" t="str">
            <v>MEDROXIPROGESTERONA ACETATO .:. 104 MG / 0.65 ML</v>
          </cell>
          <cell r="D318" t="str">
            <v>Inyectable</v>
          </cell>
          <cell r="E318">
            <v>3</v>
          </cell>
          <cell r="F318">
            <v>25.92</v>
          </cell>
          <cell r="H318">
            <v>0</v>
          </cell>
          <cell r="J318">
            <v>0</v>
          </cell>
          <cell r="M318">
            <v>0</v>
          </cell>
          <cell r="N318">
            <v>0</v>
          </cell>
          <cell r="P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3</v>
          </cell>
          <cell r="V318">
            <v>8.64</v>
          </cell>
          <cell r="W318">
            <v>25.92</v>
          </cell>
          <cell r="X318">
            <v>2.93316</v>
          </cell>
          <cell r="Y318">
            <v>0</v>
          </cell>
          <cell r="Z318">
            <v>8.64</v>
          </cell>
          <cell r="AA318">
            <v>25.92</v>
          </cell>
        </row>
        <row r="319">
          <cell r="B319" t="str">
            <v>G-04-01</v>
          </cell>
          <cell r="C319" t="str">
            <v>FINASTERIDA .:. 5 mg</v>
          </cell>
          <cell r="D319" t="str">
            <v>Comprimido</v>
          </cell>
          <cell r="E319">
            <v>2380</v>
          </cell>
          <cell r="F319">
            <v>1858.7686136039999</v>
          </cell>
          <cell r="H319">
            <v>5800</v>
          </cell>
          <cell r="J319">
            <v>10962</v>
          </cell>
          <cell r="M319">
            <v>0</v>
          </cell>
          <cell r="N319">
            <v>0</v>
          </cell>
          <cell r="P319">
            <v>8180</v>
          </cell>
          <cell r="R319">
            <v>12820.768613726999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-1.23E-7</v>
          </cell>
          <cell r="X319">
            <v>2.93316</v>
          </cell>
          <cell r="Y319">
            <v>0</v>
          </cell>
          <cell r="Z319">
            <v>0</v>
          </cell>
          <cell r="AA319">
            <v>-1.23E-7</v>
          </cell>
        </row>
        <row r="320">
          <cell r="B320" t="str">
            <v>H-02-01</v>
          </cell>
          <cell r="C320" t="str">
            <v>BETAMETASONA (FOSFATO) .:. 4 mg</v>
          </cell>
          <cell r="D320" t="str">
            <v>Inyectable</v>
          </cell>
          <cell r="E320">
            <v>89</v>
          </cell>
          <cell r="F320">
            <v>321.57547170079999</v>
          </cell>
          <cell r="H320">
            <v>100</v>
          </cell>
          <cell r="J320">
            <v>1500</v>
          </cell>
          <cell r="M320">
            <v>0</v>
          </cell>
          <cell r="N320">
            <v>0</v>
          </cell>
          <cell r="P320">
            <v>122</v>
          </cell>
          <cell r="R320">
            <v>866.48580497440003</v>
          </cell>
          <cell r="S320">
            <v>0</v>
          </cell>
          <cell r="T320">
            <v>0</v>
          </cell>
          <cell r="U320">
            <v>67</v>
          </cell>
          <cell r="V320">
            <v>14.255069652632836</v>
          </cell>
          <cell r="W320">
            <v>955.08966672639997</v>
          </cell>
          <cell r="X320">
            <v>2.93316</v>
          </cell>
          <cell r="Y320">
            <v>0</v>
          </cell>
          <cell r="Z320">
            <v>14.255069652632836</v>
          </cell>
          <cell r="AA320">
            <v>955.08966672639997</v>
          </cell>
        </row>
        <row r="321">
          <cell r="B321" t="str">
            <v>H-02-03</v>
          </cell>
          <cell r="C321" t="str">
            <v>DEXAMETASONA .:. 0,5 mg</v>
          </cell>
          <cell r="D321" t="str">
            <v>Comprimido</v>
          </cell>
          <cell r="E321">
            <v>120</v>
          </cell>
          <cell r="F321">
            <v>50.4</v>
          </cell>
          <cell r="H321">
            <v>0</v>
          </cell>
          <cell r="J321">
            <v>0</v>
          </cell>
          <cell r="M321">
            <v>0</v>
          </cell>
          <cell r="N321">
            <v>0</v>
          </cell>
          <cell r="P321">
            <v>45</v>
          </cell>
          <cell r="R321">
            <v>18.899999999999999</v>
          </cell>
          <cell r="S321">
            <v>0</v>
          </cell>
          <cell r="T321">
            <v>0</v>
          </cell>
          <cell r="U321">
            <v>75</v>
          </cell>
          <cell r="V321">
            <v>0.42</v>
          </cell>
          <cell r="W321">
            <v>31.5</v>
          </cell>
          <cell r="X321">
            <v>2.93316</v>
          </cell>
          <cell r="Y321">
            <v>0</v>
          </cell>
          <cell r="Z321">
            <v>0.42</v>
          </cell>
          <cell r="AA321">
            <v>31.5</v>
          </cell>
        </row>
        <row r="322">
          <cell r="B322" t="str">
            <v>H-02-04</v>
          </cell>
          <cell r="C322" t="str">
            <v>DEXAMETASONA .:. 4 mg/ml</v>
          </cell>
          <cell r="D322" t="str">
            <v>Inyectable</v>
          </cell>
          <cell r="E322">
            <v>2763</v>
          </cell>
          <cell r="F322">
            <v>1750.7402779419001</v>
          </cell>
          <cell r="H322">
            <v>3800</v>
          </cell>
          <cell r="J322">
            <v>3230</v>
          </cell>
          <cell r="M322">
            <v>83</v>
          </cell>
          <cell r="N322">
            <v>63.848396000000001</v>
          </cell>
          <cell r="P322">
            <v>5063</v>
          </cell>
          <cell r="R322">
            <v>3803.9525747223001</v>
          </cell>
          <cell r="S322">
            <v>0</v>
          </cell>
          <cell r="T322">
            <v>0</v>
          </cell>
          <cell r="U322">
            <v>1583</v>
          </cell>
          <cell r="V322">
            <v>0.78372463627264688</v>
          </cell>
          <cell r="W322">
            <v>1240.6360992196001</v>
          </cell>
          <cell r="X322">
            <v>2.93316</v>
          </cell>
          <cell r="Y322">
            <v>0</v>
          </cell>
          <cell r="Z322">
            <v>0.78372463627264688</v>
          </cell>
          <cell r="AA322">
            <v>1240.6360992196001</v>
          </cell>
        </row>
        <row r="323">
          <cell r="B323" t="str">
            <v>H-02-05</v>
          </cell>
          <cell r="C323" t="str">
            <v>HIDROCORTISONA SUCCINATO SODICO .:. 100 mg</v>
          </cell>
          <cell r="D323" t="str">
            <v>Inyectable</v>
          </cell>
          <cell r="E323">
            <v>68</v>
          </cell>
          <cell r="F323">
            <v>612</v>
          </cell>
          <cell r="H323">
            <v>550</v>
          </cell>
          <cell r="J323">
            <v>4944.5</v>
          </cell>
          <cell r="M323">
            <v>74</v>
          </cell>
          <cell r="N323">
            <v>665.30306800000005</v>
          </cell>
          <cell r="P323">
            <v>619</v>
          </cell>
          <cell r="R323">
            <v>5565.4905707761</v>
          </cell>
          <cell r="S323">
            <v>0</v>
          </cell>
          <cell r="T323">
            <v>0</v>
          </cell>
          <cell r="U323">
            <v>73</v>
          </cell>
          <cell r="V323">
            <v>8.9905821537520545</v>
          </cell>
          <cell r="W323">
            <v>656.31249722389998</v>
          </cell>
          <cell r="X323">
            <v>2.93316</v>
          </cell>
          <cell r="Y323">
            <v>0</v>
          </cell>
          <cell r="Z323">
            <v>8.9905821537520545</v>
          </cell>
          <cell r="AA323">
            <v>656.31249722389998</v>
          </cell>
        </row>
        <row r="324">
          <cell r="B324" t="str">
            <v>H-02-06</v>
          </cell>
          <cell r="C324" t="str">
            <v>HIDROCORTISONA SUCCINATO SODICO .:. 250 mg</v>
          </cell>
          <cell r="D324" t="str">
            <v>Inyectable</v>
          </cell>
          <cell r="E324">
            <v>13</v>
          </cell>
          <cell r="F324">
            <v>299</v>
          </cell>
          <cell r="H324">
            <v>150</v>
          </cell>
          <cell r="J324">
            <v>3900</v>
          </cell>
          <cell r="M324">
            <v>0</v>
          </cell>
          <cell r="N324">
            <v>0</v>
          </cell>
          <cell r="P324">
            <v>103</v>
          </cell>
          <cell r="R324">
            <v>2519.0000000007999</v>
          </cell>
          <cell r="S324">
            <v>0</v>
          </cell>
          <cell r="T324">
            <v>0</v>
          </cell>
          <cell r="U324">
            <v>60</v>
          </cell>
          <cell r="V324">
            <v>27.999999999986667</v>
          </cell>
          <cell r="W324">
            <v>1679.9999999992001</v>
          </cell>
          <cell r="X324">
            <v>2.93316</v>
          </cell>
          <cell r="Y324">
            <v>0</v>
          </cell>
          <cell r="Z324">
            <v>27.999999999986667</v>
          </cell>
          <cell r="AA324">
            <v>1679.9999999992001</v>
          </cell>
        </row>
        <row r="325">
          <cell r="B325" t="str">
            <v>H-02-07</v>
          </cell>
          <cell r="C325" t="str">
            <v>METILPREDNISOLONA SUCCINATO SODICO .:. 500 mg</v>
          </cell>
          <cell r="D325" t="str">
            <v>Inyectable</v>
          </cell>
          <cell r="E325">
            <v>10</v>
          </cell>
          <cell r="F325">
            <v>657.99350636400004</v>
          </cell>
          <cell r="H325">
            <v>0</v>
          </cell>
          <cell r="J325">
            <v>0</v>
          </cell>
          <cell r="M325">
            <v>0</v>
          </cell>
          <cell r="N325">
            <v>0</v>
          </cell>
          <cell r="P325">
            <v>10</v>
          </cell>
          <cell r="R325">
            <v>657.99350636400004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2.93316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H-02-08</v>
          </cell>
          <cell r="C326" t="str">
            <v>PREDNISONA .:. 5 mg</v>
          </cell>
          <cell r="D326" t="str">
            <v>Comprimido</v>
          </cell>
          <cell r="E326">
            <v>1232</v>
          </cell>
          <cell r="F326">
            <v>343.31772576639997</v>
          </cell>
          <cell r="H326">
            <v>16000</v>
          </cell>
          <cell r="J326">
            <v>5680</v>
          </cell>
          <cell r="M326">
            <v>0</v>
          </cell>
          <cell r="N326">
            <v>0</v>
          </cell>
          <cell r="P326">
            <v>12403</v>
          </cell>
          <cell r="R326">
            <v>3705.3977259327999</v>
          </cell>
          <cell r="S326">
            <v>0</v>
          </cell>
          <cell r="T326">
            <v>0</v>
          </cell>
          <cell r="U326">
            <v>4829</v>
          </cell>
          <cell r="V326">
            <v>0.47999999996554155</v>
          </cell>
          <cell r="W326">
            <v>2317.9199998335998</v>
          </cell>
          <cell r="X326">
            <v>2.93316</v>
          </cell>
          <cell r="Y326">
            <v>0</v>
          </cell>
          <cell r="Z326">
            <v>0.47999999996554155</v>
          </cell>
          <cell r="AA326">
            <v>2317.9199998335998</v>
          </cell>
        </row>
        <row r="327">
          <cell r="B327" t="str">
            <v>H-02-09</v>
          </cell>
          <cell r="C327" t="str">
            <v>PREDNISONA .:. 20 mg</v>
          </cell>
          <cell r="D327" t="str">
            <v>Comprimido ranurado</v>
          </cell>
          <cell r="E327">
            <v>778</v>
          </cell>
          <cell r="F327">
            <v>465.54251579919998</v>
          </cell>
          <cell r="H327">
            <v>1800</v>
          </cell>
          <cell r="J327">
            <v>1242</v>
          </cell>
          <cell r="M327">
            <v>0</v>
          </cell>
          <cell r="N327">
            <v>0</v>
          </cell>
          <cell r="P327">
            <v>1668</v>
          </cell>
          <cell r="R327">
            <v>1100.0391575874</v>
          </cell>
          <cell r="S327">
            <v>0</v>
          </cell>
          <cell r="T327">
            <v>0</v>
          </cell>
          <cell r="U327">
            <v>910</v>
          </cell>
          <cell r="V327">
            <v>0.66758610792505491</v>
          </cell>
          <cell r="W327">
            <v>607.50335821179999</v>
          </cell>
          <cell r="X327">
            <v>2.93316</v>
          </cell>
          <cell r="Y327">
            <v>0</v>
          </cell>
          <cell r="Z327">
            <v>0.66758610792505491</v>
          </cell>
          <cell r="AA327">
            <v>607.50335821179999</v>
          </cell>
        </row>
        <row r="328">
          <cell r="B328" t="str">
            <v>H-03-01</v>
          </cell>
          <cell r="C328" t="str">
            <v>LEVOTIROXINA SODICA .:. 0,1 mg</v>
          </cell>
          <cell r="D328" t="str">
            <v>Comprimido ranurado</v>
          </cell>
          <cell r="E328">
            <v>1070</v>
          </cell>
          <cell r="F328">
            <v>535</v>
          </cell>
          <cell r="H328">
            <v>52000</v>
          </cell>
          <cell r="J328">
            <v>26000</v>
          </cell>
          <cell r="M328">
            <v>15</v>
          </cell>
          <cell r="N328">
            <v>7.5</v>
          </cell>
          <cell r="P328">
            <v>36762</v>
          </cell>
          <cell r="R328">
            <v>18381</v>
          </cell>
          <cell r="S328">
            <v>0</v>
          </cell>
          <cell r="T328">
            <v>0</v>
          </cell>
          <cell r="U328">
            <v>16323</v>
          </cell>
          <cell r="V328">
            <v>0.5</v>
          </cell>
          <cell r="W328">
            <v>8161.5</v>
          </cell>
          <cell r="X328">
            <v>2.93316</v>
          </cell>
          <cell r="Y328">
            <v>0</v>
          </cell>
          <cell r="Z328">
            <v>0.5</v>
          </cell>
          <cell r="AA328">
            <v>8161.5</v>
          </cell>
        </row>
        <row r="329">
          <cell r="B329" t="str">
            <v>J-01-04</v>
          </cell>
          <cell r="C329" t="str">
            <v>AMIKACINA .:. 500 mg/ 2ml</v>
          </cell>
          <cell r="D329" t="str">
            <v>Inyectable</v>
          </cell>
          <cell r="E329">
            <v>461</v>
          </cell>
          <cell r="F329">
            <v>2028.4</v>
          </cell>
          <cell r="H329">
            <v>365</v>
          </cell>
          <cell r="J329">
            <v>2555</v>
          </cell>
          <cell r="M329">
            <v>52</v>
          </cell>
          <cell r="N329">
            <v>247</v>
          </cell>
          <cell r="P329">
            <v>365</v>
          </cell>
          <cell r="R329">
            <v>2131.1999999999998</v>
          </cell>
          <cell r="S329">
            <v>343</v>
          </cell>
          <cell r="T329">
            <v>1509.2</v>
          </cell>
          <cell r="U329">
            <v>170</v>
          </cell>
          <cell r="V329">
            <v>7</v>
          </cell>
          <cell r="W329">
            <v>1190</v>
          </cell>
          <cell r="X329">
            <v>2.93316</v>
          </cell>
          <cell r="Y329">
            <v>0</v>
          </cell>
          <cell r="Z329">
            <v>7</v>
          </cell>
          <cell r="AA329">
            <v>1190</v>
          </cell>
        </row>
        <row r="330">
          <cell r="B330" t="str">
            <v>J-01-05</v>
          </cell>
          <cell r="C330" t="str">
            <v>AMOXICILINA .:. 1 g</v>
          </cell>
          <cell r="D330" t="str">
            <v>Comprimido</v>
          </cell>
          <cell r="E330">
            <v>1364</v>
          </cell>
          <cell r="F330">
            <v>1308.1216128420001</v>
          </cell>
          <cell r="H330">
            <v>1900</v>
          </cell>
          <cell r="J330">
            <v>1900</v>
          </cell>
          <cell r="M330">
            <v>650</v>
          </cell>
          <cell r="N330">
            <v>1300</v>
          </cell>
          <cell r="P330">
            <v>3456</v>
          </cell>
          <cell r="R330">
            <v>3592.1216127533999</v>
          </cell>
          <cell r="S330">
            <v>0</v>
          </cell>
          <cell r="T330">
            <v>0</v>
          </cell>
          <cell r="U330">
            <v>458</v>
          </cell>
          <cell r="V330">
            <v>2.0000000001934497</v>
          </cell>
          <cell r="W330">
            <v>916.00000008860002</v>
          </cell>
          <cell r="X330">
            <v>2.93316</v>
          </cell>
          <cell r="Y330">
            <v>0</v>
          </cell>
          <cell r="Z330">
            <v>2.0000000001934497</v>
          </cell>
          <cell r="AA330">
            <v>916.00000008860002</v>
          </cell>
        </row>
        <row r="331">
          <cell r="B331" t="str">
            <v>J-01-06</v>
          </cell>
          <cell r="C331" t="str">
            <v>AMOXICILINA .:. 500 mg</v>
          </cell>
          <cell r="D331" t="str">
            <v>Comprimido</v>
          </cell>
          <cell r="E331">
            <v>828</v>
          </cell>
          <cell r="F331">
            <v>447.56249561999999</v>
          </cell>
          <cell r="H331">
            <v>1000</v>
          </cell>
          <cell r="J331">
            <v>700</v>
          </cell>
          <cell r="M331">
            <v>0</v>
          </cell>
          <cell r="N331">
            <v>0</v>
          </cell>
          <cell r="P331">
            <v>1006</v>
          </cell>
          <cell r="R331">
            <v>572.55456154709998</v>
          </cell>
          <cell r="S331">
            <v>0</v>
          </cell>
          <cell r="T331">
            <v>0</v>
          </cell>
          <cell r="U331">
            <v>822</v>
          </cell>
          <cell r="V331">
            <v>0.6995230341519465</v>
          </cell>
          <cell r="W331">
            <v>575.00793407289996</v>
          </cell>
          <cell r="X331">
            <v>2.93316</v>
          </cell>
          <cell r="Y331">
            <v>0</v>
          </cell>
          <cell r="Z331">
            <v>0.6995230341519465</v>
          </cell>
          <cell r="AA331">
            <v>575.00793407289996</v>
          </cell>
        </row>
        <row r="332">
          <cell r="B332" t="str">
            <v>J-01-10</v>
          </cell>
          <cell r="C332" t="str">
            <v>AMOXICILINA + INHIBIDOR BETALACTAMASA .:. 250 mg + Según disponibilidad</v>
          </cell>
          <cell r="D332" t="str">
            <v>Suspensión</v>
          </cell>
          <cell r="E332">
            <v>60</v>
          </cell>
          <cell r="F332">
            <v>2945.2173913020001</v>
          </cell>
          <cell r="H332">
            <v>0</v>
          </cell>
          <cell r="J332">
            <v>0</v>
          </cell>
          <cell r="M332">
            <v>40</v>
          </cell>
          <cell r="N332">
            <v>1963.48</v>
          </cell>
          <cell r="P332">
            <v>22</v>
          </cell>
          <cell r="R332">
            <v>1079.9131304340001</v>
          </cell>
          <cell r="S332">
            <v>40</v>
          </cell>
          <cell r="T332">
            <v>1963.478260868</v>
          </cell>
          <cell r="U332">
            <v>38</v>
          </cell>
          <cell r="V332">
            <v>49.087000000000003</v>
          </cell>
          <cell r="W332">
            <v>1865.306</v>
          </cell>
          <cell r="X332">
            <v>2.93316</v>
          </cell>
          <cell r="Y332">
            <v>0</v>
          </cell>
          <cell r="Z332">
            <v>49.087000000000003</v>
          </cell>
          <cell r="AA332">
            <v>1865.306</v>
          </cell>
        </row>
        <row r="333">
          <cell r="B333" t="str">
            <v>J-01-12</v>
          </cell>
          <cell r="C333" t="str">
            <v>AMPICILINA .:. 1 g</v>
          </cell>
          <cell r="D333" t="str">
            <v>Inyectable</v>
          </cell>
          <cell r="E333">
            <v>150</v>
          </cell>
          <cell r="F333">
            <v>706.35021533999998</v>
          </cell>
          <cell r="H333">
            <v>0</v>
          </cell>
          <cell r="J333">
            <v>0</v>
          </cell>
          <cell r="M333">
            <v>0</v>
          </cell>
          <cell r="N333">
            <v>0</v>
          </cell>
          <cell r="P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150</v>
          </cell>
          <cell r="V333">
            <v>4.7090014356000003</v>
          </cell>
          <cell r="W333">
            <v>706.35021533999998</v>
          </cell>
          <cell r="X333">
            <v>2.93316</v>
          </cell>
          <cell r="Y333">
            <v>0</v>
          </cell>
          <cell r="Z333">
            <v>4.7090014356000003</v>
          </cell>
          <cell r="AA333">
            <v>706.35021533999998</v>
          </cell>
        </row>
        <row r="334">
          <cell r="B334" t="str">
            <v>J-01-13</v>
          </cell>
          <cell r="C334" t="str">
            <v>AZITROMICINA .:. 500 mg</v>
          </cell>
          <cell r="D334" t="str">
            <v>Comprimido</v>
          </cell>
          <cell r="E334">
            <v>1275</v>
          </cell>
          <cell r="F334">
            <v>4016.3125667999998</v>
          </cell>
          <cell r="H334">
            <v>1500</v>
          </cell>
          <cell r="J334">
            <v>4950</v>
          </cell>
          <cell r="M334">
            <v>3</v>
          </cell>
          <cell r="N334">
            <v>9.7068119999999993</v>
          </cell>
          <cell r="P334">
            <v>2224</v>
          </cell>
          <cell r="R334">
            <v>7183.4942415916003</v>
          </cell>
          <cell r="S334">
            <v>0</v>
          </cell>
          <cell r="T334">
            <v>0</v>
          </cell>
          <cell r="U334">
            <v>554</v>
          </cell>
          <cell r="V334">
            <v>3.2356049408093863</v>
          </cell>
          <cell r="W334">
            <v>1792.5251372084001</v>
          </cell>
          <cell r="X334">
            <v>2.93316</v>
          </cell>
          <cell r="Y334">
            <v>0</v>
          </cell>
          <cell r="Z334">
            <v>3.2356049408093863</v>
          </cell>
          <cell r="AA334">
            <v>1792.5251372084001</v>
          </cell>
        </row>
        <row r="335">
          <cell r="B335" t="str">
            <v>J-01-15</v>
          </cell>
          <cell r="C335" t="str">
            <v>BENCILPENICILINA BENZATINICA .:. 1.200.000 UI</v>
          </cell>
          <cell r="D335" t="str">
            <v>Inyectable</v>
          </cell>
          <cell r="E335">
            <v>76</v>
          </cell>
          <cell r="F335">
            <v>205.2</v>
          </cell>
          <cell r="H335">
            <v>180</v>
          </cell>
          <cell r="J335">
            <v>1080</v>
          </cell>
          <cell r="M335">
            <v>0</v>
          </cell>
          <cell r="N335">
            <v>0</v>
          </cell>
          <cell r="P335">
            <v>108</v>
          </cell>
          <cell r="R335">
            <v>430.09740932850002</v>
          </cell>
          <cell r="S335">
            <v>0</v>
          </cell>
          <cell r="T335">
            <v>0</v>
          </cell>
          <cell r="U335">
            <v>148</v>
          </cell>
          <cell r="V335">
            <v>5.7777202072398648</v>
          </cell>
          <cell r="W335">
            <v>855.10259067150002</v>
          </cell>
          <cell r="X335">
            <v>2.93316</v>
          </cell>
          <cell r="Y335">
            <v>0</v>
          </cell>
          <cell r="Z335">
            <v>5.7777202072398648</v>
          </cell>
          <cell r="AA335">
            <v>855.10259067150002</v>
          </cell>
        </row>
        <row r="336">
          <cell r="B336" t="str">
            <v>J-01-16</v>
          </cell>
          <cell r="C336" t="str">
            <v>BENCILPENICILINA BENZATINICA .:. 2.400.000 UI</v>
          </cell>
          <cell r="D336" t="str">
            <v>Inyectable</v>
          </cell>
          <cell r="E336">
            <v>136</v>
          </cell>
          <cell r="F336">
            <v>860.18453541279996</v>
          </cell>
          <cell r="H336">
            <v>450</v>
          </cell>
          <cell r="J336">
            <v>3037.5</v>
          </cell>
          <cell r="M336">
            <v>0</v>
          </cell>
          <cell r="N336">
            <v>0</v>
          </cell>
          <cell r="P336">
            <v>450</v>
          </cell>
          <cell r="R336">
            <v>2979.6845354128</v>
          </cell>
          <cell r="S336">
            <v>0</v>
          </cell>
          <cell r="T336">
            <v>0</v>
          </cell>
          <cell r="U336">
            <v>136</v>
          </cell>
          <cell r="V336">
            <v>6.75</v>
          </cell>
          <cell r="W336">
            <v>918</v>
          </cell>
          <cell r="X336">
            <v>2.93316</v>
          </cell>
          <cell r="Y336">
            <v>0</v>
          </cell>
          <cell r="Z336">
            <v>6.75</v>
          </cell>
          <cell r="AA336">
            <v>918</v>
          </cell>
        </row>
        <row r="337">
          <cell r="B337" t="str">
            <v>J-01-18</v>
          </cell>
          <cell r="C337" t="str">
            <v>BENCILPENICILINA PROCAINICA .:. 800.000 UI</v>
          </cell>
          <cell r="D337" t="str">
            <v>Inyectable</v>
          </cell>
          <cell r="E337">
            <v>14</v>
          </cell>
          <cell r="F337">
            <v>60.480901895400002</v>
          </cell>
          <cell r="H337">
            <v>0</v>
          </cell>
          <cell r="J337">
            <v>0</v>
          </cell>
          <cell r="M337">
            <v>0</v>
          </cell>
          <cell r="N337">
            <v>0</v>
          </cell>
          <cell r="P337">
            <v>3</v>
          </cell>
          <cell r="R337">
            <v>12.960193263300001</v>
          </cell>
          <cell r="S337">
            <v>0</v>
          </cell>
          <cell r="T337">
            <v>0</v>
          </cell>
          <cell r="U337">
            <v>11</v>
          </cell>
          <cell r="V337">
            <v>4.3200644210999997</v>
          </cell>
          <cell r="W337">
            <v>47.520708632100003</v>
          </cell>
          <cell r="X337">
            <v>2.93316</v>
          </cell>
          <cell r="Y337">
            <v>0</v>
          </cell>
          <cell r="Z337">
            <v>4.3200644210999997</v>
          </cell>
          <cell r="AA337">
            <v>47.520708632100003</v>
          </cell>
        </row>
        <row r="338">
          <cell r="B338" t="str">
            <v>J-01-21</v>
          </cell>
          <cell r="C338" t="str">
            <v>CEFAZOLINA .:. 1 g</v>
          </cell>
          <cell r="D338" t="str">
            <v>Inyectable</v>
          </cell>
          <cell r="E338">
            <v>65</v>
          </cell>
          <cell r="F338">
            <v>390</v>
          </cell>
          <cell r="H338">
            <v>300</v>
          </cell>
          <cell r="J338">
            <v>2550</v>
          </cell>
          <cell r="M338">
            <v>13</v>
          </cell>
          <cell r="N338">
            <v>108</v>
          </cell>
          <cell r="P338">
            <v>251</v>
          </cell>
          <cell r="R338">
            <v>1968.5</v>
          </cell>
          <cell r="S338">
            <v>0</v>
          </cell>
          <cell r="T338">
            <v>0</v>
          </cell>
          <cell r="U338">
            <v>127</v>
          </cell>
          <cell r="V338">
            <v>8.5</v>
          </cell>
          <cell r="W338">
            <v>1079.5</v>
          </cell>
          <cell r="X338">
            <v>2.93316</v>
          </cell>
          <cell r="Y338">
            <v>0</v>
          </cell>
          <cell r="Z338">
            <v>8.5</v>
          </cell>
          <cell r="AA338">
            <v>1079.5</v>
          </cell>
        </row>
        <row r="339">
          <cell r="B339" t="str">
            <v>J-01-22</v>
          </cell>
          <cell r="C339" t="str">
            <v>CEFOTAXIMA .:. 1 g</v>
          </cell>
          <cell r="D339" t="str">
            <v>Inyectable</v>
          </cell>
          <cell r="E339">
            <v>248</v>
          </cell>
          <cell r="F339">
            <v>1483.0552118736</v>
          </cell>
          <cell r="H339">
            <v>800</v>
          </cell>
          <cell r="J339">
            <v>4480</v>
          </cell>
          <cell r="M339">
            <v>45</v>
          </cell>
          <cell r="N339">
            <v>254.76608400000001</v>
          </cell>
          <cell r="P339">
            <v>636</v>
          </cell>
          <cell r="R339">
            <v>3630.5245551735002</v>
          </cell>
          <cell r="S339">
            <v>0</v>
          </cell>
          <cell r="T339">
            <v>0</v>
          </cell>
          <cell r="U339">
            <v>457</v>
          </cell>
          <cell r="V339">
            <v>5.6614808330417947</v>
          </cell>
          <cell r="W339">
            <v>2587.2967407001001</v>
          </cell>
          <cell r="X339">
            <v>2.93316</v>
          </cell>
          <cell r="Y339">
            <v>0</v>
          </cell>
          <cell r="Z339">
            <v>5.6614808330417947</v>
          </cell>
          <cell r="AA339">
            <v>2587.2967407001001</v>
          </cell>
        </row>
        <row r="340">
          <cell r="B340" t="str">
            <v>J-01-23</v>
          </cell>
          <cell r="C340" t="str">
            <v>CEFRADINA .:. 500 mg</v>
          </cell>
          <cell r="D340" t="str">
            <v>Cápsula o Comprimido</v>
          </cell>
          <cell r="E340">
            <v>84</v>
          </cell>
          <cell r="F340">
            <v>92.4</v>
          </cell>
          <cell r="H340">
            <v>0</v>
          </cell>
          <cell r="J340">
            <v>0</v>
          </cell>
          <cell r="M340">
            <v>0</v>
          </cell>
          <cell r="N340">
            <v>0</v>
          </cell>
          <cell r="P340">
            <v>48</v>
          </cell>
          <cell r="R340">
            <v>52.8</v>
          </cell>
          <cell r="S340">
            <v>0</v>
          </cell>
          <cell r="T340">
            <v>0</v>
          </cell>
          <cell r="U340">
            <v>36</v>
          </cell>
          <cell r="V340">
            <v>1.1000000000000001</v>
          </cell>
          <cell r="W340">
            <v>39.6</v>
          </cell>
          <cell r="X340">
            <v>2.93316</v>
          </cell>
          <cell r="Y340">
            <v>0</v>
          </cell>
          <cell r="Z340">
            <v>1.1000000000000001</v>
          </cell>
          <cell r="AA340">
            <v>39.6</v>
          </cell>
        </row>
        <row r="341">
          <cell r="B341" t="str">
            <v>J-01-24</v>
          </cell>
          <cell r="C341" t="str">
            <v>CEFRADINA .:. 250 mg/5 ml</v>
          </cell>
          <cell r="D341" t="str">
            <v>Suspensión</v>
          </cell>
          <cell r="E341">
            <v>2</v>
          </cell>
          <cell r="F341">
            <v>42.169333333399997</v>
          </cell>
          <cell r="H341">
            <v>0</v>
          </cell>
          <cell r="J341">
            <v>0</v>
          </cell>
          <cell r="M341">
            <v>0</v>
          </cell>
          <cell r="N341">
            <v>0</v>
          </cell>
          <cell r="P341">
            <v>1</v>
          </cell>
          <cell r="R341">
            <v>21.084666666699999</v>
          </cell>
          <cell r="S341">
            <v>0</v>
          </cell>
          <cell r="T341">
            <v>0</v>
          </cell>
          <cell r="U341">
            <v>1</v>
          </cell>
          <cell r="V341">
            <v>21.084666666699999</v>
          </cell>
          <cell r="W341">
            <v>21.084666666699999</v>
          </cell>
          <cell r="X341">
            <v>2.93316</v>
          </cell>
          <cell r="Y341">
            <v>0</v>
          </cell>
          <cell r="Z341">
            <v>21.084666666699999</v>
          </cell>
          <cell r="AA341">
            <v>21.084666666699999</v>
          </cell>
        </row>
        <row r="342">
          <cell r="B342" t="str">
            <v>J-01-25</v>
          </cell>
          <cell r="C342" t="str">
            <v>CEFTAZIDIMA .:. 1 g</v>
          </cell>
          <cell r="D342" t="str">
            <v>Inyectable</v>
          </cell>
          <cell r="E342">
            <v>1</v>
          </cell>
          <cell r="F342">
            <v>23.573333333299999</v>
          </cell>
          <cell r="H342">
            <v>0</v>
          </cell>
          <cell r="J342">
            <v>0</v>
          </cell>
          <cell r="M342">
            <v>0</v>
          </cell>
          <cell r="N342">
            <v>0</v>
          </cell>
          <cell r="P342">
            <v>1</v>
          </cell>
          <cell r="R342">
            <v>23.573333333299999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2.93316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J-01-26</v>
          </cell>
          <cell r="C343" t="str">
            <v>CEFTRIAXONA .:. 1 g</v>
          </cell>
          <cell r="D343" t="str">
            <v>Inyectable</v>
          </cell>
          <cell r="E343">
            <v>167</v>
          </cell>
          <cell r="F343">
            <v>725.95171724030001</v>
          </cell>
          <cell r="H343">
            <v>1350</v>
          </cell>
          <cell r="J343">
            <v>11300</v>
          </cell>
          <cell r="M343">
            <v>124</v>
          </cell>
          <cell r="N343">
            <v>829.3682</v>
          </cell>
          <cell r="P343">
            <v>1261</v>
          </cell>
          <cell r="R343">
            <v>9362.9570283368994</v>
          </cell>
          <cell r="S343">
            <v>0</v>
          </cell>
          <cell r="T343">
            <v>0</v>
          </cell>
          <cell r="U343">
            <v>380</v>
          </cell>
          <cell r="V343">
            <v>9.1904286550089473</v>
          </cell>
          <cell r="W343">
            <v>3492.3628889033998</v>
          </cell>
          <cell r="X343">
            <v>2.93316</v>
          </cell>
          <cell r="Y343">
            <v>0</v>
          </cell>
          <cell r="Z343">
            <v>9.1904286550089473</v>
          </cell>
          <cell r="AA343">
            <v>3492.3628889033998</v>
          </cell>
        </row>
        <row r="344">
          <cell r="B344" t="str">
            <v>J-01-27</v>
          </cell>
          <cell r="C344" t="str">
            <v>CIPROFLOXACINA .:. 500 mg</v>
          </cell>
          <cell r="D344" t="str">
            <v>Comprimido</v>
          </cell>
          <cell r="E344">
            <v>1105</v>
          </cell>
          <cell r="F344">
            <v>463.43488602449997</v>
          </cell>
          <cell r="H344">
            <v>5600</v>
          </cell>
          <cell r="J344">
            <v>2464</v>
          </cell>
          <cell r="M344">
            <v>0</v>
          </cell>
          <cell r="N344">
            <v>0</v>
          </cell>
          <cell r="P344">
            <v>4542</v>
          </cell>
          <cell r="R344">
            <v>1979.9166624538</v>
          </cell>
          <cell r="S344">
            <v>0</v>
          </cell>
          <cell r="T344">
            <v>0</v>
          </cell>
          <cell r="U344">
            <v>2163</v>
          </cell>
          <cell r="V344">
            <v>0.43805743114687934</v>
          </cell>
          <cell r="W344">
            <v>947.5182235707</v>
          </cell>
          <cell r="X344">
            <v>2.93316</v>
          </cell>
          <cell r="Y344">
            <v>0</v>
          </cell>
          <cell r="Z344">
            <v>0.43805743114687934</v>
          </cell>
          <cell r="AA344">
            <v>947.5182235707</v>
          </cell>
        </row>
        <row r="345">
          <cell r="B345" t="str">
            <v>J-01-28</v>
          </cell>
          <cell r="C345" t="str">
            <v>CIPROFLOXACINA .:. 200 mg</v>
          </cell>
          <cell r="D345" t="str">
            <v>Inyectable</v>
          </cell>
          <cell r="E345">
            <v>81</v>
          </cell>
          <cell r="F345">
            <v>426.96015671790002</v>
          </cell>
          <cell r="H345">
            <v>200</v>
          </cell>
          <cell r="J345">
            <v>1600</v>
          </cell>
          <cell r="M345">
            <v>21</v>
          </cell>
          <cell r="N345">
            <v>152.67623699999999</v>
          </cell>
          <cell r="P345">
            <v>241</v>
          </cell>
          <cell r="R345">
            <v>1698.0387903630001</v>
          </cell>
          <cell r="S345">
            <v>0</v>
          </cell>
          <cell r="T345">
            <v>0</v>
          </cell>
          <cell r="U345">
            <v>61</v>
          </cell>
          <cell r="V345">
            <v>7.8950426779491805</v>
          </cell>
          <cell r="W345">
            <v>481.5976033549</v>
          </cell>
          <cell r="X345">
            <v>2.93316</v>
          </cell>
          <cell r="Y345">
            <v>0</v>
          </cell>
          <cell r="Z345">
            <v>7.8950426779491805</v>
          </cell>
          <cell r="AA345">
            <v>481.5976033549</v>
          </cell>
        </row>
        <row r="346">
          <cell r="B346" t="str">
            <v>J-01-29</v>
          </cell>
          <cell r="C346" t="str">
            <v>CLARITROMICINA .:. 500 mg</v>
          </cell>
          <cell r="D346" t="str">
            <v>Comprimido</v>
          </cell>
          <cell r="E346">
            <v>400</v>
          </cell>
          <cell r="F346">
            <v>1512</v>
          </cell>
          <cell r="H346">
            <v>2000</v>
          </cell>
          <cell r="J346">
            <v>7560</v>
          </cell>
          <cell r="M346">
            <v>14</v>
          </cell>
          <cell r="N346">
            <v>52.92</v>
          </cell>
          <cell r="P346">
            <v>1829</v>
          </cell>
          <cell r="R346">
            <v>6913.62</v>
          </cell>
          <cell r="S346">
            <v>0</v>
          </cell>
          <cell r="T346">
            <v>0</v>
          </cell>
          <cell r="U346">
            <v>585</v>
          </cell>
          <cell r="V346">
            <v>3.78</v>
          </cell>
          <cell r="W346">
            <v>2211.3000000000002</v>
          </cell>
          <cell r="X346">
            <v>2.93316</v>
          </cell>
          <cell r="Y346">
            <v>0</v>
          </cell>
          <cell r="Z346">
            <v>3.78</v>
          </cell>
          <cell r="AA346">
            <v>2211.3000000000002</v>
          </cell>
        </row>
        <row r="347">
          <cell r="B347" t="str">
            <v>J-01-30</v>
          </cell>
          <cell r="C347" t="str">
            <v>CLARITROMICINA .:. 250 mg/5 ml</v>
          </cell>
          <cell r="D347" t="str">
            <v>Suspensión</v>
          </cell>
          <cell r="E347">
            <v>3</v>
          </cell>
          <cell r="F347">
            <v>162</v>
          </cell>
          <cell r="H347">
            <v>8</v>
          </cell>
          <cell r="J347">
            <v>479.2</v>
          </cell>
          <cell r="M347">
            <v>0</v>
          </cell>
          <cell r="N347">
            <v>0</v>
          </cell>
          <cell r="P347">
            <v>11</v>
          </cell>
          <cell r="R347">
            <v>641.20000000000005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2.93316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J-01-37</v>
          </cell>
          <cell r="C348" t="str">
            <v>COTRIMOXAZOL (SULFAMETOXAZOL + TRIMETOPRIMA) .:. 800 mg + 160 mg</v>
          </cell>
          <cell r="D348" t="str">
            <v>Comprimido</v>
          </cell>
          <cell r="E348">
            <v>921</v>
          </cell>
          <cell r="F348">
            <v>449.57905627380001</v>
          </cell>
          <cell r="H348">
            <v>1600</v>
          </cell>
          <cell r="J348">
            <v>1024</v>
          </cell>
          <cell r="M348">
            <v>6</v>
          </cell>
          <cell r="N348">
            <v>3.5380560000000001</v>
          </cell>
          <cell r="P348">
            <v>2306</v>
          </cell>
          <cell r="R348">
            <v>1346.7985163184001</v>
          </cell>
          <cell r="S348">
            <v>0</v>
          </cell>
          <cell r="T348">
            <v>0</v>
          </cell>
          <cell r="U348">
            <v>221</v>
          </cell>
          <cell r="V348">
            <v>0.58967690477556556</v>
          </cell>
          <cell r="W348">
            <v>130.31859595540001</v>
          </cell>
          <cell r="X348">
            <v>2.93316</v>
          </cell>
          <cell r="Y348">
            <v>0</v>
          </cell>
          <cell r="Z348">
            <v>0.58967690477556556</v>
          </cell>
          <cell r="AA348">
            <v>130.31859595540001</v>
          </cell>
        </row>
        <row r="349">
          <cell r="B349" t="str">
            <v>J-01-38</v>
          </cell>
          <cell r="C349" t="str">
            <v>COTRIMOXAZOL (SULFAMETOXAZOL + TRIMETOPRIMA) .:. 200 mg + 40 mg/5 ml</v>
          </cell>
          <cell r="D349" t="str">
            <v>Suspensión</v>
          </cell>
          <cell r="E349">
            <v>17</v>
          </cell>
          <cell r="F349">
            <v>119</v>
          </cell>
          <cell r="H349">
            <v>20</v>
          </cell>
          <cell r="J349">
            <v>149.80000000000001</v>
          </cell>
          <cell r="M349">
            <v>0</v>
          </cell>
          <cell r="N349">
            <v>0</v>
          </cell>
          <cell r="P349">
            <v>30</v>
          </cell>
          <cell r="R349">
            <v>217.78235294070001</v>
          </cell>
          <cell r="S349">
            <v>0</v>
          </cell>
          <cell r="T349">
            <v>0</v>
          </cell>
          <cell r="U349">
            <v>7</v>
          </cell>
          <cell r="V349">
            <v>7.2882352941857143</v>
          </cell>
          <cell r="W349">
            <v>51.017647059300003</v>
          </cell>
          <cell r="X349">
            <v>2.93316</v>
          </cell>
          <cell r="Y349">
            <v>0</v>
          </cell>
          <cell r="Z349">
            <v>7.2882352941857143</v>
          </cell>
          <cell r="AA349">
            <v>51.017647059300003</v>
          </cell>
        </row>
        <row r="350">
          <cell r="B350" t="str">
            <v>J-01-41</v>
          </cell>
          <cell r="C350" t="str">
            <v>DICLOXACILINA SODICA .:. 500 mg</v>
          </cell>
          <cell r="D350" t="str">
            <v>Cápsula</v>
          </cell>
          <cell r="E350">
            <v>33</v>
          </cell>
          <cell r="F350">
            <v>33.212005190100001</v>
          </cell>
          <cell r="H350">
            <v>1250</v>
          </cell>
          <cell r="J350">
            <v>1250</v>
          </cell>
          <cell r="M350">
            <v>0</v>
          </cell>
          <cell r="N350">
            <v>0</v>
          </cell>
          <cell r="P350">
            <v>902</v>
          </cell>
          <cell r="R350">
            <v>902.21200519009994</v>
          </cell>
          <cell r="S350">
            <v>0</v>
          </cell>
          <cell r="T350">
            <v>0</v>
          </cell>
          <cell r="U350">
            <v>381</v>
          </cell>
          <cell r="V350">
            <v>1</v>
          </cell>
          <cell r="W350">
            <v>381</v>
          </cell>
          <cell r="X350">
            <v>2.93316</v>
          </cell>
          <cell r="Y350">
            <v>0</v>
          </cell>
          <cell r="Z350">
            <v>1</v>
          </cell>
          <cell r="AA350">
            <v>381</v>
          </cell>
        </row>
        <row r="351">
          <cell r="B351" t="str">
            <v>J-01-44</v>
          </cell>
          <cell r="C351" t="str">
            <v>DOXICICLINA .:. 100 mg</v>
          </cell>
          <cell r="D351" t="str">
            <v>Cápsula o Comprimido</v>
          </cell>
          <cell r="E351">
            <v>168</v>
          </cell>
          <cell r="F351">
            <v>67.2</v>
          </cell>
          <cell r="H351">
            <v>2900</v>
          </cell>
          <cell r="J351">
            <v>1902</v>
          </cell>
          <cell r="M351">
            <v>0</v>
          </cell>
          <cell r="N351">
            <v>0</v>
          </cell>
          <cell r="P351">
            <v>1340</v>
          </cell>
          <cell r="R351">
            <v>666.62499996600002</v>
          </cell>
          <cell r="S351">
            <v>0</v>
          </cell>
          <cell r="T351">
            <v>0</v>
          </cell>
          <cell r="U351">
            <v>1728</v>
          </cell>
          <cell r="V351">
            <v>0.75380497687152781</v>
          </cell>
          <cell r="W351">
            <v>1302.5750000339999</v>
          </cell>
          <cell r="X351">
            <v>2.93316</v>
          </cell>
          <cell r="Y351">
            <v>0</v>
          </cell>
          <cell r="Z351">
            <v>0.75380497687152781</v>
          </cell>
          <cell r="AA351">
            <v>1302.5750000339999</v>
          </cell>
        </row>
        <row r="352">
          <cell r="B352" t="str">
            <v>J-01-45</v>
          </cell>
          <cell r="C352" t="str">
            <v>ERITROMICINA ESTEARATO .:. 500 mg</v>
          </cell>
          <cell r="D352" t="str">
            <v>Cápsula o Comprimido</v>
          </cell>
          <cell r="E352">
            <v>65</v>
          </cell>
          <cell r="F352">
            <v>63.645202627499998</v>
          </cell>
          <cell r="H352">
            <v>0</v>
          </cell>
          <cell r="J352">
            <v>0</v>
          </cell>
          <cell r="M352">
            <v>0</v>
          </cell>
          <cell r="N352">
            <v>0</v>
          </cell>
          <cell r="P352">
            <v>61</v>
          </cell>
          <cell r="R352">
            <v>59.7285747735</v>
          </cell>
          <cell r="S352">
            <v>0</v>
          </cell>
          <cell r="T352">
            <v>0</v>
          </cell>
          <cell r="U352">
            <v>4</v>
          </cell>
          <cell r="V352">
            <v>0.97915696350000003</v>
          </cell>
          <cell r="W352">
            <v>3.9166278540000001</v>
          </cell>
          <cell r="X352">
            <v>2.93316</v>
          </cell>
          <cell r="Y352">
            <v>0</v>
          </cell>
          <cell r="Z352">
            <v>0.97915696350000003</v>
          </cell>
          <cell r="AA352">
            <v>3.9166278540000001</v>
          </cell>
        </row>
        <row r="353">
          <cell r="B353" t="str">
            <v>J-01-50</v>
          </cell>
          <cell r="C353" t="str">
            <v>IMIPENEM + CILASTATINA .:. 500 mg + 500 mg</v>
          </cell>
          <cell r="D353" t="str">
            <v>Inyectable</v>
          </cell>
          <cell r="E353">
            <v>35</v>
          </cell>
          <cell r="F353">
            <v>1522.5</v>
          </cell>
          <cell r="H353">
            <v>699</v>
          </cell>
          <cell r="J353">
            <v>34810</v>
          </cell>
          <cell r="M353">
            <v>59</v>
          </cell>
          <cell r="N353">
            <v>2602.02</v>
          </cell>
          <cell r="P353">
            <v>758</v>
          </cell>
          <cell r="R353">
            <v>37412.019999998403</v>
          </cell>
          <cell r="S353">
            <v>35</v>
          </cell>
          <cell r="T353">
            <v>1522.5</v>
          </cell>
          <cell r="U353">
            <v>0</v>
          </cell>
          <cell r="V353">
            <v>0</v>
          </cell>
          <cell r="W353">
            <v>1.6000000000000001E-9</v>
          </cell>
          <cell r="X353">
            <v>2.93316</v>
          </cell>
          <cell r="Y353">
            <v>0</v>
          </cell>
          <cell r="Z353">
            <v>0</v>
          </cell>
          <cell r="AA353">
            <v>1.6000000000000001E-9</v>
          </cell>
        </row>
        <row r="354">
          <cell r="B354" t="str">
            <v>J-01-51</v>
          </cell>
          <cell r="C354" t="str">
            <v>NITROFURANTOINA .:. 100 mg</v>
          </cell>
          <cell r="D354" t="str">
            <v>Comprimido</v>
          </cell>
          <cell r="E354">
            <v>180</v>
          </cell>
          <cell r="F354">
            <v>230.22797202000001</v>
          </cell>
          <cell r="H354">
            <v>1100</v>
          </cell>
          <cell r="J354">
            <v>1650</v>
          </cell>
          <cell r="M354">
            <v>0</v>
          </cell>
          <cell r="N354">
            <v>0</v>
          </cell>
          <cell r="P354">
            <v>1280</v>
          </cell>
          <cell r="R354">
            <v>1880.2279720045999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1.5399999999999999E-8</v>
          </cell>
          <cell r="X354">
            <v>2.93316</v>
          </cell>
          <cell r="Y354">
            <v>0</v>
          </cell>
          <cell r="Z354">
            <v>0</v>
          </cell>
          <cell r="AA354">
            <v>1.5399999999999999E-8</v>
          </cell>
        </row>
        <row r="355">
          <cell r="B355" t="str">
            <v>J-01-54</v>
          </cell>
          <cell r="C355" t="str">
            <v>TETRACICLINA .:. 500 mg</v>
          </cell>
          <cell r="D355" t="str">
            <v>Cápsula o Comprimido</v>
          </cell>
          <cell r="E355">
            <v>325</v>
          </cell>
          <cell r="F355">
            <v>146.6804314625</v>
          </cell>
          <cell r="H355">
            <v>0</v>
          </cell>
          <cell r="J355">
            <v>0</v>
          </cell>
          <cell r="M355">
            <v>0</v>
          </cell>
          <cell r="N355">
            <v>0</v>
          </cell>
          <cell r="P355">
            <v>80</v>
          </cell>
          <cell r="R355">
            <v>36.105952360000003</v>
          </cell>
          <cell r="S355">
            <v>0</v>
          </cell>
          <cell r="T355">
            <v>0</v>
          </cell>
          <cell r="U355">
            <v>245</v>
          </cell>
          <cell r="V355">
            <v>0.4513244045</v>
          </cell>
          <cell r="W355">
            <v>110.57447910250001</v>
          </cell>
          <cell r="X355">
            <v>2.93316</v>
          </cell>
          <cell r="Y355">
            <v>0</v>
          </cell>
          <cell r="Z355">
            <v>0.4513244045</v>
          </cell>
          <cell r="AA355">
            <v>110.57447910250001</v>
          </cell>
        </row>
        <row r="356">
          <cell r="B356" t="str">
            <v>J-01-55</v>
          </cell>
          <cell r="C356" t="str">
            <v>VANCOMICINA .:. 500 mg</v>
          </cell>
          <cell r="D356" t="str">
            <v>Inyectable</v>
          </cell>
          <cell r="E356">
            <v>158</v>
          </cell>
          <cell r="F356">
            <v>2528.0038029493999</v>
          </cell>
          <cell r="H356">
            <v>340</v>
          </cell>
          <cell r="J356">
            <v>5436.6</v>
          </cell>
          <cell r="M356">
            <v>11</v>
          </cell>
          <cell r="N356">
            <v>175.92280199999999</v>
          </cell>
          <cell r="P356">
            <v>372</v>
          </cell>
          <cell r="R356">
            <v>5949.4880211358004</v>
          </cell>
          <cell r="S356">
            <v>0</v>
          </cell>
          <cell r="T356">
            <v>0</v>
          </cell>
          <cell r="U356">
            <v>137</v>
          </cell>
          <cell r="V356">
            <v>15.99298236360292</v>
          </cell>
          <cell r="W356">
            <v>2191.0385838135999</v>
          </cell>
          <cell r="X356">
            <v>2.93316</v>
          </cell>
          <cell r="Y356">
            <v>0</v>
          </cell>
          <cell r="Z356">
            <v>15.99298236360292</v>
          </cell>
          <cell r="AA356">
            <v>2191.0385838135999</v>
          </cell>
        </row>
        <row r="357">
          <cell r="B357" t="str">
            <v>J-01-57</v>
          </cell>
          <cell r="C357" t="str">
            <v>AMOXICILINA .:. 500 mg/5 ml</v>
          </cell>
          <cell r="D357" t="str">
            <v>Suspensión</v>
          </cell>
          <cell r="E357">
            <v>118</v>
          </cell>
          <cell r="F357">
            <v>1027.7890257491999</v>
          </cell>
          <cell r="H357">
            <v>0</v>
          </cell>
          <cell r="J357">
            <v>0</v>
          </cell>
          <cell r="M357">
            <v>22</v>
          </cell>
          <cell r="N357">
            <v>191.62</v>
          </cell>
          <cell r="P357">
            <v>103</v>
          </cell>
          <cell r="R357">
            <v>897.13761069530005</v>
          </cell>
          <cell r="S357">
            <v>22</v>
          </cell>
          <cell r="T357">
            <v>191.62084138340001</v>
          </cell>
          <cell r="U357">
            <v>15</v>
          </cell>
          <cell r="V357">
            <v>8.7100382446999998</v>
          </cell>
          <cell r="W357">
            <v>130.65057367049999</v>
          </cell>
          <cell r="X357">
            <v>2.93316</v>
          </cell>
          <cell r="Y357">
            <v>0</v>
          </cell>
          <cell r="Z357">
            <v>8.7100382446999998</v>
          </cell>
          <cell r="AA357">
            <v>130.65057367049999</v>
          </cell>
        </row>
        <row r="358">
          <cell r="B358" t="str">
            <v>J-01-58</v>
          </cell>
          <cell r="C358" t="str">
            <v>CEFIXIMA .:. 400 mg</v>
          </cell>
          <cell r="D358" t="str">
            <v>Comprimido o Cápsula</v>
          </cell>
          <cell r="E358">
            <v>310</v>
          </cell>
          <cell r="F358">
            <v>622.77165472700005</v>
          </cell>
          <cell r="H358">
            <v>1500</v>
          </cell>
          <cell r="J358">
            <v>4500</v>
          </cell>
          <cell r="M358">
            <v>0</v>
          </cell>
          <cell r="N358">
            <v>0</v>
          </cell>
          <cell r="P358">
            <v>1815</v>
          </cell>
          <cell r="R358">
            <v>5137.7882276355003</v>
          </cell>
          <cell r="S358">
            <v>0</v>
          </cell>
          <cell r="T358">
            <v>0</v>
          </cell>
          <cell r="U358">
            <v>-5</v>
          </cell>
          <cell r="V358">
            <v>0</v>
          </cell>
          <cell r="W358">
            <v>-15.016572908500001</v>
          </cell>
          <cell r="X358">
            <v>2.93316</v>
          </cell>
          <cell r="Y358">
            <v>0</v>
          </cell>
          <cell r="Z358">
            <v>0</v>
          </cell>
          <cell r="AA358">
            <v>-15.016572908500001</v>
          </cell>
        </row>
        <row r="359">
          <cell r="B359" t="str">
            <v>J-01-62</v>
          </cell>
          <cell r="C359" t="str">
            <v>AZITROMICINA .:. 200 mg/5 ml</v>
          </cell>
          <cell r="D359" t="str">
            <v>Suspensión</v>
          </cell>
          <cell r="E359">
            <v>14</v>
          </cell>
          <cell r="F359">
            <v>420</v>
          </cell>
          <cell r="H359">
            <v>50</v>
          </cell>
          <cell r="J359">
            <v>1450</v>
          </cell>
          <cell r="M359">
            <v>0</v>
          </cell>
          <cell r="N359">
            <v>0</v>
          </cell>
          <cell r="P359">
            <v>46</v>
          </cell>
          <cell r="R359">
            <v>1344.7540983627</v>
          </cell>
          <cell r="S359">
            <v>0</v>
          </cell>
          <cell r="T359">
            <v>0</v>
          </cell>
          <cell r="U359">
            <v>18</v>
          </cell>
          <cell r="V359">
            <v>29.180327868738889</v>
          </cell>
          <cell r="W359">
            <v>525.24590163729999</v>
          </cell>
          <cell r="X359">
            <v>2.93316</v>
          </cell>
          <cell r="Y359">
            <v>0</v>
          </cell>
          <cell r="Z359">
            <v>29.180327868738889</v>
          </cell>
          <cell r="AA359">
            <v>525.24590163729999</v>
          </cell>
        </row>
        <row r="360">
          <cell r="B360" t="str">
            <v>J-01-63</v>
          </cell>
          <cell r="C360" t="str">
            <v>CEFIXIMA .:. 100 mg/5 ml</v>
          </cell>
          <cell r="D360" t="str">
            <v>Suspensión</v>
          </cell>
          <cell r="E360">
            <v>11</v>
          </cell>
          <cell r="F360">
            <v>385</v>
          </cell>
          <cell r="H360">
            <v>20</v>
          </cell>
          <cell r="J360">
            <v>600</v>
          </cell>
          <cell r="M360">
            <v>0</v>
          </cell>
          <cell r="N360">
            <v>0</v>
          </cell>
          <cell r="P360">
            <v>19</v>
          </cell>
          <cell r="R360">
            <v>622.14285714289997</v>
          </cell>
          <cell r="S360">
            <v>0</v>
          </cell>
          <cell r="T360">
            <v>0</v>
          </cell>
          <cell r="U360">
            <v>12</v>
          </cell>
          <cell r="V360">
            <v>30.238095238091667</v>
          </cell>
          <cell r="W360">
            <v>362.85714285709997</v>
          </cell>
          <cell r="X360">
            <v>2.93316</v>
          </cell>
          <cell r="Y360">
            <v>0</v>
          </cell>
          <cell r="Z360">
            <v>30.238095238091667</v>
          </cell>
          <cell r="AA360">
            <v>362.85714285709997</v>
          </cell>
        </row>
        <row r="361">
          <cell r="B361" t="str">
            <v>J-01-64</v>
          </cell>
          <cell r="C361" t="str">
            <v>CLINDAMICINA .:. 600 mg</v>
          </cell>
          <cell r="D361" t="str">
            <v>Inyectable</v>
          </cell>
          <cell r="E361">
            <v>82</v>
          </cell>
          <cell r="F361">
            <v>1395.9133302555999</v>
          </cell>
          <cell r="H361">
            <v>0</v>
          </cell>
          <cell r="J361">
            <v>0</v>
          </cell>
          <cell r="M361">
            <v>7</v>
          </cell>
          <cell r="N361">
            <v>119.163331</v>
          </cell>
          <cell r="P361">
            <v>41</v>
          </cell>
          <cell r="R361">
            <v>697.95666463780003</v>
          </cell>
          <cell r="S361">
            <v>0</v>
          </cell>
          <cell r="T361">
            <v>0</v>
          </cell>
          <cell r="U361">
            <v>48</v>
          </cell>
          <cell r="V361">
            <v>17.023333262870832</v>
          </cell>
          <cell r="W361">
            <v>817.11999661779998</v>
          </cell>
          <cell r="X361">
            <v>2.93316</v>
          </cell>
          <cell r="Y361">
            <v>0</v>
          </cell>
          <cell r="Z361">
            <v>17.023333262870832</v>
          </cell>
          <cell r="AA361">
            <v>817.11999661779998</v>
          </cell>
        </row>
        <row r="362">
          <cell r="B362" t="str">
            <v>J-01-66</v>
          </cell>
          <cell r="C362" t="str">
            <v>LEVOFLOXACINA .:. 500 mg</v>
          </cell>
          <cell r="D362" t="str">
            <v>Comprimido</v>
          </cell>
          <cell r="E362">
            <v>185</v>
          </cell>
          <cell r="F362">
            <v>277.5</v>
          </cell>
          <cell r="H362">
            <v>1500</v>
          </cell>
          <cell r="J362">
            <v>2685</v>
          </cell>
          <cell r="M362">
            <v>32</v>
          </cell>
          <cell r="N362">
            <v>126.55591</v>
          </cell>
          <cell r="P362">
            <v>1717</v>
          </cell>
          <cell r="R362">
            <v>3089.0559100534001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-5.3400000000000002E-8</v>
          </cell>
          <cell r="X362">
            <v>2.93316</v>
          </cell>
          <cell r="Y362">
            <v>0</v>
          </cell>
          <cell r="Z362">
            <v>0</v>
          </cell>
          <cell r="AA362">
            <v>-5.3400000000000002E-8</v>
          </cell>
        </row>
        <row r="363">
          <cell r="B363" t="str">
            <v>J-01-68</v>
          </cell>
          <cell r="C363" t="str">
            <v>LEVOFLOXACINA .:. 500mg</v>
          </cell>
          <cell r="D363" t="str">
            <v>Inyectable</v>
          </cell>
          <cell r="E363">
            <v>51</v>
          </cell>
          <cell r="F363">
            <v>534.11730804809997</v>
          </cell>
          <cell r="H363">
            <v>350</v>
          </cell>
          <cell r="J363">
            <v>15199</v>
          </cell>
          <cell r="M363">
            <v>28</v>
          </cell>
          <cell r="N363">
            <v>1211.6862020000001</v>
          </cell>
          <cell r="P363">
            <v>371</v>
          </cell>
          <cell r="R363">
            <v>14276.803510043999</v>
          </cell>
          <cell r="S363">
            <v>0</v>
          </cell>
          <cell r="T363">
            <v>0</v>
          </cell>
          <cell r="U363">
            <v>58</v>
          </cell>
          <cell r="V363">
            <v>46.000000000070692</v>
          </cell>
          <cell r="W363">
            <v>2668.0000000041</v>
          </cell>
          <cell r="X363">
            <v>2.93316</v>
          </cell>
          <cell r="Y363">
            <v>0</v>
          </cell>
          <cell r="Z363">
            <v>46.000000000070692</v>
          </cell>
          <cell r="AA363">
            <v>2668.0000000041</v>
          </cell>
        </row>
        <row r="364">
          <cell r="B364" t="str">
            <v>J-01-69</v>
          </cell>
          <cell r="C364" t="str">
            <v>MEROPENEM .:. 500 mg</v>
          </cell>
          <cell r="D364" t="str">
            <v>Inyectable</v>
          </cell>
          <cell r="E364">
            <v>191</v>
          </cell>
          <cell r="F364">
            <v>6357.2985575073999</v>
          </cell>
          <cell r="H364">
            <v>0</v>
          </cell>
          <cell r="J364">
            <v>0</v>
          </cell>
          <cell r="M364">
            <v>1</v>
          </cell>
          <cell r="N364">
            <v>33.284284999999997</v>
          </cell>
          <cell r="P364">
            <v>110</v>
          </cell>
          <cell r="R364">
            <v>3661.2714185119999</v>
          </cell>
          <cell r="S364">
            <v>0</v>
          </cell>
          <cell r="T364">
            <v>0</v>
          </cell>
          <cell r="U364">
            <v>82</v>
          </cell>
          <cell r="V364">
            <v>33.284285658480485</v>
          </cell>
          <cell r="W364">
            <v>2729.3114239954002</v>
          </cell>
          <cell r="X364">
            <v>2.93316</v>
          </cell>
          <cell r="Y364">
            <v>0</v>
          </cell>
          <cell r="Z364">
            <v>33.284285658480485</v>
          </cell>
          <cell r="AA364">
            <v>2729.3114239954002</v>
          </cell>
        </row>
        <row r="365">
          <cell r="B365" t="str">
            <v>J-01-71</v>
          </cell>
          <cell r="C365" t="str">
            <v>AMOXICILINA + INHIBIDOR BETALACTAMASA .:. 875 mg + Según disponibilidad</v>
          </cell>
          <cell r="D365" t="str">
            <v>Comprimido</v>
          </cell>
          <cell r="E365">
            <v>1609</v>
          </cell>
          <cell r="F365">
            <v>4970.8592174431997</v>
          </cell>
          <cell r="H365">
            <v>1988</v>
          </cell>
          <cell r="J365">
            <v>13717.2</v>
          </cell>
          <cell r="M365">
            <v>0</v>
          </cell>
          <cell r="N365">
            <v>0</v>
          </cell>
          <cell r="P365">
            <v>3053</v>
          </cell>
          <cell r="R365">
            <v>14941.732758891199</v>
          </cell>
          <cell r="S365">
            <v>0</v>
          </cell>
          <cell r="T365">
            <v>0</v>
          </cell>
          <cell r="U365">
            <v>544</v>
          </cell>
          <cell r="V365">
            <v>6.8866295193970588</v>
          </cell>
          <cell r="W365">
            <v>3746.3264585520001</v>
          </cell>
          <cell r="X365">
            <v>2.93316</v>
          </cell>
          <cell r="Y365">
            <v>0</v>
          </cell>
          <cell r="Z365">
            <v>6.8866295193970588</v>
          </cell>
          <cell r="AA365">
            <v>3746.3264585520001</v>
          </cell>
        </row>
        <row r="366">
          <cell r="B366" t="str">
            <v>J-01-75</v>
          </cell>
          <cell r="C366" t="str">
            <v>PIPERACILINA + TAZOBACTAM .:. 4 G/500 MG</v>
          </cell>
          <cell r="D366" t="str">
            <v>Inyectable</v>
          </cell>
          <cell r="E366">
            <v>5</v>
          </cell>
          <cell r="F366">
            <v>425</v>
          </cell>
          <cell r="H366">
            <v>85</v>
          </cell>
          <cell r="J366">
            <v>8025</v>
          </cell>
          <cell r="M366">
            <v>0</v>
          </cell>
          <cell r="N366">
            <v>0</v>
          </cell>
          <cell r="P366">
            <v>76</v>
          </cell>
          <cell r="R366">
            <v>6897.3333333336004</v>
          </cell>
          <cell r="S366">
            <v>0</v>
          </cell>
          <cell r="T366">
            <v>0</v>
          </cell>
          <cell r="U366">
            <v>14</v>
          </cell>
          <cell r="V366">
            <v>110.90476190474286</v>
          </cell>
          <cell r="W366">
            <v>1552.6666666664</v>
          </cell>
          <cell r="X366">
            <v>2.93316</v>
          </cell>
          <cell r="Y366">
            <v>0</v>
          </cell>
          <cell r="Z366">
            <v>110.90476190474286</v>
          </cell>
          <cell r="AA366">
            <v>1552.6666666664</v>
          </cell>
        </row>
        <row r="367">
          <cell r="B367" t="str">
            <v>J-02-02</v>
          </cell>
          <cell r="C367" t="str">
            <v>FLUCONAZOL .:. 200 mg</v>
          </cell>
          <cell r="D367" t="str">
            <v>Inyectable</v>
          </cell>
          <cell r="E367">
            <v>35</v>
          </cell>
          <cell r="F367">
            <v>960.99218298999995</v>
          </cell>
          <cell r="H367">
            <v>50</v>
          </cell>
          <cell r="J367">
            <v>1000</v>
          </cell>
          <cell r="M367">
            <v>31</v>
          </cell>
          <cell r="N367">
            <v>829.49215300000003</v>
          </cell>
          <cell r="P367">
            <v>90</v>
          </cell>
          <cell r="R367">
            <v>2083.6632316832001</v>
          </cell>
          <cell r="S367">
            <v>25</v>
          </cell>
          <cell r="T367">
            <v>686.42298785000003</v>
          </cell>
          <cell r="U367">
            <v>1</v>
          </cell>
          <cell r="V367">
            <v>20.3981164568</v>
          </cell>
          <cell r="W367">
            <v>20.3981164568</v>
          </cell>
          <cell r="X367">
            <v>2.93316</v>
          </cell>
          <cell r="Y367">
            <v>0</v>
          </cell>
          <cell r="Z367">
            <v>20.3981164568</v>
          </cell>
          <cell r="AA367">
            <v>20.3981164568</v>
          </cell>
        </row>
        <row r="368">
          <cell r="B368" t="str">
            <v>J-02-08</v>
          </cell>
          <cell r="C368" t="str">
            <v>FLUCONAZOL .:. 150 mg</v>
          </cell>
          <cell r="D368" t="str">
            <v>Comprimido o Cápsula</v>
          </cell>
          <cell r="E368">
            <v>10</v>
          </cell>
          <cell r="F368">
            <v>18.011404151000001</v>
          </cell>
          <cell r="H368">
            <v>1500</v>
          </cell>
          <cell r="J368">
            <v>1950</v>
          </cell>
          <cell r="M368">
            <v>0</v>
          </cell>
          <cell r="N368">
            <v>0</v>
          </cell>
          <cell r="P368">
            <v>621</v>
          </cell>
          <cell r="R368">
            <v>812.31140416619996</v>
          </cell>
          <cell r="S368">
            <v>0</v>
          </cell>
          <cell r="T368">
            <v>0</v>
          </cell>
          <cell r="U368">
            <v>889</v>
          </cell>
          <cell r="V368">
            <v>1.2999999999829022</v>
          </cell>
          <cell r="W368">
            <v>1155.6999999847999</v>
          </cell>
          <cell r="X368">
            <v>2.93316</v>
          </cell>
          <cell r="Y368">
            <v>0</v>
          </cell>
          <cell r="Z368">
            <v>1.2999999999829022</v>
          </cell>
          <cell r="AA368">
            <v>1155.6999999847999</v>
          </cell>
        </row>
        <row r="369">
          <cell r="B369" t="str">
            <v>J-05-04</v>
          </cell>
          <cell r="C369" t="str">
            <v>ACICLOVIR .:. 400 mg</v>
          </cell>
          <cell r="D369" t="str">
            <v>Comprimido</v>
          </cell>
          <cell r="E369">
            <v>692</v>
          </cell>
          <cell r="F369">
            <v>692</v>
          </cell>
          <cell r="H369">
            <v>300</v>
          </cell>
          <cell r="J369">
            <v>357</v>
          </cell>
          <cell r="M369">
            <v>0</v>
          </cell>
          <cell r="N369">
            <v>0</v>
          </cell>
          <cell r="P369">
            <v>992</v>
          </cell>
          <cell r="R369">
            <v>1048.9999999875999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1.24E-8</v>
          </cell>
          <cell r="X369">
            <v>2.93316</v>
          </cell>
          <cell r="Y369">
            <v>0</v>
          </cell>
          <cell r="Z369">
            <v>0</v>
          </cell>
          <cell r="AA369">
            <v>1.24E-8</v>
          </cell>
        </row>
        <row r="370">
          <cell r="B370" t="str">
            <v>J-05-30</v>
          </cell>
          <cell r="C370" t="str">
            <v>ACICLOVIR .:. 200 mg/5 ml</v>
          </cell>
          <cell r="D370" t="str">
            <v>Suspensión</v>
          </cell>
          <cell r="E370">
            <v>17</v>
          </cell>
          <cell r="F370">
            <v>962.2</v>
          </cell>
          <cell r="H370">
            <v>0</v>
          </cell>
          <cell r="J370">
            <v>0</v>
          </cell>
          <cell r="M370">
            <v>0</v>
          </cell>
          <cell r="N370">
            <v>0</v>
          </cell>
          <cell r="P370">
            <v>10</v>
          </cell>
          <cell r="R370">
            <v>566</v>
          </cell>
          <cell r="S370">
            <v>0</v>
          </cell>
          <cell r="T370">
            <v>0</v>
          </cell>
          <cell r="U370">
            <v>7</v>
          </cell>
          <cell r="V370">
            <v>56.6</v>
          </cell>
          <cell r="W370">
            <v>396.2</v>
          </cell>
          <cell r="X370">
            <v>2.93316</v>
          </cell>
          <cell r="Y370">
            <v>0</v>
          </cell>
          <cell r="Z370">
            <v>56.6</v>
          </cell>
          <cell r="AA370">
            <v>396.2</v>
          </cell>
        </row>
        <row r="371">
          <cell r="B371" t="str">
            <v>J-05-36</v>
          </cell>
          <cell r="C371" t="str">
            <v>OSELTAMIVIR .:. 75 mg</v>
          </cell>
          <cell r="D371" t="str">
            <v>Cápsula</v>
          </cell>
          <cell r="E371">
            <v>32</v>
          </cell>
          <cell r="F371">
            <v>762.850368</v>
          </cell>
          <cell r="H371">
            <v>200</v>
          </cell>
          <cell r="J371">
            <v>4750</v>
          </cell>
          <cell r="M371">
            <v>0</v>
          </cell>
          <cell r="N371">
            <v>0</v>
          </cell>
          <cell r="P371">
            <v>114</v>
          </cell>
          <cell r="R371">
            <v>2710.3503679999999</v>
          </cell>
          <cell r="S371">
            <v>0</v>
          </cell>
          <cell r="T371">
            <v>0</v>
          </cell>
          <cell r="U371">
            <v>118</v>
          </cell>
          <cell r="V371">
            <v>23.75</v>
          </cell>
          <cell r="W371">
            <v>2802.5</v>
          </cell>
          <cell r="X371">
            <v>2.93316</v>
          </cell>
          <cell r="Y371">
            <v>0</v>
          </cell>
          <cell r="Z371">
            <v>23.75</v>
          </cell>
          <cell r="AA371">
            <v>2802.5</v>
          </cell>
        </row>
        <row r="372">
          <cell r="B372" t="str">
            <v>J-05-43</v>
          </cell>
          <cell r="C372" t="str">
            <v>ACICLOVIR .:. 800 mg</v>
          </cell>
          <cell r="D372" t="str">
            <v>Comprimido</v>
          </cell>
          <cell r="E372">
            <v>1024</v>
          </cell>
          <cell r="F372">
            <v>2719.511190016</v>
          </cell>
          <cell r="H372">
            <v>0</v>
          </cell>
          <cell r="J372">
            <v>0</v>
          </cell>
          <cell r="M372">
            <v>5</v>
          </cell>
          <cell r="N372">
            <v>13.27886</v>
          </cell>
          <cell r="P372">
            <v>920</v>
          </cell>
          <cell r="R372">
            <v>2443.3108320676001</v>
          </cell>
          <cell r="S372">
            <v>0</v>
          </cell>
          <cell r="T372">
            <v>0</v>
          </cell>
          <cell r="U372">
            <v>109</v>
          </cell>
          <cell r="V372">
            <v>2.6557726417284404</v>
          </cell>
          <cell r="W372">
            <v>289.47921794839999</v>
          </cell>
          <cell r="X372">
            <v>2.93316</v>
          </cell>
          <cell r="Y372">
            <v>0</v>
          </cell>
          <cell r="Z372">
            <v>2.6557726417284404</v>
          </cell>
          <cell r="AA372">
            <v>289.47921794839999</v>
          </cell>
        </row>
        <row r="373">
          <cell r="B373" t="str">
            <v>J-05-45</v>
          </cell>
          <cell r="C373" t="str">
            <v>ACICLOVIR .:. 500 mg</v>
          </cell>
          <cell r="D373" t="str">
            <v>Inyectable</v>
          </cell>
          <cell r="E373">
            <v>15</v>
          </cell>
          <cell r="F373">
            <v>712.5</v>
          </cell>
          <cell r="H373">
            <v>110</v>
          </cell>
          <cell r="J373">
            <v>5225</v>
          </cell>
          <cell r="M373">
            <v>13</v>
          </cell>
          <cell r="N373">
            <v>617.5</v>
          </cell>
          <cell r="P373">
            <v>117</v>
          </cell>
          <cell r="R373">
            <v>5557.5</v>
          </cell>
          <cell r="S373">
            <v>0</v>
          </cell>
          <cell r="T373">
            <v>0</v>
          </cell>
          <cell r="U373">
            <v>21</v>
          </cell>
          <cell r="V373">
            <v>47.5</v>
          </cell>
          <cell r="W373">
            <v>997.5</v>
          </cell>
          <cell r="X373">
            <v>2.93316</v>
          </cell>
          <cell r="Y373">
            <v>0</v>
          </cell>
          <cell r="Z373">
            <v>47.5</v>
          </cell>
          <cell r="AA373">
            <v>997.5</v>
          </cell>
        </row>
        <row r="374">
          <cell r="B374" t="str">
            <v>L-01-03</v>
          </cell>
          <cell r="C374" t="str">
            <v>CAPECITABINE .:. 500 mg</v>
          </cell>
          <cell r="D374" t="str">
            <v>Comprimido</v>
          </cell>
          <cell r="E374">
            <v>120</v>
          </cell>
          <cell r="F374">
            <v>780</v>
          </cell>
          <cell r="H374">
            <v>0</v>
          </cell>
          <cell r="J374">
            <v>0</v>
          </cell>
          <cell r="M374">
            <v>0</v>
          </cell>
          <cell r="N374">
            <v>0</v>
          </cell>
          <cell r="P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120</v>
          </cell>
          <cell r="V374">
            <v>6.5</v>
          </cell>
          <cell r="W374">
            <v>780</v>
          </cell>
          <cell r="X374">
            <v>2.93316</v>
          </cell>
          <cell r="Y374">
            <v>0</v>
          </cell>
          <cell r="Z374">
            <v>6.5</v>
          </cell>
          <cell r="AA374">
            <v>780</v>
          </cell>
        </row>
        <row r="375">
          <cell r="B375" t="str">
            <v>L-01-04</v>
          </cell>
          <cell r="C375" t="str">
            <v>CARBOPLATINO .:. 450 mg</v>
          </cell>
          <cell r="D375" t="str">
            <v>Inyectable</v>
          </cell>
          <cell r="E375">
            <v>0</v>
          </cell>
          <cell r="F375">
            <v>0</v>
          </cell>
          <cell r="H375">
            <v>20</v>
          </cell>
          <cell r="J375">
            <v>12551</v>
          </cell>
          <cell r="M375">
            <v>0</v>
          </cell>
          <cell r="N375">
            <v>0</v>
          </cell>
          <cell r="P375">
            <v>20</v>
          </cell>
          <cell r="R375">
            <v>12551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2.93316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L-01-09</v>
          </cell>
          <cell r="C376" t="str">
            <v>CISPLATINO .:. 50 mg</v>
          </cell>
          <cell r="D376" t="str">
            <v>Inyectable</v>
          </cell>
          <cell r="E376">
            <v>0</v>
          </cell>
          <cell r="F376">
            <v>0</v>
          </cell>
          <cell r="H376">
            <v>4</v>
          </cell>
          <cell r="J376">
            <v>232.4</v>
          </cell>
          <cell r="M376">
            <v>0</v>
          </cell>
          <cell r="N376">
            <v>0</v>
          </cell>
          <cell r="P376">
            <v>4</v>
          </cell>
          <cell r="R376">
            <v>232.4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2.93316</v>
          </cell>
          <cell r="Y376">
            <v>0</v>
          </cell>
          <cell r="Z376">
            <v>0</v>
          </cell>
          <cell r="AA376">
            <v>0</v>
          </cell>
        </row>
        <row r="377">
          <cell r="B377" t="str">
            <v>L-01-15</v>
          </cell>
          <cell r="C377" t="str">
            <v>DOXORUBICINA CLORHIDRATO (ADRIAMICINA CLORH.) .:. 50 mg</v>
          </cell>
          <cell r="D377" t="str">
            <v>Inyectable</v>
          </cell>
          <cell r="E377">
            <v>0</v>
          </cell>
          <cell r="F377">
            <v>0</v>
          </cell>
          <cell r="H377">
            <v>8</v>
          </cell>
          <cell r="J377">
            <v>1392</v>
          </cell>
          <cell r="M377">
            <v>0</v>
          </cell>
          <cell r="N377">
            <v>0</v>
          </cell>
          <cell r="P377">
            <v>8</v>
          </cell>
          <cell r="R377">
            <v>1392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2.93316</v>
          </cell>
          <cell r="Y377">
            <v>0</v>
          </cell>
          <cell r="Z377">
            <v>0</v>
          </cell>
          <cell r="AA377">
            <v>0</v>
          </cell>
        </row>
        <row r="378">
          <cell r="B378" t="str">
            <v>L-01-17</v>
          </cell>
          <cell r="C378" t="str">
            <v>FLUOROURACILO .:. 500 mg/10 ml</v>
          </cell>
          <cell r="D378" t="str">
            <v>Inyectable</v>
          </cell>
          <cell r="E378">
            <v>0</v>
          </cell>
          <cell r="F378">
            <v>0</v>
          </cell>
          <cell r="H378">
            <v>152</v>
          </cell>
          <cell r="J378">
            <v>9960.7199999999993</v>
          </cell>
          <cell r="M378">
            <v>0</v>
          </cell>
          <cell r="N378">
            <v>0</v>
          </cell>
          <cell r="P378">
            <v>141</v>
          </cell>
          <cell r="R378">
            <v>9018.7056666683002</v>
          </cell>
          <cell r="S378">
            <v>0</v>
          </cell>
          <cell r="T378">
            <v>0</v>
          </cell>
          <cell r="U378">
            <v>11</v>
          </cell>
          <cell r="V378">
            <v>85.637666666518186</v>
          </cell>
          <cell r="W378">
            <v>942.01433333169996</v>
          </cell>
          <cell r="X378">
            <v>2.93316</v>
          </cell>
          <cell r="Y378">
            <v>0</v>
          </cell>
          <cell r="Z378">
            <v>85.637666666518186</v>
          </cell>
          <cell r="AA378">
            <v>942.01433333169996</v>
          </cell>
        </row>
        <row r="379">
          <cell r="B379" t="str">
            <v>L-01-18</v>
          </cell>
          <cell r="C379" t="str">
            <v>GEMCITABINA .:. 1 g</v>
          </cell>
          <cell r="D379" t="str">
            <v>Inyectable</v>
          </cell>
          <cell r="E379">
            <v>0</v>
          </cell>
          <cell r="F379">
            <v>0</v>
          </cell>
          <cell r="H379">
            <v>0</v>
          </cell>
          <cell r="J379">
            <v>0</v>
          </cell>
          <cell r="M379">
            <v>2</v>
          </cell>
          <cell r="N379">
            <v>647.6</v>
          </cell>
          <cell r="P379">
            <v>2</v>
          </cell>
          <cell r="R379">
            <v>647.6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2.93316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L-01-19</v>
          </cell>
          <cell r="C380" t="str">
            <v>HIDROXIUREA .:. 500 mg</v>
          </cell>
          <cell r="D380" t="str">
            <v>Cápsula</v>
          </cell>
          <cell r="E380">
            <v>0</v>
          </cell>
          <cell r="F380">
            <v>0</v>
          </cell>
          <cell r="H380">
            <v>400</v>
          </cell>
          <cell r="J380">
            <v>1910</v>
          </cell>
          <cell r="M380">
            <v>0</v>
          </cell>
          <cell r="N380">
            <v>0</v>
          </cell>
          <cell r="P380">
            <v>400</v>
          </cell>
          <cell r="R380">
            <v>1910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2.93316</v>
          </cell>
          <cell r="Y380">
            <v>0</v>
          </cell>
          <cell r="Z380">
            <v>0</v>
          </cell>
          <cell r="AA380">
            <v>0</v>
          </cell>
        </row>
        <row r="381">
          <cell r="B381" t="str">
            <v>L-01-24</v>
          </cell>
          <cell r="C381" t="str">
            <v>METOTREXATO .:. 50 mg</v>
          </cell>
          <cell r="D381" t="str">
            <v>Inyectable</v>
          </cell>
          <cell r="E381">
            <v>35</v>
          </cell>
          <cell r="F381">
            <v>2142</v>
          </cell>
          <cell r="H381">
            <v>50</v>
          </cell>
          <cell r="J381">
            <v>5900</v>
          </cell>
          <cell r="M381">
            <v>0</v>
          </cell>
          <cell r="N381">
            <v>0</v>
          </cell>
          <cell r="P381">
            <v>71</v>
          </cell>
          <cell r="R381">
            <v>6390</v>
          </cell>
          <cell r="S381">
            <v>0</v>
          </cell>
          <cell r="T381">
            <v>0</v>
          </cell>
          <cell r="U381">
            <v>14</v>
          </cell>
          <cell r="V381">
            <v>118</v>
          </cell>
          <cell r="W381">
            <v>1652</v>
          </cell>
          <cell r="X381">
            <v>2.93316</v>
          </cell>
          <cell r="Y381">
            <v>0</v>
          </cell>
          <cell r="Z381">
            <v>118</v>
          </cell>
          <cell r="AA381">
            <v>1652</v>
          </cell>
        </row>
        <row r="382">
          <cell r="B382" t="str">
            <v>L-01-26</v>
          </cell>
          <cell r="C382" t="str">
            <v>METOTREXATO .:. 2,5 mg</v>
          </cell>
          <cell r="D382" t="str">
            <v>Comprimido</v>
          </cell>
          <cell r="E382">
            <v>1092</v>
          </cell>
          <cell r="F382">
            <v>1343.2040915748</v>
          </cell>
          <cell r="H382">
            <v>5700</v>
          </cell>
          <cell r="J382">
            <v>9063</v>
          </cell>
          <cell r="M382">
            <v>0</v>
          </cell>
          <cell r="N382">
            <v>0</v>
          </cell>
          <cell r="P382">
            <v>4704</v>
          </cell>
          <cell r="R382">
            <v>7119.7947021097998</v>
          </cell>
          <cell r="S382">
            <v>0</v>
          </cell>
          <cell r="T382">
            <v>0</v>
          </cell>
          <cell r="U382">
            <v>2088</v>
          </cell>
          <cell r="V382">
            <v>1.5739508570234675</v>
          </cell>
          <cell r="W382">
            <v>3286.409389465</v>
          </cell>
          <cell r="X382">
            <v>2.93316</v>
          </cell>
          <cell r="Y382">
            <v>0</v>
          </cell>
          <cell r="Z382">
            <v>1.5739508570234675</v>
          </cell>
          <cell r="AA382">
            <v>3286.409389465</v>
          </cell>
        </row>
        <row r="383">
          <cell r="B383" t="str">
            <v>L-01-35</v>
          </cell>
          <cell r="C383" t="str">
            <v>OXALIPLATINO .:. 100 mg</v>
          </cell>
          <cell r="D383" t="str">
            <v>Inyectable</v>
          </cell>
          <cell r="E383">
            <v>0</v>
          </cell>
          <cell r="F383">
            <v>0</v>
          </cell>
          <cell r="H383">
            <v>14</v>
          </cell>
          <cell r="J383">
            <v>4306.08</v>
          </cell>
          <cell r="M383">
            <v>0</v>
          </cell>
          <cell r="N383">
            <v>0</v>
          </cell>
          <cell r="P383">
            <v>14</v>
          </cell>
          <cell r="R383">
            <v>4306.08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2.93316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L-01-38</v>
          </cell>
          <cell r="C384" t="str">
            <v>DOCETAXEL .:. 40 mg/ml  (2ml)</v>
          </cell>
          <cell r="D384" t="str">
            <v>Inyectable</v>
          </cell>
          <cell r="E384">
            <v>2</v>
          </cell>
          <cell r="F384">
            <v>766.6</v>
          </cell>
          <cell r="H384">
            <v>34</v>
          </cell>
          <cell r="J384">
            <v>15161.9</v>
          </cell>
          <cell r="M384">
            <v>2</v>
          </cell>
          <cell r="N384">
            <v>766.6</v>
          </cell>
          <cell r="P384">
            <v>29</v>
          </cell>
          <cell r="R384">
            <v>11291.42</v>
          </cell>
          <cell r="S384">
            <v>2</v>
          </cell>
          <cell r="T384">
            <v>766.6</v>
          </cell>
          <cell r="U384">
            <v>7</v>
          </cell>
          <cell r="V384">
            <v>662.44</v>
          </cell>
          <cell r="W384">
            <v>4637.08</v>
          </cell>
          <cell r="X384">
            <v>2.93316</v>
          </cell>
          <cell r="Y384">
            <v>0</v>
          </cell>
          <cell r="Z384">
            <v>662.44</v>
          </cell>
          <cell r="AA384">
            <v>4637.08</v>
          </cell>
        </row>
        <row r="385">
          <cell r="B385" t="str">
            <v>L-01-40</v>
          </cell>
          <cell r="C385" t="str">
            <v>IRINOTECAN .:. 100 mg/5ml</v>
          </cell>
          <cell r="D385" t="str">
            <v>Inyectable</v>
          </cell>
          <cell r="E385">
            <v>3</v>
          </cell>
          <cell r="F385">
            <v>1442.52</v>
          </cell>
          <cell r="H385">
            <v>21</v>
          </cell>
          <cell r="J385">
            <v>11275.08</v>
          </cell>
          <cell r="M385">
            <v>0</v>
          </cell>
          <cell r="N385">
            <v>0</v>
          </cell>
          <cell r="P385">
            <v>24</v>
          </cell>
          <cell r="R385">
            <v>12717.6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2.93316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L-01-41</v>
          </cell>
          <cell r="C386" t="str">
            <v>RITUXIMAB .:. 500mg/50ml</v>
          </cell>
          <cell r="D386" t="str">
            <v>Inyectable</v>
          </cell>
          <cell r="E386">
            <v>0</v>
          </cell>
          <cell r="F386">
            <v>0</v>
          </cell>
          <cell r="H386">
            <v>6</v>
          </cell>
          <cell r="J386">
            <v>37996</v>
          </cell>
          <cell r="M386">
            <v>0</v>
          </cell>
          <cell r="N386">
            <v>0</v>
          </cell>
          <cell r="P386">
            <v>6</v>
          </cell>
          <cell r="R386">
            <v>37996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2.93316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L-01-50</v>
          </cell>
          <cell r="C387" t="str">
            <v>IMATINIB .:. 400 mg</v>
          </cell>
          <cell r="D387" t="str">
            <v>Comprimido</v>
          </cell>
          <cell r="E387">
            <v>0</v>
          </cell>
          <cell r="F387">
            <v>0</v>
          </cell>
          <cell r="H387">
            <v>260</v>
          </cell>
          <cell r="J387">
            <v>25635</v>
          </cell>
          <cell r="M387">
            <v>0</v>
          </cell>
          <cell r="N387">
            <v>0</v>
          </cell>
          <cell r="P387">
            <v>260</v>
          </cell>
          <cell r="R387">
            <v>25635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2.93316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L-01-51</v>
          </cell>
          <cell r="C388" t="str">
            <v>TEMOZOLOMIDA .:. 20 mg</v>
          </cell>
          <cell r="D388" t="str">
            <v>Cápsula</v>
          </cell>
          <cell r="E388">
            <v>0</v>
          </cell>
          <cell r="F388">
            <v>0</v>
          </cell>
          <cell r="H388">
            <v>60</v>
          </cell>
          <cell r="J388">
            <v>13068</v>
          </cell>
          <cell r="M388">
            <v>0</v>
          </cell>
          <cell r="N388">
            <v>0</v>
          </cell>
          <cell r="P388">
            <v>60</v>
          </cell>
          <cell r="R388">
            <v>13068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2.93316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L-01-52</v>
          </cell>
          <cell r="C389" t="str">
            <v>TEMOZOLOMIDA .:. 100 mg</v>
          </cell>
          <cell r="D389" t="str">
            <v>Cápsula</v>
          </cell>
          <cell r="E389">
            <v>0</v>
          </cell>
          <cell r="F389">
            <v>0</v>
          </cell>
          <cell r="H389">
            <v>105</v>
          </cell>
          <cell r="J389">
            <v>31909.5</v>
          </cell>
          <cell r="M389">
            <v>0</v>
          </cell>
          <cell r="N389">
            <v>0</v>
          </cell>
          <cell r="P389">
            <v>105</v>
          </cell>
          <cell r="R389">
            <v>31909.5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2.93316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L-01-60</v>
          </cell>
          <cell r="C390" t="str">
            <v>PACLITAXEL .:. 300 MG/50 ML</v>
          </cell>
          <cell r="D390" t="str">
            <v>Inyectable</v>
          </cell>
          <cell r="E390">
            <v>0</v>
          </cell>
          <cell r="F390">
            <v>0</v>
          </cell>
          <cell r="H390">
            <v>10</v>
          </cell>
          <cell r="J390">
            <v>10778.24</v>
          </cell>
          <cell r="M390">
            <v>0</v>
          </cell>
          <cell r="N390">
            <v>0</v>
          </cell>
          <cell r="P390">
            <v>9</v>
          </cell>
          <cell r="R390">
            <v>9643.24</v>
          </cell>
          <cell r="S390">
            <v>0</v>
          </cell>
          <cell r="T390">
            <v>0</v>
          </cell>
          <cell r="U390">
            <v>1</v>
          </cell>
          <cell r="V390">
            <v>1135</v>
          </cell>
          <cell r="W390">
            <v>1135</v>
          </cell>
          <cell r="X390">
            <v>2.93316</v>
          </cell>
          <cell r="Y390">
            <v>0</v>
          </cell>
          <cell r="Z390">
            <v>1135</v>
          </cell>
          <cell r="AA390">
            <v>1135</v>
          </cell>
        </row>
        <row r="391">
          <cell r="B391" t="str">
            <v>L-02-01</v>
          </cell>
          <cell r="C391" t="str">
            <v>ANASTROZOL .:. 1 mg</v>
          </cell>
          <cell r="D391" t="str">
            <v>Comprimido</v>
          </cell>
          <cell r="E391">
            <v>90</v>
          </cell>
          <cell r="F391">
            <v>225</v>
          </cell>
          <cell r="H391">
            <v>690</v>
          </cell>
          <cell r="J391">
            <v>2355</v>
          </cell>
          <cell r="M391">
            <v>0</v>
          </cell>
          <cell r="N391">
            <v>0</v>
          </cell>
          <cell r="P391">
            <v>390</v>
          </cell>
          <cell r="R391">
            <v>1220.8499999999999</v>
          </cell>
          <cell r="S391">
            <v>0</v>
          </cell>
          <cell r="T391">
            <v>0</v>
          </cell>
          <cell r="U391">
            <v>390</v>
          </cell>
          <cell r="V391">
            <v>3.4849999999999999</v>
          </cell>
          <cell r="W391">
            <v>1359.15</v>
          </cell>
          <cell r="X391">
            <v>2.93316</v>
          </cell>
          <cell r="Y391">
            <v>0</v>
          </cell>
          <cell r="Z391">
            <v>3.4849999999999999</v>
          </cell>
          <cell r="AA391">
            <v>1359.15</v>
          </cell>
        </row>
        <row r="392">
          <cell r="B392" t="str">
            <v>L-02-04</v>
          </cell>
          <cell r="C392" t="str">
            <v>LETROZOL .:. 2,5 mg</v>
          </cell>
          <cell r="D392" t="str">
            <v>Comprimido</v>
          </cell>
          <cell r="E392">
            <v>300</v>
          </cell>
          <cell r="F392">
            <v>1408.71428571</v>
          </cell>
          <cell r="H392">
            <v>360</v>
          </cell>
          <cell r="J392">
            <v>1753.2</v>
          </cell>
          <cell r="M392">
            <v>0</v>
          </cell>
          <cell r="N392">
            <v>0</v>
          </cell>
          <cell r="P392">
            <v>510</v>
          </cell>
          <cell r="R392">
            <v>2433.4252747229998</v>
          </cell>
          <cell r="S392">
            <v>0</v>
          </cell>
          <cell r="T392">
            <v>0</v>
          </cell>
          <cell r="U392">
            <v>150</v>
          </cell>
          <cell r="V392">
            <v>4.85659340658</v>
          </cell>
          <cell r="W392">
            <v>728.48901098700003</v>
          </cell>
          <cell r="X392">
            <v>2.93316</v>
          </cell>
          <cell r="Y392">
            <v>0</v>
          </cell>
          <cell r="Z392">
            <v>4.85659340658</v>
          </cell>
          <cell r="AA392">
            <v>728.48901098700003</v>
          </cell>
        </row>
        <row r="393">
          <cell r="B393" t="str">
            <v>L-02-05</v>
          </cell>
          <cell r="C393" t="str">
            <v>TAMOXIFENO .:. 20 mg</v>
          </cell>
          <cell r="D393" t="str">
            <v>Comprimido</v>
          </cell>
          <cell r="E393">
            <v>0</v>
          </cell>
          <cell r="F393">
            <v>0</v>
          </cell>
          <cell r="H393">
            <v>390</v>
          </cell>
          <cell r="J393">
            <v>2242.5</v>
          </cell>
          <cell r="M393">
            <v>0</v>
          </cell>
          <cell r="N393">
            <v>0</v>
          </cell>
          <cell r="P393">
            <v>210</v>
          </cell>
          <cell r="R393">
            <v>1207.5</v>
          </cell>
          <cell r="S393">
            <v>0</v>
          </cell>
          <cell r="T393">
            <v>0</v>
          </cell>
          <cell r="U393">
            <v>180</v>
          </cell>
          <cell r="V393">
            <v>5.75</v>
          </cell>
          <cell r="W393">
            <v>1035</v>
          </cell>
          <cell r="X393">
            <v>2.93316</v>
          </cell>
          <cell r="Y393">
            <v>0</v>
          </cell>
          <cell r="Z393">
            <v>5.75</v>
          </cell>
          <cell r="AA393">
            <v>1035</v>
          </cell>
        </row>
        <row r="394">
          <cell r="B394" t="str">
            <v>L-02-08</v>
          </cell>
          <cell r="C394" t="str">
            <v>TRIPTORELINA .:. 22.5 mg</v>
          </cell>
          <cell r="D394" t="str">
            <v>Inyectable</v>
          </cell>
          <cell r="E394">
            <v>0</v>
          </cell>
          <cell r="F394">
            <v>0</v>
          </cell>
          <cell r="H394">
            <v>5</v>
          </cell>
          <cell r="J394">
            <v>18100</v>
          </cell>
          <cell r="M394">
            <v>0</v>
          </cell>
          <cell r="N394">
            <v>0</v>
          </cell>
          <cell r="P394">
            <v>5</v>
          </cell>
          <cell r="R394">
            <v>18100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2.93316</v>
          </cell>
          <cell r="Y394">
            <v>0</v>
          </cell>
          <cell r="Z394">
            <v>0</v>
          </cell>
          <cell r="AA394">
            <v>0</v>
          </cell>
        </row>
        <row r="395">
          <cell r="B395" t="str">
            <v>L-02-09</v>
          </cell>
          <cell r="C395" t="str">
            <v>ABIRATERONA ACETATO .:. 250 mg</v>
          </cell>
          <cell r="D395" t="str">
            <v>Comprimido</v>
          </cell>
          <cell r="E395">
            <v>120</v>
          </cell>
          <cell r="F395">
            <v>5172</v>
          </cell>
          <cell r="H395">
            <v>1125</v>
          </cell>
          <cell r="J395">
            <v>48487.51</v>
          </cell>
          <cell r="M395">
            <v>0</v>
          </cell>
          <cell r="N395">
            <v>0</v>
          </cell>
          <cell r="P395">
            <v>1120</v>
          </cell>
          <cell r="R395">
            <v>48272.006575352003</v>
          </cell>
          <cell r="S395">
            <v>0</v>
          </cell>
          <cell r="T395">
            <v>0</v>
          </cell>
          <cell r="U395">
            <v>125</v>
          </cell>
          <cell r="V395">
            <v>43.100027397184</v>
          </cell>
          <cell r="W395">
            <v>5387.503424648</v>
          </cell>
          <cell r="X395">
            <v>2.93316</v>
          </cell>
          <cell r="Y395">
            <v>0</v>
          </cell>
          <cell r="Z395">
            <v>43.100027397184</v>
          </cell>
          <cell r="AA395">
            <v>5387.503424648</v>
          </cell>
        </row>
        <row r="396">
          <cell r="B396" t="str">
            <v>L-02-11</v>
          </cell>
          <cell r="C396" t="str">
            <v>ENZALUTAMIDA .:. 40 mg</v>
          </cell>
          <cell r="D396" t="str">
            <v>Cápsula</v>
          </cell>
          <cell r="E396">
            <v>131</v>
          </cell>
          <cell r="F396">
            <v>3510.8</v>
          </cell>
          <cell r="H396">
            <v>1036</v>
          </cell>
          <cell r="J396">
            <v>27764.799999999999</v>
          </cell>
          <cell r="M396">
            <v>137</v>
          </cell>
          <cell r="N396">
            <v>3671.6</v>
          </cell>
          <cell r="P396">
            <v>1200</v>
          </cell>
          <cell r="R396">
            <v>32160</v>
          </cell>
          <cell r="S396">
            <v>0</v>
          </cell>
          <cell r="T396">
            <v>0</v>
          </cell>
          <cell r="U396">
            <v>104</v>
          </cell>
          <cell r="V396">
            <v>26.8</v>
          </cell>
          <cell r="W396">
            <v>2787.2</v>
          </cell>
          <cell r="X396">
            <v>2.93316</v>
          </cell>
          <cell r="Y396">
            <v>0</v>
          </cell>
          <cell r="Z396">
            <v>26.8</v>
          </cell>
          <cell r="AA396">
            <v>2787.2</v>
          </cell>
        </row>
        <row r="397">
          <cell r="B397" t="str">
            <v>L-02-12</v>
          </cell>
          <cell r="C397" t="str">
            <v>BICALUTAMIDA  .:. 50 MG</v>
          </cell>
          <cell r="D397" t="str">
            <v>Comprimido</v>
          </cell>
          <cell r="E397">
            <v>358</v>
          </cell>
          <cell r="F397">
            <v>2883.1400000176</v>
          </cell>
          <cell r="H397">
            <v>1100</v>
          </cell>
          <cell r="J397">
            <v>8700</v>
          </cell>
          <cell r="M397">
            <v>0</v>
          </cell>
          <cell r="N397">
            <v>0</v>
          </cell>
          <cell r="P397">
            <v>1020</v>
          </cell>
          <cell r="R397">
            <v>8161.9850844929997</v>
          </cell>
          <cell r="S397">
            <v>0</v>
          </cell>
          <cell r="T397">
            <v>0</v>
          </cell>
          <cell r="U397">
            <v>438</v>
          </cell>
          <cell r="V397">
            <v>7.810855971517352</v>
          </cell>
          <cell r="W397">
            <v>3421.1549155245998</v>
          </cell>
          <cell r="X397">
            <v>2.93316</v>
          </cell>
          <cell r="Y397">
            <v>0</v>
          </cell>
          <cell r="Z397">
            <v>7.810855971517352</v>
          </cell>
          <cell r="AA397">
            <v>3421.1549155245998</v>
          </cell>
        </row>
        <row r="398">
          <cell r="B398" t="str">
            <v>L-03-01</v>
          </cell>
          <cell r="C398" t="str">
            <v>FILGASTRIM .:. 300 mcg/ml</v>
          </cell>
          <cell r="D398" t="str">
            <v>Inyectable</v>
          </cell>
          <cell r="E398">
            <v>11</v>
          </cell>
          <cell r="F398">
            <v>1142.68</v>
          </cell>
          <cell r="H398">
            <v>40</v>
          </cell>
          <cell r="J398">
            <v>9080</v>
          </cell>
          <cell r="M398">
            <v>1</v>
          </cell>
          <cell r="N398">
            <v>251.81818100000001</v>
          </cell>
          <cell r="P398">
            <v>44</v>
          </cell>
          <cell r="R398">
            <v>8459.9527269578994</v>
          </cell>
          <cell r="S398">
            <v>0</v>
          </cell>
          <cell r="T398">
            <v>0</v>
          </cell>
          <cell r="U398">
            <v>8</v>
          </cell>
          <cell r="V398">
            <v>251.81818175526249</v>
          </cell>
          <cell r="W398">
            <v>2014.5454540420999</v>
          </cell>
          <cell r="X398">
            <v>2.93316</v>
          </cell>
          <cell r="Y398">
            <v>0</v>
          </cell>
          <cell r="Z398">
            <v>251.81818175526249</v>
          </cell>
          <cell r="AA398">
            <v>2014.5454540420999</v>
          </cell>
        </row>
        <row r="399">
          <cell r="B399" t="str">
            <v>L-04-01</v>
          </cell>
          <cell r="C399" t="str">
            <v>AZATIOPRINA .:. 50 mg</v>
          </cell>
          <cell r="D399" t="str">
            <v>Comprimido</v>
          </cell>
          <cell r="E399">
            <v>410</v>
          </cell>
          <cell r="F399">
            <v>1025</v>
          </cell>
          <cell r="H399">
            <v>4000</v>
          </cell>
          <cell r="J399">
            <v>5200</v>
          </cell>
          <cell r="M399">
            <v>0</v>
          </cell>
          <cell r="N399">
            <v>0</v>
          </cell>
          <cell r="P399">
            <v>3505</v>
          </cell>
          <cell r="R399">
            <v>5051.2218045019999</v>
          </cell>
          <cell r="S399">
            <v>0</v>
          </cell>
          <cell r="T399">
            <v>0</v>
          </cell>
          <cell r="U399">
            <v>905</v>
          </cell>
          <cell r="V399">
            <v>1.2969924812132596</v>
          </cell>
          <cell r="W399">
            <v>1173.7781954980001</v>
          </cell>
          <cell r="X399">
            <v>2.93316</v>
          </cell>
          <cell r="Y399">
            <v>0</v>
          </cell>
          <cell r="Z399">
            <v>1.2969924812132596</v>
          </cell>
          <cell r="AA399">
            <v>1173.7781954980001</v>
          </cell>
        </row>
        <row r="400">
          <cell r="B400" t="str">
            <v>L-04-07</v>
          </cell>
          <cell r="C400" t="str">
            <v>MICOFENOLATO DE MOFETILO .:. 500 mg</v>
          </cell>
          <cell r="D400" t="str">
            <v>Comprimido</v>
          </cell>
          <cell r="E400">
            <v>2450</v>
          </cell>
          <cell r="F400">
            <v>12250</v>
          </cell>
          <cell r="H400">
            <v>900</v>
          </cell>
          <cell r="J400">
            <v>4923</v>
          </cell>
          <cell r="M400">
            <v>0</v>
          </cell>
          <cell r="N400">
            <v>0</v>
          </cell>
          <cell r="P400">
            <v>2522</v>
          </cell>
          <cell r="R400">
            <v>12811.045627375001</v>
          </cell>
          <cell r="S400">
            <v>0</v>
          </cell>
          <cell r="T400">
            <v>0</v>
          </cell>
          <cell r="U400">
            <v>828</v>
          </cell>
          <cell r="V400">
            <v>5.268060836503623</v>
          </cell>
          <cell r="W400">
            <v>4361.9543726250004</v>
          </cell>
          <cell r="X400">
            <v>2.93316</v>
          </cell>
          <cell r="Y400">
            <v>0</v>
          </cell>
          <cell r="Z400">
            <v>5.268060836503623</v>
          </cell>
          <cell r="AA400">
            <v>4361.9543726250004</v>
          </cell>
        </row>
        <row r="401">
          <cell r="B401" t="str">
            <v>L-04-10</v>
          </cell>
          <cell r="C401" t="str">
            <v>TACROLIMUS .:. 1 mg</v>
          </cell>
          <cell r="D401" t="str">
            <v>Cápsula</v>
          </cell>
          <cell r="E401">
            <v>180</v>
          </cell>
          <cell r="F401">
            <v>1800</v>
          </cell>
          <cell r="H401">
            <v>1460</v>
          </cell>
          <cell r="J401">
            <v>14704.2</v>
          </cell>
          <cell r="M401">
            <v>0</v>
          </cell>
          <cell r="N401">
            <v>0</v>
          </cell>
          <cell r="P401">
            <v>1100</v>
          </cell>
          <cell r="R401">
            <v>11066.400000023001</v>
          </cell>
          <cell r="S401">
            <v>0</v>
          </cell>
          <cell r="T401">
            <v>0</v>
          </cell>
          <cell r="U401">
            <v>540</v>
          </cell>
          <cell r="V401">
            <v>10.069999999957407</v>
          </cell>
          <cell r="W401">
            <v>5437.799999977</v>
          </cell>
          <cell r="X401">
            <v>2.93316</v>
          </cell>
          <cell r="Y401">
            <v>0</v>
          </cell>
          <cell r="Z401">
            <v>10.069999999957407</v>
          </cell>
          <cell r="AA401">
            <v>5437.799999977</v>
          </cell>
        </row>
        <row r="402">
          <cell r="B402" t="str">
            <v>L-04-12</v>
          </cell>
          <cell r="C402" t="str">
            <v>LEFLUNOMIDA .:. 20 mg</v>
          </cell>
          <cell r="D402" t="str">
            <v>Comprimido</v>
          </cell>
          <cell r="E402">
            <v>212</v>
          </cell>
          <cell r="F402">
            <v>844.56627971440003</v>
          </cell>
          <cell r="H402">
            <v>3700</v>
          </cell>
          <cell r="J402">
            <v>14615</v>
          </cell>
          <cell r="M402">
            <v>0</v>
          </cell>
          <cell r="N402">
            <v>0</v>
          </cell>
          <cell r="P402">
            <v>3912</v>
          </cell>
          <cell r="R402">
            <v>15459.566279713201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1.2E-9</v>
          </cell>
          <cell r="X402">
            <v>2.93316</v>
          </cell>
          <cell r="Y402">
            <v>0</v>
          </cell>
          <cell r="Z402">
            <v>0</v>
          </cell>
          <cell r="AA402">
            <v>1.2E-9</v>
          </cell>
        </row>
        <row r="403">
          <cell r="B403" t="str">
            <v>M-01-01</v>
          </cell>
          <cell r="C403" t="str">
            <v>DICLOFENACO SODICO .:. 0.01</v>
          </cell>
          <cell r="D403" t="str">
            <v>Pomada o Gel</v>
          </cell>
          <cell r="E403">
            <v>674</v>
          </cell>
          <cell r="F403">
            <v>2692.8864414979998</v>
          </cell>
          <cell r="H403">
            <v>250</v>
          </cell>
          <cell r="J403">
            <v>2250</v>
          </cell>
          <cell r="M403">
            <v>0</v>
          </cell>
          <cell r="N403">
            <v>0</v>
          </cell>
          <cell r="P403">
            <v>836</v>
          </cell>
          <cell r="R403">
            <v>4174.2413325976004</v>
          </cell>
          <cell r="S403">
            <v>0</v>
          </cell>
          <cell r="T403">
            <v>0</v>
          </cell>
          <cell r="U403">
            <v>88</v>
          </cell>
          <cell r="V403">
            <v>8.7346035102318176</v>
          </cell>
          <cell r="W403">
            <v>768.64510890040003</v>
          </cell>
          <cell r="X403">
            <v>2.93316</v>
          </cell>
          <cell r="Y403">
            <v>0</v>
          </cell>
          <cell r="Z403">
            <v>8.7346035102318176</v>
          </cell>
          <cell r="AA403">
            <v>768.64510890040003</v>
          </cell>
        </row>
        <row r="404">
          <cell r="B404" t="str">
            <v>M-01-02</v>
          </cell>
          <cell r="C404" t="str">
            <v>DICLOFENACO SODICO .:. 50 mg</v>
          </cell>
          <cell r="D404" t="str">
            <v>Comprimido</v>
          </cell>
          <cell r="E404">
            <v>3072</v>
          </cell>
          <cell r="F404">
            <v>300.36934133760002</v>
          </cell>
          <cell r="H404">
            <v>11000</v>
          </cell>
          <cell r="J404">
            <v>1650</v>
          </cell>
          <cell r="M404">
            <v>0</v>
          </cell>
          <cell r="N404">
            <v>0</v>
          </cell>
          <cell r="P404">
            <v>8013</v>
          </cell>
          <cell r="R404">
            <v>1045.5239679321</v>
          </cell>
          <cell r="S404">
            <v>0</v>
          </cell>
          <cell r="T404">
            <v>0</v>
          </cell>
          <cell r="U404">
            <v>6059</v>
          </cell>
          <cell r="V404">
            <v>0.14933906146319526</v>
          </cell>
          <cell r="W404">
            <v>904.84537340550003</v>
          </cell>
          <cell r="X404">
            <v>2.93316</v>
          </cell>
          <cell r="Y404">
            <v>0</v>
          </cell>
          <cell r="Z404">
            <v>0.14933906146319526</v>
          </cell>
          <cell r="AA404">
            <v>904.84537340550003</v>
          </cell>
        </row>
        <row r="405">
          <cell r="B405" t="str">
            <v>M-01-03</v>
          </cell>
          <cell r="C405" t="str">
            <v>DICLOFENACO SODICO .:. 75 mg</v>
          </cell>
          <cell r="D405" t="str">
            <v>Inyectable</v>
          </cell>
          <cell r="E405">
            <v>2203</v>
          </cell>
          <cell r="F405">
            <v>2414.9754558272998</v>
          </cell>
          <cell r="H405">
            <v>2000</v>
          </cell>
          <cell r="J405">
            <v>2400</v>
          </cell>
          <cell r="M405">
            <v>18</v>
          </cell>
          <cell r="N405">
            <v>270.69923999999997</v>
          </cell>
          <cell r="P405">
            <v>3080</v>
          </cell>
          <cell r="R405">
            <v>3627.7315771384001</v>
          </cell>
          <cell r="S405">
            <v>0</v>
          </cell>
          <cell r="T405">
            <v>0</v>
          </cell>
          <cell r="U405">
            <v>1141</v>
          </cell>
          <cell r="V405">
            <v>1.2777766158535495</v>
          </cell>
          <cell r="W405">
            <v>1457.9431186889001</v>
          </cell>
          <cell r="X405">
            <v>2.93316</v>
          </cell>
          <cell r="Y405">
            <v>0</v>
          </cell>
          <cell r="Z405">
            <v>1.2777766158535495</v>
          </cell>
          <cell r="AA405">
            <v>1457.9431186889001</v>
          </cell>
        </row>
        <row r="406">
          <cell r="B406" t="str">
            <v>M-01-04</v>
          </cell>
          <cell r="C406" t="str">
            <v>IBUPROFENO .:. 100 mg/5 ml</v>
          </cell>
          <cell r="D406" t="str">
            <v>Suspensión</v>
          </cell>
          <cell r="E406">
            <v>307</v>
          </cell>
          <cell r="F406">
            <v>2105.5330006196</v>
          </cell>
          <cell r="H406">
            <v>375</v>
          </cell>
          <cell r="J406">
            <v>2808.75</v>
          </cell>
          <cell r="M406">
            <v>0</v>
          </cell>
          <cell r="N406">
            <v>0</v>
          </cell>
          <cell r="P406">
            <v>458</v>
          </cell>
          <cell r="R406">
            <v>3296.2521867624</v>
          </cell>
          <cell r="S406">
            <v>0</v>
          </cell>
          <cell r="T406">
            <v>0</v>
          </cell>
          <cell r="U406">
            <v>224</v>
          </cell>
          <cell r="V406">
            <v>7.2233518475767857</v>
          </cell>
          <cell r="W406">
            <v>1618.0308138572</v>
          </cell>
          <cell r="X406">
            <v>2.93316</v>
          </cell>
          <cell r="Y406">
            <v>0</v>
          </cell>
          <cell r="Z406">
            <v>7.2233518475767857</v>
          </cell>
          <cell r="AA406">
            <v>1618.0308138572</v>
          </cell>
        </row>
        <row r="407">
          <cell r="B407" t="str">
            <v>M-01-05</v>
          </cell>
          <cell r="C407" t="str">
            <v>IBUPROFENO .:. 400 mg</v>
          </cell>
          <cell r="D407" t="str">
            <v>Comprimido</v>
          </cell>
          <cell r="E407">
            <v>16616</v>
          </cell>
          <cell r="F407">
            <v>4016.6172088600001</v>
          </cell>
          <cell r="H407">
            <v>17000</v>
          </cell>
          <cell r="J407">
            <v>7650</v>
          </cell>
          <cell r="M407">
            <v>10</v>
          </cell>
          <cell r="N407">
            <v>2.4173100000000001</v>
          </cell>
          <cell r="P407">
            <v>20704</v>
          </cell>
          <cell r="R407">
            <v>5850.3297213220003</v>
          </cell>
          <cell r="S407">
            <v>0</v>
          </cell>
          <cell r="T407">
            <v>0</v>
          </cell>
          <cell r="U407">
            <v>12922</v>
          </cell>
          <cell r="V407">
            <v>0.45029444339405666</v>
          </cell>
          <cell r="W407">
            <v>5818.7047975380001</v>
          </cell>
          <cell r="X407">
            <v>2.93316</v>
          </cell>
          <cell r="Y407">
            <v>0</v>
          </cell>
          <cell r="Z407">
            <v>0.45029444339405666</v>
          </cell>
          <cell r="AA407">
            <v>5818.7047975380001</v>
          </cell>
        </row>
        <row r="408">
          <cell r="B408" t="str">
            <v>M-01-06</v>
          </cell>
          <cell r="C408" t="str">
            <v>INDOMETACINA .:. 25 mg</v>
          </cell>
          <cell r="D408" t="str">
            <v>Cápsula o Comprimido</v>
          </cell>
          <cell r="E408">
            <v>938</v>
          </cell>
          <cell r="F408">
            <v>187.73852318339999</v>
          </cell>
          <cell r="H408">
            <v>0</v>
          </cell>
          <cell r="J408">
            <v>0</v>
          </cell>
          <cell r="M408">
            <v>0</v>
          </cell>
          <cell r="N408">
            <v>0</v>
          </cell>
          <cell r="P408">
            <v>170</v>
          </cell>
          <cell r="R408">
            <v>34.025105480999997</v>
          </cell>
          <cell r="S408">
            <v>0</v>
          </cell>
          <cell r="T408">
            <v>0</v>
          </cell>
          <cell r="U408">
            <v>768</v>
          </cell>
          <cell r="V408">
            <v>0.20014767929999999</v>
          </cell>
          <cell r="W408">
            <v>153.71341770239999</v>
          </cell>
          <cell r="X408">
            <v>2.93316</v>
          </cell>
          <cell r="Y408">
            <v>0</v>
          </cell>
          <cell r="Z408">
            <v>0.20014767929999999</v>
          </cell>
          <cell r="AA408">
            <v>153.71341770239999</v>
          </cell>
        </row>
        <row r="409">
          <cell r="B409" t="str">
            <v>M-01-07</v>
          </cell>
          <cell r="C409" t="str">
            <v>INDOMETACINA .:. 100 mg</v>
          </cell>
          <cell r="D409" t="str">
            <v>Supositorio</v>
          </cell>
          <cell r="E409">
            <v>846</v>
          </cell>
          <cell r="F409">
            <v>1383.4235197404</v>
          </cell>
          <cell r="H409">
            <v>0</v>
          </cell>
          <cell r="J409">
            <v>0</v>
          </cell>
          <cell r="M409">
            <v>0</v>
          </cell>
          <cell r="N409">
            <v>0</v>
          </cell>
          <cell r="P409">
            <v>312</v>
          </cell>
          <cell r="R409">
            <v>510.19874486880002</v>
          </cell>
          <cell r="S409">
            <v>0</v>
          </cell>
          <cell r="T409">
            <v>0</v>
          </cell>
          <cell r="U409">
            <v>534</v>
          </cell>
          <cell r="V409">
            <v>1.6352523874</v>
          </cell>
          <cell r="W409">
            <v>873.22477487159995</v>
          </cell>
          <cell r="X409">
            <v>2.93316</v>
          </cell>
          <cell r="Y409">
            <v>0</v>
          </cell>
          <cell r="Z409">
            <v>1.6352523874</v>
          </cell>
          <cell r="AA409">
            <v>873.22477487159995</v>
          </cell>
        </row>
        <row r="410">
          <cell r="B410" t="str">
            <v>M-01-09</v>
          </cell>
          <cell r="C410" t="str">
            <v>KETOROLACO .:. 30 mg/ml</v>
          </cell>
          <cell r="D410" t="str">
            <v>Inyectable</v>
          </cell>
          <cell r="E410">
            <v>2735</v>
          </cell>
          <cell r="F410">
            <v>5173.4953928884997</v>
          </cell>
          <cell r="H410">
            <v>2800</v>
          </cell>
          <cell r="J410">
            <v>5012</v>
          </cell>
          <cell r="M410">
            <v>294</v>
          </cell>
          <cell r="N410">
            <v>539.62576200000001</v>
          </cell>
          <cell r="P410">
            <v>4344</v>
          </cell>
          <cell r="R410">
            <v>7999.4583749226003</v>
          </cell>
          <cell r="S410">
            <v>0</v>
          </cell>
          <cell r="T410">
            <v>0</v>
          </cell>
          <cell r="U410">
            <v>1485</v>
          </cell>
          <cell r="V410">
            <v>1.8354631514921886</v>
          </cell>
          <cell r="W410">
            <v>2725.6627799659</v>
          </cell>
          <cell r="X410">
            <v>2.93316</v>
          </cell>
          <cell r="Y410">
            <v>0</v>
          </cell>
          <cell r="Z410">
            <v>1.8354631514921886</v>
          </cell>
          <cell r="AA410">
            <v>2725.6627799659</v>
          </cell>
        </row>
        <row r="411">
          <cell r="B411" t="str">
            <v>M-01-10</v>
          </cell>
          <cell r="C411" t="str">
            <v>KETOPROFENO .:. 100 mg</v>
          </cell>
          <cell r="D411" t="str">
            <v>Inyectable</v>
          </cell>
          <cell r="E411">
            <v>83</v>
          </cell>
          <cell r="F411">
            <v>747</v>
          </cell>
          <cell r="H411">
            <v>500</v>
          </cell>
          <cell r="J411">
            <v>3950</v>
          </cell>
          <cell r="M411">
            <v>44</v>
          </cell>
          <cell r="N411">
            <v>351.75866000000002</v>
          </cell>
          <cell r="P411">
            <v>436</v>
          </cell>
          <cell r="R411">
            <v>3521.8062061820001</v>
          </cell>
          <cell r="S411">
            <v>0</v>
          </cell>
          <cell r="T411">
            <v>0</v>
          </cell>
          <cell r="U411">
            <v>191</v>
          </cell>
          <cell r="V411">
            <v>7.9945154650157066</v>
          </cell>
          <cell r="W411">
            <v>1526.9524538180001</v>
          </cell>
          <cell r="X411">
            <v>2.93316</v>
          </cell>
          <cell r="Y411">
            <v>0</v>
          </cell>
          <cell r="Z411">
            <v>7.9945154650157066</v>
          </cell>
          <cell r="AA411">
            <v>1526.9524538180001</v>
          </cell>
        </row>
        <row r="412">
          <cell r="B412" t="str">
            <v>M-01-11</v>
          </cell>
          <cell r="C412" t="str">
            <v>MELOXICAM .:. 15 mg</v>
          </cell>
          <cell r="D412" t="str">
            <v>Comprimido</v>
          </cell>
          <cell r="E412">
            <v>1011</v>
          </cell>
          <cell r="F412">
            <v>174.29126462549999</v>
          </cell>
          <cell r="H412">
            <v>9000</v>
          </cell>
          <cell r="J412">
            <v>2520</v>
          </cell>
          <cell r="M412">
            <v>0</v>
          </cell>
          <cell r="N412">
            <v>0</v>
          </cell>
          <cell r="P412">
            <v>8408</v>
          </cell>
          <cell r="R412">
            <v>2246.4231885550998</v>
          </cell>
          <cell r="S412">
            <v>0</v>
          </cell>
          <cell r="T412">
            <v>0</v>
          </cell>
          <cell r="U412">
            <v>1603</v>
          </cell>
          <cell r="V412">
            <v>0.27939368438577666</v>
          </cell>
          <cell r="W412">
            <v>447.86807607039998</v>
          </cell>
          <cell r="X412">
            <v>2.93316</v>
          </cell>
          <cell r="Y412">
            <v>0</v>
          </cell>
          <cell r="Z412">
            <v>0.27939368438577666</v>
          </cell>
          <cell r="AA412">
            <v>447.86807607039998</v>
          </cell>
        </row>
        <row r="413">
          <cell r="B413" t="str">
            <v>M-03-01</v>
          </cell>
          <cell r="C413" t="str">
            <v>ATRACURIO BESILATO .:. 10 mg/ml</v>
          </cell>
          <cell r="D413" t="str">
            <v>Inyectable</v>
          </cell>
          <cell r="E413">
            <v>84</v>
          </cell>
          <cell r="F413">
            <v>2252.1155806380002</v>
          </cell>
          <cell r="H413">
            <v>220</v>
          </cell>
          <cell r="J413">
            <v>5940</v>
          </cell>
          <cell r="M413">
            <v>0</v>
          </cell>
          <cell r="N413">
            <v>0</v>
          </cell>
          <cell r="P413">
            <v>105</v>
          </cell>
          <cell r="R413">
            <v>2826.9666412851002</v>
          </cell>
          <cell r="S413">
            <v>0</v>
          </cell>
          <cell r="T413">
            <v>0</v>
          </cell>
          <cell r="U413">
            <v>199</v>
          </cell>
          <cell r="V413">
            <v>26.96054743393417</v>
          </cell>
          <cell r="W413">
            <v>5365.1489393529</v>
          </cell>
          <cell r="X413">
            <v>2.93316</v>
          </cell>
          <cell r="Y413">
            <v>0</v>
          </cell>
          <cell r="Z413">
            <v>26.96054743393417</v>
          </cell>
          <cell r="AA413">
            <v>5365.1489393529</v>
          </cell>
        </row>
        <row r="414">
          <cell r="B414" t="str">
            <v>M-04-01</v>
          </cell>
          <cell r="C414" t="str">
            <v>ALOPURINOL .:. 300 mg</v>
          </cell>
          <cell r="D414" t="str">
            <v>Comprimido</v>
          </cell>
          <cell r="E414">
            <v>0</v>
          </cell>
          <cell r="F414">
            <v>0</v>
          </cell>
          <cell r="H414">
            <v>4400</v>
          </cell>
          <cell r="J414">
            <v>3804</v>
          </cell>
          <cell r="M414">
            <v>0</v>
          </cell>
          <cell r="N414">
            <v>0</v>
          </cell>
          <cell r="P414">
            <v>2786</v>
          </cell>
          <cell r="R414">
            <v>2367.54</v>
          </cell>
          <cell r="S414">
            <v>0</v>
          </cell>
          <cell r="T414">
            <v>0</v>
          </cell>
          <cell r="U414">
            <v>1614</v>
          </cell>
          <cell r="V414">
            <v>0.89</v>
          </cell>
          <cell r="W414">
            <v>1436.46</v>
          </cell>
          <cell r="X414">
            <v>2.93316</v>
          </cell>
          <cell r="Y414">
            <v>0</v>
          </cell>
          <cell r="Z414">
            <v>0.89</v>
          </cell>
          <cell r="AA414">
            <v>1436.46</v>
          </cell>
        </row>
        <row r="415">
          <cell r="B415" t="str">
            <v>M-04-02</v>
          </cell>
          <cell r="C415" t="str">
            <v>COLCHICINA .:. 0,5 mg</v>
          </cell>
          <cell r="D415" t="str">
            <v>Comprimido</v>
          </cell>
          <cell r="E415">
            <v>430</v>
          </cell>
          <cell r="F415">
            <v>344</v>
          </cell>
          <cell r="H415">
            <v>0</v>
          </cell>
          <cell r="J415">
            <v>0</v>
          </cell>
          <cell r="M415">
            <v>0</v>
          </cell>
          <cell r="N415">
            <v>0</v>
          </cell>
          <cell r="P415">
            <v>325</v>
          </cell>
          <cell r="R415">
            <v>260</v>
          </cell>
          <cell r="S415">
            <v>0</v>
          </cell>
          <cell r="T415">
            <v>0</v>
          </cell>
          <cell r="U415">
            <v>105</v>
          </cell>
          <cell r="V415">
            <v>0.8</v>
          </cell>
          <cell r="W415">
            <v>84</v>
          </cell>
          <cell r="X415">
            <v>2.93316</v>
          </cell>
          <cell r="Y415">
            <v>0</v>
          </cell>
          <cell r="Z415">
            <v>0.8</v>
          </cell>
          <cell r="AA415">
            <v>84</v>
          </cell>
        </row>
        <row r="416">
          <cell r="B416" t="str">
            <v>M-05-03</v>
          </cell>
          <cell r="C416" t="str">
            <v>ACIDO ALENDRONICO (ALENDRONATO) .:. 70 mg</v>
          </cell>
          <cell r="D416" t="str">
            <v>Comprimido</v>
          </cell>
          <cell r="E416">
            <v>476</v>
          </cell>
          <cell r="F416">
            <v>952</v>
          </cell>
          <cell r="H416">
            <v>1550</v>
          </cell>
          <cell r="J416">
            <v>3239.5</v>
          </cell>
          <cell r="M416">
            <v>17</v>
          </cell>
          <cell r="N416">
            <v>35.249465999999998</v>
          </cell>
          <cell r="P416">
            <v>1007</v>
          </cell>
          <cell r="R416">
            <v>2078.6991666612998</v>
          </cell>
          <cell r="S416">
            <v>0</v>
          </cell>
          <cell r="T416">
            <v>0</v>
          </cell>
          <cell r="U416">
            <v>1036</v>
          </cell>
          <cell r="V416">
            <v>2.0734076248443052</v>
          </cell>
          <cell r="W416">
            <v>2148.0502993386999</v>
          </cell>
          <cell r="X416">
            <v>2.93316</v>
          </cell>
          <cell r="Y416">
            <v>0</v>
          </cell>
          <cell r="Z416">
            <v>2.0734076248443052</v>
          </cell>
          <cell r="AA416">
            <v>2148.0502993386999</v>
          </cell>
        </row>
        <row r="417">
          <cell r="B417" t="str">
            <v>M-05-04</v>
          </cell>
          <cell r="C417" t="str">
            <v>ACIDO ZOLEDRONICO .:. 4mg</v>
          </cell>
          <cell r="D417" t="str">
            <v>Inyectable</v>
          </cell>
          <cell r="E417">
            <v>10</v>
          </cell>
          <cell r="F417">
            <v>2836.25</v>
          </cell>
          <cell r="H417">
            <v>20</v>
          </cell>
          <cell r="J417">
            <v>5940</v>
          </cell>
          <cell r="M417">
            <v>0</v>
          </cell>
          <cell r="N417">
            <v>0</v>
          </cell>
          <cell r="P417">
            <v>21</v>
          </cell>
          <cell r="R417">
            <v>5986.2500000005002</v>
          </cell>
          <cell r="S417">
            <v>0</v>
          </cell>
          <cell r="T417">
            <v>0</v>
          </cell>
          <cell r="U417">
            <v>9</v>
          </cell>
          <cell r="V417">
            <v>309.99999999994446</v>
          </cell>
          <cell r="W417">
            <v>2789.9999999994998</v>
          </cell>
          <cell r="X417">
            <v>2.93316</v>
          </cell>
          <cell r="Y417">
            <v>0</v>
          </cell>
          <cell r="Z417">
            <v>309.99999999994446</v>
          </cell>
          <cell r="AA417">
            <v>2789.9999999994998</v>
          </cell>
        </row>
        <row r="418">
          <cell r="B418" t="str">
            <v>N-01-02</v>
          </cell>
          <cell r="C418" t="str">
            <v>BUPIVACAINA CLORHIDRATO (PESADA) .:. 0,5%</v>
          </cell>
          <cell r="D418" t="str">
            <v>Inyectable</v>
          </cell>
          <cell r="E418">
            <v>43</v>
          </cell>
          <cell r="F418">
            <v>556.02307692440002</v>
          </cell>
          <cell r="H418">
            <v>60</v>
          </cell>
          <cell r="J418">
            <v>780</v>
          </cell>
          <cell r="M418">
            <v>2</v>
          </cell>
          <cell r="N418">
            <v>26</v>
          </cell>
          <cell r="P418">
            <v>75</v>
          </cell>
          <cell r="R418">
            <v>972.02307692440002</v>
          </cell>
          <cell r="S418">
            <v>0</v>
          </cell>
          <cell r="T418">
            <v>0</v>
          </cell>
          <cell r="U418">
            <v>30</v>
          </cell>
          <cell r="V418">
            <v>13</v>
          </cell>
          <cell r="W418">
            <v>390</v>
          </cell>
          <cell r="X418">
            <v>2.93316</v>
          </cell>
          <cell r="Y418">
            <v>0</v>
          </cell>
          <cell r="Z418">
            <v>13</v>
          </cell>
          <cell r="AA418">
            <v>390</v>
          </cell>
        </row>
        <row r="419">
          <cell r="B419" t="str">
            <v>N-01-05</v>
          </cell>
          <cell r="C419" t="str">
            <v>FENTANILO CON CONSERVANTE (10 ML) .:. 0,05 mg/ml</v>
          </cell>
          <cell r="D419" t="str">
            <v>Inyectable</v>
          </cell>
          <cell r="E419">
            <v>26</v>
          </cell>
          <cell r="F419">
            <v>853.3831724808</v>
          </cell>
          <cell r="H419">
            <v>270</v>
          </cell>
          <cell r="J419">
            <v>9072</v>
          </cell>
          <cell r="M419">
            <v>2</v>
          </cell>
          <cell r="N419">
            <v>65.644857999999999</v>
          </cell>
          <cell r="P419">
            <v>170</v>
          </cell>
          <cell r="R419">
            <v>5690.2280304808</v>
          </cell>
          <cell r="S419">
            <v>0</v>
          </cell>
          <cell r="T419">
            <v>0</v>
          </cell>
          <cell r="U419">
            <v>128</v>
          </cell>
          <cell r="V419">
            <v>33.6</v>
          </cell>
          <cell r="W419">
            <v>4300.8</v>
          </cell>
          <cell r="X419">
            <v>2.93316</v>
          </cell>
          <cell r="Y419">
            <v>0</v>
          </cell>
          <cell r="Z419">
            <v>33.6</v>
          </cell>
          <cell r="AA419">
            <v>4300.8</v>
          </cell>
        </row>
        <row r="420">
          <cell r="B420" t="str">
            <v>N-01-11</v>
          </cell>
          <cell r="C420" t="str">
            <v>LIDOCAINA CLORHIDRATO + EPINEFRINA .:. 2% 1 : 200.000</v>
          </cell>
          <cell r="D420" t="str">
            <v>Cartucho dental</v>
          </cell>
          <cell r="E420">
            <v>0</v>
          </cell>
          <cell r="F420">
            <v>0</v>
          </cell>
          <cell r="H420">
            <v>22</v>
          </cell>
          <cell r="J420">
            <v>7462</v>
          </cell>
          <cell r="M420">
            <v>0</v>
          </cell>
          <cell r="N420">
            <v>0</v>
          </cell>
          <cell r="P420">
            <v>22</v>
          </cell>
          <cell r="R420">
            <v>7462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2.93316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N-01-12</v>
          </cell>
          <cell r="C421" t="str">
            <v>LIDOCAINA CLORHIDRATO SIN CONSERVANTE .:. 0.02</v>
          </cell>
          <cell r="D421" t="str">
            <v>Inyectable</v>
          </cell>
          <cell r="E421">
            <v>87</v>
          </cell>
          <cell r="F421">
            <v>693.03900842669998</v>
          </cell>
          <cell r="H421">
            <v>230</v>
          </cell>
          <cell r="J421">
            <v>2300</v>
          </cell>
          <cell r="M421">
            <v>6</v>
          </cell>
          <cell r="N421">
            <v>56.792484000000002</v>
          </cell>
          <cell r="P421">
            <v>227</v>
          </cell>
          <cell r="R421">
            <v>2141.1517447459</v>
          </cell>
          <cell r="S421">
            <v>0</v>
          </cell>
          <cell r="T421">
            <v>0</v>
          </cell>
          <cell r="U421">
            <v>96</v>
          </cell>
          <cell r="V421">
            <v>9.4654140383416667</v>
          </cell>
          <cell r="W421">
            <v>908.67974768080001</v>
          </cell>
          <cell r="X421">
            <v>2.93316</v>
          </cell>
          <cell r="Y421">
            <v>0</v>
          </cell>
          <cell r="Z421">
            <v>9.4654140383416667</v>
          </cell>
          <cell r="AA421">
            <v>908.67974768080001</v>
          </cell>
        </row>
        <row r="422">
          <cell r="B422" t="str">
            <v>N-01-13</v>
          </cell>
          <cell r="C422" t="str">
            <v>PROPOFOL .:. 10 mg/ml</v>
          </cell>
          <cell r="D422" t="str">
            <v>Inyectable</v>
          </cell>
          <cell r="E422">
            <v>115</v>
          </cell>
          <cell r="F422">
            <v>4247.5175415254998</v>
          </cell>
          <cell r="H422">
            <v>500</v>
          </cell>
          <cell r="J422">
            <v>19495</v>
          </cell>
          <cell r="M422">
            <v>1</v>
          </cell>
          <cell r="N422">
            <v>38.731319999999997</v>
          </cell>
          <cell r="P422">
            <v>292</v>
          </cell>
          <cell r="R422">
            <v>11232.301017502599</v>
          </cell>
          <cell r="S422">
            <v>0</v>
          </cell>
          <cell r="T422">
            <v>0</v>
          </cell>
          <cell r="U422">
            <v>324</v>
          </cell>
          <cell r="V422">
            <v>38.73132050624352</v>
          </cell>
          <cell r="W422">
            <v>12548.9478440229</v>
          </cell>
          <cell r="X422">
            <v>2.93316</v>
          </cell>
          <cell r="Y422">
            <v>0</v>
          </cell>
          <cell r="Z422">
            <v>38.73132050624352</v>
          </cell>
          <cell r="AA422">
            <v>12548.9478440229</v>
          </cell>
        </row>
        <row r="423">
          <cell r="B423" t="str">
            <v>N-01-15</v>
          </cell>
          <cell r="C423" t="str">
            <v>TIOPENTAL SODICO .:. 1 g</v>
          </cell>
          <cell r="D423" t="str">
            <v>Inyectable</v>
          </cell>
          <cell r="E423">
            <v>52</v>
          </cell>
          <cell r="F423">
            <v>1300</v>
          </cell>
          <cell r="H423">
            <v>0</v>
          </cell>
          <cell r="J423">
            <v>0</v>
          </cell>
          <cell r="M423">
            <v>0</v>
          </cell>
          <cell r="N423">
            <v>0</v>
          </cell>
          <cell r="P423">
            <v>0</v>
          </cell>
          <cell r="R423">
            <v>0</v>
          </cell>
          <cell r="S423">
            <v>52</v>
          </cell>
          <cell r="T423">
            <v>1300</v>
          </cell>
          <cell r="U423">
            <v>0</v>
          </cell>
          <cell r="V423">
            <v>0</v>
          </cell>
          <cell r="W423">
            <v>0</v>
          </cell>
          <cell r="X423">
            <v>2.93316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N-01-16</v>
          </cell>
          <cell r="C424" t="str">
            <v>REMIFENTANILO .:. 5 mg</v>
          </cell>
          <cell r="D424" t="str">
            <v>Inyectable</v>
          </cell>
          <cell r="E424">
            <v>11</v>
          </cell>
          <cell r="F424">
            <v>1012</v>
          </cell>
          <cell r="H424">
            <v>35</v>
          </cell>
          <cell r="J424">
            <v>3219.65</v>
          </cell>
          <cell r="M424">
            <v>0</v>
          </cell>
          <cell r="N424">
            <v>0</v>
          </cell>
          <cell r="P424">
            <v>21</v>
          </cell>
          <cell r="R424">
            <v>1931.8444444439999</v>
          </cell>
          <cell r="S424">
            <v>0</v>
          </cell>
          <cell r="T424">
            <v>0</v>
          </cell>
          <cell r="U424">
            <v>25</v>
          </cell>
          <cell r="V424">
            <v>91.992222222240002</v>
          </cell>
          <cell r="W424">
            <v>2299.8055555559999</v>
          </cell>
          <cell r="X424">
            <v>2.93316</v>
          </cell>
          <cell r="Y424">
            <v>0</v>
          </cell>
          <cell r="Z424">
            <v>91.992222222240002</v>
          </cell>
          <cell r="AA424">
            <v>2299.8055555559999</v>
          </cell>
        </row>
        <row r="425">
          <cell r="B425" t="str">
            <v>N-02-03</v>
          </cell>
          <cell r="C425" t="str">
            <v>ERGOTAMINA TARTRATO + CAFEINA .:. 1 mg + 100 mg</v>
          </cell>
          <cell r="D425" t="str">
            <v>Comprimido</v>
          </cell>
          <cell r="E425">
            <v>0</v>
          </cell>
          <cell r="F425">
            <v>0</v>
          </cell>
          <cell r="H425">
            <v>2100</v>
          </cell>
          <cell r="J425">
            <v>4650</v>
          </cell>
          <cell r="M425">
            <v>0</v>
          </cell>
          <cell r="N425">
            <v>0</v>
          </cell>
          <cell r="P425">
            <v>1962</v>
          </cell>
          <cell r="R425">
            <v>4360.2</v>
          </cell>
          <cell r="S425">
            <v>0</v>
          </cell>
          <cell r="T425">
            <v>0</v>
          </cell>
          <cell r="U425">
            <v>138</v>
          </cell>
          <cell r="V425">
            <v>2.1</v>
          </cell>
          <cell r="W425">
            <v>289.8</v>
          </cell>
          <cell r="X425">
            <v>2.93316</v>
          </cell>
          <cell r="Y425">
            <v>0</v>
          </cell>
          <cell r="Z425">
            <v>2.1</v>
          </cell>
          <cell r="AA425">
            <v>289.8</v>
          </cell>
        </row>
        <row r="426">
          <cell r="B426" t="str">
            <v>N-02-05</v>
          </cell>
          <cell r="C426" t="str">
            <v>METAMIZOL (DIPIRONA) .:. 1 g</v>
          </cell>
          <cell r="D426" t="str">
            <v>Inyectable</v>
          </cell>
          <cell r="E426">
            <v>1029</v>
          </cell>
          <cell r="F426">
            <v>1144.4426207382</v>
          </cell>
          <cell r="H426">
            <v>7500</v>
          </cell>
          <cell r="J426">
            <v>10650</v>
          </cell>
          <cell r="M426">
            <v>613</v>
          </cell>
          <cell r="N426">
            <v>790.57259099999999</v>
          </cell>
          <cell r="P426">
            <v>5140</v>
          </cell>
          <cell r="R426">
            <v>6623.9209587844998</v>
          </cell>
          <cell r="S426">
            <v>0</v>
          </cell>
          <cell r="T426">
            <v>0</v>
          </cell>
          <cell r="U426">
            <v>4002</v>
          </cell>
          <cell r="V426">
            <v>1.4895287988390056</v>
          </cell>
          <cell r="W426">
            <v>5961.0942529536997</v>
          </cell>
          <cell r="X426">
            <v>2.93316</v>
          </cell>
          <cell r="Y426">
            <v>0</v>
          </cell>
          <cell r="Z426">
            <v>1.4895287988390056</v>
          </cell>
          <cell r="AA426">
            <v>5961.0942529536997</v>
          </cell>
        </row>
        <row r="427">
          <cell r="B427" t="str">
            <v>N-02-07</v>
          </cell>
          <cell r="C427" t="str">
            <v>MORFINA (CON Y SIN CONSERVANTE) .:. 10 mg/ml</v>
          </cell>
          <cell r="D427" t="str">
            <v>Inyectable</v>
          </cell>
          <cell r="E427">
            <v>76</v>
          </cell>
          <cell r="F427">
            <v>912</v>
          </cell>
          <cell r="H427">
            <v>150</v>
          </cell>
          <cell r="J427">
            <v>3000</v>
          </cell>
          <cell r="M427">
            <v>67</v>
          </cell>
          <cell r="N427">
            <v>804</v>
          </cell>
          <cell r="P427">
            <v>87</v>
          </cell>
          <cell r="R427">
            <v>1116</v>
          </cell>
          <cell r="S427">
            <v>65</v>
          </cell>
          <cell r="T427">
            <v>780</v>
          </cell>
          <cell r="U427">
            <v>141</v>
          </cell>
          <cell r="V427">
            <v>20</v>
          </cell>
          <cell r="W427">
            <v>2820</v>
          </cell>
          <cell r="X427">
            <v>2.93316</v>
          </cell>
          <cell r="Y427">
            <v>0</v>
          </cell>
          <cell r="Z427">
            <v>20</v>
          </cell>
          <cell r="AA427">
            <v>2820</v>
          </cell>
        </row>
        <row r="428">
          <cell r="B428" t="str">
            <v>N-02-08</v>
          </cell>
          <cell r="C428" t="str">
            <v>PARACETAMOL (ACETAMINOFENO) .:. 500 mg</v>
          </cell>
          <cell r="D428" t="str">
            <v>Comprimido</v>
          </cell>
          <cell r="E428">
            <v>12578</v>
          </cell>
          <cell r="F428">
            <v>2138.2600000000002</v>
          </cell>
          <cell r="H428">
            <v>18000</v>
          </cell>
          <cell r="J428">
            <v>4500</v>
          </cell>
          <cell r="M428">
            <v>0</v>
          </cell>
          <cell r="N428">
            <v>0</v>
          </cell>
          <cell r="P428">
            <v>16627</v>
          </cell>
          <cell r="R428">
            <v>3150.51</v>
          </cell>
          <cell r="S428">
            <v>0</v>
          </cell>
          <cell r="T428">
            <v>0</v>
          </cell>
          <cell r="U428">
            <v>13951</v>
          </cell>
          <cell r="V428">
            <v>0.25</v>
          </cell>
          <cell r="W428">
            <v>3487.75</v>
          </cell>
          <cell r="X428">
            <v>2.93316</v>
          </cell>
          <cell r="Y428">
            <v>0</v>
          </cell>
          <cell r="Z428">
            <v>0.25</v>
          </cell>
          <cell r="AA428">
            <v>3487.75</v>
          </cell>
        </row>
        <row r="429">
          <cell r="B429" t="str">
            <v>N-02-09</v>
          </cell>
          <cell r="C429" t="str">
            <v>PARACETAMOL (ACETAMINOFENO) .:. 125 mg/5 ml o 120 mg/5 ml</v>
          </cell>
          <cell r="D429" t="str">
            <v>Jarabe</v>
          </cell>
          <cell r="E429">
            <v>48</v>
          </cell>
          <cell r="F429">
            <v>354.21000262080003</v>
          </cell>
          <cell r="H429">
            <v>100</v>
          </cell>
          <cell r="J429">
            <v>777</v>
          </cell>
          <cell r="M429">
            <v>0</v>
          </cell>
          <cell r="N429">
            <v>0</v>
          </cell>
          <cell r="P429">
            <v>134</v>
          </cell>
          <cell r="R429">
            <v>1022.7100026218</v>
          </cell>
          <cell r="S429">
            <v>0</v>
          </cell>
          <cell r="T429">
            <v>0</v>
          </cell>
          <cell r="U429">
            <v>14</v>
          </cell>
          <cell r="V429">
            <v>7.7499999999285718</v>
          </cell>
          <cell r="W429">
            <v>108.499999999</v>
          </cell>
          <cell r="X429">
            <v>2.93316</v>
          </cell>
          <cell r="Y429">
            <v>0</v>
          </cell>
          <cell r="Z429">
            <v>7.7499999999285718</v>
          </cell>
          <cell r="AA429">
            <v>108.499999999</v>
          </cell>
        </row>
        <row r="430">
          <cell r="B430" t="str">
            <v>N-02-10</v>
          </cell>
          <cell r="C430" t="str">
            <v>PARACETAMOL (ACETAMINOFENO) .:. 100 mg/ml</v>
          </cell>
          <cell r="D430" t="str">
            <v>Gotas</v>
          </cell>
          <cell r="E430">
            <v>74</v>
          </cell>
          <cell r="F430">
            <v>309.99999989719998</v>
          </cell>
          <cell r="H430">
            <v>50</v>
          </cell>
          <cell r="J430">
            <v>375</v>
          </cell>
          <cell r="M430">
            <v>0</v>
          </cell>
          <cell r="N430">
            <v>0</v>
          </cell>
          <cell r="P430">
            <v>94</v>
          </cell>
          <cell r="R430">
            <v>459.99999989719998</v>
          </cell>
          <cell r="S430">
            <v>0</v>
          </cell>
          <cell r="T430">
            <v>0</v>
          </cell>
          <cell r="U430">
            <v>30</v>
          </cell>
          <cell r="V430">
            <v>7.5</v>
          </cell>
          <cell r="W430">
            <v>225</v>
          </cell>
          <cell r="X430">
            <v>2.93316</v>
          </cell>
          <cell r="Y430">
            <v>0</v>
          </cell>
          <cell r="Z430">
            <v>7.5</v>
          </cell>
          <cell r="AA430">
            <v>225</v>
          </cell>
        </row>
        <row r="431">
          <cell r="B431" t="str">
            <v>N-02-11</v>
          </cell>
          <cell r="C431" t="str">
            <v>PARACETAMOL (ACETAMINOFENO) .:. 100 mg</v>
          </cell>
          <cell r="D431" t="str">
            <v>Supositorio</v>
          </cell>
          <cell r="E431">
            <v>10</v>
          </cell>
          <cell r="F431">
            <v>16.382685714000001</v>
          </cell>
          <cell r="H431">
            <v>0</v>
          </cell>
          <cell r="J431">
            <v>0</v>
          </cell>
          <cell r="M431">
            <v>10</v>
          </cell>
          <cell r="N431">
            <v>16.38</v>
          </cell>
          <cell r="P431">
            <v>5</v>
          </cell>
          <cell r="R431">
            <v>8.19</v>
          </cell>
          <cell r="S431">
            <v>10</v>
          </cell>
          <cell r="T431">
            <v>16.382685714000001</v>
          </cell>
          <cell r="U431">
            <v>5</v>
          </cell>
          <cell r="V431">
            <v>1.6379999999999999</v>
          </cell>
          <cell r="W431">
            <v>8.19</v>
          </cell>
          <cell r="X431">
            <v>2.93316</v>
          </cell>
          <cell r="Y431">
            <v>0</v>
          </cell>
          <cell r="Z431">
            <v>1.6379999999999999</v>
          </cell>
          <cell r="AA431">
            <v>8.19</v>
          </cell>
        </row>
        <row r="432">
          <cell r="B432" t="str">
            <v>N-02-14</v>
          </cell>
          <cell r="C432" t="str">
            <v>TRAMADOL .:. 100 mg/2 ml</v>
          </cell>
          <cell r="D432" t="str">
            <v>Inyectable</v>
          </cell>
          <cell r="E432">
            <v>590</v>
          </cell>
          <cell r="F432">
            <v>3068.0251977200001</v>
          </cell>
          <cell r="H432">
            <v>835</v>
          </cell>
          <cell r="J432">
            <v>4502</v>
          </cell>
          <cell r="M432">
            <v>82</v>
          </cell>
          <cell r="N432">
            <v>430.91196400000001</v>
          </cell>
          <cell r="P432">
            <v>773</v>
          </cell>
          <cell r="R432">
            <v>4047.0766647823002</v>
          </cell>
          <cell r="S432">
            <v>35</v>
          </cell>
          <cell r="T432">
            <v>182.0014921655</v>
          </cell>
          <cell r="U432">
            <v>699</v>
          </cell>
          <cell r="V432">
            <v>5.3960786906612306</v>
          </cell>
          <cell r="W432">
            <v>3771.8590047722</v>
          </cell>
          <cell r="X432">
            <v>2.93316</v>
          </cell>
          <cell r="Y432">
            <v>0</v>
          </cell>
          <cell r="Z432">
            <v>5.3960786906612306</v>
          </cell>
          <cell r="AA432">
            <v>3771.8590047722</v>
          </cell>
        </row>
        <row r="433">
          <cell r="B433" t="str">
            <v>N-02-15</v>
          </cell>
          <cell r="C433" t="str">
            <v>TRAMADOL .:. 50 mg</v>
          </cell>
          <cell r="D433" t="str">
            <v>Comprimido</v>
          </cell>
          <cell r="E433">
            <v>2840</v>
          </cell>
          <cell r="F433">
            <v>4829.7083156640001</v>
          </cell>
          <cell r="H433">
            <v>1500</v>
          </cell>
          <cell r="J433">
            <v>3750</v>
          </cell>
          <cell r="M433">
            <v>0</v>
          </cell>
          <cell r="N433">
            <v>0</v>
          </cell>
          <cell r="P433">
            <v>3347</v>
          </cell>
          <cell r="R433">
            <v>6099.3194930277996</v>
          </cell>
          <cell r="S433">
            <v>0</v>
          </cell>
          <cell r="T433">
            <v>0</v>
          </cell>
          <cell r="U433">
            <v>993</v>
          </cell>
          <cell r="V433">
            <v>2.4978739402177239</v>
          </cell>
          <cell r="W433">
            <v>2480.3888226362001</v>
          </cell>
          <cell r="X433">
            <v>2.93316</v>
          </cell>
          <cell r="Y433">
            <v>0</v>
          </cell>
          <cell r="Z433">
            <v>2.4978739402177239</v>
          </cell>
          <cell r="AA433">
            <v>2480.3888226362001</v>
          </cell>
        </row>
        <row r="434">
          <cell r="B434" t="str">
            <v>N-02-17</v>
          </cell>
          <cell r="C434" t="str">
            <v>TRAMADOL .:. 100 mg/ml</v>
          </cell>
          <cell r="D434" t="str">
            <v>Solución p/ gotas orales</v>
          </cell>
          <cell r="E434">
            <v>88</v>
          </cell>
          <cell r="F434">
            <v>3872</v>
          </cell>
          <cell r="H434">
            <v>40</v>
          </cell>
          <cell r="J434">
            <v>3600</v>
          </cell>
          <cell r="M434">
            <v>0</v>
          </cell>
          <cell r="N434">
            <v>0</v>
          </cell>
          <cell r="P434">
            <v>119</v>
          </cell>
          <cell r="R434">
            <v>6662</v>
          </cell>
          <cell r="S434">
            <v>0</v>
          </cell>
          <cell r="T434">
            <v>0</v>
          </cell>
          <cell r="U434">
            <v>9</v>
          </cell>
          <cell r="V434">
            <v>90</v>
          </cell>
          <cell r="W434">
            <v>810</v>
          </cell>
          <cell r="X434">
            <v>2.93316</v>
          </cell>
          <cell r="Y434">
            <v>0</v>
          </cell>
          <cell r="Z434">
            <v>90</v>
          </cell>
          <cell r="AA434">
            <v>810</v>
          </cell>
        </row>
        <row r="435">
          <cell r="B435" t="str">
            <v>N-03-03</v>
          </cell>
          <cell r="C435" t="str">
            <v>ACIDO VALPROICO O VALPROATO SODICO .:. 500 mg</v>
          </cell>
          <cell r="D435" t="str">
            <v>Cápsula o Comprimido</v>
          </cell>
          <cell r="E435">
            <v>936</v>
          </cell>
          <cell r="F435">
            <v>3687.7690567223999</v>
          </cell>
          <cell r="H435">
            <v>9740</v>
          </cell>
          <cell r="J435">
            <v>38375.599999999999</v>
          </cell>
          <cell r="M435">
            <v>26</v>
          </cell>
          <cell r="N435">
            <v>102.439688</v>
          </cell>
          <cell r="P435">
            <v>9500</v>
          </cell>
          <cell r="R435">
            <v>37429.928760874202</v>
          </cell>
          <cell r="S435">
            <v>0</v>
          </cell>
          <cell r="T435">
            <v>0</v>
          </cell>
          <cell r="U435">
            <v>1202</v>
          </cell>
          <cell r="V435">
            <v>3.9399999865625626</v>
          </cell>
          <cell r="W435">
            <v>4735.8799838482</v>
          </cell>
          <cell r="X435">
            <v>2.93316</v>
          </cell>
          <cell r="Y435">
            <v>0</v>
          </cell>
          <cell r="Z435">
            <v>3.9399999865625626</v>
          </cell>
          <cell r="AA435">
            <v>4735.8799838482</v>
          </cell>
        </row>
        <row r="436">
          <cell r="B436" t="str">
            <v>N-03-04</v>
          </cell>
          <cell r="C436" t="str">
            <v>CARBAMAZEPINA .:. 200 mg</v>
          </cell>
          <cell r="D436" t="str">
            <v>Comprimido</v>
          </cell>
          <cell r="E436">
            <v>1446</v>
          </cell>
          <cell r="F436">
            <v>562.53021044280001</v>
          </cell>
          <cell r="H436">
            <v>3200</v>
          </cell>
          <cell r="J436">
            <v>1504</v>
          </cell>
          <cell r="M436">
            <v>0</v>
          </cell>
          <cell r="N436">
            <v>0</v>
          </cell>
          <cell r="P436">
            <v>2420</v>
          </cell>
          <cell r="R436">
            <v>1033.6620812690001</v>
          </cell>
          <cell r="S436">
            <v>0</v>
          </cell>
          <cell r="T436">
            <v>0</v>
          </cell>
          <cell r="U436">
            <v>2226</v>
          </cell>
          <cell r="V436">
            <v>0.46400185497475294</v>
          </cell>
          <cell r="W436">
            <v>1032.8681291738001</v>
          </cell>
          <cell r="X436">
            <v>2.93316</v>
          </cell>
          <cell r="Y436">
            <v>0</v>
          </cell>
          <cell r="Z436">
            <v>0.46400185497475294</v>
          </cell>
          <cell r="AA436">
            <v>1032.8681291738001</v>
          </cell>
        </row>
        <row r="437">
          <cell r="B437" t="str">
            <v>N-03-06</v>
          </cell>
          <cell r="C437" t="str">
            <v>CLONAZEPAM .:. 2 mg</v>
          </cell>
          <cell r="D437" t="str">
            <v>Comprimido ranurado</v>
          </cell>
          <cell r="E437">
            <v>1797</v>
          </cell>
          <cell r="F437">
            <v>1797</v>
          </cell>
          <cell r="H437">
            <v>6000</v>
          </cell>
          <cell r="J437">
            <v>6000</v>
          </cell>
          <cell r="M437">
            <v>11</v>
          </cell>
          <cell r="N437">
            <v>11</v>
          </cell>
          <cell r="P437">
            <v>6062</v>
          </cell>
          <cell r="R437">
            <v>6062</v>
          </cell>
          <cell r="S437">
            <v>0</v>
          </cell>
          <cell r="T437">
            <v>0</v>
          </cell>
          <cell r="U437">
            <v>1746</v>
          </cell>
          <cell r="V437">
            <v>1</v>
          </cell>
          <cell r="W437">
            <v>1746</v>
          </cell>
          <cell r="X437">
            <v>2.93316</v>
          </cell>
          <cell r="Y437">
            <v>0</v>
          </cell>
          <cell r="Z437">
            <v>1</v>
          </cell>
          <cell r="AA437">
            <v>1746</v>
          </cell>
        </row>
        <row r="438">
          <cell r="B438" t="str">
            <v>N-03-07</v>
          </cell>
          <cell r="C438" t="str">
            <v>FENITOINA .:. 50 mg/ml</v>
          </cell>
          <cell r="D438" t="str">
            <v>Inyectable</v>
          </cell>
          <cell r="E438">
            <v>45</v>
          </cell>
          <cell r="F438">
            <v>360</v>
          </cell>
          <cell r="H438">
            <v>280</v>
          </cell>
          <cell r="J438">
            <v>3385</v>
          </cell>
          <cell r="M438">
            <v>10</v>
          </cell>
          <cell r="N438">
            <v>125.55828200000001</v>
          </cell>
          <cell r="P438">
            <v>195</v>
          </cell>
          <cell r="R438">
            <v>2003.8515657268999</v>
          </cell>
          <cell r="S438">
            <v>0</v>
          </cell>
          <cell r="T438">
            <v>0</v>
          </cell>
          <cell r="U438">
            <v>140</v>
          </cell>
          <cell r="V438">
            <v>13.333619401950715</v>
          </cell>
          <cell r="W438">
            <v>1866.7067162731</v>
          </cell>
          <cell r="X438">
            <v>2.93316</v>
          </cell>
          <cell r="Y438">
            <v>0</v>
          </cell>
          <cell r="Z438">
            <v>13.333619401950715</v>
          </cell>
          <cell r="AA438">
            <v>1866.7067162731</v>
          </cell>
        </row>
        <row r="439">
          <cell r="B439" t="str">
            <v>N-03-08</v>
          </cell>
          <cell r="C439" t="str">
            <v>FENITOINA .:. 100 mg</v>
          </cell>
          <cell r="D439" t="str">
            <v>Cápsula o Comprimido</v>
          </cell>
          <cell r="E439">
            <v>1470</v>
          </cell>
          <cell r="F439">
            <v>573.29999999999995</v>
          </cell>
          <cell r="H439">
            <v>1800</v>
          </cell>
          <cell r="J439">
            <v>1170</v>
          </cell>
          <cell r="M439">
            <v>87</v>
          </cell>
          <cell r="N439">
            <v>55.68</v>
          </cell>
          <cell r="P439">
            <v>1867</v>
          </cell>
          <cell r="R439">
            <v>845.38</v>
          </cell>
          <cell r="S439">
            <v>0</v>
          </cell>
          <cell r="T439">
            <v>0</v>
          </cell>
          <cell r="U439">
            <v>1490</v>
          </cell>
          <cell r="V439">
            <v>0.64</v>
          </cell>
          <cell r="W439">
            <v>953.6</v>
          </cell>
          <cell r="X439">
            <v>2.93316</v>
          </cell>
          <cell r="Y439">
            <v>0</v>
          </cell>
          <cell r="Z439">
            <v>0.64</v>
          </cell>
          <cell r="AA439">
            <v>953.6</v>
          </cell>
        </row>
        <row r="440">
          <cell r="B440" t="str">
            <v>N-03-12</v>
          </cell>
          <cell r="C440" t="str">
            <v>CLONAZEPAM .:. 2,5 mg/ml</v>
          </cell>
          <cell r="D440" t="str">
            <v>Solución oral</v>
          </cell>
          <cell r="E440">
            <v>83</v>
          </cell>
          <cell r="F440">
            <v>5561</v>
          </cell>
          <cell r="H440">
            <v>180</v>
          </cell>
          <cell r="J440">
            <v>12222</v>
          </cell>
          <cell r="M440">
            <v>1</v>
          </cell>
          <cell r="N440">
            <v>67</v>
          </cell>
          <cell r="P440">
            <v>185</v>
          </cell>
          <cell r="R440">
            <v>12500.8684210542</v>
          </cell>
          <cell r="S440">
            <v>0</v>
          </cell>
          <cell r="T440">
            <v>0</v>
          </cell>
          <cell r="U440">
            <v>79</v>
          </cell>
          <cell r="V440">
            <v>67.710526315769627</v>
          </cell>
          <cell r="W440">
            <v>5349.1315789458004</v>
          </cell>
          <cell r="X440">
            <v>2.93316</v>
          </cell>
          <cell r="Y440">
            <v>0</v>
          </cell>
          <cell r="Z440">
            <v>67.710526315769627</v>
          </cell>
          <cell r="AA440">
            <v>5349.1315789458004</v>
          </cell>
        </row>
        <row r="441">
          <cell r="B441" t="str">
            <v>N-03-18</v>
          </cell>
          <cell r="C441" t="str">
            <v>LAMOTRIGINA .:. 200mg</v>
          </cell>
          <cell r="D441" t="str">
            <v>Comprimido</v>
          </cell>
          <cell r="E441">
            <v>158</v>
          </cell>
          <cell r="F441">
            <v>1785.4</v>
          </cell>
          <cell r="H441">
            <v>2810</v>
          </cell>
          <cell r="J441">
            <v>31773.8</v>
          </cell>
          <cell r="M441">
            <v>0</v>
          </cell>
          <cell r="N441">
            <v>0</v>
          </cell>
          <cell r="P441">
            <v>1980</v>
          </cell>
          <cell r="R441">
            <v>22382.717847552001</v>
          </cell>
          <cell r="S441">
            <v>0</v>
          </cell>
          <cell r="T441">
            <v>0</v>
          </cell>
          <cell r="U441">
            <v>988</v>
          </cell>
          <cell r="V441">
            <v>11.312228899238866</v>
          </cell>
          <cell r="W441">
            <v>11176.482152447999</v>
          </cell>
          <cell r="X441">
            <v>2.93316</v>
          </cell>
          <cell r="Y441">
            <v>0</v>
          </cell>
          <cell r="Z441">
            <v>11.312228899238866</v>
          </cell>
          <cell r="AA441">
            <v>11176.482152447999</v>
          </cell>
        </row>
        <row r="442">
          <cell r="B442" t="str">
            <v>N-03-20</v>
          </cell>
          <cell r="C442" t="str">
            <v>PREGABALINA 75 MG .:. 75 MG</v>
          </cell>
          <cell r="D442" t="str">
            <v>Cápsula</v>
          </cell>
          <cell r="E442">
            <v>3800</v>
          </cell>
          <cell r="F442">
            <v>7828.2273821199997</v>
          </cell>
          <cell r="H442">
            <v>26400</v>
          </cell>
          <cell r="J442">
            <v>39240</v>
          </cell>
          <cell r="M442">
            <v>0</v>
          </cell>
          <cell r="N442">
            <v>0</v>
          </cell>
          <cell r="P442">
            <v>26283</v>
          </cell>
          <cell r="R442">
            <v>41626.692453399497</v>
          </cell>
          <cell r="S442">
            <v>0</v>
          </cell>
          <cell r="T442">
            <v>0</v>
          </cell>
          <cell r="U442">
            <v>3917</v>
          </cell>
          <cell r="V442">
            <v>1.3892098362829972</v>
          </cell>
          <cell r="W442">
            <v>5441.5349287204999</v>
          </cell>
          <cell r="X442">
            <v>2.93316</v>
          </cell>
          <cell r="Y442">
            <v>0</v>
          </cell>
          <cell r="Z442">
            <v>1.3892098362829972</v>
          </cell>
          <cell r="AA442">
            <v>5441.5349287204999</v>
          </cell>
        </row>
        <row r="443">
          <cell r="B443" t="str">
            <v>N-03-21</v>
          </cell>
          <cell r="C443" t="str">
            <v>PREGABALINA .:. 150 MG.</v>
          </cell>
          <cell r="D443" t="str">
            <v>Cápsula</v>
          </cell>
          <cell r="E443">
            <v>30</v>
          </cell>
          <cell r="F443">
            <v>39.454610510999998</v>
          </cell>
          <cell r="H443">
            <v>0</v>
          </cell>
          <cell r="J443">
            <v>0</v>
          </cell>
          <cell r="M443">
            <v>30</v>
          </cell>
          <cell r="N443">
            <v>39.6</v>
          </cell>
          <cell r="P443">
            <v>0</v>
          </cell>
          <cell r="R443">
            <v>0</v>
          </cell>
          <cell r="S443">
            <v>30</v>
          </cell>
          <cell r="T443">
            <v>39.454610510999998</v>
          </cell>
          <cell r="U443">
            <v>30</v>
          </cell>
          <cell r="V443">
            <v>1.32</v>
          </cell>
          <cell r="W443">
            <v>39.6</v>
          </cell>
          <cell r="X443">
            <v>2.93316</v>
          </cell>
          <cell r="Y443">
            <v>0</v>
          </cell>
          <cell r="Z443">
            <v>1.32</v>
          </cell>
          <cell r="AA443">
            <v>39.6</v>
          </cell>
        </row>
        <row r="444">
          <cell r="B444" t="str">
            <v>N-03-22</v>
          </cell>
          <cell r="C444" t="str">
            <v>ACIDO VALPROICO Ò VALPROATO SODICO .:. 200/MG/ML</v>
          </cell>
          <cell r="D444" t="str">
            <v>Jarabe o Solución oral</v>
          </cell>
          <cell r="E444">
            <v>14</v>
          </cell>
          <cell r="F444">
            <v>1386.84</v>
          </cell>
          <cell r="H444">
            <v>0</v>
          </cell>
          <cell r="J444">
            <v>0</v>
          </cell>
          <cell r="M444">
            <v>2</v>
          </cell>
          <cell r="N444">
            <v>198.12</v>
          </cell>
          <cell r="P444">
            <v>14</v>
          </cell>
          <cell r="R444">
            <v>1386.84</v>
          </cell>
          <cell r="S444">
            <v>2</v>
          </cell>
          <cell r="T444">
            <v>198.12</v>
          </cell>
          <cell r="U444">
            <v>0</v>
          </cell>
          <cell r="V444">
            <v>0</v>
          </cell>
          <cell r="W444">
            <v>0</v>
          </cell>
          <cell r="X444">
            <v>2.93316</v>
          </cell>
          <cell r="Y444">
            <v>0</v>
          </cell>
          <cell r="Z444">
            <v>0</v>
          </cell>
          <cell r="AA444">
            <v>0</v>
          </cell>
        </row>
        <row r="445">
          <cell r="B445" t="str">
            <v>N-04-01</v>
          </cell>
          <cell r="C445" t="str">
            <v>BIPERIDENO CLORHIDRATO .:. 4 mg</v>
          </cell>
          <cell r="D445" t="str">
            <v>Comprimido</v>
          </cell>
          <cell r="E445">
            <v>360</v>
          </cell>
          <cell r="F445">
            <v>1038.382417584</v>
          </cell>
          <cell r="H445">
            <v>1470</v>
          </cell>
          <cell r="J445">
            <v>3939.6</v>
          </cell>
          <cell r="M445">
            <v>0</v>
          </cell>
          <cell r="N445">
            <v>0</v>
          </cell>
          <cell r="P445">
            <v>1210</v>
          </cell>
          <cell r="R445">
            <v>3316.382417584</v>
          </cell>
          <cell r="S445">
            <v>0</v>
          </cell>
          <cell r="T445">
            <v>0</v>
          </cell>
          <cell r="U445">
            <v>620</v>
          </cell>
          <cell r="V445">
            <v>2.68</v>
          </cell>
          <cell r="W445">
            <v>1661.6</v>
          </cell>
          <cell r="X445">
            <v>2.93316</v>
          </cell>
          <cell r="Y445">
            <v>0</v>
          </cell>
          <cell r="Z445">
            <v>2.68</v>
          </cell>
          <cell r="AA445">
            <v>1661.6</v>
          </cell>
        </row>
        <row r="446">
          <cell r="B446" t="str">
            <v>N-04-02</v>
          </cell>
          <cell r="C446" t="str">
            <v>LEVODOPA + CARBIDOPA .:. 250 mg + 25 mg</v>
          </cell>
          <cell r="D446" t="str">
            <v>Comprimido</v>
          </cell>
          <cell r="E446">
            <v>1085</v>
          </cell>
          <cell r="F446">
            <v>3255</v>
          </cell>
          <cell r="H446">
            <v>4200</v>
          </cell>
          <cell r="J446">
            <v>12558</v>
          </cell>
          <cell r="M446">
            <v>0</v>
          </cell>
          <cell r="N446">
            <v>0</v>
          </cell>
          <cell r="P446">
            <v>3936</v>
          </cell>
          <cell r="R446">
            <v>11777.6102325426</v>
          </cell>
          <cell r="S446">
            <v>0</v>
          </cell>
          <cell r="T446">
            <v>0</v>
          </cell>
          <cell r="U446">
            <v>1349</v>
          </cell>
          <cell r="V446">
            <v>2.991393452525871</v>
          </cell>
          <cell r="W446">
            <v>4035.3897674574</v>
          </cell>
          <cell r="X446">
            <v>2.93316</v>
          </cell>
          <cell r="Y446">
            <v>0</v>
          </cell>
          <cell r="Z446">
            <v>2.991393452525871</v>
          </cell>
          <cell r="AA446">
            <v>4035.3897674574</v>
          </cell>
        </row>
        <row r="447">
          <cell r="B447" t="str">
            <v>N-05-01</v>
          </cell>
          <cell r="C447" t="str">
            <v>ALPRAZOLAM .:. 0,5 mg</v>
          </cell>
          <cell r="D447" t="str">
            <v>Comprimido ranurado</v>
          </cell>
          <cell r="E447">
            <v>5176</v>
          </cell>
          <cell r="F447">
            <v>2071.784776688</v>
          </cell>
          <cell r="H447">
            <v>0</v>
          </cell>
          <cell r="J447">
            <v>0</v>
          </cell>
          <cell r="M447">
            <v>2</v>
          </cell>
          <cell r="N447">
            <v>0.80053399999999997</v>
          </cell>
          <cell r="P447">
            <v>5178</v>
          </cell>
          <cell r="R447">
            <v>2072.5853106986001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-1.0600000000000001E-8</v>
          </cell>
          <cell r="X447">
            <v>2.93316</v>
          </cell>
          <cell r="Y447">
            <v>0</v>
          </cell>
          <cell r="Z447">
            <v>0</v>
          </cell>
          <cell r="AA447">
            <v>-1.0600000000000001E-8</v>
          </cell>
        </row>
        <row r="448">
          <cell r="B448" t="str">
            <v>N-05-05</v>
          </cell>
          <cell r="C448" t="str">
            <v>DIAZEPAM .:. 10 mg</v>
          </cell>
          <cell r="D448" t="str">
            <v>Inyectable</v>
          </cell>
          <cell r="E448">
            <v>36</v>
          </cell>
          <cell r="F448">
            <v>250.56</v>
          </cell>
          <cell r="H448">
            <v>100</v>
          </cell>
          <cell r="J448">
            <v>690</v>
          </cell>
          <cell r="M448">
            <v>7</v>
          </cell>
          <cell r="N448">
            <v>48.509472000000002</v>
          </cell>
          <cell r="P448">
            <v>109</v>
          </cell>
          <cell r="R448">
            <v>754.21894624749996</v>
          </cell>
          <cell r="S448">
            <v>0</v>
          </cell>
          <cell r="T448">
            <v>0</v>
          </cell>
          <cell r="U448">
            <v>34</v>
          </cell>
          <cell r="V448">
            <v>6.9073684044852941</v>
          </cell>
          <cell r="W448">
            <v>234.8505257525</v>
          </cell>
          <cell r="X448">
            <v>2.93316</v>
          </cell>
          <cell r="Y448">
            <v>0</v>
          </cell>
          <cell r="Z448">
            <v>6.9073684044852941</v>
          </cell>
          <cell r="AA448">
            <v>234.8505257525</v>
          </cell>
        </row>
        <row r="449">
          <cell r="B449" t="str">
            <v>N-05-11</v>
          </cell>
          <cell r="C449" t="str">
            <v>MIDAZOLAM .:. 15 mg/3 ml</v>
          </cell>
          <cell r="D449" t="str">
            <v>Inyectable</v>
          </cell>
          <cell r="E449">
            <v>64</v>
          </cell>
          <cell r="F449">
            <v>1151.9092489919999</v>
          </cell>
          <cell r="H449">
            <v>0</v>
          </cell>
          <cell r="J449">
            <v>0</v>
          </cell>
          <cell r="M449">
            <v>9</v>
          </cell>
          <cell r="N449">
            <v>161.98723799999999</v>
          </cell>
          <cell r="P449">
            <v>73</v>
          </cell>
          <cell r="R449">
            <v>1313.8964869933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-1.3000000000000001E-9</v>
          </cell>
          <cell r="X449">
            <v>2.93316</v>
          </cell>
          <cell r="Y449">
            <v>0</v>
          </cell>
          <cell r="Z449">
            <v>0</v>
          </cell>
          <cell r="AA449">
            <v>-1.3000000000000001E-9</v>
          </cell>
        </row>
        <row r="450">
          <cell r="B450" t="str">
            <v>N-05-18</v>
          </cell>
          <cell r="C450" t="str">
            <v>QUETIAPINA .:. 100 mg</v>
          </cell>
          <cell r="D450" t="str">
            <v>Comprimido</v>
          </cell>
          <cell r="E450">
            <v>155</v>
          </cell>
          <cell r="F450">
            <v>625.27072598899997</v>
          </cell>
          <cell r="H450">
            <v>4100</v>
          </cell>
          <cell r="J450">
            <v>18420</v>
          </cell>
          <cell r="M450">
            <v>0</v>
          </cell>
          <cell r="N450">
            <v>0</v>
          </cell>
          <cell r="P450">
            <v>3274</v>
          </cell>
          <cell r="R450">
            <v>12959.3923223522</v>
          </cell>
          <cell r="S450">
            <v>0</v>
          </cell>
          <cell r="T450">
            <v>0</v>
          </cell>
          <cell r="U450">
            <v>981</v>
          </cell>
          <cell r="V450">
            <v>6.2037496469284408</v>
          </cell>
          <cell r="W450">
            <v>6085.8784036367997</v>
          </cell>
          <cell r="X450">
            <v>2.93316</v>
          </cell>
          <cell r="Y450">
            <v>0</v>
          </cell>
          <cell r="Z450">
            <v>6.2037496469284408</v>
          </cell>
          <cell r="AA450">
            <v>6085.8784036367997</v>
          </cell>
        </row>
        <row r="451">
          <cell r="B451" t="str">
            <v>N-06-01</v>
          </cell>
          <cell r="C451" t="str">
            <v>AMITRIPTILINA .:. 25 mg</v>
          </cell>
          <cell r="D451" t="str">
            <v>Comprimido ranurado</v>
          </cell>
          <cell r="E451">
            <v>157</v>
          </cell>
          <cell r="F451">
            <v>61.23</v>
          </cell>
          <cell r="H451">
            <v>4000</v>
          </cell>
          <cell r="J451">
            <v>1800</v>
          </cell>
          <cell r="M451">
            <v>0</v>
          </cell>
          <cell r="N451">
            <v>0</v>
          </cell>
          <cell r="P451">
            <v>3099</v>
          </cell>
          <cell r="R451">
            <v>1385.13</v>
          </cell>
          <cell r="S451">
            <v>0</v>
          </cell>
          <cell r="T451">
            <v>0</v>
          </cell>
          <cell r="U451">
            <v>1058</v>
          </cell>
          <cell r="V451">
            <v>0.45</v>
          </cell>
          <cell r="W451">
            <v>476.1</v>
          </cell>
          <cell r="X451">
            <v>2.93316</v>
          </cell>
          <cell r="Y451">
            <v>0</v>
          </cell>
          <cell r="Z451">
            <v>0.45</v>
          </cell>
          <cell r="AA451">
            <v>476.1</v>
          </cell>
        </row>
        <row r="452">
          <cell r="B452" t="str">
            <v>N-06-04</v>
          </cell>
          <cell r="C452" t="str">
            <v>FLUOXETINA .:. 20 mg</v>
          </cell>
          <cell r="D452" t="str">
            <v>Cápsula o Comprimido</v>
          </cell>
          <cell r="E452">
            <v>669</v>
          </cell>
          <cell r="F452">
            <v>282.55569556619997</v>
          </cell>
          <cell r="H452">
            <v>13300</v>
          </cell>
          <cell r="J452">
            <v>4412</v>
          </cell>
          <cell r="M452">
            <v>0</v>
          </cell>
          <cell r="N452">
            <v>0</v>
          </cell>
          <cell r="P452">
            <v>10871</v>
          </cell>
          <cell r="R452">
            <v>3690.8613699056</v>
          </cell>
          <cell r="S452">
            <v>0</v>
          </cell>
          <cell r="T452">
            <v>0</v>
          </cell>
          <cell r="U452">
            <v>3098</v>
          </cell>
          <cell r="V452">
            <v>0.32398138336365395</v>
          </cell>
          <cell r="W452">
            <v>1003.6943256606</v>
          </cell>
          <cell r="X452">
            <v>2.93316</v>
          </cell>
          <cell r="Y452">
            <v>0</v>
          </cell>
          <cell r="Z452">
            <v>0.32398138336365395</v>
          </cell>
          <cell r="AA452">
            <v>1003.6943256606</v>
          </cell>
        </row>
        <row r="453">
          <cell r="B453" t="str">
            <v>N-06-08</v>
          </cell>
          <cell r="C453" t="str">
            <v>DULOXETINA .:. 30mg</v>
          </cell>
          <cell r="D453" t="str">
            <v>Cápsula</v>
          </cell>
          <cell r="E453">
            <v>49</v>
          </cell>
          <cell r="F453">
            <v>369.87063962939999</v>
          </cell>
          <cell r="H453">
            <v>4600</v>
          </cell>
          <cell r="J453">
            <v>23890</v>
          </cell>
          <cell r="M453">
            <v>0</v>
          </cell>
          <cell r="N453">
            <v>0</v>
          </cell>
          <cell r="P453">
            <v>3369</v>
          </cell>
          <cell r="R453">
            <v>19523.870639683799</v>
          </cell>
          <cell r="S453">
            <v>0</v>
          </cell>
          <cell r="T453">
            <v>0</v>
          </cell>
          <cell r="U453">
            <v>1280</v>
          </cell>
          <cell r="V453">
            <v>3.6999999999575</v>
          </cell>
          <cell r="W453">
            <v>4735.9999999456004</v>
          </cell>
          <cell r="X453">
            <v>2.93316</v>
          </cell>
          <cell r="Y453">
            <v>0</v>
          </cell>
          <cell r="Z453">
            <v>3.6999999999575</v>
          </cell>
          <cell r="AA453">
            <v>4735.9999999456004</v>
          </cell>
        </row>
        <row r="454">
          <cell r="B454" t="str">
            <v>N-07-01</v>
          </cell>
          <cell r="C454" t="str">
            <v>DIMENHIDRINATO .:. 50 mg</v>
          </cell>
          <cell r="D454" t="str">
            <v>Comprimido</v>
          </cell>
          <cell r="E454">
            <v>1306</v>
          </cell>
          <cell r="F454">
            <v>457.1</v>
          </cell>
          <cell r="H454">
            <v>3000</v>
          </cell>
          <cell r="J454">
            <v>2100</v>
          </cell>
          <cell r="M454">
            <v>0</v>
          </cell>
          <cell r="N454">
            <v>0</v>
          </cell>
          <cell r="P454">
            <v>1752</v>
          </cell>
          <cell r="R454">
            <v>769.3</v>
          </cell>
          <cell r="S454">
            <v>0</v>
          </cell>
          <cell r="T454">
            <v>0</v>
          </cell>
          <cell r="U454">
            <v>2554</v>
          </cell>
          <cell r="V454">
            <v>0.7</v>
          </cell>
          <cell r="W454">
            <v>1787.8</v>
          </cell>
          <cell r="X454">
            <v>2.93316</v>
          </cell>
          <cell r="Y454">
            <v>0</v>
          </cell>
          <cell r="Z454">
            <v>0.7</v>
          </cell>
          <cell r="AA454">
            <v>1787.8</v>
          </cell>
        </row>
        <row r="455">
          <cell r="B455" t="str">
            <v>N-07-05</v>
          </cell>
          <cell r="C455" t="str">
            <v>NEOSTIGMINA .:. 0,5 mg/ml</v>
          </cell>
          <cell r="D455" t="str">
            <v>Inyectable</v>
          </cell>
          <cell r="E455">
            <v>111</v>
          </cell>
          <cell r="F455">
            <v>666</v>
          </cell>
          <cell r="H455">
            <v>0</v>
          </cell>
          <cell r="J455">
            <v>0</v>
          </cell>
          <cell r="M455">
            <v>0</v>
          </cell>
          <cell r="N455">
            <v>0</v>
          </cell>
          <cell r="P455">
            <v>106</v>
          </cell>
          <cell r="R455">
            <v>636</v>
          </cell>
          <cell r="S455">
            <v>0</v>
          </cell>
          <cell r="T455">
            <v>0</v>
          </cell>
          <cell r="U455">
            <v>5</v>
          </cell>
          <cell r="V455">
            <v>6</v>
          </cell>
          <cell r="W455">
            <v>30</v>
          </cell>
          <cell r="X455">
            <v>2.93316</v>
          </cell>
          <cell r="Y455">
            <v>0</v>
          </cell>
          <cell r="Z455">
            <v>6</v>
          </cell>
          <cell r="AA455">
            <v>30</v>
          </cell>
        </row>
        <row r="456">
          <cell r="B456" t="str">
            <v>N-07-06</v>
          </cell>
          <cell r="C456" t="str">
            <v>PIRIDOSTIGMINA .:. 60 mg</v>
          </cell>
          <cell r="D456" t="str">
            <v>Comprimido</v>
          </cell>
          <cell r="E456">
            <v>210</v>
          </cell>
          <cell r="F456">
            <v>1155</v>
          </cell>
          <cell r="H456">
            <v>440</v>
          </cell>
          <cell r="J456">
            <v>2420</v>
          </cell>
          <cell r="M456">
            <v>0</v>
          </cell>
          <cell r="N456">
            <v>0</v>
          </cell>
          <cell r="P456">
            <v>480</v>
          </cell>
          <cell r="R456">
            <v>2640</v>
          </cell>
          <cell r="S456">
            <v>0</v>
          </cell>
          <cell r="T456">
            <v>0</v>
          </cell>
          <cell r="U456">
            <v>170</v>
          </cell>
          <cell r="V456">
            <v>5.5</v>
          </cell>
          <cell r="W456">
            <v>935</v>
          </cell>
          <cell r="X456">
            <v>2.93316</v>
          </cell>
          <cell r="Y456">
            <v>0</v>
          </cell>
          <cell r="Z456">
            <v>5.5</v>
          </cell>
          <cell r="AA456">
            <v>935</v>
          </cell>
        </row>
        <row r="457">
          <cell r="B457" t="str">
            <v>N-07-08</v>
          </cell>
          <cell r="C457" t="str">
            <v>FLUNARIZINA .:. 10 mg</v>
          </cell>
          <cell r="D457" t="str">
            <v>Comprimido</v>
          </cell>
          <cell r="E457">
            <v>854</v>
          </cell>
          <cell r="F457">
            <v>307.44</v>
          </cell>
          <cell r="H457">
            <v>3700</v>
          </cell>
          <cell r="J457">
            <v>1665</v>
          </cell>
          <cell r="M457">
            <v>0</v>
          </cell>
          <cell r="N457">
            <v>0</v>
          </cell>
          <cell r="P457">
            <v>3934</v>
          </cell>
          <cell r="R457">
            <v>1693.5002592552</v>
          </cell>
          <cell r="S457">
            <v>0</v>
          </cell>
          <cell r="T457">
            <v>0</v>
          </cell>
          <cell r="U457">
            <v>620</v>
          </cell>
          <cell r="V457">
            <v>0.44990280765290325</v>
          </cell>
          <cell r="W457">
            <v>278.93974074480002</v>
          </cell>
          <cell r="X457">
            <v>2.93316</v>
          </cell>
          <cell r="Y457">
            <v>0</v>
          </cell>
          <cell r="Z457">
            <v>0.44990280765290325</v>
          </cell>
          <cell r="AA457">
            <v>278.93974074480002</v>
          </cell>
        </row>
        <row r="458">
          <cell r="B458" t="str">
            <v>P-01-07</v>
          </cell>
          <cell r="C458" t="str">
            <v>METRONIDAZOL .:. 500 mg</v>
          </cell>
          <cell r="D458" t="str">
            <v>Inyectable</v>
          </cell>
          <cell r="E458">
            <v>220</v>
          </cell>
          <cell r="F458">
            <v>1927.542605736</v>
          </cell>
          <cell r="H458">
            <v>300</v>
          </cell>
          <cell r="J458">
            <v>3090</v>
          </cell>
          <cell r="M458">
            <v>21</v>
          </cell>
          <cell r="N458">
            <v>199.65721600000001</v>
          </cell>
          <cell r="P458">
            <v>365</v>
          </cell>
          <cell r="R458">
            <v>3424.4590841231002</v>
          </cell>
          <cell r="S458">
            <v>0</v>
          </cell>
          <cell r="T458">
            <v>0</v>
          </cell>
          <cell r="U458">
            <v>176</v>
          </cell>
          <cell r="V458">
            <v>10.186026918255113</v>
          </cell>
          <cell r="W458">
            <v>1792.7407376128999</v>
          </cell>
          <cell r="X458">
            <v>2.93316</v>
          </cell>
          <cell r="Y458">
            <v>0</v>
          </cell>
          <cell r="Z458">
            <v>10.186026918255113</v>
          </cell>
          <cell r="AA458">
            <v>1792.7407376128999</v>
          </cell>
        </row>
        <row r="459">
          <cell r="B459" t="str">
            <v>P-01-09</v>
          </cell>
          <cell r="C459" t="str">
            <v>METRONIDAZOL .:. 500 mg</v>
          </cell>
          <cell r="D459" t="str">
            <v>Comprimido</v>
          </cell>
          <cell r="E459">
            <v>121</v>
          </cell>
          <cell r="F459">
            <v>48.4</v>
          </cell>
          <cell r="H459">
            <v>1050</v>
          </cell>
          <cell r="J459">
            <v>514.5</v>
          </cell>
          <cell r="M459">
            <v>0</v>
          </cell>
          <cell r="N459">
            <v>0</v>
          </cell>
          <cell r="P459">
            <v>1026</v>
          </cell>
          <cell r="R459">
            <v>492.76315323599999</v>
          </cell>
          <cell r="S459">
            <v>0</v>
          </cell>
          <cell r="T459">
            <v>0</v>
          </cell>
          <cell r="U459">
            <v>145</v>
          </cell>
          <cell r="V459">
            <v>0.48370239147586208</v>
          </cell>
          <cell r="W459">
            <v>70.136846763999998</v>
          </cell>
          <cell r="X459">
            <v>2.93316</v>
          </cell>
          <cell r="Y459">
            <v>0</v>
          </cell>
          <cell r="Z459">
            <v>0.48370239147586208</v>
          </cell>
          <cell r="AA459">
            <v>70.136846763999998</v>
          </cell>
        </row>
        <row r="460">
          <cell r="B460" t="str">
            <v>P-01-11</v>
          </cell>
          <cell r="C460" t="str">
            <v>NITAZOXANIDA .:. 500 mg</v>
          </cell>
          <cell r="D460" t="str">
            <v>Comprimido</v>
          </cell>
          <cell r="E460">
            <v>101</v>
          </cell>
          <cell r="F460">
            <v>151.5</v>
          </cell>
          <cell r="H460">
            <v>300</v>
          </cell>
          <cell r="J460">
            <v>570</v>
          </cell>
          <cell r="M460">
            <v>17</v>
          </cell>
          <cell r="N460">
            <v>30.74</v>
          </cell>
          <cell r="P460">
            <v>383</v>
          </cell>
          <cell r="R460">
            <v>688.94332422499997</v>
          </cell>
          <cell r="S460">
            <v>17</v>
          </cell>
          <cell r="T460">
            <v>30.744215938499998</v>
          </cell>
          <cell r="U460">
            <v>18</v>
          </cell>
          <cell r="V460">
            <v>1.8084699909166666</v>
          </cell>
          <cell r="W460">
            <v>32.552459836499999</v>
          </cell>
          <cell r="X460">
            <v>2.93316</v>
          </cell>
          <cell r="Y460">
            <v>0</v>
          </cell>
          <cell r="Z460">
            <v>1.8084699909166666</v>
          </cell>
          <cell r="AA460">
            <v>32.552459836499999</v>
          </cell>
        </row>
        <row r="461">
          <cell r="B461" t="str">
            <v>P-01-27</v>
          </cell>
          <cell r="C461" t="str">
            <v>HIDROXICLOROQUINA SULFATO .:. 200 mg</v>
          </cell>
          <cell r="D461" t="str">
            <v>Comprimido</v>
          </cell>
          <cell r="E461">
            <v>469</v>
          </cell>
          <cell r="F461">
            <v>1898.9200619858</v>
          </cell>
          <cell r="H461">
            <v>5200</v>
          </cell>
          <cell r="J461">
            <v>32576</v>
          </cell>
          <cell r="M461">
            <v>0</v>
          </cell>
          <cell r="N461">
            <v>0</v>
          </cell>
          <cell r="P461">
            <v>3701</v>
          </cell>
          <cell r="R461">
            <v>21249.960062023601</v>
          </cell>
          <cell r="S461">
            <v>0</v>
          </cell>
          <cell r="T461">
            <v>0</v>
          </cell>
          <cell r="U461">
            <v>1968</v>
          </cell>
          <cell r="V461">
            <v>6.7199999999807929</v>
          </cell>
          <cell r="W461">
            <v>13224.959999962201</v>
          </cell>
          <cell r="X461">
            <v>2.93316</v>
          </cell>
          <cell r="Y461">
            <v>0</v>
          </cell>
          <cell r="Z461">
            <v>6.7199999999807929</v>
          </cell>
          <cell r="AA461">
            <v>13224.959999962201</v>
          </cell>
        </row>
        <row r="462">
          <cell r="B462" t="str">
            <v>P-02-02</v>
          </cell>
          <cell r="C462" t="str">
            <v>ALBENDAZOL .:. 200 mg/5 ml</v>
          </cell>
          <cell r="D462" t="str">
            <v>Suspensión</v>
          </cell>
          <cell r="E462">
            <v>20</v>
          </cell>
          <cell r="F462">
            <v>196</v>
          </cell>
          <cell r="H462">
            <v>0</v>
          </cell>
          <cell r="J462">
            <v>0</v>
          </cell>
          <cell r="M462">
            <v>0</v>
          </cell>
          <cell r="N462">
            <v>0</v>
          </cell>
          <cell r="P462">
            <v>6</v>
          </cell>
          <cell r="R462">
            <v>58.8</v>
          </cell>
          <cell r="S462">
            <v>0</v>
          </cell>
          <cell r="T462">
            <v>0</v>
          </cell>
          <cell r="U462">
            <v>14</v>
          </cell>
          <cell r="V462">
            <v>9.8000000000000007</v>
          </cell>
          <cell r="W462">
            <v>137.19999999999999</v>
          </cell>
          <cell r="X462">
            <v>2.93316</v>
          </cell>
          <cell r="Y462">
            <v>0</v>
          </cell>
          <cell r="Z462">
            <v>9.8000000000000007</v>
          </cell>
          <cell r="AA462">
            <v>137.19999999999999</v>
          </cell>
        </row>
        <row r="463">
          <cell r="B463" t="str">
            <v>P-02-03</v>
          </cell>
          <cell r="C463" t="str">
            <v>MEBENDAZOL .:. 100 mg</v>
          </cell>
          <cell r="D463" t="str">
            <v>Comprimido</v>
          </cell>
          <cell r="E463">
            <v>44</v>
          </cell>
          <cell r="F463">
            <v>9.24</v>
          </cell>
          <cell r="H463">
            <v>100</v>
          </cell>
          <cell r="J463">
            <v>34</v>
          </cell>
          <cell r="M463">
            <v>0</v>
          </cell>
          <cell r="N463">
            <v>0</v>
          </cell>
          <cell r="P463">
            <v>48</v>
          </cell>
          <cell r="R463">
            <v>11.194285714199999</v>
          </cell>
          <cell r="S463">
            <v>0</v>
          </cell>
          <cell r="T463">
            <v>0</v>
          </cell>
          <cell r="U463">
            <v>96</v>
          </cell>
          <cell r="V463">
            <v>0.33380952381041668</v>
          </cell>
          <cell r="W463">
            <v>32.045714285800003</v>
          </cell>
          <cell r="X463">
            <v>2.93316</v>
          </cell>
          <cell r="Y463">
            <v>0</v>
          </cell>
          <cell r="Z463">
            <v>0.33380952381041668</v>
          </cell>
          <cell r="AA463">
            <v>32.045714285800003</v>
          </cell>
        </row>
        <row r="464">
          <cell r="B464" t="str">
            <v>P-02-05</v>
          </cell>
          <cell r="C464" t="str">
            <v>MEBENDAZOL .:. 500 mg</v>
          </cell>
          <cell r="D464" t="str">
            <v>Comprimido</v>
          </cell>
          <cell r="E464">
            <v>0</v>
          </cell>
          <cell r="F464">
            <v>0</v>
          </cell>
          <cell r="H464">
            <v>260</v>
          </cell>
          <cell r="J464">
            <v>621.4</v>
          </cell>
          <cell r="M464">
            <v>0</v>
          </cell>
          <cell r="N464">
            <v>0</v>
          </cell>
          <cell r="P464">
            <v>17</v>
          </cell>
          <cell r="R464">
            <v>40.630000000000003</v>
          </cell>
          <cell r="S464">
            <v>0</v>
          </cell>
          <cell r="T464">
            <v>0</v>
          </cell>
          <cell r="U464">
            <v>243</v>
          </cell>
          <cell r="V464">
            <v>2.39</v>
          </cell>
          <cell r="W464">
            <v>580.77</v>
          </cell>
          <cell r="X464">
            <v>2.93316</v>
          </cell>
          <cell r="Y464">
            <v>0</v>
          </cell>
          <cell r="Z464">
            <v>2.39</v>
          </cell>
          <cell r="AA464">
            <v>580.77</v>
          </cell>
        </row>
        <row r="465">
          <cell r="B465" t="str">
            <v>P-02-14</v>
          </cell>
          <cell r="C465" t="str">
            <v>IVERMECTINA .:. 6 MG</v>
          </cell>
          <cell r="D465" t="str">
            <v>Comprimido</v>
          </cell>
          <cell r="E465">
            <v>954</v>
          </cell>
          <cell r="F465">
            <v>4293</v>
          </cell>
          <cell r="H465">
            <v>0</v>
          </cell>
          <cell r="J465">
            <v>0</v>
          </cell>
          <cell r="M465">
            <v>954</v>
          </cell>
          <cell r="N465">
            <v>4293</v>
          </cell>
          <cell r="P465">
            <v>954</v>
          </cell>
          <cell r="R465">
            <v>4293</v>
          </cell>
          <cell r="S465">
            <v>954</v>
          </cell>
          <cell r="T465">
            <v>4293</v>
          </cell>
          <cell r="U465">
            <v>0</v>
          </cell>
          <cell r="V465">
            <v>0</v>
          </cell>
          <cell r="W465">
            <v>0</v>
          </cell>
          <cell r="X465">
            <v>2.93316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P-03-01</v>
          </cell>
          <cell r="C466" t="str">
            <v>BENZOATO DE BENCILO .:. 20% o 25%</v>
          </cell>
          <cell r="D466" t="str">
            <v>Solución o Loción</v>
          </cell>
          <cell r="E466">
            <v>0</v>
          </cell>
          <cell r="F466">
            <v>0</v>
          </cell>
          <cell r="H466">
            <v>20</v>
          </cell>
          <cell r="J466">
            <v>179.8</v>
          </cell>
          <cell r="M466">
            <v>0</v>
          </cell>
          <cell r="N466">
            <v>0</v>
          </cell>
          <cell r="P466">
            <v>19</v>
          </cell>
          <cell r="R466">
            <v>170.81</v>
          </cell>
          <cell r="S466">
            <v>0</v>
          </cell>
          <cell r="T466">
            <v>0</v>
          </cell>
          <cell r="U466">
            <v>1</v>
          </cell>
          <cell r="V466">
            <v>8.99</v>
          </cell>
          <cell r="W466">
            <v>8.99</v>
          </cell>
          <cell r="X466">
            <v>2.93316</v>
          </cell>
          <cell r="Y466">
            <v>0</v>
          </cell>
          <cell r="Z466">
            <v>8.99</v>
          </cell>
          <cell r="AA466">
            <v>8.99</v>
          </cell>
        </row>
        <row r="467">
          <cell r="B467" t="str">
            <v>QU-01-15</v>
          </cell>
          <cell r="C467" t="str">
            <v>SONDA DE INTUBACION  K-14 SONDA DE INTUBACION  K-14  .:. s/d</v>
          </cell>
          <cell r="D467" t="str">
            <v>Pieza</v>
          </cell>
          <cell r="E467">
            <v>6</v>
          </cell>
          <cell r="F467">
            <v>21.84</v>
          </cell>
          <cell r="H467">
            <v>0</v>
          </cell>
          <cell r="J467">
            <v>0</v>
          </cell>
          <cell r="M467">
            <v>0</v>
          </cell>
          <cell r="N467">
            <v>0</v>
          </cell>
          <cell r="P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6</v>
          </cell>
          <cell r="V467">
            <v>3.64</v>
          </cell>
          <cell r="W467">
            <v>21.84</v>
          </cell>
          <cell r="X467">
            <v>2.93316</v>
          </cell>
          <cell r="Y467">
            <v>0</v>
          </cell>
          <cell r="Z467">
            <v>3.64</v>
          </cell>
          <cell r="AA467">
            <v>21.84</v>
          </cell>
        </row>
        <row r="468">
          <cell r="B468" t="str">
            <v>QU-01-18</v>
          </cell>
          <cell r="C468" t="str">
            <v>SONDA DE ALIMENTACION  K-35 SONDA DE ALIMENTACION  K-35  .:. s/d</v>
          </cell>
          <cell r="D468" t="str">
            <v>Unidad</v>
          </cell>
          <cell r="E468">
            <v>5</v>
          </cell>
          <cell r="F468">
            <v>135.16999999999999</v>
          </cell>
          <cell r="H468">
            <v>0</v>
          </cell>
          <cell r="J468">
            <v>0</v>
          </cell>
          <cell r="M468">
            <v>0</v>
          </cell>
          <cell r="N468">
            <v>0</v>
          </cell>
          <cell r="P468">
            <v>5</v>
          </cell>
          <cell r="R468">
            <v>135.16999999999999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2.93316</v>
          </cell>
          <cell r="Y468">
            <v>0</v>
          </cell>
          <cell r="Z468">
            <v>0</v>
          </cell>
          <cell r="AA468">
            <v>0</v>
          </cell>
        </row>
        <row r="469">
          <cell r="B469" t="str">
            <v>R-03-03</v>
          </cell>
          <cell r="C469" t="str">
            <v>BECLOMETASONA DIPROPIONATO .:. 50 mcg/inhalación</v>
          </cell>
          <cell r="D469" t="str">
            <v>Aerosol</v>
          </cell>
          <cell r="E469">
            <v>52</v>
          </cell>
          <cell r="F469">
            <v>1944.4782716788</v>
          </cell>
          <cell r="H469">
            <v>0</v>
          </cell>
          <cell r="J469">
            <v>0</v>
          </cell>
          <cell r="M469">
            <v>0</v>
          </cell>
          <cell r="N469">
            <v>0</v>
          </cell>
          <cell r="P469">
            <v>36</v>
          </cell>
          <cell r="R469">
            <v>1346.1772650083999</v>
          </cell>
          <cell r="S469">
            <v>0</v>
          </cell>
          <cell r="T469">
            <v>0</v>
          </cell>
          <cell r="U469">
            <v>16</v>
          </cell>
          <cell r="V469">
            <v>37.393812916900004</v>
          </cell>
          <cell r="W469">
            <v>598.30100667040006</v>
          </cell>
          <cell r="X469">
            <v>2.93316</v>
          </cell>
          <cell r="Y469">
            <v>0</v>
          </cell>
          <cell r="Z469">
            <v>37.393812916900004</v>
          </cell>
          <cell r="AA469">
            <v>598.30100667040006</v>
          </cell>
        </row>
        <row r="470">
          <cell r="B470" t="str">
            <v>R-03-04</v>
          </cell>
          <cell r="C470" t="str">
            <v>SALBUTAMOL .:. 5 mg/ml</v>
          </cell>
          <cell r="D470" t="str">
            <v>Solución para nebulización</v>
          </cell>
          <cell r="E470">
            <v>0</v>
          </cell>
          <cell r="F470">
            <v>0</v>
          </cell>
          <cell r="H470">
            <v>20</v>
          </cell>
          <cell r="J470">
            <v>584.20000000000005</v>
          </cell>
          <cell r="M470">
            <v>0</v>
          </cell>
          <cell r="N470">
            <v>0</v>
          </cell>
          <cell r="P470">
            <v>18</v>
          </cell>
          <cell r="R470">
            <v>525.78</v>
          </cell>
          <cell r="S470">
            <v>0</v>
          </cell>
          <cell r="T470">
            <v>0</v>
          </cell>
          <cell r="U470">
            <v>2</v>
          </cell>
          <cell r="V470">
            <v>29.21</v>
          </cell>
          <cell r="W470">
            <v>58.42</v>
          </cell>
          <cell r="X470">
            <v>2.93316</v>
          </cell>
          <cell r="Y470">
            <v>0</v>
          </cell>
          <cell r="Z470">
            <v>29.21</v>
          </cell>
          <cell r="AA470">
            <v>58.42</v>
          </cell>
        </row>
        <row r="471">
          <cell r="B471" t="str">
            <v>R-03-06</v>
          </cell>
          <cell r="C471" t="str">
            <v>SALBUTAMOL .:. 0,1 mg/inhalación</v>
          </cell>
          <cell r="D471" t="str">
            <v>Aerosol</v>
          </cell>
          <cell r="E471">
            <v>29</v>
          </cell>
          <cell r="F471">
            <v>458.28169014060001</v>
          </cell>
          <cell r="H471">
            <v>120</v>
          </cell>
          <cell r="J471">
            <v>2362.8000000000002</v>
          </cell>
          <cell r="M471">
            <v>0</v>
          </cell>
          <cell r="N471">
            <v>0</v>
          </cell>
          <cell r="P471">
            <v>138</v>
          </cell>
          <cell r="R471">
            <v>2604.4916901406</v>
          </cell>
          <cell r="S471">
            <v>0</v>
          </cell>
          <cell r="T471">
            <v>0</v>
          </cell>
          <cell r="U471">
            <v>11</v>
          </cell>
          <cell r="V471">
            <v>19.690000000000001</v>
          </cell>
          <cell r="W471">
            <v>216.59</v>
          </cell>
          <cell r="X471">
            <v>2.93316</v>
          </cell>
          <cell r="Y471">
            <v>0</v>
          </cell>
          <cell r="Z471">
            <v>19.690000000000001</v>
          </cell>
          <cell r="AA471">
            <v>216.59</v>
          </cell>
        </row>
        <row r="472">
          <cell r="B472" t="str">
            <v>R-03-11</v>
          </cell>
          <cell r="C472" t="str">
            <v>SALMETEROL + FLUTICASONA .:. 25 mcg + 125 mcg</v>
          </cell>
          <cell r="D472" t="str">
            <v>Aerosol</v>
          </cell>
          <cell r="E472">
            <v>52</v>
          </cell>
          <cell r="F472">
            <v>5460</v>
          </cell>
          <cell r="H472">
            <v>180</v>
          </cell>
          <cell r="J472">
            <v>16200</v>
          </cell>
          <cell r="M472">
            <v>0</v>
          </cell>
          <cell r="N472">
            <v>0</v>
          </cell>
          <cell r="P472">
            <v>220</v>
          </cell>
          <cell r="R472">
            <v>20555.769229993999</v>
          </cell>
          <cell r="S472">
            <v>0</v>
          </cell>
          <cell r="T472">
            <v>0</v>
          </cell>
          <cell r="U472">
            <v>12</v>
          </cell>
          <cell r="V472">
            <v>92.019230833833333</v>
          </cell>
          <cell r="W472">
            <v>1104.2307700060001</v>
          </cell>
          <cell r="X472">
            <v>2.93316</v>
          </cell>
          <cell r="Y472">
            <v>0</v>
          </cell>
          <cell r="Z472">
            <v>92.019230833833333</v>
          </cell>
          <cell r="AA472">
            <v>1104.2307700060001</v>
          </cell>
        </row>
        <row r="473">
          <cell r="B473" t="str">
            <v>R-03-13</v>
          </cell>
          <cell r="C473" t="str">
            <v>MONTELUKAST .:. 10mg</v>
          </cell>
          <cell r="D473" t="str">
            <v>Comprimido o Cápsula</v>
          </cell>
          <cell r="E473">
            <v>433</v>
          </cell>
          <cell r="F473">
            <v>1082.5</v>
          </cell>
          <cell r="H473">
            <v>1380</v>
          </cell>
          <cell r="J473">
            <v>5106</v>
          </cell>
          <cell r="M473">
            <v>0</v>
          </cell>
          <cell r="N473">
            <v>0</v>
          </cell>
          <cell r="P473">
            <v>1813</v>
          </cell>
          <cell r="R473">
            <v>6188.5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2.93316</v>
          </cell>
          <cell r="Y473">
            <v>0</v>
          </cell>
          <cell r="Z473">
            <v>0</v>
          </cell>
          <cell r="AA473">
            <v>0</v>
          </cell>
        </row>
        <row r="474">
          <cell r="B474" t="str">
            <v>R-05-01</v>
          </cell>
          <cell r="C474" t="str">
            <v>ANTIGRIPAL (PARACETAMOL + ANTIHISTAMINICO + VASOCONSTRICTOR CON O SIN CAFEINA) .:. Según disponibilidad</v>
          </cell>
          <cell r="D474" t="str">
            <v>Comprimido</v>
          </cell>
          <cell r="E474">
            <v>5468</v>
          </cell>
          <cell r="F474">
            <v>2258.1066798684001</v>
          </cell>
          <cell r="H474">
            <v>7000</v>
          </cell>
          <cell r="J474">
            <v>3780</v>
          </cell>
          <cell r="M474">
            <v>0</v>
          </cell>
          <cell r="N474">
            <v>0</v>
          </cell>
          <cell r="P474">
            <v>6746</v>
          </cell>
          <cell r="R474">
            <v>2972.7101989043999</v>
          </cell>
          <cell r="S474">
            <v>0</v>
          </cell>
          <cell r="T474">
            <v>0</v>
          </cell>
          <cell r="U474">
            <v>5722</v>
          </cell>
          <cell r="V474">
            <v>0.53572116060188746</v>
          </cell>
          <cell r="W474">
            <v>3065.3964809640001</v>
          </cell>
          <cell r="X474">
            <v>2.93316</v>
          </cell>
          <cell r="Y474">
            <v>0</v>
          </cell>
          <cell r="Z474">
            <v>0.53572116060188746</v>
          </cell>
          <cell r="AA474">
            <v>3065.3964809640001</v>
          </cell>
        </row>
        <row r="475">
          <cell r="B475" t="str">
            <v>R-05-02</v>
          </cell>
          <cell r="C475" t="str">
            <v>CODEINA .:. 10 mg/5 ml</v>
          </cell>
          <cell r="D475" t="str">
            <v>Jarabe</v>
          </cell>
          <cell r="E475">
            <v>300</v>
          </cell>
          <cell r="F475">
            <v>5100</v>
          </cell>
          <cell r="H475">
            <v>0</v>
          </cell>
          <cell r="J475">
            <v>0</v>
          </cell>
          <cell r="M475">
            <v>2</v>
          </cell>
          <cell r="N475">
            <v>34</v>
          </cell>
          <cell r="P475">
            <v>266</v>
          </cell>
          <cell r="R475">
            <v>4522</v>
          </cell>
          <cell r="S475">
            <v>0</v>
          </cell>
          <cell r="T475">
            <v>0</v>
          </cell>
          <cell r="U475">
            <v>36</v>
          </cell>
          <cell r="V475">
            <v>17</v>
          </cell>
          <cell r="W475">
            <v>612</v>
          </cell>
          <cell r="X475">
            <v>2.93316</v>
          </cell>
          <cell r="Y475">
            <v>0</v>
          </cell>
          <cell r="Z475">
            <v>17</v>
          </cell>
          <cell r="AA475">
            <v>612</v>
          </cell>
        </row>
        <row r="476">
          <cell r="B476" t="str">
            <v>R-05-03</v>
          </cell>
          <cell r="C476" t="str">
            <v>DEXTROMETORFANO BROMHIDRATO .:. 10 mg/5 ml</v>
          </cell>
          <cell r="D476" t="str">
            <v>Jarabe</v>
          </cell>
          <cell r="E476">
            <v>261</v>
          </cell>
          <cell r="F476">
            <v>1998.3765247614001</v>
          </cell>
          <cell r="H476">
            <v>1050</v>
          </cell>
          <cell r="J476">
            <v>8295</v>
          </cell>
          <cell r="M476">
            <v>0</v>
          </cell>
          <cell r="N476">
            <v>0</v>
          </cell>
          <cell r="P476">
            <v>822</v>
          </cell>
          <cell r="R476">
            <v>6448.9174660981998</v>
          </cell>
          <cell r="S476">
            <v>0</v>
          </cell>
          <cell r="T476">
            <v>0</v>
          </cell>
          <cell r="U476">
            <v>489</v>
          </cell>
          <cell r="V476">
            <v>7.8618794655689159</v>
          </cell>
          <cell r="W476">
            <v>3844.4590586631998</v>
          </cell>
          <cell r="X476">
            <v>2.93316</v>
          </cell>
          <cell r="Y476">
            <v>0</v>
          </cell>
          <cell r="Z476">
            <v>7.8618794655689159</v>
          </cell>
          <cell r="AA476">
            <v>3844.4590586631998</v>
          </cell>
        </row>
        <row r="477">
          <cell r="B477" t="str">
            <v>R-06-01</v>
          </cell>
          <cell r="C477" t="str">
            <v>CLORFENAMINA (CLORFENIRAMINA) .:. 4 mg</v>
          </cell>
          <cell r="D477" t="str">
            <v>Comprimido</v>
          </cell>
          <cell r="E477">
            <v>133</v>
          </cell>
          <cell r="F477">
            <v>17.879692899599998</v>
          </cell>
          <cell r="H477">
            <v>900</v>
          </cell>
          <cell r="J477">
            <v>261</v>
          </cell>
          <cell r="M477">
            <v>0</v>
          </cell>
          <cell r="N477">
            <v>0</v>
          </cell>
          <cell r="P477">
            <v>338</v>
          </cell>
          <cell r="R477">
            <v>77.329692899600005</v>
          </cell>
          <cell r="S477">
            <v>0</v>
          </cell>
          <cell r="T477">
            <v>0</v>
          </cell>
          <cell r="U477">
            <v>695</v>
          </cell>
          <cell r="V477">
            <v>0.28999999999999998</v>
          </cell>
          <cell r="W477">
            <v>201.55</v>
          </cell>
          <cell r="X477">
            <v>2.93316</v>
          </cell>
          <cell r="Y477">
            <v>0</v>
          </cell>
          <cell r="Z477">
            <v>0.28999999999999998</v>
          </cell>
          <cell r="AA477">
            <v>201.55</v>
          </cell>
        </row>
        <row r="478">
          <cell r="B478" t="str">
            <v>R-06-02</v>
          </cell>
          <cell r="C478" t="str">
            <v>CLORFENAMINA (CLORFENIRAMINA) .:. 2 mg/5 ml</v>
          </cell>
          <cell r="D478" t="str">
            <v>Jarabe</v>
          </cell>
          <cell r="E478">
            <v>54</v>
          </cell>
          <cell r="F478">
            <v>420.00827586299999</v>
          </cell>
          <cell r="H478">
            <v>0</v>
          </cell>
          <cell r="J478">
            <v>0</v>
          </cell>
          <cell r="M478">
            <v>1</v>
          </cell>
          <cell r="N478">
            <v>7.7779309999999997</v>
          </cell>
          <cell r="P478">
            <v>20</v>
          </cell>
          <cell r="R478">
            <v>155.55862068639999</v>
          </cell>
          <cell r="S478">
            <v>0</v>
          </cell>
          <cell r="T478">
            <v>0</v>
          </cell>
          <cell r="U478">
            <v>35</v>
          </cell>
          <cell r="V478">
            <v>7.7779310336171426</v>
          </cell>
          <cell r="W478">
            <v>272.22758617660003</v>
          </cell>
          <cell r="X478">
            <v>2.93316</v>
          </cell>
          <cell r="Y478">
            <v>0</v>
          </cell>
          <cell r="Z478">
            <v>7.7779310336171426</v>
          </cell>
          <cell r="AA478">
            <v>272.22758617660003</v>
          </cell>
        </row>
        <row r="479">
          <cell r="B479" t="str">
            <v>R-06-03</v>
          </cell>
          <cell r="C479" t="str">
            <v>CLORFENAMINA (CLORFENIRAMINA) .:. 10 mg/ml</v>
          </cell>
          <cell r="D479" t="str">
            <v>Inyectable</v>
          </cell>
          <cell r="E479">
            <v>104</v>
          </cell>
          <cell r="F479">
            <v>132.26853110639999</v>
          </cell>
          <cell r="H479">
            <v>500</v>
          </cell>
          <cell r="J479">
            <v>750</v>
          </cell>
          <cell r="M479">
            <v>18</v>
          </cell>
          <cell r="N479">
            <v>26.315435999999998</v>
          </cell>
          <cell r="P479">
            <v>417</v>
          </cell>
          <cell r="R479">
            <v>601.08396710609998</v>
          </cell>
          <cell r="S479">
            <v>0</v>
          </cell>
          <cell r="T479">
            <v>0</v>
          </cell>
          <cell r="U479">
            <v>205</v>
          </cell>
          <cell r="V479">
            <v>1.5000000000014635</v>
          </cell>
          <cell r="W479">
            <v>307.50000000030002</v>
          </cell>
          <cell r="X479">
            <v>2.93316</v>
          </cell>
          <cell r="Y479">
            <v>0</v>
          </cell>
          <cell r="Z479">
            <v>1.5000000000014635</v>
          </cell>
          <cell r="AA479">
            <v>307.50000000030002</v>
          </cell>
        </row>
        <row r="480">
          <cell r="B480" t="str">
            <v>R-06-07</v>
          </cell>
          <cell r="C480" t="str">
            <v>CETIRIZINA .:. 10 mg</v>
          </cell>
          <cell r="D480" t="str">
            <v>Cápsula o Comprimido</v>
          </cell>
          <cell r="E480">
            <v>308</v>
          </cell>
          <cell r="F480">
            <v>80.08</v>
          </cell>
          <cell r="H480">
            <v>4000</v>
          </cell>
          <cell r="J480">
            <v>960</v>
          </cell>
          <cell r="M480">
            <v>1606</v>
          </cell>
          <cell r="N480">
            <v>385.45</v>
          </cell>
          <cell r="P480">
            <v>3636</v>
          </cell>
          <cell r="R480">
            <v>878.79778495519997</v>
          </cell>
          <cell r="S480">
            <v>1606</v>
          </cell>
          <cell r="T480">
            <v>385.44802807280001</v>
          </cell>
          <cell r="U480">
            <v>672</v>
          </cell>
          <cell r="V480">
            <v>0.24000623061309523</v>
          </cell>
          <cell r="W480">
            <v>161.28418697199999</v>
          </cell>
          <cell r="X480">
            <v>2.93316</v>
          </cell>
          <cell r="Y480">
            <v>0</v>
          </cell>
          <cell r="Z480">
            <v>0.24000623061309523</v>
          </cell>
          <cell r="AA480">
            <v>161.28418697199999</v>
          </cell>
        </row>
        <row r="481">
          <cell r="B481" t="str">
            <v>R-06-08</v>
          </cell>
          <cell r="C481" t="str">
            <v>CETIRIZINA .:. 5 mg/5 ml</v>
          </cell>
          <cell r="D481" t="str">
            <v>Jarabe</v>
          </cell>
          <cell r="E481">
            <v>40</v>
          </cell>
          <cell r="F481">
            <v>439.6</v>
          </cell>
          <cell r="H481">
            <v>0</v>
          </cell>
          <cell r="J481">
            <v>0</v>
          </cell>
          <cell r="M481">
            <v>7</v>
          </cell>
          <cell r="N481">
            <v>76.930000000000007</v>
          </cell>
          <cell r="P481">
            <v>35</v>
          </cell>
          <cell r="R481">
            <v>384.65</v>
          </cell>
          <cell r="S481">
            <v>7</v>
          </cell>
          <cell r="T481">
            <v>76.930000000000007</v>
          </cell>
          <cell r="U481">
            <v>5</v>
          </cell>
          <cell r="V481">
            <v>10.99</v>
          </cell>
          <cell r="W481">
            <v>54.95</v>
          </cell>
          <cell r="X481">
            <v>2.93316</v>
          </cell>
          <cell r="Y481">
            <v>0</v>
          </cell>
          <cell r="Z481">
            <v>10.99</v>
          </cell>
          <cell r="AA481">
            <v>54.95</v>
          </cell>
        </row>
        <row r="482">
          <cell r="B482" t="str">
            <v>S-01-05</v>
          </cell>
          <cell r="C482" t="str">
            <v>CLORANFENICOL .:. 0,5%</v>
          </cell>
          <cell r="D482" t="str">
            <v>Solución oftálmica</v>
          </cell>
          <cell r="E482">
            <v>19</v>
          </cell>
          <cell r="F482">
            <v>133</v>
          </cell>
          <cell r="H482">
            <v>0</v>
          </cell>
          <cell r="J482">
            <v>0</v>
          </cell>
          <cell r="M482">
            <v>1</v>
          </cell>
          <cell r="N482">
            <v>7</v>
          </cell>
          <cell r="P482">
            <v>19</v>
          </cell>
          <cell r="R482">
            <v>133</v>
          </cell>
          <cell r="S482">
            <v>1</v>
          </cell>
          <cell r="T482">
            <v>7</v>
          </cell>
          <cell r="U482">
            <v>0</v>
          </cell>
          <cell r="V482">
            <v>0</v>
          </cell>
          <cell r="W482">
            <v>0</v>
          </cell>
          <cell r="X482">
            <v>2.93316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S-01-06</v>
          </cell>
          <cell r="C483" t="str">
            <v>CLORANFENICOL .:. 0.01</v>
          </cell>
          <cell r="D483" t="str">
            <v>Ungüento oftálmico</v>
          </cell>
          <cell r="E483">
            <v>2</v>
          </cell>
          <cell r="F483">
            <v>35</v>
          </cell>
          <cell r="H483">
            <v>0</v>
          </cell>
          <cell r="J483">
            <v>0</v>
          </cell>
          <cell r="M483">
            <v>2</v>
          </cell>
          <cell r="N483">
            <v>35</v>
          </cell>
          <cell r="P483">
            <v>2</v>
          </cell>
          <cell r="R483">
            <v>35</v>
          </cell>
          <cell r="S483">
            <v>2</v>
          </cell>
          <cell r="T483">
            <v>35</v>
          </cell>
          <cell r="U483">
            <v>0</v>
          </cell>
          <cell r="V483">
            <v>0</v>
          </cell>
          <cell r="W483">
            <v>0</v>
          </cell>
          <cell r="X483">
            <v>2.93316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S-01-09</v>
          </cell>
          <cell r="C484" t="str">
            <v>DEXAMETASONA .:. 0,1%</v>
          </cell>
          <cell r="D484" t="str">
            <v>Solución oftálmica</v>
          </cell>
          <cell r="E484">
            <v>54</v>
          </cell>
          <cell r="F484">
            <v>588.81386138400001</v>
          </cell>
          <cell r="H484">
            <v>140</v>
          </cell>
          <cell r="J484">
            <v>1400</v>
          </cell>
          <cell r="M484">
            <v>0</v>
          </cell>
          <cell r="N484">
            <v>0</v>
          </cell>
          <cell r="P484">
            <v>194</v>
          </cell>
          <cell r="R484">
            <v>1988.8138613839999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2.93316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S-01-12</v>
          </cell>
          <cell r="C485" t="str">
            <v>DORZOLAMIDA .:. 0.02</v>
          </cell>
          <cell r="D485" t="str">
            <v>Solución oftálmica</v>
          </cell>
          <cell r="E485">
            <v>51</v>
          </cell>
          <cell r="F485">
            <v>2700.45</v>
          </cell>
          <cell r="H485">
            <v>100</v>
          </cell>
          <cell r="J485">
            <v>8200</v>
          </cell>
          <cell r="M485">
            <v>0</v>
          </cell>
          <cell r="N485">
            <v>0</v>
          </cell>
          <cell r="P485">
            <v>125</v>
          </cell>
          <cell r="R485">
            <v>8775.9282178199992</v>
          </cell>
          <cell r="S485">
            <v>0</v>
          </cell>
          <cell r="T485">
            <v>0</v>
          </cell>
          <cell r="U485">
            <v>26</v>
          </cell>
          <cell r="V485">
            <v>81.712376237692311</v>
          </cell>
          <cell r="W485">
            <v>2124.5217821800002</v>
          </cell>
          <cell r="X485">
            <v>2.93316</v>
          </cell>
          <cell r="Y485">
            <v>0</v>
          </cell>
          <cell r="Z485">
            <v>81.712376237692311</v>
          </cell>
          <cell r="AA485">
            <v>2124.5217821800002</v>
          </cell>
        </row>
        <row r="486">
          <cell r="B486" t="str">
            <v>S-01-15</v>
          </cell>
          <cell r="C486" t="str">
            <v>GENTAMICINA .:. 0,3%</v>
          </cell>
          <cell r="D486" t="str">
            <v>Ungüento oftálmico</v>
          </cell>
          <cell r="E486">
            <v>3</v>
          </cell>
          <cell r="F486">
            <v>74.7</v>
          </cell>
          <cell r="H486">
            <v>0</v>
          </cell>
          <cell r="J486">
            <v>0</v>
          </cell>
          <cell r="M486">
            <v>0</v>
          </cell>
          <cell r="N486">
            <v>0</v>
          </cell>
          <cell r="P486">
            <v>3</v>
          </cell>
          <cell r="R486">
            <v>74.7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2.93316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S-01-16</v>
          </cell>
          <cell r="C487" t="str">
            <v>GENTAMICINA .:. 0,3%</v>
          </cell>
          <cell r="D487" t="str">
            <v>Solución oftálmica</v>
          </cell>
          <cell r="E487">
            <v>119</v>
          </cell>
          <cell r="F487">
            <v>761.6</v>
          </cell>
          <cell r="H487">
            <v>0</v>
          </cell>
          <cell r="J487">
            <v>0</v>
          </cell>
          <cell r="M487">
            <v>1</v>
          </cell>
          <cell r="N487">
            <v>6.4</v>
          </cell>
          <cell r="P487">
            <v>113</v>
          </cell>
          <cell r="R487">
            <v>723.2</v>
          </cell>
          <cell r="S487">
            <v>0</v>
          </cell>
          <cell r="T487">
            <v>0</v>
          </cell>
          <cell r="U487">
            <v>7</v>
          </cell>
          <cell r="V487">
            <v>6.4</v>
          </cell>
          <cell r="W487">
            <v>44.8</v>
          </cell>
          <cell r="X487">
            <v>2.93316</v>
          </cell>
          <cell r="Y487">
            <v>0</v>
          </cell>
          <cell r="Z487">
            <v>6.4</v>
          </cell>
          <cell r="AA487">
            <v>44.8</v>
          </cell>
        </row>
        <row r="488">
          <cell r="B488" t="str">
            <v>S-01-18</v>
          </cell>
          <cell r="C488" t="str">
            <v>LAGRIMAS ARTIFICIALES .:. 0,3% o 1%</v>
          </cell>
          <cell r="D488" t="str">
            <v>Solución oftálmica</v>
          </cell>
          <cell r="E488">
            <v>38</v>
          </cell>
          <cell r="F488">
            <v>614.93435771639997</v>
          </cell>
          <cell r="H488">
            <v>1250</v>
          </cell>
          <cell r="J488">
            <v>25250</v>
          </cell>
          <cell r="M488">
            <v>0</v>
          </cell>
          <cell r="N488">
            <v>0</v>
          </cell>
          <cell r="P488">
            <v>1085</v>
          </cell>
          <cell r="R488">
            <v>21605.785650486901</v>
          </cell>
          <cell r="S488">
            <v>0</v>
          </cell>
          <cell r="T488">
            <v>0</v>
          </cell>
          <cell r="U488">
            <v>203</v>
          </cell>
          <cell r="V488">
            <v>20.981028114431034</v>
          </cell>
          <cell r="W488">
            <v>4259.1487072295004</v>
          </cell>
          <cell r="X488">
            <v>2.93316</v>
          </cell>
          <cell r="Y488">
            <v>0</v>
          </cell>
          <cell r="Z488">
            <v>20.981028114431034</v>
          </cell>
          <cell r="AA488">
            <v>4259.1487072295004</v>
          </cell>
        </row>
        <row r="489">
          <cell r="B489" t="str">
            <v>S-01-19</v>
          </cell>
          <cell r="C489" t="str">
            <v>NAFAZOLINA CLORHIDRATO .:. 0,1%</v>
          </cell>
          <cell r="D489" t="str">
            <v>Solución oftálmica</v>
          </cell>
          <cell r="E489">
            <v>28</v>
          </cell>
          <cell r="F489">
            <v>551.36404494359999</v>
          </cell>
          <cell r="H489">
            <v>95</v>
          </cell>
          <cell r="J489">
            <v>2247.6999999999998</v>
          </cell>
          <cell r="M489">
            <v>0</v>
          </cell>
          <cell r="N489">
            <v>0</v>
          </cell>
          <cell r="P489">
            <v>40</v>
          </cell>
          <cell r="R489">
            <v>835.28404494359995</v>
          </cell>
          <cell r="S489">
            <v>0</v>
          </cell>
          <cell r="T489">
            <v>0</v>
          </cell>
          <cell r="U489">
            <v>83</v>
          </cell>
          <cell r="V489">
            <v>23.66</v>
          </cell>
          <cell r="W489">
            <v>1963.78</v>
          </cell>
          <cell r="X489">
            <v>2.93316</v>
          </cell>
          <cell r="Y489">
            <v>0</v>
          </cell>
          <cell r="Z489">
            <v>23.66</v>
          </cell>
          <cell r="AA489">
            <v>1963.78</v>
          </cell>
        </row>
        <row r="490">
          <cell r="B490" t="str">
            <v>S-01-22</v>
          </cell>
          <cell r="C490" t="str">
            <v>TIMOLOL MALEATO .:. 0,5%</v>
          </cell>
          <cell r="D490" t="str">
            <v>Solución oftálmica</v>
          </cell>
          <cell r="E490">
            <v>71</v>
          </cell>
          <cell r="F490">
            <v>1263.8</v>
          </cell>
          <cell r="H490">
            <v>300</v>
          </cell>
          <cell r="J490">
            <v>5070</v>
          </cell>
          <cell r="M490">
            <v>0</v>
          </cell>
          <cell r="N490">
            <v>0</v>
          </cell>
          <cell r="P490">
            <v>304</v>
          </cell>
          <cell r="R490">
            <v>5196.8615384535997</v>
          </cell>
          <cell r="S490">
            <v>0</v>
          </cell>
          <cell r="T490">
            <v>0</v>
          </cell>
          <cell r="U490">
            <v>67</v>
          </cell>
          <cell r="V490">
            <v>16.969230769349252</v>
          </cell>
          <cell r="W490">
            <v>1136.9384615464</v>
          </cell>
          <cell r="X490">
            <v>2.93316</v>
          </cell>
          <cell r="Y490">
            <v>0</v>
          </cell>
          <cell r="Z490">
            <v>16.969230769349252</v>
          </cell>
          <cell r="AA490">
            <v>1136.9384615464</v>
          </cell>
        </row>
        <row r="491">
          <cell r="B491" t="str">
            <v>S-01-24</v>
          </cell>
          <cell r="C491" t="str">
            <v>CORTICOIDE  (DEXAMETASONA) + ANTIINFECCIOSO (CIPROFLOXACINO) DE ACCION TOPICA .:. Según disponibilidad</v>
          </cell>
          <cell r="D491" t="str">
            <v>Solución oftálmica</v>
          </cell>
          <cell r="E491">
            <v>60</v>
          </cell>
          <cell r="F491">
            <v>1199.4000000000001</v>
          </cell>
          <cell r="H491">
            <v>50</v>
          </cell>
          <cell r="J491">
            <v>1571.5</v>
          </cell>
          <cell r="M491">
            <v>9</v>
          </cell>
          <cell r="N491">
            <v>179.91</v>
          </cell>
          <cell r="P491">
            <v>83</v>
          </cell>
          <cell r="R491">
            <v>1922.29</v>
          </cell>
          <cell r="S491">
            <v>9</v>
          </cell>
          <cell r="T491">
            <v>179.91</v>
          </cell>
          <cell r="U491">
            <v>27</v>
          </cell>
          <cell r="V491">
            <v>31.43</v>
          </cell>
          <cell r="W491">
            <v>848.61</v>
          </cell>
          <cell r="X491">
            <v>2.93316</v>
          </cell>
          <cell r="Y491">
            <v>0</v>
          </cell>
          <cell r="Z491">
            <v>31.43</v>
          </cell>
          <cell r="AA491">
            <v>848.61</v>
          </cell>
        </row>
        <row r="492">
          <cell r="B492" t="str">
            <v>S-01-27</v>
          </cell>
          <cell r="C492" t="str">
            <v>LATANOPROST .:. 50 mcg/ml</v>
          </cell>
          <cell r="D492" t="str">
            <v>Solución oftálmica</v>
          </cell>
          <cell r="E492">
            <v>0</v>
          </cell>
          <cell r="F492">
            <v>0</v>
          </cell>
          <cell r="H492">
            <v>530</v>
          </cell>
          <cell r="J492">
            <v>36660</v>
          </cell>
          <cell r="M492">
            <v>0</v>
          </cell>
          <cell r="N492">
            <v>0</v>
          </cell>
          <cell r="P492">
            <v>409</v>
          </cell>
          <cell r="R492">
            <v>27948</v>
          </cell>
          <cell r="S492">
            <v>0</v>
          </cell>
          <cell r="T492">
            <v>0</v>
          </cell>
          <cell r="U492">
            <v>121</v>
          </cell>
          <cell r="V492">
            <v>72</v>
          </cell>
          <cell r="W492">
            <v>8712</v>
          </cell>
          <cell r="X492">
            <v>2.93316</v>
          </cell>
          <cell r="Y492">
            <v>0</v>
          </cell>
          <cell r="Z492">
            <v>72</v>
          </cell>
          <cell r="AA492">
            <v>8712</v>
          </cell>
        </row>
        <row r="493">
          <cell r="B493" t="str">
            <v>V-03-01</v>
          </cell>
          <cell r="C493" t="str">
            <v>ACETIL CISTEINA .:. 0.1</v>
          </cell>
          <cell r="D493" t="str">
            <v>Inyectable</v>
          </cell>
          <cell r="E493">
            <v>680</v>
          </cell>
          <cell r="F493">
            <v>3937.2</v>
          </cell>
          <cell r="H493">
            <v>3300</v>
          </cell>
          <cell r="J493">
            <v>18645</v>
          </cell>
          <cell r="M493">
            <v>204</v>
          </cell>
          <cell r="N493">
            <v>1156.3880019999999</v>
          </cell>
          <cell r="P493">
            <v>2673</v>
          </cell>
          <cell r="R493">
            <v>15173.379899002</v>
          </cell>
          <cell r="S493">
            <v>0</v>
          </cell>
          <cell r="T493">
            <v>0</v>
          </cell>
          <cell r="U493">
            <v>1511</v>
          </cell>
          <cell r="V493">
            <v>5.6685692276624753</v>
          </cell>
          <cell r="W493">
            <v>8565.208102998</v>
          </cell>
          <cell r="X493">
            <v>2.93316</v>
          </cell>
          <cell r="Y493">
            <v>0</v>
          </cell>
          <cell r="Z493">
            <v>5.6685692276624753</v>
          </cell>
          <cell r="AA493">
            <v>8565.208102998</v>
          </cell>
        </row>
        <row r="494">
          <cell r="B494" t="str">
            <v>V-03-07</v>
          </cell>
          <cell r="C494" t="str">
            <v>LEUCOVORINA .:. 50 mg</v>
          </cell>
          <cell r="D494" t="str">
            <v>Inyectable</v>
          </cell>
          <cell r="E494">
            <v>15</v>
          </cell>
          <cell r="F494">
            <v>711.75</v>
          </cell>
          <cell r="H494">
            <v>165</v>
          </cell>
          <cell r="J494">
            <v>17741.25</v>
          </cell>
          <cell r="M494">
            <v>0</v>
          </cell>
          <cell r="N494">
            <v>0</v>
          </cell>
          <cell r="P494">
            <v>154</v>
          </cell>
          <cell r="R494">
            <v>15071.7</v>
          </cell>
          <cell r="S494">
            <v>0</v>
          </cell>
          <cell r="T494">
            <v>0</v>
          </cell>
          <cell r="U494">
            <v>26</v>
          </cell>
          <cell r="V494">
            <v>130.05000000000001</v>
          </cell>
          <cell r="W494">
            <v>3381.3</v>
          </cell>
          <cell r="X494">
            <v>2.93316</v>
          </cell>
          <cell r="Y494">
            <v>0</v>
          </cell>
          <cell r="Z494">
            <v>130.05000000000001</v>
          </cell>
          <cell r="AA494">
            <v>3381.3</v>
          </cell>
        </row>
        <row r="495">
          <cell r="B495" t="str">
            <v>V-06-04</v>
          </cell>
          <cell r="C495" t="str">
            <v>COMPLEMENTO NUTRICIONAL (CARMELO) .:. Según concentración</v>
          </cell>
          <cell r="D495" t="str">
            <v>Polvo</v>
          </cell>
          <cell r="E495">
            <v>82</v>
          </cell>
          <cell r="F495">
            <v>4428</v>
          </cell>
          <cell r="H495">
            <v>320</v>
          </cell>
          <cell r="J495">
            <v>20956.8</v>
          </cell>
          <cell r="M495">
            <v>0</v>
          </cell>
          <cell r="N495">
            <v>0</v>
          </cell>
          <cell r="P495">
            <v>319</v>
          </cell>
          <cell r="R495">
            <v>20033.3572649536</v>
          </cell>
          <cell r="S495">
            <v>0</v>
          </cell>
          <cell r="T495">
            <v>0</v>
          </cell>
          <cell r="U495">
            <v>83</v>
          </cell>
          <cell r="V495">
            <v>64.475213675257834</v>
          </cell>
          <cell r="W495">
            <v>5351.4427350464002</v>
          </cell>
          <cell r="X495">
            <v>2.93316</v>
          </cell>
          <cell r="Y495">
            <v>0</v>
          </cell>
          <cell r="Z495">
            <v>64.475213675257834</v>
          </cell>
          <cell r="AA495">
            <v>5351.4427350464002</v>
          </cell>
        </row>
        <row r="496">
          <cell r="B496" t="str">
            <v>V-06-05</v>
          </cell>
          <cell r="C496" t="str">
            <v>COMPLEMENTO NUTRICIONAL .:. Según concentración</v>
          </cell>
          <cell r="D496" t="str">
            <v>Polvo</v>
          </cell>
          <cell r="E496">
            <v>66</v>
          </cell>
          <cell r="F496">
            <v>7920</v>
          </cell>
          <cell r="H496">
            <v>0</v>
          </cell>
          <cell r="J496">
            <v>0</v>
          </cell>
          <cell r="M496">
            <v>0</v>
          </cell>
          <cell r="N496">
            <v>0</v>
          </cell>
          <cell r="P496">
            <v>54</v>
          </cell>
          <cell r="R496">
            <v>6480</v>
          </cell>
          <cell r="S496">
            <v>0</v>
          </cell>
          <cell r="T496">
            <v>0</v>
          </cell>
          <cell r="U496">
            <v>12</v>
          </cell>
          <cell r="V496">
            <v>120</v>
          </cell>
          <cell r="W496">
            <v>1440</v>
          </cell>
          <cell r="X496">
            <v>2.93316</v>
          </cell>
          <cell r="Y496">
            <v>0</v>
          </cell>
          <cell r="Z496">
            <v>120</v>
          </cell>
          <cell r="AA496">
            <v>1440</v>
          </cell>
        </row>
        <row r="497">
          <cell r="B497" t="str">
            <v>V-08-08</v>
          </cell>
          <cell r="C497" t="str">
            <v>SULFATO DE BARIO .:. Según disponibilidad</v>
          </cell>
          <cell r="D497" t="str">
            <v>Suspensión</v>
          </cell>
          <cell r="E497">
            <v>3</v>
          </cell>
          <cell r="F497">
            <v>705</v>
          </cell>
          <cell r="H497">
            <v>0</v>
          </cell>
          <cell r="J497">
            <v>0</v>
          </cell>
          <cell r="M497">
            <v>0</v>
          </cell>
          <cell r="N497">
            <v>0</v>
          </cell>
          <cell r="P497">
            <v>2</v>
          </cell>
          <cell r="R497">
            <v>470</v>
          </cell>
          <cell r="S497">
            <v>0</v>
          </cell>
          <cell r="T497">
            <v>0</v>
          </cell>
          <cell r="U497">
            <v>1</v>
          </cell>
          <cell r="V497">
            <v>235</v>
          </cell>
          <cell r="W497">
            <v>235</v>
          </cell>
          <cell r="X497">
            <v>2.93316</v>
          </cell>
          <cell r="Y497">
            <v>0</v>
          </cell>
          <cell r="Z497">
            <v>235</v>
          </cell>
          <cell r="AA497">
            <v>235</v>
          </cell>
        </row>
        <row r="498">
          <cell r="B498" t="str">
            <v>V-08-11</v>
          </cell>
          <cell r="C498" t="str">
            <v>GADOBUTROL .:. 604,72 MG/ML</v>
          </cell>
          <cell r="D498" t="str">
            <v>Inyectable</v>
          </cell>
          <cell r="E498">
            <v>2</v>
          </cell>
          <cell r="F498">
            <v>890</v>
          </cell>
          <cell r="H498">
            <v>25</v>
          </cell>
          <cell r="J498">
            <v>11124.75</v>
          </cell>
          <cell r="M498">
            <v>0</v>
          </cell>
          <cell r="N498">
            <v>0</v>
          </cell>
          <cell r="P498">
            <v>27</v>
          </cell>
          <cell r="R498">
            <v>12014.75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2.93316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>TOTAL:</v>
          </cell>
          <cell r="H499" t="str">
            <v/>
          </cell>
          <cell r="J499" t="str">
            <v>TOTAL:</v>
          </cell>
          <cell r="M499" t="str">
            <v/>
          </cell>
          <cell r="N499" t="str">
            <v>TOTAL:</v>
          </cell>
          <cell r="P499" t="str">
            <v/>
          </cell>
          <cell r="R499" t="str">
            <v>TOTAL:</v>
          </cell>
          <cell r="S499" t="str">
            <v/>
          </cell>
          <cell r="T499" t="str">
            <v>TOTAL:</v>
          </cell>
          <cell r="U499" t="str">
            <v/>
          </cell>
          <cell r="V499" t="str">
            <v/>
          </cell>
          <cell r="W499" t="str">
            <v>TOTAL:</v>
          </cell>
          <cell r="X499" t="str">
            <v/>
          </cell>
          <cell r="Y499" t="str">
            <v>TOTAL:</v>
          </cell>
          <cell r="Z499" t="str">
            <v/>
          </cell>
          <cell r="AA499" t="str">
            <v>TOTAL:</v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>
            <v>445366.22208765033</v>
          </cell>
          <cell r="H500" t="str">
            <v/>
          </cell>
          <cell r="J500">
            <v>2135804.41</v>
          </cell>
          <cell r="M500" t="str">
            <v/>
          </cell>
          <cell r="N500">
            <v>57619.458020999999</v>
          </cell>
          <cell r="P500" t="str">
            <v/>
          </cell>
          <cell r="R500">
            <v>2007522.0781347053</v>
          </cell>
          <cell r="S500" t="str">
            <v/>
          </cell>
          <cell r="T500">
            <v>19927.034939686098</v>
          </cell>
          <cell r="U500" t="str">
            <v/>
          </cell>
          <cell r="V500" t="str">
            <v/>
          </cell>
          <cell r="W500">
            <v>611340.97703425901</v>
          </cell>
          <cell r="X500" t="str">
            <v/>
          </cell>
          <cell r="Y500">
            <v>0</v>
          </cell>
          <cell r="Z500" t="str">
            <v/>
          </cell>
          <cell r="AA500">
            <v>611340.97703425901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E1F4-C52D-9C47-B779-36B0885EE6A4}">
  <dimension ref="A1:F391"/>
  <sheetViews>
    <sheetView tabSelected="1" workbookViewId="0">
      <selection activeCell="F2" sqref="F2:F391"/>
    </sheetView>
  </sheetViews>
  <sheetFormatPr baseColWidth="10" defaultRowHeight="16" x14ac:dyDescent="0.2"/>
  <sheetData>
    <row r="1" spans="1:6" x14ac:dyDescent="0.2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</row>
    <row r="2" spans="1:6" x14ac:dyDescent="0.2">
      <c r="A2" t="s">
        <v>1</v>
      </c>
      <c r="B2">
        <f>IFERROR(VLOOKUP(A2,[1]Hoja1!$B$10:$AC$529,20,FALSE),0)</f>
        <v>236</v>
      </c>
      <c r="C2">
        <f>IFERROR(VLOOKUP(A2,[2]Hoja1!$B$10:$AC$542,20,FALSE),0)</f>
        <v>259</v>
      </c>
      <c r="D2">
        <f>IFERROR(VLOOKUP(A2,[3]Hoja1!$B$10:$AC$523,20,FALSE),0)</f>
        <v>79</v>
      </c>
      <c r="E2">
        <f>IFERROR(VLOOKUP(A2,[4]Hoja1!$B$10:$AC$531,20,FALSE),0)</f>
        <v>114</v>
      </c>
      <c r="F2">
        <f>IFERROR(VLOOKUP(A2,[5]Hoja1!$B$10:$AC$500,20,FALSE),0)</f>
        <v>396</v>
      </c>
    </row>
    <row r="3" spans="1:6" x14ac:dyDescent="0.2">
      <c r="A3" t="s">
        <v>2</v>
      </c>
      <c r="B3">
        <f>IFERROR(VLOOKUP(A3,[1]Hoja1!$B$10:$AC$529,20,FALSE),0)</f>
        <v>22429</v>
      </c>
      <c r="C3">
        <f>IFERROR(VLOOKUP(A3,[2]Hoja1!$B$10:$AC$542,20,FALSE),0)</f>
        <v>17098</v>
      </c>
      <c r="D3">
        <f>IFERROR(VLOOKUP(A3,[3]Hoja1!$B$10:$AC$523,20,FALSE),0)</f>
        <v>6378</v>
      </c>
      <c r="E3">
        <f>IFERROR(VLOOKUP(A3,[4]Hoja1!$B$10:$AC$531,20,FALSE),0)</f>
        <v>17574</v>
      </c>
      <c r="F3">
        <f>IFERROR(VLOOKUP(A3,[5]Hoja1!$B$10:$AC$500,20,FALSE),0)</f>
        <v>17029</v>
      </c>
    </row>
    <row r="4" spans="1:6" x14ac:dyDescent="0.2">
      <c r="A4" t="s">
        <v>3</v>
      </c>
      <c r="B4">
        <f>IFERROR(VLOOKUP(A4,[1]Hoja1!$B$10:$AC$529,20,FALSE),0)</f>
        <v>1829</v>
      </c>
      <c r="C4">
        <f>IFERROR(VLOOKUP(A4,[2]Hoja1!$B$10:$AC$542,20,FALSE),0)</f>
        <v>1037</v>
      </c>
      <c r="D4">
        <f>IFERROR(VLOOKUP(A4,[3]Hoja1!$B$10:$AC$523,20,FALSE),0)</f>
        <v>960</v>
      </c>
      <c r="E4">
        <f>IFERROR(VLOOKUP(A4,[4]Hoja1!$B$10:$AC$531,20,FALSE),0)</f>
        <v>214</v>
      </c>
      <c r="F4">
        <f>IFERROR(VLOOKUP(A4,[5]Hoja1!$B$10:$AC$500,20,FALSE),0)</f>
        <v>0</v>
      </c>
    </row>
    <row r="5" spans="1:6" x14ac:dyDescent="0.2">
      <c r="A5" t="s">
        <v>4</v>
      </c>
      <c r="B5">
        <f>IFERROR(VLOOKUP(A5,[1]Hoja1!$B$10:$AC$529,20,FALSE),0)</f>
        <v>270</v>
      </c>
      <c r="C5">
        <f>IFERROR(VLOOKUP(A5,[2]Hoja1!$B$10:$AC$542,20,FALSE),0)</f>
        <v>221</v>
      </c>
      <c r="D5">
        <f>IFERROR(VLOOKUP(A5,[3]Hoja1!$B$10:$AC$523,20,FALSE),0)</f>
        <v>129</v>
      </c>
      <c r="E5">
        <f>IFERROR(VLOOKUP(A5,[4]Hoja1!$B$10:$AC$531,20,FALSE),0)</f>
        <v>180</v>
      </c>
      <c r="F5">
        <f>IFERROR(VLOOKUP(A5,[5]Hoja1!$B$10:$AC$500,20,FALSE),0)</f>
        <v>0</v>
      </c>
    </row>
    <row r="6" spans="1:6" x14ac:dyDescent="0.2">
      <c r="A6" t="s">
        <v>5</v>
      </c>
      <c r="B6">
        <f>IFERROR(VLOOKUP(A6,[1]Hoja1!$B$10:$AC$529,20,FALSE),0)</f>
        <v>998</v>
      </c>
      <c r="C6">
        <f>IFERROR(VLOOKUP(A6,[2]Hoja1!$B$10:$AC$542,20,FALSE),0)</f>
        <v>484</v>
      </c>
      <c r="D6">
        <f>IFERROR(VLOOKUP(A6,[3]Hoja1!$B$10:$AC$523,20,FALSE),0)</f>
        <v>997</v>
      </c>
      <c r="E6">
        <f>IFERROR(VLOOKUP(A6,[4]Hoja1!$B$10:$AC$531,20,FALSE),0)</f>
        <v>357</v>
      </c>
      <c r="F6">
        <f>IFERROR(VLOOKUP(A6,[5]Hoja1!$B$10:$AC$500,20,FALSE),0)</f>
        <v>1067</v>
      </c>
    </row>
    <row r="7" spans="1:6" x14ac:dyDescent="0.2">
      <c r="A7" t="s">
        <v>6</v>
      </c>
      <c r="B7">
        <f>IFERROR(VLOOKUP(A7,[1]Hoja1!$B$10:$AC$529,20,FALSE),0)</f>
        <v>119</v>
      </c>
      <c r="C7">
        <f>IFERROR(VLOOKUP(A7,[2]Hoja1!$B$10:$AC$542,20,FALSE),0)</f>
        <v>65</v>
      </c>
      <c r="D7">
        <f>IFERROR(VLOOKUP(A7,[3]Hoja1!$B$10:$AC$523,20,FALSE),0)</f>
        <v>16</v>
      </c>
      <c r="E7">
        <f>IFERROR(VLOOKUP(A7,[4]Hoja1!$B$10:$AC$531,20,FALSE),0)</f>
        <v>47</v>
      </c>
      <c r="F7">
        <f>IFERROR(VLOOKUP(A7,[5]Hoja1!$B$10:$AC$500,20,FALSE),0)</f>
        <v>90</v>
      </c>
    </row>
    <row r="8" spans="1:6" x14ac:dyDescent="0.2">
      <c r="A8" t="s">
        <v>7</v>
      </c>
      <c r="B8">
        <f>IFERROR(VLOOKUP(A8,[1]Hoja1!$B$10:$AC$529,20,FALSE),0)</f>
        <v>326</v>
      </c>
      <c r="C8">
        <f>IFERROR(VLOOKUP(A8,[2]Hoja1!$B$10:$AC$542,20,FALSE),0)</f>
        <v>317</v>
      </c>
      <c r="D8">
        <f>IFERROR(VLOOKUP(A8,[3]Hoja1!$B$10:$AC$523,20,FALSE),0)</f>
        <v>433</v>
      </c>
      <c r="E8">
        <f>IFERROR(VLOOKUP(A8,[4]Hoja1!$B$10:$AC$531,20,FALSE),0)</f>
        <v>1050</v>
      </c>
      <c r="F8">
        <f>IFERROR(VLOOKUP(A8,[5]Hoja1!$B$10:$AC$500,20,FALSE),0)</f>
        <v>301</v>
      </c>
    </row>
    <row r="9" spans="1:6" x14ac:dyDescent="0.2">
      <c r="A9" t="s">
        <v>8</v>
      </c>
      <c r="B9">
        <f>IFERROR(VLOOKUP(A9,[1]Hoja1!$B$10:$AC$529,20,FALSE),0)</f>
        <v>196</v>
      </c>
      <c r="C9">
        <f>IFERROR(VLOOKUP(A9,[2]Hoja1!$B$10:$AC$542,20,FALSE),0)</f>
        <v>244</v>
      </c>
      <c r="D9">
        <f>IFERROR(VLOOKUP(A9,[3]Hoja1!$B$10:$AC$523,20,FALSE),0)</f>
        <v>194</v>
      </c>
      <c r="E9">
        <f>IFERROR(VLOOKUP(A9,[4]Hoja1!$B$10:$AC$531,20,FALSE),0)</f>
        <v>168</v>
      </c>
      <c r="F9">
        <f>IFERROR(VLOOKUP(A9,[5]Hoja1!$B$10:$AC$500,20,FALSE),0)</f>
        <v>169</v>
      </c>
    </row>
    <row r="10" spans="1:6" x14ac:dyDescent="0.2">
      <c r="A10" t="s">
        <v>9</v>
      </c>
      <c r="B10">
        <f>IFERROR(VLOOKUP(A10,[1]Hoja1!$B$10:$AC$529,20,FALSE),0)</f>
        <v>12078</v>
      </c>
      <c r="C10">
        <f>IFERROR(VLOOKUP(A10,[2]Hoja1!$B$10:$AC$542,20,FALSE),0)</f>
        <v>13135</v>
      </c>
      <c r="D10">
        <f>IFERROR(VLOOKUP(A10,[3]Hoja1!$B$10:$AC$523,20,FALSE),0)</f>
        <v>5446</v>
      </c>
      <c r="E10">
        <f>IFERROR(VLOOKUP(A10,[4]Hoja1!$B$10:$AC$531,20,FALSE),0)</f>
        <v>10756</v>
      </c>
      <c r="F10">
        <f>IFERROR(VLOOKUP(A10,[5]Hoja1!$B$10:$AC$500,20,FALSE),0)</f>
        <v>8415</v>
      </c>
    </row>
    <row r="11" spans="1:6" x14ac:dyDescent="0.2">
      <c r="A11" t="s">
        <v>10</v>
      </c>
      <c r="B11">
        <f>IFERROR(VLOOKUP(A11,[1]Hoja1!$B$10:$AC$529,20,FALSE),0)</f>
        <v>1057</v>
      </c>
      <c r="C11">
        <f>IFERROR(VLOOKUP(A11,[2]Hoja1!$B$10:$AC$542,20,FALSE),0)</f>
        <v>1377</v>
      </c>
      <c r="D11">
        <f>IFERROR(VLOOKUP(A11,[3]Hoja1!$B$10:$AC$523,20,FALSE),0)</f>
        <v>1093</v>
      </c>
      <c r="E11">
        <f>IFERROR(VLOOKUP(A11,[4]Hoja1!$B$10:$AC$531,20,FALSE),0)</f>
        <v>518</v>
      </c>
      <c r="F11">
        <f>IFERROR(VLOOKUP(A11,[5]Hoja1!$B$10:$AC$500,20,FALSE),0)</f>
        <v>329</v>
      </c>
    </row>
    <row r="12" spans="1:6" x14ac:dyDescent="0.2">
      <c r="A12" t="s">
        <v>11</v>
      </c>
      <c r="B12">
        <f>IFERROR(VLOOKUP(A12,[1]Hoja1!$B$10:$AC$529,20,FALSE),0)</f>
        <v>673</v>
      </c>
      <c r="C12">
        <f>IFERROR(VLOOKUP(A12,[2]Hoja1!$B$10:$AC$542,20,FALSE),0)</f>
        <v>338</v>
      </c>
      <c r="D12">
        <f>IFERROR(VLOOKUP(A12,[3]Hoja1!$B$10:$AC$523,20,FALSE),0)</f>
        <v>243</v>
      </c>
      <c r="E12">
        <f>IFERROR(VLOOKUP(A12,[4]Hoja1!$B$10:$AC$531,20,FALSE),0)</f>
        <v>475</v>
      </c>
      <c r="F12">
        <f>IFERROR(VLOOKUP(A12,[5]Hoja1!$B$10:$AC$500,20,FALSE),0)</f>
        <v>739</v>
      </c>
    </row>
    <row r="13" spans="1:6" x14ac:dyDescent="0.2">
      <c r="A13" t="s">
        <v>12</v>
      </c>
      <c r="B13">
        <f>IFERROR(VLOOKUP(A13,[1]Hoja1!$B$10:$AC$529,20,FALSE),0)</f>
        <v>14</v>
      </c>
      <c r="C13">
        <f>IFERROR(VLOOKUP(A13,[2]Hoja1!$B$10:$AC$542,20,FALSE),0)</f>
        <v>7</v>
      </c>
      <c r="D13">
        <f>IFERROR(VLOOKUP(A13,[3]Hoja1!$B$10:$AC$523,20,FALSE),0)</f>
        <v>55</v>
      </c>
      <c r="E13">
        <f>IFERROR(VLOOKUP(A13,[4]Hoja1!$B$10:$AC$531,20,FALSE),0)</f>
        <v>31</v>
      </c>
      <c r="F13">
        <f>IFERROR(VLOOKUP(A13,[5]Hoja1!$B$10:$AC$500,20,FALSE),0)</f>
        <v>7</v>
      </c>
    </row>
    <row r="14" spans="1:6" x14ac:dyDescent="0.2">
      <c r="A14" t="s">
        <v>13</v>
      </c>
      <c r="B14">
        <f>IFERROR(VLOOKUP(A14,[1]Hoja1!$B$10:$AC$529,20,FALSE),0)</f>
        <v>312</v>
      </c>
      <c r="C14">
        <f>IFERROR(VLOOKUP(A14,[2]Hoja1!$B$10:$AC$542,20,FALSE),0)</f>
        <v>1353</v>
      </c>
      <c r="D14">
        <f>IFERROR(VLOOKUP(A14,[3]Hoja1!$B$10:$AC$523,20,FALSE),0)</f>
        <v>453</v>
      </c>
      <c r="E14">
        <f>IFERROR(VLOOKUP(A14,[4]Hoja1!$B$10:$AC$531,20,FALSE),0)</f>
        <v>575</v>
      </c>
      <c r="F14">
        <f>IFERROR(VLOOKUP(A14,[5]Hoja1!$B$10:$AC$500,20,FALSE),0)</f>
        <v>384</v>
      </c>
    </row>
    <row r="15" spans="1:6" x14ac:dyDescent="0.2">
      <c r="A15" t="s">
        <v>14</v>
      </c>
      <c r="B15">
        <f>IFERROR(VLOOKUP(A15,[1]Hoja1!$B$10:$AC$529,20,FALSE),0)</f>
        <v>110</v>
      </c>
      <c r="C15">
        <f>IFERROR(VLOOKUP(A15,[2]Hoja1!$B$10:$AC$542,20,FALSE),0)</f>
        <v>70</v>
      </c>
      <c r="D15">
        <f>IFERROR(VLOOKUP(A15,[3]Hoja1!$B$10:$AC$523,20,FALSE),0)</f>
        <v>98</v>
      </c>
      <c r="E15">
        <f>IFERROR(VLOOKUP(A15,[4]Hoja1!$B$10:$AC$531,20,FALSE),0)</f>
        <v>133</v>
      </c>
      <c r="F15">
        <f>IFERROR(VLOOKUP(A15,[5]Hoja1!$B$10:$AC$500,20,FALSE),0)</f>
        <v>238</v>
      </c>
    </row>
    <row r="16" spans="1:6" x14ac:dyDescent="0.2">
      <c r="A16" t="s">
        <v>15</v>
      </c>
      <c r="B16">
        <f>IFERROR(VLOOKUP(A16,[1]Hoja1!$B$10:$AC$529,20,FALSE),0)</f>
        <v>61</v>
      </c>
      <c r="C16">
        <f>IFERROR(VLOOKUP(A16,[2]Hoja1!$B$10:$AC$542,20,FALSE),0)</f>
        <v>27</v>
      </c>
      <c r="D16">
        <f>IFERROR(VLOOKUP(A16,[3]Hoja1!$B$10:$AC$523,20,FALSE),0)</f>
        <v>31</v>
      </c>
      <c r="E16">
        <f>IFERROR(VLOOKUP(A16,[4]Hoja1!$B$10:$AC$531,20,FALSE),0)</f>
        <v>27</v>
      </c>
      <c r="F16">
        <f>IFERROR(VLOOKUP(A16,[5]Hoja1!$B$10:$AC$500,20,FALSE),0)</f>
        <v>0</v>
      </c>
    </row>
    <row r="17" spans="1:6" x14ac:dyDescent="0.2">
      <c r="A17" t="s">
        <v>16</v>
      </c>
      <c r="B17">
        <f>IFERROR(VLOOKUP(A17,[1]Hoja1!$B$10:$AC$529,20,FALSE),0)</f>
        <v>7691</v>
      </c>
      <c r="C17">
        <f>IFERROR(VLOOKUP(A17,[2]Hoja1!$B$10:$AC$542,20,FALSE),0)</f>
        <v>4308</v>
      </c>
      <c r="D17">
        <f>IFERROR(VLOOKUP(A17,[3]Hoja1!$B$10:$AC$523,20,FALSE),0)</f>
        <v>11726</v>
      </c>
      <c r="E17">
        <f>IFERROR(VLOOKUP(A17,[4]Hoja1!$B$10:$AC$531,20,FALSE),0)</f>
        <v>6702</v>
      </c>
      <c r="F17">
        <f>IFERROR(VLOOKUP(A17,[5]Hoja1!$B$10:$AC$500,20,FALSE),0)</f>
        <v>7708</v>
      </c>
    </row>
    <row r="18" spans="1:6" x14ac:dyDescent="0.2">
      <c r="A18" t="s">
        <v>17</v>
      </c>
      <c r="B18">
        <f>IFERROR(VLOOKUP(A18,[1]Hoja1!$B$10:$AC$529,20,FALSE),0)</f>
        <v>146</v>
      </c>
      <c r="C18">
        <f>IFERROR(VLOOKUP(A18,[2]Hoja1!$B$10:$AC$542,20,FALSE),0)</f>
        <v>146</v>
      </c>
      <c r="D18">
        <f>IFERROR(VLOOKUP(A18,[3]Hoja1!$B$10:$AC$523,20,FALSE),0)</f>
        <v>47</v>
      </c>
      <c r="E18">
        <f>IFERROR(VLOOKUP(A18,[4]Hoja1!$B$10:$AC$531,20,FALSE),0)</f>
        <v>106</v>
      </c>
      <c r="F18">
        <f>IFERROR(VLOOKUP(A18,[5]Hoja1!$B$10:$AC$500,20,FALSE),0)</f>
        <v>222</v>
      </c>
    </row>
    <row r="19" spans="1:6" x14ac:dyDescent="0.2">
      <c r="A19" t="s">
        <v>18</v>
      </c>
      <c r="B19">
        <f>IFERROR(VLOOKUP(A19,[1]Hoja1!$B$10:$AC$529,20,FALSE),0)</f>
        <v>380</v>
      </c>
      <c r="C19">
        <f>IFERROR(VLOOKUP(A19,[2]Hoja1!$B$10:$AC$542,20,FALSE),0)</f>
        <v>395</v>
      </c>
      <c r="D19">
        <f>IFERROR(VLOOKUP(A19,[3]Hoja1!$B$10:$AC$523,20,FALSE),0)</f>
        <v>610</v>
      </c>
      <c r="E19">
        <f>IFERROR(VLOOKUP(A19,[4]Hoja1!$B$10:$AC$531,20,FALSE),0)</f>
        <v>900</v>
      </c>
      <c r="F19">
        <f>IFERROR(VLOOKUP(A19,[5]Hoja1!$B$10:$AC$500,20,FALSE),0)</f>
        <v>1113</v>
      </c>
    </row>
    <row r="20" spans="1:6" x14ac:dyDescent="0.2">
      <c r="A20" t="s">
        <v>19</v>
      </c>
      <c r="B20">
        <f>IFERROR(VLOOKUP(A20,[1]Hoja1!$B$10:$AC$529,20,FALSE),0)</f>
        <v>178</v>
      </c>
      <c r="C20">
        <f>IFERROR(VLOOKUP(A20,[2]Hoja1!$B$10:$AC$542,20,FALSE),0)</f>
        <v>96</v>
      </c>
      <c r="D20">
        <f>IFERROR(VLOOKUP(A20,[3]Hoja1!$B$10:$AC$523,20,FALSE),0)</f>
        <v>114</v>
      </c>
      <c r="E20">
        <f>IFERROR(VLOOKUP(A20,[4]Hoja1!$B$10:$AC$531,20,FALSE),0)</f>
        <v>32</v>
      </c>
      <c r="F20">
        <f>IFERROR(VLOOKUP(A20,[5]Hoja1!$B$10:$AC$500,20,FALSE),0)</f>
        <v>29</v>
      </c>
    </row>
    <row r="21" spans="1:6" x14ac:dyDescent="0.2">
      <c r="A21" t="s">
        <v>20</v>
      </c>
      <c r="B21">
        <f>IFERROR(VLOOKUP(A21,[1]Hoja1!$B$10:$AC$529,20,FALSE),0)</f>
        <v>73</v>
      </c>
      <c r="C21">
        <f>IFERROR(VLOOKUP(A21,[2]Hoja1!$B$10:$AC$542,20,FALSE),0)</f>
        <v>118</v>
      </c>
      <c r="D21">
        <f>IFERROR(VLOOKUP(A21,[3]Hoja1!$B$10:$AC$523,20,FALSE),0)</f>
        <v>242</v>
      </c>
      <c r="E21">
        <f>IFERROR(VLOOKUP(A21,[4]Hoja1!$B$10:$AC$531,20,FALSE),0)</f>
        <v>407</v>
      </c>
      <c r="F21">
        <f>IFERROR(VLOOKUP(A21,[5]Hoja1!$B$10:$AC$500,20,FALSE),0)</f>
        <v>34</v>
      </c>
    </row>
    <row r="22" spans="1:6" x14ac:dyDescent="0.2">
      <c r="A22" t="s">
        <v>21</v>
      </c>
      <c r="B22">
        <f>IFERROR(VLOOKUP(A22,[1]Hoja1!$B$10:$AC$529,20,FALSE),0)</f>
        <v>3753</v>
      </c>
      <c r="C22">
        <f>IFERROR(VLOOKUP(A22,[2]Hoja1!$B$10:$AC$542,20,FALSE),0)</f>
        <v>2106</v>
      </c>
      <c r="D22">
        <f>IFERROR(VLOOKUP(A22,[3]Hoja1!$B$10:$AC$523,20,FALSE),0)</f>
        <v>1193</v>
      </c>
      <c r="E22">
        <f>IFERROR(VLOOKUP(A22,[4]Hoja1!$B$10:$AC$531,20,FALSE),0)</f>
        <v>15</v>
      </c>
      <c r="F22">
        <f>IFERROR(VLOOKUP(A22,[5]Hoja1!$B$10:$AC$500,20,FALSE),0)</f>
        <v>2327</v>
      </c>
    </row>
    <row r="23" spans="1:6" x14ac:dyDescent="0.2">
      <c r="A23" t="s">
        <v>22</v>
      </c>
      <c r="B23">
        <f>IFERROR(VLOOKUP(A23,[1]Hoja1!$B$10:$AC$529,20,FALSE),0)</f>
        <v>131</v>
      </c>
      <c r="C23">
        <f>IFERROR(VLOOKUP(A23,[2]Hoja1!$B$10:$AC$542,20,FALSE),0)</f>
        <v>147</v>
      </c>
      <c r="D23">
        <f>IFERROR(VLOOKUP(A23,[3]Hoja1!$B$10:$AC$523,20,FALSE),0)</f>
        <v>82</v>
      </c>
      <c r="E23">
        <f>IFERROR(VLOOKUP(A23,[4]Hoja1!$B$10:$AC$531,20,FALSE),0)</f>
        <v>0</v>
      </c>
      <c r="F23">
        <f>IFERROR(VLOOKUP(A23,[5]Hoja1!$B$10:$AC$500,20,FALSE),0)</f>
        <v>0</v>
      </c>
    </row>
    <row r="24" spans="1:6" x14ac:dyDescent="0.2">
      <c r="A24" t="s">
        <v>23</v>
      </c>
      <c r="B24">
        <f>IFERROR(VLOOKUP(A24,[1]Hoja1!$B$10:$AC$529,20,FALSE),0)</f>
        <v>40</v>
      </c>
      <c r="C24">
        <f>IFERROR(VLOOKUP(A24,[2]Hoja1!$B$10:$AC$542,20,FALSE),0)</f>
        <v>31</v>
      </c>
      <c r="D24">
        <f>IFERROR(VLOOKUP(A24,[3]Hoja1!$B$10:$AC$523,20,FALSE),0)</f>
        <v>22</v>
      </c>
      <c r="E24">
        <f>IFERROR(VLOOKUP(A24,[4]Hoja1!$B$10:$AC$531,20,FALSE),0)</f>
        <v>17</v>
      </c>
      <c r="F24">
        <f>IFERROR(VLOOKUP(A24,[5]Hoja1!$B$10:$AC$500,20,FALSE),0)</f>
        <v>11</v>
      </c>
    </row>
    <row r="25" spans="1:6" x14ac:dyDescent="0.2">
      <c r="A25" t="s">
        <v>24</v>
      </c>
      <c r="B25">
        <f>IFERROR(VLOOKUP(A25,[1]Hoja1!$B$10:$AC$529,20,FALSE),0)</f>
        <v>183</v>
      </c>
      <c r="C25">
        <f>IFERROR(VLOOKUP(A25,[2]Hoja1!$B$10:$AC$542,20,FALSE),0)</f>
        <v>54</v>
      </c>
      <c r="D25">
        <f>IFERROR(VLOOKUP(A25,[3]Hoja1!$B$10:$AC$523,20,FALSE),0)</f>
        <v>37</v>
      </c>
      <c r="E25">
        <f>IFERROR(VLOOKUP(A25,[4]Hoja1!$B$10:$AC$531,20,FALSE),0)</f>
        <v>75</v>
      </c>
      <c r="F25">
        <f>IFERROR(VLOOKUP(A25,[5]Hoja1!$B$10:$AC$500,20,FALSE),0)</f>
        <v>10</v>
      </c>
    </row>
    <row r="26" spans="1:6" x14ac:dyDescent="0.2">
      <c r="A26" t="s">
        <v>25</v>
      </c>
      <c r="B26">
        <f>IFERROR(VLOOKUP(A26,[1]Hoja1!$B$10:$AC$529,20,FALSE),0)</f>
        <v>168</v>
      </c>
      <c r="C26">
        <f>IFERROR(VLOOKUP(A26,[2]Hoja1!$B$10:$AC$542,20,FALSE),0)</f>
        <v>395</v>
      </c>
      <c r="D26">
        <f>IFERROR(VLOOKUP(A26,[3]Hoja1!$B$10:$AC$523,20,FALSE),0)</f>
        <v>0</v>
      </c>
      <c r="E26">
        <f>IFERROR(VLOOKUP(A26,[4]Hoja1!$B$10:$AC$531,20,FALSE),0)</f>
        <v>930</v>
      </c>
      <c r="F26">
        <f>IFERROR(VLOOKUP(A26,[5]Hoja1!$B$10:$AC$500,20,FALSE),0)</f>
        <v>514</v>
      </c>
    </row>
    <row r="27" spans="1:6" x14ac:dyDescent="0.2">
      <c r="A27" t="s">
        <v>26</v>
      </c>
      <c r="B27">
        <f>IFERROR(VLOOKUP(A27,[1]Hoja1!$B$10:$AC$529,20,FALSE),0)</f>
        <v>12</v>
      </c>
      <c r="C27">
        <f>IFERROR(VLOOKUP(A27,[2]Hoja1!$B$10:$AC$542,20,FALSE),0)</f>
        <v>8</v>
      </c>
      <c r="D27">
        <f>IFERROR(VLOOKUP(A27,[3]Hoja1!$B$10:$AC$523,20,FALSE),0)</f>
        <v>32</v>
      </c>
      <c r="E27">
        <f>IFERROR(VLOOKUP(A27,[4]Hoja1!$B$10:$AC$531,20,FALSE),0)</f>
        <v>14</v>
      </c>
      <c r="F27">
        <f>IFERROR(VLOOKUP(A27,[5]Hoja1!$B$10:$AC$500,20,FALSE),0)</f>
        <v>65</v>
      </c>
    </row>
    <row r="28" spans="1:6" x14ac:dyDescent="0.2">
      <c r="A28" t="s">
        <v>27</v>
      </c>
      <c r="B28">
        <f>IFERROR(VLOOKUP(A28,[1]Hoja1!$B$10:$AC$529,20,FALSE),0)</f>
        <v>748</v>
      </c>
      <c r="C28">
        <f>IFERROR(VLOOKUP(A28,[2]Hoja1!$B$10:$AC$542,20,FALSE),0)</f>
        <v>506</v>
      </c>
      <c r="D28">
        <f>IFERROR(VLOOKUP(A28,[3]Hoja1!$B$10:$AC$523,20,FALSE),0)</f>
        <v>680</v>
      </c>
      <c r="E28">
        <f>IFERROR(VLOOKUP(A28,[4]Hoja1!$B$10:$AC$531,20,FALSE),0)</f>
        <v>186</v>
      </c>
      <c r="F28">
        <f>IFERROR(VLOOKUP(A28,[5]Hoja1!$B$10:$AC$500,20,FALSE),0)</f>
        <v>202</v>
      </c>
    </row>
    <row r="29" spans="1:6" x14ac:dyDescent="0.2">
      <c r="A29" t="s">
        <v>28</v>
      </c>
      <c r="B29">
        <f>IFERROR(VLOOKUP(A29,[1]Hoja1!$B$10:$AC$529,20,FALSE),0)</f>
        <v>120</v>
      </c>
      <c r="C29">
        <f>IFERROR(VLOOKUP(A29,[2]Hoja1!$B$10:$AC$542,20,FALSE),0)</f>
        <v>450</v>
      </c>
      <c r="D29">
        <f>IFERROR(VLOOKUP(A29,[3]Hoja1!$B$10:$AC$523,20,FALSE),0)</f>
        <v>191</v>
      </c>
      <c r="E29">
        <f>IFERROR(VLOOKUP(A29,[4]Hoja1!$B$10:$AC$531,20,FALSE),0)</f>
        <v>368</v>
      </c>
      <c r="F29">
        <f>IFERROR(VLOOKUP(A29,[5]Hoja1!$B$10:$AC$500,20,FALSE),0)</f>
        <v>720</v>
      </c>
    </row>
    <row r="30" spans="1:6" x14ac:dyDescent="0.2">
      <c r="A30" t="s">
        <v>29</v>
      </c>
      <c r="B30">
        <f>IFERROR(VLOOKUP(A30,[1]Hoja1!$B$10:$AC$529,20,FALSE),0)</f>
        <v>1736</v>
      </c>
      <c r="C30">
        <f>IFERROR(VLOOKUP(A30,[2]Hoja1!$B$10:$AC$542,20,FALSE),0)</f>
        <v>1754</v>
      </c>
      <c r="D30">
        <f>IFERROR(VLOOKUP(A30,[3]Hoja1!$B$10:$AC$523,20,FALSE),0)</f>
        <v>1600</v>
      </c>
      <c r="E30">
        <f>IFERROR(VLOOKUP(A30,[4]Hoja1!$B$10:$AC$531,20,FALSE),0)</f>
        <v>387</v>
      </c>
      <c r="F30">
        <f>IFERROR(VLOOKUP(A30,[5]Hoja1!$B$10:$AC$500,20,FALSE),0)</f>
        <v>0</v>
      </c>
    </row>
    <row r="31" spans="1:6" x14ac:dyDescent="0.2">
      <c r="A31" t="s">
        <v>30</v>
      </c>
      <c r="B31">
        <f>IFERROR(VLOOKUP(A31,[1]Hoja1!$B$10:$AC$529,20,FALSE),0)</f>
        <v>7625</v>
      </c>
      <c r="C31">
        <f>IFERROR(VLOOKUP(A31,[2]Hoja1!$B$10:$AC$542,20,FALSE),0)</f>
        <v>1907</v>
      </c>
      <c r="D31">
        <f>IFERROR(VLOOKUP(A31,[3]Hoja1!$B$10:$AC$523,20,FALSE),0)</f>
        <v>3005</v>
      </c>
      <c r="E31">
        <f>IFERROR(VLOOKUP(A31,[4]Hoja1!$B$10:$AC$531,20,FALSE),0)</f>
        <v>4217</v>
      </c>
      <c r="F31">
        <f>IFERROR(VLOOKUP(A31,[5]Hoja1!$B$10:$AC$500,20,FALSE),0)</f>
        <v>7508</v>
      </c>
    </row>
    <row r="32" spans="1:6" x14ac:dyDescent="0.2">
      <c r="A32" t="s">
        <v>31</v>
      </c>
      <c r="B32">
        <f>IFERROR(VLOOKUP(A32,[1]Hoja1!$B$10:$AC$529,20,FALSE),0)</f>
        <v>152</v>
      </c>
      <c r="C32">
        <f>IFERROR(VLOOKUP(A32,[2]Hoja1!$B$10:$AC$542,20,FALSE),0)</f>
        <v>87</v>
      </c>
      <c r="D32">
        <f>IFERROR(VLOOKUP(A32,[3]Hoja1!$B$10:$AC$523,20,FALSE),0)</f>
        <v>62</v>
      </c>
      <c r="E32">
        <f>IFERROR(VLOOKUP(A32,[4]Hoja1!$B$10:$AC$531,20,FALSE),0)</f>
        <v>56</v>
      </c>
      <c r="F32">
        <f>IFERROR(VLOOKUP(A32,[5]Hoja1!$B$10:$AC$500,20,FALSE),0)</f>
        <v>70</v>
      </c>
    </row>
    <row r="33" spans="1:6" x14ac:dyDescent="0.2">
      <c r="A33" t="s">
        <v>32</v>
      </c>
      <c r="B33">
        <f>IFERROR(VLOOKUP(A33,[1]Hoja1!$B$10:$AC$529,20,FALSE),0)</f>
        <v>34</v>
      </c>
      <c r="C33">
        <f>IFERROR(VLOOKUP(A33,[2]Hoja1!$B$10:$AC$542,20,FALSE),0)</f>
        <v>35</v>
      </c>
      <c r="D33">
        <f>IFERROR(VLOOKUP(A33,[3]Hoja1!$B$10:$AC$523,20,FALSE),0)</f>
        <v>28</v>
      </c>
      <c r="E33">
        <f>IFERROR(VLOOKUP(A33,[4]Hoja1!$B$10:$AC$531,20,FALSE),0)</f>
        <v>22</v>
      </c>
      <c r="F33">
        <f>IFERROR(VLOOKUP(A33,[5]Hoja1!$B$10:$AC$500,20,FALSE),0)</f>
        <v>50</v>
      </c>
    </row>
    <row r="34" spans="1:6" x14ac:dyDescent="0.2">
      <c r="A34" t="s">
        <v>33</v>
      </c>
      <c r="B34">
        <f>IFERROR(VLOOKUP(A34,[1]Hoja1!$B$10:$AC$529,20,FALSE),0)</f>
        <v>25895</v>
      </c>
      <c r="C34">
        <f>IFERROR(VLOOKUP(A34,[2]Hoja1!$B$10:$AC$542,20,FALSE),0)</f>
        <v>21952</v>
      </c>
      <c r="D34">
        <f>IFERROR(VLOOKUP(A34,[3]Hoja1!$B$10:$AC$523,20,FALSE),0)</f>
        <v>18420</v>
      </c>
      <c r="E34">
        <f>IFERROR(VLOOKUP(A34,[4]Hoja1!$B$10:$AC$531,20,FALSE),0)</f>
        <v>13745</v>
      </c>
      <c r="F34">
        <f>IFERROR(VLOOKUP(A34,[5]Hoja1!$B$10:$AC$500,20,FALSE),0)</f>
        <v>28073</v>
      </c>
    </row>
    <row r="35" spans="1:6" x14ac:dyDescent="0.2">
      <c r="A35" t="s">
        <v>34</v>
      </c>
      <c r="B35">
        <f>IFERROR(VLOOKUP(A35,[1]Hoja1!$B$10:$AC$529,20,FALSE),0)</f>
        <v>17</v>
      </c>
      <c r="C35">
        <f>IFERROR(VLOOKUP(A35,[2]Hoja1!$B$10:$AC$542,20,FALSE),0)</f>
        <v>17</v>
      </c>
      <c r="D35">
        <f>IFERROR(VLOOKUP(A35,[3]Hoja1!$B$10:$AC$523,20,FALSE),0)</f>
        <v>12</v>
      </c>
      <c r="E35">
        <f>IFERROR(VLOOKUP(A35,[4]Hoja1!$B$10:$AC$531,20,FALSE),0)</f>
        <v>16</v>
      </c>
      <c r="F35">
        <f>IFERROR(VLOOKUP(A35,[5]Hoja1!$B$10:$AC$500,20,FALSE),0)</f>
        <v>26</v>
      </c>
    </row>
    <row r="36" spans="1:6" x14ac:dyDescent="0.2">
      <c r="A36" t="s">
        <v>35</v>
      </c>
      <c r="B36">
        <f>IFERROR(VLOOKUP(A36,[1]Hoja1!$B$10:$AC$529,20,FALSE),0)</f>
        <v>698</v>
      </c>
      <c r="C36">
        <f>IFERROR(VLOOKUP(A36,[2]Hoja1!$B$10:$AC$542,20,FALSE),0)</f>
        <v>710</v>
      </c>
      <c r="D36">
        <f>IFERROR(VLOOKUP(A36,[3]Hoja1!$B$10:$AC$523,20,FALSE),0)</f>
        <v>0</v>
      </c>
      <c r="E36">
        <f>IFERROR(VLOOKUP(A36,[4]Hoja1!$B$10:$AC$531,20,FALSE),0)</f>
        <v>1</v>
      </c>
      <c r="F36">
        <f>IFERROR(VLOOKUP(A36,[5]Hoja1!$B$10:$AC$500,20,FALSE),0)</f>
        <v>1</v>
      </c>
    </row>
    <row r="37" spans="1:6" x14ac:dyDescent="0.2">
      <c r="A37" t="s">
        <v>36</v>
      </c>
      <c r="B37">
        <f>IFERROR(VLOOKUP(A37,[1]Hoja1!$B$10:$AC$529,20,FALSE),0)</f>
        <v>2975</v>
      </c>
      <c r="C37">
        <f>IFERROR(VLOOKUP(A37,[2]Hoja1!$B$10:$AC$542,20,FALSE),0)</f>
        <v>1569</v>
      </c>
      <c r="D37">
        <f>IFERROR(VLOOKUP(A37,[3]Hoja1!$B$10:$AC$523,20,FALSE),0)</f>
        <v>90</v>
      </c>
      <c r="E37">
        <f>IFERROR(VLOOKUP(A37,[4]Hoja1!$B$10:$AC$531,20,FALSE),0)</f>
        <v>195</v>
      </c>
      <c r="F37">
        <f>IFERROR(VLOOKUP(A37,[5]Hoja1!$B$10:$AC$500,20,FALSE),0)</f>
        <v>247</v>
      </c>
    </row>
    <row r="38" spans="1:6" x14ac:dyDescent="0.2">
      <c r="A38" t="s">
        <v>37</v>
      </c>
      <c r="B38">
        <f>IFERROR(VLOOKUP(A38,[1]Hoja1!$B$10:$AC$529,20,FALSE),0)</f>
        <v>16</v>
      </c>
      <c r="C38">
        <f>IFERROR(VLOOKUP(A38,[2]Hoja1!$B$10:$AC$542,20,FALSE),0)</f>
        <v>10</v>
      </c>
      <c r="D38">
        <f>IFERROR(VLOOKUP(A38,[3]Hoja1!$B$10:$AC$523,20,FALSE),0)</f>
        <v>8</v>
      </c>
      <c r="E38">
        <f>IFERROR(VLOOKUP(A38,[4]Hoja1!$B$10:$AC$531,20,FALSE),0)</f>
        <v>10</v>
      </c>
      <c r="F38">
        <f>IFERROR(VLOOKUP(A38,[5]Hoja1!$B$10:$AC$500,20,FALSE),0)</f>
        <v>0</v>
      </c>
    </row>
    <row r="39" spans="1:6" x14ac:dyDescent="0.2">
      <c r="A39" t="s">
        <v>38</v>
      </c>
      <c r="B39">
        <f>IFERROR(VLOOKUP(A39,[1]Hoja1!$B$10:$AC$529,20,FALSE),0)</f>
        <v>560</v>
      </c>
      <c r="C39">
        <f>IFERROR(VLOOKUP(A39,[2]Hoja1!$B$10:$AC$542,20,FALSE),0)</f>
        <v>282</v>
      </c>
      <c r="D39">
        <f>IFERROR(VLOOKUP(A39,[3]Hoja1!$B$10:$AC$523,20,FALSE),0)</f>
        <v>550</v>
      </c>
      <c r="E39">
        <f>IFERROR(VLOOKUP(A39,[4]Hoja1!$B$10:$AC$531,20,FALSE),0)</f>
        <v>875</v>
      </c>
      <c r="F39">
        <f>IFERROR(VLOOKUP(A39,[5]Hoja1!$B$10:$AC$500,20,FALSE),0)</f>
        <v>0</v>
      </c>
    </row>
    <row r="40" spans="1:6" x14ac:dyDescent="0.2">
      <c r="A40" t="s">
        <v>39</v>
      </c>
      <c r="B40">
        <f>IFERROR(VLOOKUP(A40,[1]Hoja1!$B$10:$AC$529,20,FALSE),0)</f>
        <v>9271</v>
      </c>
      <c r="C40">
        <f>IFERROR(VLOOKUP(A40,[2]Hoja1!$B$10:$AC$542,20,FALSE),0)</f>
        <v>5911</v>
      </c>
      <c r="D40">
        <f>IFERROR(VLOOKUP(A40,[3]Hoja1!$B$10:$AC$523,20,FALSE),0)</f>
        <v>2512</v>
      </c>
      <c r="E40">
        <f>IFERROR(VLOOKUP(A40,[4]Hoja1!$B$10:$AC$531,20,FALSE),0)</f>
        <v>6300</v>
      </c>
      <c r="F40">
        <f>IFERROR(VLOOKUP(A40,[5]Hoja1!$B$10:$AC$500,20,FALSE),0)</f>
        <v>2412</v>
      </c>
    </row>
    <row r="41" spans="1:6" x14ac:dyDescent="0.2">
      <c r="A41" t="s">
        <v>40</v>
      </c>
      <c r="B41">
        <f>IFERROR(VLOOKUP(A41,[1]Hoja1!$B$10:$AC$529,20,FALSE),0)</f>
        <v>1316</v>
      </c>
      <c r="C41">
        <f>IFERROR(VLOOKUP(A41,[2]Hoja1!$B$10:$AC$542,20,FALSE),0)</f>
        <v>1274</v>
      </c>
      <c r="D41">
        <f>IFERROR(VLOOKUP(A41,[3]Hoja1!$B$10:$AC$523,20,FALSE),0)</f>
        <v>928</v>
      </c>
      <c r="E41">
        <f>IFERROR(VLOOKUP(A41,[4]Hoja1!$B$10:$AC$531,20,FALSE),0)</f>
        <v>702</v>
      </c>
      <c r="F41">
        <f>IFERROR(VLOOKUP(A41,[5]Hoja1!$B$10:$AC$500,20,FALSE),0)</f>
        <v>1025</v>
      </c>
    </row>
    <row r="42" spans="1:6" x14ac:dyDescent="0.2">
      <c r="A42" t="s">
        <v>41</v>
      </c>
      <c r="B42">
        <f>IFERROR(VLOOKUP(A42,[1]Hoja1!$B$10:$AC$529,20,FALSE),0)</f>
        <v>15988</v>
      </c>
      <c r="C42">
        <f>IFERROR(VLOOKUP(A42,[2]Hoja1!$B$10:$AC$542,20,FALSE),0)</f>
        <v>17243</v>
      </c>
      <c r="D42">
        <f>IFERROR(VLOOKUP(A42,[3]Hoja1!$B$10:$AC$523,20,FALSE),0)</f>
        <v>3197</v>
      </c>
      <c r="E42">
        <f>IFERROR(VLOOKUP(A42,[4]Hoja1!$B$10:$AC$531,20,FALSE),0)</f>
        <v>5132</v>
      </c>
      <c r="F42">
        <f>IFERROR(VLOOKUP(A42,[5]Hoja1!$B$10:$AC$500,20,FALSE),0)</f>
        <v>0</v>
      </c>
    </row>
    <row r="43" spans="1:6" x14ac:dyDescent="0.2">
      <c r="A43" t="s">
        <v>42</v>
      </c>
      <c r="B43">
        <f>IFERROR(VLOOKUP(A43,[1]Hoja1!$B$10:$AC$529,20,FALSE),0)</f>
        <v>62</v>
      </c>
      <c r="C43">
        <f>IFERROR(VLOOKUP(A43,[2]Hoja1!$B$10:$AC$542,20,FALSE),0)</f>
        <v>1</v>
      </c>
      <c r="D43">
        <f>IFERROR(VLOOKUP(A43,[3]Hoja1!$B$10:$AC$523,20,FALSE),0)</f>
        <v>48</v>
      </c>
      <c r="E43">
        <f>IFERROR(VLOOKUP(A43,[4]Hoja1!$B$10:$AC$531,20,FALSE),0)</f>
        <v>38</v>
      </c>
      <c r="F43">
        <f>IFERROR(VLOOKUP(A43,[5]Hoja1!$B$10:$AC$500,20,FALSE),0)</f>
        <v>0</v>
      </c>
    </row>
    <row r="44" spans="1:6" x14ac:dyDescent="0.2">
      <c r="A44" t="s">
        <v>43</v>
      </c>
      <c r="B44">
        <f>IFERROR(VLOOKUP(A44,[1]Hoja1!$B$10:$AC$529,20,FALSE),0)</f>
        <v>140</v>
      </c>
      <c r="C44">
        <f>IFERROR(VLOOKUP(A44,[2]Hoja1!$B$10:$AC$542,20,FALSE),0)</f>
        <v>0</v>
      </c>
      <c r="D44">
        <f>IFERROR(VLOOKUP(A44,[3]Hoja1!$B$10:$AC$523,20,FALSE),0)</f>
        <v>0</v>
      </c>
      <c r="E44">
        <f>IFERROR(VLOOKUP(A44,[4]Hoja1!$B$10:$AC$531,20,FALSE),0)</f>
        <v>0</v>
      </c>
      <c r="F44">
        <f>IFERROR(VLOOKUP(A44,[5]Hoja1!$B$10:$AC$500,20,FALSE),0)</f>
        <v>0</v>
      </c>
    </row>
    <row r="45" spans="1:6" x14ac:dyDescent="0.2">
      <c r="A45" t="s">
        <v>44</v>
      </c>
      <c r="B45">
        <f>IFERROR(VLOOKUP(A45,[1]Hoja1!$B$10:$AC$529,20,FALSE),0)</f>
        <v>292</v>
      </c>
      <c r="C45">
        <f>IFERROR(VLOOKUP(A45,[2]Hoja1!$B$10:$AC$542,20,FALSE),0)</f>
        <v>229</v>
      </c>
      <c r="D45">
        <f>IFERROR(VLOOKUP(A45,[3]Hoja1!$B$10:$AC$523,20,FALSE),0)</f>
        <v>12</v>
      </c>
      <c r="E45">
        <f>IFERROR(VLOOKUP(A45,[4]Hoja1!$B$10:$AC$531,20,FALSE),0)</f>
        <v>200</v>
      </c>
      <c r="F45">
        <f>IFERROR(VLOOKUP(A45,[5]Hoja1!$B$10:$AC$500,20,FALSE),0)</f>
        <v>198</v>
      </c>
    </row>
    <row r="46" spans="1:6" x14ac:dyDescent="0.2">
      <c r="A46" t="s">
        <v>45</v>
      </c>
      <c r="B46">
        <f>IFERROR(VLOOKUP(A46,[1]Hoja1!$B$10:$AC$529,20,FALSE),0)</f>
        <v>262</v>
      </c>
      <c r="C46">
        <f>IFERROR(VLOOKUP(A46,[2]Hoja1!$B$10:$AC$542,20,FALSE),0)</f>
        <v>589</v>
      </c>
      <c r="D46">
        <f>IFERROR(VLOOKUP(A46,[3]Hoja1!$B$10:$AC$523,20,FALSE),0)</f>
        <v>0</v>
      </c>
      <c r="E46">
        <f>IFERROR(VLOOKUP(A46,[4]Hoja1!$B$10:$AC$531,20,FALSE),0)</f>
        <v>0</v>
      </c>
      <c r="F46">
        <f>IFERROR(VLOOKUP(A46,[5]Hoja1!$B$10:$AC$500,20,FALSE),0)</f>
        <v>0</v>
      </c>
    </row>
    <row r="47" spans="1:6" x14ac:dyDescent="0.2">
      <c r="A47" t="s">
        <v>46</v>
      </c>
      <c r="B47">
        <f>IFERROR(VLOOKUP(A47,[1]Hoja1!$B$10:$AC$529,20,FALSE),0)</f>
        <v>3769</v>
      </c>
      <c r="C47">
        <f>IFERROR(VLOOKUP(A47,[2]Hoja1!$B$10:$AC$542,20,FALSE),0)</f>
        <v>3197</v>
      </c>
      <c r="D47">
        <f>IFERROR(VLOOKUP(A47,[3]Hoja1!$B$10:$AC$523,20,FALSE),0)</f>
        <v>3700</v>
      </c>
      <c r="E47">
        <f>IFERROR(VLOOKUP(A47,[4]Hoja1!$B$10:$AC$531,20,FALSE),0)</f>
        <v>2222</v>
      </c>
      <c r="F47">
        <f>IFERROR(VLOOKUP(A47,[5]Hoja1!$B$10:$AC$500,20,FALSE),0)</f>
        <v>1640</v>
      </c>
    </row>
    <row r="48" spans="1:6" x14ac:dyDescent="0.2">
      <c r="A48" t="s">
        <v>47</v>
      </c>
      <c r="B48">
        <f>IFERROR(VLOOKUP(A48,[1]Hoja1!$B$10:$AC$529,20,FALSE),0)</f>
        <v>2350</v>
      </c>
      <c r="C48">
        <f>IFERROR(VLOOKUP(A48,[2]Hoja1!$B$10:$AC$542,20,FALSE),0)</f>
        <v>0</v>
      </c>
      <c r="D48">
        <f>IFERROR(VLOOKUP(A48,[3]Hoja1!$B$10:$AC$523,20,FALSE),0)</f>
        <v>379</v>
      </c>
      <c r="E48">
        <f>IFERROR(VLOOKUP(A48,[4]Hoja1!$B$10:$AC$531,20,FALSE),0)</f>
        <v>0</v>
      </c>
      <c r="F48">
        <f>IFERROR(VLOOKUP(A48,[5]Hoja1!$B$10:$AC$500,20,FALSE),0)</f>
        <v>1220</v>
      </c>
    </row>
    <row r="49" spans="1:6" x14ac:dyDescent="0.2">
      <c r="A49" t="s">
        <v>48</v>
      </c>
      <c r="B49">
        <f>IFERROR(VLOOKUP(A49,[1]Hoja1!$B$10:$AC$529,20,FALSE),0)</f>
        <v>7715</v>
      </c>
      <c r="C49">
        <f>IFERROR(VLOOKUP(A49,[2]Hoja1!$B$10:$AC$542,20,FALSE),0)</f>
        <v>5241</v>
      </c>
      <c r="D49">
        <f>IFERROR(VLOOKUP(A49,[3]Hoja1!$B$10:$AC$523,20,FALSE),0)</f>
        <v>6310</v>
      </c>
      <c r="E49">
        <f>IFERROR(VLOOKUP(A49,[4]Hoja1!$B$10:$AC$531,20,FALSE),0)</f>
        <v>0</v>
      </c>
      <c r="F49">
        <f>IFERROR(VLOOKUP(A49,[5]Hoja1!$B$10:$AC$500,20,FALSE),0)</f>
        <v>7325</v>
      </c>
    </row>
    <row r="50" spans="1:6" x14ac:dyDescent="0.2">
      <c r="A50" t="s">
        <v>49</v>
      </c>
      <c r="B50">
        <f>IFERROR(VLOOKUP(A50,[1]Hoja1!$B$10:$AC$529,20,FALSE),0)</f>
        <v>3</v>
      </c>
      <c r="C50">
        <f>IFERROR(VLOOKUP(A50,[2]Hoja1!$B$10:$AC$542,20,FALSE),0)</f>
        <v>0</v>
      </c>
      <c r="D50">
        <f>IFERROR(VLOOKUP(A50,[3]Hoja1!$B$10:$AC$523,20,FALSE),0)</f>
        <v>1</v>
      </c>
      <c r="E50">
        <f>IFERROR(VLOOKUP(A50,[4]Hoja1!$B$10:$AC$531,20,FALSE),0)</f>
        <v>0</v>
      </c>
      <c r="F50">
        <f>IFERROR(VLOOKUP(A50,[5]Hoja1!$B$10:$AC$500,20,FALSE),0)</f>
        <v>0</v>
      </c>
    </row>
    <row r="51" spans="1:6" x14ac:dyDescent="0.2">
      <c r="A51" t="s">
        <v>50</v>
      </c>
      <c r="B51">
        <f>IFERROR(VLOOKUP(A51,[1]Hoja1!$B$10:$AC$529,20,FALSE),0)</f>
        <v>117</v>
      </c>
      <c r="C51">
        <f>IFERROR(VLOOKUP(A51,[2]Hoja1!$B$10:$AC$542,20,FALSE),0)</f>
        <v>62</v>
      </c>
      <c r="D51">
        <f>IFERROR(VLOOKUP(A51,[3]Hoja1!$B$10:$AC$523,20,FALSE),0)</f>
        <v>25</v>
      </c>
      <c r="E51">
        <f>IFERROR(VLOOKUP(A51,[4]Hoja1!$B$10:$AC$531,20,FALSE),0)</f>
        <v>20</v>
      </c>
      <c r="F51">
        <f>IFERROR(VLOOKUP(A51,[5]Hoja1!$B$10:$AC$500,20,FALSE),0)</f>
        <v>37</v>
      </c>
    </row>
    <row r="52" spans="1:6" x14ac:dyDescent="0.2">
      <c r="A52" t="s">
        <v>51</v>
      </c>
      <c r="B52">
        <f>IFERROR(VLOOKUP(A52,[1]Hoja1!$B$10:$AC$529,20,FALSE),0)</f>
        <v>5933</v>
      </c>
      <c r="C52">
        <f>IFERROR(VLOOKUP(A52,[2]Hoja1!$B$10:$AC$542,20,FALSE),0)</f>
        <v>4711</v>
      </c>
      <c r="D52">
        <f>IFERROR(VLOOKUP(A52,[3]Hoja1!$B$10:$AC$523,20,FALSE),0)</f>
        <v>1330</v>
      </c>
      <c r="E52">
        <f>IFERROR(VLOOKUP(A52,[4]Hoja1!$B$10:$AC$531,20,FALSE),0)</f>
        <v>2447</v>
      </c>
      <c r="F52">
        <f>IFERROR(VLOOKUP(A52,[5]Hoja1!$B$10:$AC$500,20,FALSE),0)</f>
        <v>435</v>
      </c>
    </row>
    <row r="53" spans="1:6" x14ac:dyDescent="0.2">
      <c r="A53" t="s">
        <v>52</v>
      </c>
      <c r="B53">
        <f>IFERROR(VLOOKUP(A53,[1]Hoja1!$B$10:$AC$529,20,FALSE),0)</f>
        <v>17212</v>
      </c>
      <c r="C53">
        <f>IFERROR(VLOOKUP(A53,[2]Hoja1!$B$10:$AC$542,20,FALSE),0)</f>
        <v>9108</v>
      </c>
      <c r="D53">
        <f>IFERROR(VLOOKUP(A53,[3]Hoja1!$B$10:$AC$523,20,FALSE),0)</f>
        <v>5044</v>
      </c>
      <c r="E53">
        <f>IFERROR(VLOOKUP(A53,[4]Hoja1!$B$10:$AC$531,20,FALSE),0)</f>
        <v>9780</v>
      </c>
      <c r="F53">
        <f>IFERROR(VLOOKUP(A53,[5]Hoja1!$B$10:$AC$500,20,FALSE),0)</f>
        <v>10933</v>
      </c>
    </row>
    <row r="54" spans="1:6" x14ac:dyDescent="0.2">
      <c r="A54" t="s">
        <v>53</v>
      </c>
      <c r="B54">
        <f>IFERROR(VLOOKUP(A54,[1]Hoja1!$B$10:$AC$529,20,FALSE),0)</f>
        <v>222</v>
      </c>
      <c r="C54">
        <f>IFERROR(VLOOKUP(A54,[2]Hoja1!$B$10:$AC$542,20,FALSE),0)</f>
        <v>164</v>
      </c>
      <c r="D54">
        <f>IFERROR(VLOOKUP(A54,[3]Hoja1!$B$10:$AC$523,20,FALSE),0)</f>
        <v>72</v>
      </c>
      <c r="E54">
        <f>IFERROR(VLOOKUP(A54,[4]Hoja1!$B$10:$AC$531,20,FALSE),0)</f>
        <v>3</v>
      </c>
      <c r="F54">
        <f>IFERROR(VLOOKUP(A54,[5]Hoja1!$B$10:$AC$500,20,FALSE),0)</f>
        <v>4</v>
      </c>
    </row>
    <row r="55" spans="1:6" x14ac:dyDescent="0.2">
      <c r="A55" t="s">
        <v>54</v>
      </c>
      <c r="B55">
        <f>IFERROR(VLOOKUP(A55,[1]Hoja1!$B$10:$AC$529,20,FALSE),0)</f>
        <v>385</v>
      </c>
      <c r="C55">
        <f>IFERROR(VLOOKUP(A55,[2]Hoja1!$B$10:$AC$542,20,FALSE),0)</f>
        <v>136</v>
      </c>
      <c r="D55">
        <f>IFERROR(VLOOKUP(A55,[3]Hoja1!$B$10:$AC$523,20,FALSE),0)</f>
        <v>0</v>
      </c>
      <c r="E55">
        <f>IFERROR(VLOOKUP(A55,[4]Hoja1!$B$10:$AC$531,20,FALSE),0)</f>
        <v>61</v>
      </c>
      <c r="F55">
        <f>IFERROR(VLOOKUP(A55,[5]Hoja1!$B$10:$AC$500,20,FALSE),0)</f>
        <v>0</v>
      </c>
    </row>
    <row r="56" spans="1:6" x14ac:dyDescent="0.2">
      <c r="A56" t="s">
        <v>55</v>
      </c>
      <c r="B56">
        <f>IFERROR(VLOOKUP(A56,[1]Hoja1!$B$10:$AC$529,20,FALSE),0)</f>
        <v>11</v>
      </c>
      <c r="C56">
        <f>IFERROR(VLOOKUP(A56,[2]Hoja1!$B$10:$AC$542,20,FALSE),0)</f>
        <v>11</v>
      </c>
      <c r="D56">
        <f>IFERROR(VLOOKUP(A56,[3]Hoja1!$B$10:$AC$523,20,FALSE),0)</f>
        <v>16</v>
      </c>
      <c r="E56">
        <f>IFERROR(VLOOKUP(A56,[4]Hoja1!$B$10:$AC$531,20,FALSE),0)</f>
        <v>11</v>
      </c>
      <c r="F56">
        <f>IFERROR(VLOOKUP(A56,[5]Hoja1!$B$10:$AC$500,20,FALSE),0)</f>
        <v>45</v>
      </c>
    </row>
    <row r="57" spans="1:6" x14ac:dyDescent="0.2">
      <c r="A57" t="s">
        <v>56</v>
      </c>
      <c r="B57">
        <f>IFERROR(VLOOKUP(A57,[1]Hoja1!$B$10:$AC$529,20,FALSE),0)</f>
        <v>1234</v>
      </c>
      <c r="C57">
        <f>IFERROR(VLOOKUP(A57,[2]Hoja1!$B$10:$AC$542,20,FALSE),0)</f>
        <v>1225</v>
      </c>
      <c r="D57">
        <f>IFERROR(VLOOKUP(A57,[3]Hoja1!$B$10:$AC$523,20,FALSE),0)</f>
        <v>459</v>
      </c>
      <c r="E57">
        <f>IFERROR(VLOOKUP(A57,[4]Hoja1!$B$10:$AC$531,20,FALSE),0)</f>
        <v>174</v>
      </c>
      <c r="F57">
        <f>IFERROR(VLOOKUP(A57,[5]Hoja1!$B$10:$AC$500,20,FALSE),0)</f>
        <v>3989</v>
      </c>
    </row>
    <row r="58" spans="1:6" x14ac:dyDescent="0.2">
      <c r="A58" t="s">
        <v>57</v>
      </c>
      <c r="B58">
        <f>IFERROR(VLOOKUP(A58,[1]Hoja1!$B$10:$AC$529,20,FALSE),0)</f>
        <v>3777</v>
      </c>
      <c r="C58">
        <f>IFERROR(VLOOKUP(A58,[2]Hoja1!$B$10:$AC$542,20,FALSE),0)</f>
        <v>2881</v>
      </c>
      <c r="D58">
        <f>IFERROR(VLOOKUP(A58,[3]Hoja1!$B$10:$AC$523,20,FALSE),0)</f>
        <v>1734</v>
      </c>
      <c r="E58">
        <f>IFERROR(VLOOKUP(A58,[4]Hoja1!$B$10:$AC$531,20,FALSE),0)</f>
        <v>1013</v>
      </c>
      <c r="F58">
        <f>IFERROR(VLOOKUP(A58,[5]Hoja1!$B$10:$AC$500,20,FALSE),0)</f>
        <v>5760</v>
      </c>
    </row>
    <row r="59" spans="1:6" x14ac:dyDescent="0.2">
      <c r="A59" t="s">
        <v>58</v>
      </c>
      <c r="B59">
        <f>IFERROR(VLOOKUP(A59,[1]Hoja1!$B$10:$AC$529,20,FALSE),0)</f>
        <v>433</v>
      </c>
      <c r="C59">
        <f>IFERROR(VLOOKUP(A59,[2]Hoja1!$B$10:$AC$542,20,FALSE),0)</f>
        <v>211</v>
      </c>
      <c r="D59">
        <f>IFERROR(VLOOKUP(A59,[3]Hoja1!$B$10:$AC$523,20,FALSE),0)</f>
        <v>26</v>
      </c>
      <c r="E59">
        <f>IFERROR(VLOOKUP(A59,[4]Hoja1!$B$10:$AC$531,20,FALSE),0)</f>
        <v>94</v>
      </c>
      <c r="F59">
        <f>IFERROR(VLOOKUP(A59,[5]Hoja1!$B$10:$AC$500,20,FALSE),0)</f>
        <v>113</v>
      </c>
    </row>
    <row r="60" spans="1:6" x14ac:dyDescent="0.2">
      <c r="A60" t="s">
        <v>59</v>
      </c>
      <c r="B60">
        <f>IFERROR(VLOOKUP(A60,[1]Hoja1!$B$10:$AC$529,20,FALSE),0)</f>
        <v>1053</v>
      </c>
      <c r="C60">
        <f>IFERROR(VLOOKUP(A60,[2]Hoja1!$B$10:$AC$542,20,FALSE),0)</f>
        <v>473</v>
      </c>
      <c r="D60">
        <f>IFERROR(VLOOKUP(A60,[3]Hoja1!$B$10:$AC$523,20,FALSE),0)</f>
        <v>1990</v>
      </c>
      <c r="E60">
        <f>IFERROR(VLOOKUP(A60,[4]Hoja1!$B$10:$AC$531,20,FALSE),0)</f>
        <v>2057</v>
      </c>
      <c r="F60">
        <f>IFERROR(VLOOKUP(A60,[5]Hoja1!$B$10:$AC$500,20,FALSE),0)</f>
        <v>2938</v>
      </c>
    </row>
    <row r="61" spans="1:6" x14ac:dyDescent="0.2">
      <c r="A61" t="s">
        <v>60</v>
      </c>
      <c r="B61">
        <f>IFERROR(VLOOKUP(A61,[1]Hoja1!$B$10:$AC$529,20,FALSE),0)</f>
        <v>15</v>
      </c>
      <c r="C61">
        <f>IFERROR(VLOOKUP(A61,[2]Hoja1!$B$10:$AC$542,20,FALSE),0)</f>
        <v>4</v>
      </c>
      <c r="D61">
        <f>IFERROR(VLOOKUP(A61,[3]Hoja1!$B$10:$AC$523,20,FALSE),0)</f>
        <v>28</v>
      </c>
      <c r="E61">
        <f>IFERROR(VLOOKUP(A61,[4]Hoja1!$B$10:$AC$531,20,FALSE),0)</f>
        <v>13</v>
      </c>
      <c r="F61">
        <f>IFERROR(VLOOKUP(A61,[5]Hoja1!$B$10:$AC$500,20,FALSE),0)</f>
        <v>2</v>
      </c>
    </row>
    <row r="62" spans="1:6" x14ac:dyDescent="0.2">
      <c r="A62" t="s">
        <v>61</v>
      </c>
      <c r="B62">
        <f>IFERROR(VLOOKUP(A62,[1]Hoja1!$B$10:$AC$529,20,FALSE),0)</f>
        <v>32</v>
      </c>
      <c r="C62">
        <f>IFERROR(VLOOKUP(A62,[2]Hoja1!$B$10:$AC$542,20,FALSE),0)</f>
        <v>9</v>
      </c>
      <c r="D62">
        <f>IFERROR(VLOOKUP(A62,[3]Hoja1!$B$10:$AC$523,20,FALSE),0)</f>
        <v>26</v>
      </c>
      <c r="E62">
        <f>IFERROR(VLOOKUP(A62,[4]Hoja1!$B$10:$AC$531,20,FALSE),0)</f>
        <v>29</v>
      </c>
      <c r="F62">
        <f>IFERROR(VLOOKUP(A62,[5]Hoja1!$B$10:$AC$500,20,FALSE),0)</f>
        <v>44</v>
      </c>
    </row>
    <row r="63" spans="1:6" x14ac:dyDescent="0.2">
      <c r="A63" t="s">
        <v>62</v>
      </c>
      <c r="B63">
        <f>IFERROR(VLOOKUP(A63,[1]Hoja1!$B$10:$AC$529,20,FALSE),0)</f>
        <v>360</v>
      </c>
      <c r="C63">
        <f>IFERROR(VLOOKUP(A63,[2]Hoja1!$B$10:$AC$542,20,FALSE),0)</f>
        <v>300</v>
      </c>
      <c r="D63">
        <f>IFERROR(VLOOKUP(A63,[3]Hoja1!$B$10:$AC$523,20,FALSE),0)</f>
        <v>0</v>
      </c>
      <c r="E63">
        <f>IFERROR(VLOOKUP(A63,[4]Hoja1!$B$10:$AC$531,20,FALSE),0)</f>
        <v>200</v>
      </c>
      <c r="F63">
        <f>IFERROR(VLOOKUP(A63,[5]Hoja1!$B$10:$AC$500,20,FALSE),0)</f>
        <v>0</v>
      </c>
    </row>
    <row r="64" spans="1:6" x14ac:dyDescent="0.2">
      <c r="A64" t="s">
        <v>63</v>
      </c>
      <c r="B64">
        <f>IFERROR(VLOOKUP(A64,[1]Hoja1!$B$10:$AC$529,20,FALSE),0)</f>
        <v>4</v>
      </c>
      <c r="C64">
        <f>IFERROR(VLOOKUP(A64,[2]Hoja1!$B$10:$AC$542,20,FALSE),0)</f>
        <v>2</v>
      </c>
      <c r="D64">
        <f>IFERROR(VLOOKUP(A64,[3]Hoja1!$B$10:$AC$523,20,FALSE),0)</f>
        <v>0</v>
      </c>
      <c r="E64">
        <f>IFERROR(VLOOKUP(A64,[4]Hoja1!$B$10:$AC$531,20,FALSE),0)</f>
        <v>0</v>
      </c>
      <c r="F64">
        <f>IFERROR(VLOOKUP(A64,[5]Hoja1!$B$10:$AC$500,20,FALSE),0)</f>
        <v>0</v>
      </c>
    </row>
    <row r="65" spans="1:6" x14ac:dyDescent="0.2">
      <c r="A65" t="s">
        <v>64</v>
      </c>
      <c r="B65">
        <f>IFERROR(VLOOKUP(A65,[1]Hoja1!$B$10:$AC$529,20,FALSE),0)</f>
        <v>491</v>
      </c>
      <c r="C65">
        <f>IFERROR(VLOOKUP(A65,[2]Hoja1!$B$10:$AC$542,20,FALSE),0)</f>
        <v>1237</v>
      </c>
      <c r="D65">
        <f>IFERROR(VLOOKUP(A65,[3]Hoja1!$B$10:$AC$523,20,FALSE),0)</f>
        <v>1380</v>
      </c>
      <c r="E65">
        <f>IFERROR(VLOOKUP(A65,[4]Hoja1!$B$10:$AC$531,20,FALSE),0)</f>
        <v>2110</v>
      </c>
      <c r="F65">
        <f>IFERROR(VLOOKUP(A65,[5]Hoja1!$B$10:$AC$500,20,FALSE),0)</f>
        <v>5225</v>
      </c>
    </row>
    <row r="66" spans="1:6" x14ac:dyDescent="0.2">
      <c r="A66" t="s">
        <v>65</v>
      </c>
      <c r="B66">
        <f>IFERROR(VLOOKUP(A66,[1]Hoja1!$B$10:$AC$529,20,FALSE),0)</f>
        <v>14</v>
      </c>
      <c r="C66">
        <f>IFERROR(VLOOKUP(A66,[2]Hoja1!$B$10:$AC$542,20,FALSE),0)</f>
        <v>20</v>
      </c>
      <c r="D66">
        <f>IFERROR(VLOOKUP(A66,[3]Hoja1!$B$10:$AC$523,20,FALSE),0)</f>
        <v>0</v>
      </c>
      <c r="E66">
        <f>IFERROR(VLOOKUP(A66,[4]Hoja1!$B$10:$AC$531,20,FALSE),0)</f>
        <v>0</v>
      </c>
      <c r="F66">
        <f>IFERROR(VLOOKUP(A66,[5]Hoja1!$B$10:$AC$500,20,FALSE),0)</f>
        <v>0</v>
      </c>
    </row>
    <row r="67" spans="1:6" x14ac:dyDescent="0.2">
      <c r="A67" t="s">
        <v>66</v>
      </c>
      <c r="B67">
        <f>IFERROR(VLOOKUP(A67,[1]Hoja1!$B$10:$AC$529,20,FALSE),0)</f>
        <v>906</v>
      </c>
      <c r="C67">
        <f>IFERROR(VLOOKUP(A67,[2]Hoja1!$B$10:$AC$542,20,FALSE),0)</f>
        <v>2044</v>
      </c>
      <c r="D67">
        <f>IFERROR(VLOOKUP(A67,[3]Hoja1!$B$10:$AC$523,20,FALSE),0)</f>
        <v>1605</v>
      </c>
      <c r="E67">
        <f>IFERROR(VLOOKUP(A67,[4]Hoja1!$B$10:$AC$531,20,FALSE),0)</f>
        <v>461</v>
      </c>
      <c r="F67">
        <f>IFERROR(VLOOKUP(A67,[5]Hoja1!$B$10:$AC$500,20,FALSE),0)</f>
        <v>1098</v>
      </c>
    </row>
    <row r="68" spans="1:6" x14ac:dyDescent="0.2">
      <c r="A68" t="s">
        <v>67</v>
      </c>
      <c r="B68">
        <f>IFERROR(VLOOKUP(A68,[1]Hoja1!$B$10:$AC$529,20,FALSE),0)</f>
        <v>66</v>
      </c>
      <c r="C68">
        <f>IFERROR(VLOOKUP(A68,[2]Hoja1!$B$10:$AC$542,20,FALSE),0)</f>
        <v>17</v>
      </c>
      <c r="D68">
        <f>IFERROR(VLOOKUP(A68,[3]Hoja1!$B$10:$AC$523,20,FALSE),0)</f>
        <v>80</v>
      </c>
      <c r="E68">
        <f>IFERROR(VLOOKUP(A68,[4]Hoja1!$B$10:$AC$531,20,FALSE),0)</f>
        <v>0</v>
      </c>
      <c r="F68">
        <f>IFERROR(VLOOKUP(A68,[5]Hoja1!$B$10:$AC$500,20,FALSE),0)</f>
        <v>0</v>
      </c>
    </row>
    <row r="69" spans="1:6" x14ac:dyDescent="0.2">
      <c r="A69" t="s">
        <v>68</v>
      </c>
      <c r="B69">
        <f>IFERROR(VLOOKUP(A69,[1]Hoja1!$B$10:$AC$529,20,FALSE),0)</f>
        <v>2</v>
      </c>
      <c r="C69">
        <f>IFERROR(VLOOKUP(A69,[2]Hoja1!$B$10:$AC$542,20,FALSE),0)</f>
        <v>23</v>
      </c>
      <c r="D69">
        <f>IFERROR(VLOOKUP(A69,[3]Hoja1!$B$10:$AC$523,20,FALSE),0)</f>
        <v>5</v>
      </c>
      <c r="E69">
        <f>IFERROR(VLOOKUP(A69,[4]Hoja1!$B$10:$AC$531,20,FALSE),0)</f>
        <v>5</v>
      </c>
      <c r="F69">
        <f>IFERROR(VLOOKUP(A69,[5]Hoja1!$B$10:$AC$500,20,FALSE),0)</f>
        <v>0</v>
      </c>
    </row>
    <row r="70" spans="1:6" x14ac:dyDescent="0.2">
      <c r="A70" t="s">
        <v>69</v>
      </c>
      <c r="B70">
        <f>IFERROR(VLOOKUP(A70,[1]Hoja1!$B$10:$AC$529,20,FALSE),0)</f>
        <v>0</v>
      </c>
      <c r="C70">
        <f>IFERROR(VLOOKUP(A70,[2]Hoja1!$B$10:$AC$542,20,FALSE),0)</f>
        <v>80</v>
      </c>
      <c r="D70">
        <f>IFERROR(VLOOKUP(A70,[3]Hoja1!$B$10:$AC$523,20,FALSE),0)</f>
        <v>205</v>
      </c>
      <c r="E70">
        <f>IFERROR(VLOOKUP(A70,[4]Hoja1!$B$10:$AC$531,20,FALSE),0)</f>
        <v>124</v>
      </c>
      <c r="F70">
        <f>IFERROR(VLOOKUP(A70,[5]Hoja1!$B$10:$AC$500,20,FALSE),0)</f>
        <v>68</v>
      </c>
    </row>
    <row r="71" spans="1:6" x14ac:dyDescent="0.2">
      <c r="A71" t="s">
        <v>70</v>
      </c>
      <c r="B71">
        <f>IFERROR(VLOOKUP(A71,[1]Hoja1!$B$10:$AC$529,20,FALSE),0)</f>
        <v>237</v>
      </c>
      <c r="C71">
        <f>IFERROR(VLOOKUP(A71,[2]Hoja1!$B$10:$AC$542,20,FALSE),0)</f>
        <v>25</v>
      </c>
      <c r="D71">
        <f>IFERROR(VLOOKUP(A71,[3]Hoja1!$B$10:$AC$523,20,FALSE),0)</f>
        <v>73</v>
      </c>
      <c r="E71">
        <f>IFERROR(VLOOKUP(A71,[4]Hoja1!$B$10:$AC$531,20,FALSE),0)</f>
        <v>337</v>
      </c>
      <c r="F71">
        <f>IFERROR(VLOOKUP(A71,[5]Hoja1!$B$10:$AC$500,20,FALSE),0)</f>
        <v>322</v>
      </c>
    </row>
    <row r="72" spans="1:6" x14ac:dyDescent="0.2">
      <c r="A72" t="s">
        <v>71</v>
      </c>
      <c r="B72">
        <f>IFERROR(VLOOKUP(A72,[1]Hoja1!$B$10:$AC$529,20,FALSE),0)</f>
        <v>50</v>
      </c>
      <c r="C72">
        <f>IFERROR(VLOOKUP(A72,[2]Hoja1!$B$10:$AC$542,20,FALSE),0)</f>
        <v>74</v>
      </c>
      <c r="D72">
        <f>IFERROR(VLOOKUP(A72,[3]Hoja1!$B$10:$AC$523,20,FALSE),0)</f>
        <v>39</v>
      </c>
      <c r="E72">
        <f>IFERROR(VLOOKUP(A72,[4]Hoja1!$B$10:$AC$531,20,FALSE),0)</f>
        <v>0</v>
      </c>
      <c r="F72">
        <f>IFERROR(VLOOKUP(A72,[5]Hoja1!$B$10:$AC$500,20,FALSE),0)</f>
        <v>161</v>
      </c>
    </row>
    <row r="73" spans="1:6" x14ac:dyDescent="0.2">
      <c r="A73" t="s">
        <v>72</v>
      </c>
      <c r="B73">
        <f>IFERROR(VLOOKUP(A73,[1]Hoja1!$B$10:$AC$529,20,FALSE),0)</f>
        <v>83</v>
      </c>
      <c r="C73">
        <f>IFERROR(VLOOKUP(A73,[2]Hoja1!$B$10:$AC$542,20,FALSE),0)</f>
        <v>37</v>
      </c>
      <c r="D73">
        <f>IFERROR(VLOOKUP(A73,[3]Hoja1!$B$10:$AC$523,20,FALSE),0)</f>
        <v>121</v>
      </c>
      <c r="E73">
        <f>IFERROR(VLOOKUP(A73,[4]Hoja1!$B$10:$AC$531,20,FALSE),0)</f>
        <v>50</v>
      </c>
      <c r="F73">
        <f>IFERROR(VLOOKUP(A73,[5]Hoja1!$B$10:$AC$500,20,FALSE),0)</f>
        <v>18</v>
      </c>
    </row>
    <row r="74" spans="1:6" x14ac:dyDescent="0.2">
      <c r="A74" t="s">
        <v>73</v>
      </c>
      <c r="B74">
        <f>IFERROR(VLOOKUP(A74,[1]Hoja1!$B$10:$AC$529,20,FALSE),0)</f>
        <v>28</v>
      </c>
      <c r="C74">
        <f>IFERROR(VLOOKUP(A74,[2]Hoja1!$B$10:$AC$542,20,FALSE),0)</f>
        <v>28</v>
      </c>
      <c r="D74">
        <f>IFERROR(VLOOKUP(A74,[3]Hoja1!$B$10:$AC$523,20,FALSE),0)</f>
        <v>16</v>
      </c>
      <c r="E74">
        <f>IFERROR(VLOOKUP(A74,[4]Hoja1!$B$10:$AC$531,20,FALSE),0)</f>
        <v>6</v>
      </c>
      <c r="F74">
        <f>IFERROR(VLOOKUP(A74,[5]Hoja1!$B$10:$AC$500,20,FALSE),0)</f>
        <v>21</v>
      </c>
    </row>
    <row r="75" spans="1:6" x14ac:dyDescent="0.2">
      <c r="A75" t="s">
        <v>74</v>
      </c>
      <c r="B75">
        <f>IFERROR(VLOOKUP(A75,[1]Hoja1!$B$10:$AC$529,20,FALSE),0)</f>
        <v>165</v>
      </c>
      <c r="C75">
        <f>IFERROR(VLOOKUP(A75,[2]Hoja1!$B$10:$AC$542,20,FALSE),0)</f>
        <v>90</v>
      </c>
      <c r="D75">
        <f>IFERROR(VLOOKUP(A75,[3]Hoja1!$B$10:$AC$523,20,FALSE),0)</f>
        <v>36</v>
      </c>
      <c r="E75">
        <f>IFERROR(VLOOKUP(A75,[4]Hoja1!$B$10:$AC$531,20,FALSE),0)</f>
        <v>69</v>
      </c>
      <c r="F75">
        <f>IFERROR(VLOOKUP(A75,[5]Hoja1!$B$10:$AC$500,20,FALSE),0)</f>
        <v>37</v>
      </c>
    </row>
    <row r="76" spans="1:6" x14ac:dyDescent="0.2">
      <c r="A76" t="s">
        <v>75</v>
      </c>
      <c r="B76">
        <f>IFERROR(VLOOKUP(A76,[1]Hoja1!$B$10:$AC$529,20,FALSE),0)</f>
        <v>78</v>
      </c>
      <c r="C76">
        <f>IFERROR(VLOOKUP(A76,[2]Hoja1!$B$10:$AC$542,20,FALSE),0)</f>
        <v>238</v>
      </c>
      <c r="D76">
        <f>IFERROR(VLOOKUP(A76,[3]Hoja1!$B$10:$AC$523,20,FALSE),0)</f>
        <v>82</v>
      </c>
      <c r="E76">
        <f>IFERROR(VLOOKUP(A76,[4]Hoja1!$B$10:$AC$531,20,FALSE),0)</f>
        <v>48</v>
      </c>
      <c r="F76">
        <f>IFERROR(VLOOKUP(A76,[5]Hoja1!$B$10:$AC$500,20,FALSE),0)</f>
        <v>188</v>
      </c>
    </row>
    <row r="77" spans="1:6" x14ac:dyDescent="0.2">
      <c r="A77" t="s">
        <v>76</v>
      </c>
      <c r="B77">
        <f>IFERROR(VLOOKUP(A77,[1]Hoja1!$B$10:$AC$529,20,FALSE),0)</f>
        <v>38</v>
      </c>
      <c r="C77">
        <f>IFERROR(VLOOKUP(A77,[2]Hoja1!$B$10:$AC$542,20,FALSE),0)</f>
        <v>7</v>
      </c>
      <c r="D77">
        <f>IFERROR(VLOOKUP(A77,[3]Hoja1!$B$10:$AC$523,20,FALSE),0)</f>
        <v>34</v>
      </c>
      <c r="E77">
        <f>IFERROR(VLOOKUP(A77,[4]Hoja1!$B$10:$AC$531,20,FALSE),0)</f>
        <v>38</v>
      </c>
      <c r="F77">
        <f>IFERROR(VLOOKUP(A77,[5]Hoja1!$B$10:$AC$500,20,FALSE),0)</f>
        <v>0</v>
      </c>
    </row>
    <row r="78" spans="1:6" x14ac:dyDescent="0.2">
      <c r="A78" t="s">
        <v>77</v>
      </c>
      <c r="B78">
        <f>IFERROR(VLOOKUP(A78,[1]Hoja1!$B$10:$AC$529,20,FALSE),0)</f>
        <v>50</v>
      </c>
      <c r="C78">
        <f>IFERROR(VLOOKUP(A78,[2]Hoja1!$B$10:$AC$542,20,FALSE),0)</f>
        <v>82</v>
      </c>
      <c r="D78">
        <f>IFERROR(VLOOKUP(A78,[3]Hoja1!$B$10:$AC$523,20,FALSE),0)</f>
        <v>40</v>
      </c>
      <c r="E78">
        <f>IFERROR(VLOOKUP(A78,[4]Hoja1!$B$10:$AC$531,20,FALSE),0)</f>
        <v>0</v>
      </c>
      <c r="F78">
        <f>IFERROR(VLOOKUP(A78,[5]Hoja1!$B$10:$AC$500,20,FALSE),0)</f>
        <v>63</v>
      </c>
    </row>
    <row r="79" spans="1:6" x14ac:dyDescent="0.2">
      <c r="A79" t="s">
        <v>78</v>
      </c>
      <c r="B79">
        <f>IFERROR(VLOOKUP(A79,[1]Hoja1!$B$10:$AC$529,20,FALSE),0)</f>
        <v>1</v>
      </c>
      <c r="C79">
        <f>IFERROR(VLOOKUP(A79,[2]Hoja1!$B$10:$AC$542,20,FALSE),0)</f>
        <v>20</v>
      </c>
      <c r="D79">
        <f>IFERROR(VLOOKUP(A79,[3]Hoja1!$B$10:$AC$523,20,FALSE),0)</f>
        <v>92</v>
      </c>
      <c r="E79">
        <f>IFERROR(VLOOKUP(A79,[4]Hoja1!$B$10:$AC$531,20,FALSE),0)</f>
        <v>57</v>
      </c>
      <c r="F79">
        <f>IFERROR(VLOOKUP(A79,[5]Hoja1!$B$10:$AC$500,20,FALSE),0)</f>
        <v>0</v>
      </c>
    </row>
    <row r="80" spans="1:6" x14ac:dyDescent="0.2">
      <c r="A80" t="s">
        <v>79</v>
      </c>
      <c r="B80">
        <f>IFERROR(VLOOKUP(A80,[1]Hoja1!$B$10:$AC$529,20,FALSE),0)</f>
        <v>20</v>
      </c>
      <c r="C80">
        <f>IFERROR(VLOOKUP(A80,[2]Hoja1!$B$10:$AC$542,20,FALSE),0)</f>
        <v>17</v>
      </c>
      <c r="D80">
        <f>IFERROR(VLOOKUP(A80,[3]Hoja1!$B$10:$AC$523,20,FALSE),0)</f>
        <v>17</v>
      </c>
      <c r="E80">
        <f>IFERROR(VLOOKUP(A80,[4]Hoja1!$B$10:$AC$531,20,FALSE),0)</f>
        <v>17</v>
      </c>
      <c r="F80">
        <f>IFERROR(VLOOKUP(A80,[5]Hoja1!$B$10:$AC$500,20,FALSE),0)</f>
        <v>17</v>
      </c>
    </row>
    <row r="81" spans="1:6" x14ac:dyDescent="0.2">
      <c r="A81" t="s">
        <v>80</v>
      </c>
      <c r="B81">
        <f>IFERROR(VLOOKUP(A81,[1]Hoja1!$B$10:$AC$529,20,FALSE),0)</f>
        <v>2</v>
      </c>
      <c r="C81">
        <f>IFERROR(VLOOKUP(A81,[2]Hoja1!$B$10:$AC$542,20,FALSE),0)</f>
        <v>11</v>
      </c>
      <c r="D81">
        <f>IFERROR(VLOOKUP(A81,[3]Hoja1!$B$10:$AC$523,20,FALSE),0)</f>
        <v>26</v>
      </c>
      <c r="E81">
        <f>IFERROR(VLOOKUP(A81,[4]Hoja1!$B$10:$AC$531,20,FALSE),0)</f>
        <v>12</v>
      </c>
      <c r="F81">
        <f>IFERROR(VLOOKUP(A81,[5]Hoja1!$B$10:$AC$500,20,FALSE),0)</f>
        <v>22</v>
      </c>
    </row>
    <row r="82" spans="1:6" x14ac:dyDescent="0.2">
      <c r="A82" t="s">
        <v>81</v>
      </c>
      <c r="B82">
        <f>IFERROR(VLOOKUP(A82,[1]Hoja1!$B$10:$AC$529,20,FALSE),0)</f>
        <v>610</v>
      </c>
      <c r="C82">
        <f>IFERROR(VLOOKUP(A82,[2]Hoja1!$B$10:$AC$542,20,FALSE),0)</f>
        <v>663</v>
      </c>
      <c r="D82">
        <f>IFERROR(VLOOKUP(A82,[3]Hoja1!$B$10:$AC$523,20,FALSE),0)</f>
        <v>231</v>
      </c>
      <c r="E82">
        <f>IFERROR(VLOOKUP(A82,[4]Hoja1!$B$10:$AC$531,20,FALSE),0)</f>
        <v>254</v>
      </c>
      <c r="F82">
        <f>IFERROR(VLOOKUP(A82,[5]Hoja1!$B$10:$AC$500,20,FALSE),0)</f>
        <v>499</v>
      </c>
    </row>
    <row r="83" spans="1:6" x14ac:dyDescent="0.2">
      <c r="A83" t="s">
        <v>82</v>
      </c>
      <c r="B83">
        <f>IFERROR(VLOOKUP(A83,[1]Hoja1!$B$10:$AC$529,20,FALSE),0)</f>
        <v>756</v>
      </c>
      <c r="C83">
        <f>IFERROR(VLOOKUP(A83,[2]Hoja1!$B$10:$AC$542,20,FALSE),0)</f>
        <v>433</v>
      </c>
      <c r="D83">
        <f>IFERROR(VLOOKUP(A83,[3]Hoja1!$B$10:$AC$523,20,FALSE),0)</f>
        <v>103</v>
      </c>
      <c r="E83">
        <f>IFERROR(VLOOKUP(A83,[4]Hoja1!$B$10:$AC$531,20,FALSE),0)</f>
        <v>377</v>
      </c>
      <c r="F83">
        <f>IFERROR(VLOOKUP(A83,[5]Hoja1!$B$10:$AC$500,20,FALSE),0)</f>
        <v>489</v>
      </c>
    </row>
    <row r="84" spans="1:6" x14ac:dyDescent="0.2">
      <c r="A84" t="s">
        <v>83</v>
      </c>
      <c r="B84">
        <f>IFERROR(VLOOKUP(A84,[1]Hoja1!$B$10:$AC$529,20,FALSE),0)</f>
        <v>5</v>
      </c>
      <c r="C84">
        <f>IFERROR(VLOOKUP(A84,[2]Hoja1!$B$10:$AC$542,20,FALSE),0)</f>
        <v>4</v>
      </c>
      <c r="D84">
        <f>IFERROR(VLOOKUP(A84,[3]Hoja1!$B$10:$AC$523,20,FALSE),0)</f>
        <v>2</v>
      </c>
      <c r="E84">
        <f>IFERROR(VLOOKUP(A84,[4]Hoja1!$B$10:$AC$531,20,FALSE),0)</f>
        <v>2</v>
      </c>
      <c r="F84">
        <f>IFERROR(VLOOKUP(A84,[5]Hoja1!$B$10:$AC$500,20,FALSE),0)</f>
        <v>2</v>
      </c>
    </row>
    <row r="85" spans="1:6" x14ac:dyDescent="0.2">
      <c r="A85" t="s">
        <v>84</v>
      </c>
      <c r="B85">
        <f>IFERROR(VLOOKUP(A85,[1]Hoja1!$B$10:$AC$529,20,FALSE),0)</f>
        <v>7</v>
      </c>
      <c r="C85">
        <f>IFERROR(VLOOKUP(A85,[2]Hoja1!$B$10:$AC$542,20,FALSE),0)</f>
        <v>21</v>
      </c>
      <c r="D85">
        <f>IFERROR(VLOOKUP(A85,[3]Hoja1!$B$10:$AC$523,20,FALSE),0)</f>
        <v>24</v>
      </c>
      <c r="E85">
        <f>IFERROR(VLOOKUP(A85,[4]Hoja1!$B$10:$AC$531,20,FALSE),0)</f>
        <v>8</v>
      </c>
      <c r="F85">
        <f>IFERROR(VLOOKUP(A85,[5]Hoja1!$B$10:$AC$500,20,FALSE),0)</f>
        <v>16</v>
      </c>
    </row>
    <row r="86" spans="1:6" x14ac:dyDescent="0.2">
      <c r="A86" t="s">
        <v>85</v>
      </c>
      <c r="B86">
        <f>IFERROR(VLOOKUP(A86,[1]Hoja1!$B$10:$AC$529,20,FALSE),0)</f>
        <v>42</v>
      </c>
      <c r="C86">
        <f>IFERROR(VLOOKUP(A86,[2]Hoja1!$B$10:$AC$542,20,FALSE),0)</f>
        <v>102</v>
      </c>
      <c r="D86">
        <f>IFERROR(VLOOKUP(A86,[3]Hoja1!$B$10:$AC$523,20,FALSE),0)</f>
        <v>96</v>
      </c>
      <c r="E86">
        <f>IFERROR(VLOOKUP(A86,[4]Hoja1!$B$10:$AC$531,20,FALSE),0)</f>
        <v>96</v>
      </c>
      <c r="F86">
        <f>IFERROR(VLOOKUP(A86,[5]Hoja1!$B$10:$AC$500,20,FALSE),0)</f>
        <v>11</v>
      </c>
    </row>
    <row r="87" spans="1:6" x14ac:dyDescent="0.2">
      <c r="A87" t="s">
        <v>86</v>
      </c>
      <c r="B87">
        <f>IFERROR(VLOOKUP(A87,[1]Hoja1!$B$10:$AC$529,20,FALSE),0)</f>
        <v>93</v>
      </c>
      <c r="C87">
        <f>IFERROR(VLOOKUP(A87,[2]Hoja1!$B$10:$AC$542,20,FALSE),0)</f>
        <v>82</v>
      </c>
      <c r="D87">
        <f>IFERROR(VLOOKUP(A87,[3]Hoja1!$B$10:$AC$523,20,FALSE),0)</f>
        <v>58</v>
      </c>
      <c r="E87">
        <f>IFERROR(VLOOKUP(A87,[4]Hoja1!$B$10:$AC$531,20,FALSE),0)</f>
        <v>54</v>
      </c>
      <c r="F87">
        <f>IFERROR(VLOOKUP(A87,[5]Hoja1!$B$10:$AC$500,20,FALSE),0)</f>
        <v>33</v>
      </c>
    </row>
    <row r="88" spans="1:6" x14ac:dyDescent="0.2">
      <c r="A88" t="s">
        <v>87</v>
      </c>
      <c r="B88">
        <f>IFERROR(VLOOKUP(A88,[1]Hoja1!$B$10:$AC$529,20,FALSE),0)</f>
        <v>777</v>
      </c>
      <c r="C88">
        <f>IFERROR(VLOOKUP(A88,[2]Hoja1!$B$10:$AC$542,20,FALSE),0)</f>
        <v>578</v>
      </c>
      <c r="D88">
        <f>IFERROR(VLOOKUP(A88,[3]Hoja1!$B$10:$AC$523,20,FALSE),0)</f>
        <v>295</v>
      </c>
      <c r="E88">
        <f>IFERROR(VLOOKUP(A88,[4]Hoja1!$B$10:$AC$531,20,FALSE),0)</f>
        <v>306</v>
      </c>
      <c r="F88">
        <f>IFERROR(VLOOKUP(A88,[5]Hoja1!$B$10:$AC$500,20,FALSE),0)</f>
        <v>1053</v>
      </c>
    </row>
    <row r="89" spans="1:6" x14ac:dyDescent="0.2">
      <c r="A89" t="s">
        <v>88</v>
      </c>
      <c r="B89">
        <f>IFERROR(VLOOKUP(A89,[1]Hoja1!$B$10:$AC$529,20,FALSE),0)</f>
        <v>134</v>
      </c>
      <c r="C89">
        <f>IFERROR(VLOOKUP(A89,[2]Hoja1!$B$10:$AC$542,20,FALSE),0)</f>
        <v>133</v>
      </c>
      <c r="D89">
        <f>IFERROR(VLOOKUP(A89,[3]Hoja1!$B$10:$AC$523,20,FALSE),0)</f>
        <v>29</v>
      </c>
      <c r="E89">
        <f>IFERROR(VLOOKUP(A89,[4]Hoja1!$B$10:$AC$531,20,FALSE),0)</f>
        <v>296</v>
      </c>
      <c r="F89">
        <f>IFERROR(VLOOKUP(A89,[5]Hoja1!$B$10:$AC$500,20,FALSE),0)</f>
        <v>0</v>
      </c>
    </row>
    <row r="90" spans="1:6" x14ac:dyDescent="0.2">
      <c r="A90" t="s">
        <v>89</v>
      </c>
      <c r="B90">
        <f>IFERROR(VLOOKUP(A90,[1]Hoja1!$B$10:$AC$529,20,FALSE),0)</f>
        <v>2514</v>
      </c>
      <c r="C90">
        <f>IFERROR(VLOOKUP(A90,[2]Hoja1!$B$10:$AC$542,20,FALSE),0)</f>
        <v>1203</v>
      </c>
      <c r="D90">
        <f>IFERROR(VLOOKUP(A90,[3]Hoja1!$B$10:$AC$523,20,FALSE),0)</f>
        <v>22</v>
      </c>
      <c r="E90">
        <f>IFERROR(VLOOKUP(A90,[4]Hoja1!$B$10:$AC$531,20,FALSE),0)</f>
        <v>2214</v>
      </c>
      <c r="F90">
        <f>IFERROR(VLOOKUP(A90,[5]Hoja1!$B$10:$AC$500,20,FALSE),0)</f>
        <v>2439</v>
      </c>
    </row>
    <row r="91" spans="1:6" x14ac:dyDescent="0.2">
      <c r="A91" t="s">
        <v>90</v>
      </c>
      <c r="B91">
        <f>IFERROR(VLOOKUP(A91,[1]Hoja1!$B$10:$AC$529,20,FALSE),0)</f>
        <v>14</v>
      </c>
      <c r="C91">
        <f>IFERROR(VLOOKUP(A91,[2]Hoja1!$B$10:$AC$542,20,FALSE),0)</f>
        <v>16</v>
      </c>
      <c r="D91">
        <f>IFERROR(VLOOKUP(A91,[3]Hoja1!$B$10:$AC$523,20,FALSE),0)</f>
        <v>29</v>
      </c>
      <c r="E91">
        <f>IFERROR(VLOOKUP(A91,[4]Hoja1!$B$10:$AC$531,20,FALSE),0)</f>
        <v>0</v>
      </c>
      <c r="F91">
        <f>IFERROR(VLOOKUP(A91,[5]Hoja1!$B$10:$AC$500,20,FALSE),0)</f>
        <v>42</v>
      </c>
    </row>
    <row r="92" spans="1:6" x14ac:dyDescent="0.2">
      <c r="A92" t="s">
        <v>91</v>
      </c>
      <c r="B92">
        <f>IFERROR(VLOOKUP(A92,[1]Hoja1!$B$10:$AC$529,20,FALSE),0)</f>
        <v>2</v>
      </c>
      <c r="C92">
        <f>IFERROR(VLOOKUP(A92,[2]Hoja1!$B$10:$AC$542,20,FALSE),0)</f>
        <v>0</v>
      </c>
      <c r="D92">
        <f>IFERROR(VLOOKUP(A92,[3]Hoja1!$B$10:$AC$523,20,FALSE),0)</f>
        <v>0</v>
      </c>
      <c r="E92">
        <f>IFERROR(VLOOKUP(A92,[4]Hoja1!$B$10:$AC$531,20,FALSE),0)</f>
        <v>0</v>
      </c>
      <c r="F92">
        <f>IFERROR(VLOOKUP(A92,[5]Hoja1!$B$10:$AC$500,20,FALSE),0)</f>
        <v>0</v>
      </c>
    </row>
    <row r="93" spans="1:6" x14ac:dyDescent="0.2">
      <c r="A93" t="s">
        <v>92</v>
      </c>
      <c r="B93">
        <f>IFERROR(VLOOKUP(A93,[1]Hoja1!$B$10:$AC$529,20,FALSE),0)</f>
        <v>125</v>
      </c>
      <c r="C93">
        <f>IFERROR(VLOOKUP(A93,[2]Hoja1!$B$10:$AC$542,20,FALSE),0)</f>
        <v>133</v>
      </c>
      <c r="D93">
        <f>IFERROR(VLOOKUP(A93,[3]Hoja1!$B$10:$AC$523,20,FALSE),0)</f>
        <v>102</v>
      </c>
      <c r="E93">
        <f>IFERROR(VLOOKUP(A93,[4]Hoja1!$B$10:$AC$531,20,FALSE),0)</f>
        <v>192</v>
      </c>
      <c r="F93">
        <f>IFERROR(VLOOKUP(A93,[5]Hoja1!$B$10:$AC$500,20,FALSE),0)</f>
        <v>0</v>
      </c>
    </row>
    <row r="94" spans="1:6" x14ac:dyDescent="0.2">
      <c r="A94" t="s">
        <v>93</v>
      </c>
      <c r="B94">
        <f>IFERROR(VLOOKUP(A94,[1]Hoja1!$B$10:$AC$529,20,FALSE),0)</f>
        <v>51</v>
      </c>
      <c r="C94">
        <f>IFERROR(VLOOKUP(A94,[2]Hoja1!$B$10:$AC$542,20,FALSE),0)</f>
        <v>1</v>
      </c>
      <c r="D94">
        <f>IFERROR(VLOOKUP(A94,[3]Hoja1!$B$10:$AC$523,20,FALSE),0)</f>
        <v>15</v>
      </c>
      <c r="E94">
        <f>IFERROR(VLOOKUP(A94,[4]Hoja1!$B$10:$AC$531,20,FALSE),0)</f>
        <v>38</v>
      </c>
      <c r="F94">
        <f>IFERROR(VLOOKUP(A94,[5]Hoja1!$B$10:$AC$500,20,FALSE),0)</f>
        <v>54</v>
      </c>
    </row>
    <row r="95" spans="1:6" x14ac:dyDescent="0.2">
      <c r="A95" t="s">
        <v>94</v>
      </c>
      <c r="B95">
        <f>IFERROR(VLOOKUP(A95,[1]Hoja1!$B$10:$AC$529,20,FALSE),0)</f>
        <v>510</v>
      </c>
      <c r="C95">
        <f>IFERROR(VLOOKUP(A95,[2]Hoja1!$B$10:$AC$542,20,FALSE),0)</f>
        <v>440</v>
      </c>
      <c r="D95">
        <f>IFERROR(VLOOKUP(A95,[3]Hoja1!$B$10:$AC$523,20,FALSE),0)</f>
        <v>0</v>
      </c>
      <c r="E95">
        <f>IFERROR(VLOOKUP(A95,[4]Hoja1!$B$10:$AC$531,20,FALSE),0)</f>
        <v>0</v>
      </c>
      <c r="F95">
        <f>IFERROR(VLOOKUP(A95,[5]Hoja1!$B$10:$AC$500,20,FALSE),0)</f>
        <v>0</v>
      </c>
    </row>
    <row r="96" spans="1:6" x14ac:dyDescent="0.2">
      <c r="A96" t="s">
        <v>95</v>
      </c>
      <c r="B96">
        <f>IFERROR(VLOOKUP(A96,[1]Hoja1!$B$10:$AC$529,20,FALSE),0)</f>
        <v>120</v>
      </c>
      <c r="C96">
        <f>IFERROR(VLOOKUP(A96,[2]Hoja1!$B$10:$AC$542,20,FALSE),0)</f>
        <v>0</v>
      </c>
      <c r="D96">
        <f>IFERROR(VLOOKUP(A96,[3]Hoja1!$B$10:$AC$523,20,FALSE),0)</f>
        <v>90</v>
      </c>
      <c r="E96">
        <f>IFERROR(VLOOKUP(A96,[4]Hoja1!$B$10:$AC$531,20,FALSE),0)</f>
        <v>0</v>
      </c>
      <c r="F96">
        <f>IFERROR(VLOOKUP(A96,[5]Hoja1!$B$10:$AC$500,20,FALSE),0)</f>
        <v>0</v>
      </c>
    </row>
    <row r="97" spans="1:6" x14ac:dyDescent="0.2">
      <c r="A97" t="s">
        <v>96</v>
      </c>
      <c r="B97">
        <f>IFERROR(VLOOKUP(A97,[1]Hoja1!$B$10:$AC$529,20,FALSE),0)</f>
        <v>62</v>
      </c>
      <c r="C97">
        <f>IFERROR(VLOOKUP(A97,[2]Hoja1!$B$10:$AC$542,20,FALSE),0)</f>
        <v>300</v>
      </c>
      <c r="D97">
        <f>IFERROR(VLOOKUP(A97,[3]Hoja1!$B$10:$AC$523,20,FALSE),0)</f>
        <v>40</v>
      </c>
      <c r="E97">
        <f>IFERROR(VLOOKUP(A97,[4]Hoja1!$B$10:$AC$531,20,FALSE),0)</f>
        <v>20</v>
      </c>
      <c r="F97">
        <f>IFERROR(VLOOKUP(A97,[5]Hoja1!$B$10:$AC$500,20,FALSE),0)</f>
        <v>300</v>
      </c>
    </row>
    <row r="98" spans="1:6" x14ac:dyDescent="0.2">
      <c r="A98" t="s">
        <v>97</v>
      </c>
      <c r="B98">
        <f>IFERROR(VLOOKUP(A98,[1]Hoja1!$B$10:$AC$529,20,FALSE),0)</f>
        <v>1009</v>
      </c>
      <c r="C98">
        <f>IFERROR(VLOOKUP(A98,[2]Hoja1!$B$10:$AC$542,20,FALSE),0)</f>
        <v>205</v>
      </c>
      <c r="D98">
        <f>IFERROR(VLOOKUP(A98,[3]Hoja1!$B$10:$AC$523,20,FALSE),0)</f>
        <v>312</v>
      </c>
      <c r="E98">
        <f>IFERROR(VLOOKUP(A98,[4]Hoja1!$B$10:$AC$531,20,FALSE),0)</f>
        <v>460</v>
      </c>
      <c r="F98">
        <f>IFERROR(VLOOKUP(A98,[5]Hoja1!$B$10:$AC$500,20,FALSE),0)</f>
        <v>126</v>
      </c>
    </row>
    <row r="99" spans="1:6" x14ac:dyDescent="0.2">
      <c r="A99" t="s">
        <v>98</v>
      </c>
      <c r="B99">
        <f>IFERROR(VLOOKUP(A99,[1]Hoja1!$B$10:$AC$529,20,FALSE),0)</f>
        <v>761</v>
      </c>
      <c r="C99">
        <f>IFERROR(VLOOKUP(A99,[2]Hoja1!$B$10:$AC$542,20,FALSE),0)</f>
        <v>960</v>
      </c>
      <c r="D99">
        <f>IFERROR(VLOOKUP(A99,[3]Hoja1!$B$10:$AC$523,20,FALSE),0)</f>
        <v>4892</v>
      </c>
      <c r="E99">
        <f>IFERROR(VLOOKUP(A99,[4]Hoja1!$B$10:$AC$531,20,FALSE),0)</f>
        <v>1769</v>
      </c>
      <c r="F99">
        <f>IFERROR(VLOOKUP(A99,[5]Hoja1!$B$10:$AC$500,20,FALSE),0)</f>
        <v>785</v>
      </c>
    </row>
    <row r="100" spans="1:6" x14ac:dyDescent="0.2">
      <c r="A100" t="s">
        <v>99</v>
      </c>
      <c r="B100">
        <f>IFERROR(VLOOKUP(A100,[1]Hoja1!$B$10:$AC$529,20,FALSE),0)</f>
        <v>573</v>
      </c>
      <c r="C100">
        <f>IFERROR(VLOOKUP(A100,[2]Hoja1!$B$10:$AC$542,20,FALSE),0)</f>
        <v>239</v>
      </c>
      <c r="D100">
        <f>IFERROR(VLOOKUP(A100,[3]Hoja1!$B$10:$AC$523,20,FALSE),0)</f>
        <v>286</v>
      </c>
      <c r="E100">
        <f>IFERROR(VLOOKUP(A100,[4]Hoja1!$B$10:$AC$531,20,FALSE),0)</f>
        <v>146</v>
      </c>
      <c r="F100">
        <f>IFERROR(VLOOKUP(A100,[5]Hoja1!$B$10:$AC$500,20,FALSE),0)</f>
        <v>312</v>
      </c>
    </row>
    <row r="101" spans="1:6" x14ac:dyDescent="0.2">
      <c r="A101" t="s">
        <v>100</v>
      </c>
      <c r="B101">
        <f>IFERROR(VLOOKUP(A101,[1]Hoja1!$B$10:$AC$529,20,FALSE),0)</f>
        <v>1931</v>
      </c>
      <c r="C101">
        <f>IFERROR(VLOOKUP(A101,[2]Hoja1!$B$10:$AC$542,20,FALSE),0)</f>
        <v>538</v>
      </c>
      <c r="D101">
        <f>IFERROR(VLOOKUP(A101,[3]Hoja1!$B$10:$AC$523,20,FALSE),0)</f>
        <v>336</v>
      </c>
      <c r="E101">
        <f>IFERROR(VLOOKUP(A101,[4]Hoja1!$B$10:$AC$531,20,FALSE),0)</f>
        <v>1683</v>
      </c>
      <c r="F101">
        <f>IFERROR(VLOOKUP(A101,[5]Hoja1!$B$10:$AC$500,20,FALSE),0)</f>
        <v>2305</v>
      </c>
    </row>
    <row r="102" spans="1:6" x14ac:dyDescent="0.2">
      <c r="A102" t="s">
        <v>101</v>
      </c>
      <c r="B102">
        <f>IFERROR(VLOOKUP(A102,[1]Hoja1!$B$10:$AC$529,20,FALSE),0)</f>
        <v>355</v>
      </c>
      <c r="C102">
        <f>IFERROR(VLOOKUP(A102,[2]Hoja1!$B$10:$AC$542,20,FALSE),0)</f>
        <v>473</v>
      </c>
      <c r="D102">
        <f>IFERROR(VLOOKUP(A102,[3]Hoja1!$B$10:$AC$523,20,FALSE),0)</f>
        <v>214</v>
      </c>
      <c r="E102">
        <f>IFERROR(VLOOKUP(A102,[4]Hoja1!$B$10:$AC$531,20,FALSE),0)</f>
        <v>215</v>
      </c>
      <c r="F102">
        <f>IFERROR(VLOOKUP(A102,[5]Hoja1!$B$10:$AC$500,20,FALSE),0)</f>
        <v>47</v>
      </c>
    </row>
    <row r="103" spans="1:6" x14ac:dyDescent="0.2">
      <c r="A103" t="s">
        <v>102</v>
      </c>
      <c r="B103">
        <f>IFERROR(VLOOKUP(A103,[1]Hoja1!$B$10:$AC$529,20,FALSE),0)</f>
        <v>511</v>
      </c>
      <c r="C103">
        <f>IFERROR(VLOOKUP(A103,[2]Hoja1!$B$10:$AC$542,20,FALSE),0)</f>
        <v>8</v>
      </c>
      <c r="D103">
        <f>IFERROR(VLOOKUP(A103,[3]Hoja1!$B$10:$AC$523,20,FALSE),0)</f>
        <v>630</v>
      </c>
      <c r="E103">
        <f>IFERROR(VLOOKUP(A103,[4]Hoja1!$B$10:$AC$531,20,FALSE),0)</f>
        <v>284</v>
      </c>
      <c r="F103">
        <f>IFERROR(VLOOKUP(A103,[5]Hoja1!$B$10:$AC$500,20,FALSE),0)</f>
        <v>468</v>
      </c>
    </row>
    <row r="104" spans="1:6" x14ac:dyDescent="0.2">
      <c r="A104" t="s">
        <v>103</v>
      </c>
      <c r="B104">
        <f>IFERROR(VLOOKUP(A104,[1]Hoja1!$B$10:$AC$529,20,FALSE),0)</f>
        <v>32</v>
      </c>
      <c r="C104">
        <f>IFERROR(VLOOKUP(A104,[2]Hoja1!$B$10:$AC$542,20,FALSE),0)</f>
        <v>24</v>
      </c>
      <c r="D104">
        <f>IFERROR(VLOOKUP(A104,[3]Hoja1!$B$10:$AC$523,20,FALSE),0)</f>
        <v>23</v>
      </c>
      <c r="E104">
        <f>IFERROR(VLOOKUP(A104,[4]Hoja1!$B$10:$AC$531,20,FALSE),0)</f>
        <v>0</v>
      </c>
      <c r="F104">
        <f>IFERROR(VLOOKUP(A104,[5]Hoja1!$B$10:$AC$500,20,FALSE),0)</f>
        <v>12</v>
      </c>
    </row>
    <row r="105" spans="1:6" x14ac:dyDescent="0.2">
      <c r="A105" t="s">
        <v>104</v>
      </c>
      <c r="B105">
        <f>IFERROR(VLOOKUP(A105,[1]Hoja1!$B$10:$AC$529,20,FALSE),0)</f>
        <v>657</v>
      </c>
      <c r="C105">
        <f>IFERROR(VLOOKUP(A105,[2]Hoja1!$B$10:$AC$542,20,FALSE),0)</f>
        <v>1026</v>
      </c>
      <c r="D105">
        <f>IFERROR(VLOOKUP(A105,[3]Hoja1!$B$10:$AC$523,20,FALSE),0)</f>
        <v>173</v>
      </c>
      <c r="E105">
        <f>IFERROR(VLOOKUP(A105,[4]Hoja1!$B$10:$AC$531,20,FALSE),0)</f>
        <v>0</v>
      </c>
      <c r="F105">
        <f>IFERROR(VLOOKUP(A105,[5]Hoja1!$B$10:$AC$500,20,FALSE),0)</f>
        <v>448</v>
      </c>
    </row>
    <row r="106" spans="1:6" x14ac:dyDescent="0.2">
      <c r="A106" t="s">
        <v>105</v>
      </c>
      <c r="B106">
        <f>IFERROR(VLOOKUP(A106,[1]Hoja1!$B$10:$AC$529,20,FALSE),0)</f>
        <v>10</v>
      </c>
      <c r="C106">
        <f>IFERROR(VLOOKUP(A106,[2]Hoja1!$B$10:$AC$542,20,FALSE),0)</f>
        <v>126</v>
      </c>
      <c r="D106">
        <f>IFERROR(VLOOKUP(A106,[3]Hoja1!$B$10:$AC$523,20,FALSE),0)</f>
        <v>545</v>
      </c>
      <c r="E106">
        <f>IFERROR(VLOOKUP(A106,[4]Hoja1!$B$10:$AC$531,20,FALSE),0)</f>
        <v>75</v>
      </c>
      <c r="F106">
        <f>IFERROR(VLOOKUP(A106,[5]Hoja1!$B$10:$AC$500,20,FALSE),0)</f>
        <v>510</v>
      </c>
    </row>
    <row r="107" spans="1:6" x14ac:dyDescent="0.2">
      <c r="A107" t="s">
        <v>106</v>
      </c>
      <c r="B107">
        <f>IFERROR(VLOOKUP(A107,[1]Hoja1!$B$10:$AC$529,20,FALSE),0)</f>
        <v>6641</v>
      </c>
      <c r="C107">
        <f>IFERROR(VLOOKUP(A107,[2]Hoja1!$B$10:$AC$542,20,FALSE),0)</f>
        <v>3961</v>
      </c>
      <c r="D107">
        <f>IFERROR(VLOOKUP(A107,[3]Hoja1!$B$10:$AC$523,20,FALSE),0)</f>
        <v>5691</v>
      </c>
      <c r="E107">
        <f>IFERROR(VLOOKUP(A107,[4]Hoja1!$B$10:$AC$531,20,FALSE),0)</f>
        <v>3080</v>
      </c>
      <c r="F107">
        <f>IFERROR(VLOOKUP(A107,[5]Hoja1!$B$10:$AC$500,20,FALSE),0)</f>
        <v>7200</v>
      </c>
    </row>
    <row r="108" spans="1:6" x14ac:dyDescent="0.2">
      <c r="A108" t="s">
        <v>107</v>
      </c>
      <c r="B108">
        <f>IFERROR(VLOOKUP(A108,[1]Hoja1!$B$10:$AC$529,20,FALSE),0)</f>
        <v>4862</v>
      </c>
      <c r="C108">
        <f>IFERROR(VLOOKUP(A108,[2]Hoja1!$B$10:$AC$542,20,FALSE),0)</f>
        <v>2453</v>
      </c>
      <c r="D108">
        <f>IFERROR(VLOOKUP(A108,[3]Hoja1!$B$10:$AC$523,20,FALSE),0)</f>
        <v>2881</v>
      </c>
      <c r="E108">
        <f>IFERROR(VLOOKUP(A108,[4]Hoja1!$B$10:$AC$531,20,FALSE),0)</f>
        <v>3654</v>
      </c>
      <c r="F108">
        <f>IFERROR(VLOOKUP(A108,[5]Hoja1!$B$10:$AC$500,20,FALSE),0)</f>
        <v>4984</v>
      </c>
    </row>
    <row r="109" spans="1:6" x14ac:dyDescent="0.2">
      <c r="A109" t="s">
        <v>108</v>
      </c>
      <c r="B109">
        <f>IFERROR(VLOOKUP(A109,[1]Hoja1!$B$10:$AC$529,20,FALSE),0)</f>
        <v>523</v>
      </c>
      <c r="C109">
        <f>IFERROR(VLOOKUP(A109,[2]Hoja1!$B$10:$AC$542,20,FALSE),0)</f>
        <v>616</v>
      </c>
      <c r="D109">
        <f>IFERROR(VLOOKUP(A109,[3]Hoja1!$B$10:$AC$523,20,FALSE),0)</f>
        <v>1230</v>
      </c>
      <c r="E109">
        <f>IFERROR(VLOOKUP(A109,[4]Hoja1!$B$10:$AC$531,20,FALSE),0)</f>
        <v>2119</v>
      </c>
      <c r="F109">
        <f>IFERROR(VLOOKUP(A109,[5]Hoja1!$B$10:$AC$500,20,FALSE),0)</f>
        <v>4161</v>
      </c>
    </row>
    <row r="110" spans="1:6" x14ac:dyDescent="0.2">
      <c r="A110" t="s">
        <v>109</v>
      </c>
      <c r="B110">
        <f>IFERROR(VLOOKUP(A110,[1]Hoja1!$B$10:$AC$529,20,FALSE),0)</f>
        <v>5817</v>
      </c>
      <c r="C110">
        <f>IFERROR(VLOOKUP(A110,[2]Hoja1!$B$10:$AC$542,20,FALSE),0)</f>
        <v>3001</v>
      </c>
      <c r="D110">
        <f>IFERROR(VLOOKUP(A110,[3]Hoja1!$B$10:$AC$523,20,FALSE),0)</f>
        <v>1492</v>
      </c>
      <c r="E110">
        <f>IFERROR(VLOOKUP(A110,[4]Hoja1!$B$10:$AC$531,20,FALSE),0)</f>
        <v>1369</v>
      </c>
      <c r="F110">
        <f>IFERROR(VLOOKUP(A110,[5]Hoja1!$B$10:$AC$500,20,FALSE),0)</f>
        <v>2729</v>
      </c>
    </row>
    <row r="111" spans="1:6" x14ac:dyDescent="0.2">
      <c r="A111" t="s">
        <v>110</v>
      </c>
      <c r="B111">
        <f>IFERROR(VLOOKUP(A111,[1]Hoja1!$B$10:$AC$529,20,FALSE),0)</f>
        <v>4682</v>
      </c>
      <c r="C111">
        <f>IFERROR(VLOOKUP(A111,[2]Hoja1!$B$10:$AC$542,20,FALSE),0)</f>
        <v>0</v>
      </c>
      <c r="D111">
        <f>IFERROR(VLOOKUP(A111,[3]Hoja1!$B$10:$AC$523,20,FALSE),0)</f>
        <v>2929</v>
      </c>
      <c r="E111">
        <f>IFERROR(VLOOKUP(A111,[4]Hoja1!$B$10:$AC$531,20,FALSE),0)</f>
        <v>3858</v>
      </c>
      <c r="F111">
        <f>IFERROR(VLOOKUP(A111,[5]Hoja1!$B$10:$AC$500,20,FALSE),0)</f>
        <v>6585</v>
      </c>
    </row>
    <row r="112" spans="1:6" x14ac:dyDescent="0.2">
      <c r="A112" t="s">
        <v>111</v>
      </c>
      <c r="B112">
        <f>IFERROR(VLOOKUP(A112,[1]Hoja1!$B$10:$AC$529,20,FALSE),0)</f>
        <v>2076</v>
      </c>
      <c r="C112">
        <f>IFERROR(VLOOKUP(A112,[2]Hoja1!$B$10:$AC$542,20,FALSE),0)</f>
        <v>0</v>
      </c>
      <c r="D112">
        <f>IFERROR(VLOOKUP(A112,[3]Hoja1!$B$10:$AC$523,20,FALSE),0)</f>
        <v>2296</v>
      </c>
      <c r="E112">
        <f>IFERROR(VLOOKUP(A112,[4]Hoja1!$B$10:$AC$531,20,FALSE),0)</f>
        <v>2066</v>
      </c>
      <c r="F112">
        <f>IFERROR(VLOOKUP(A112,[5]Hoja1!$B$10:$AC$500,20,FALSE),0)</f>
        <v>2720</v>
      </c>
    </row>
    <row r="113" spans="1:6" x14ac:dyDescent="0.2">
      <c r="A113" t="s">
        <v>112</v>
      </c>
      <c r="B113">
        <f>IFERROR(VLOOKUP(A113,[1]Hoja1!$B$10:$AC$529,20,FALSE),0)</f>
        <v>51179</v>
      </c>
      <c r="C113">
        <f>IFERROR(VLOOKUP(A113,[2]Hoja1!$B$10:$AC$542,20,FALSE),0)</f>
        <v>37107</v>
      </c>
      <c r="D113">
        <f>IFERROR(VLOOKUP(A113,[3]Hoja1!$B$10:$AC$523,20,FALSE),0)</f>
        <v>14117</v>
      </c>
      <c r="E113">
        <f>IFERROR(VLOOKUP(A113,[4]Hoja1!$B$10:$AC$531,20,FALSE),0)</f>
        <v>24292</v>
      </c>
      <c r="F113">
        <f>IFERROR(VLOOKUP(A113,[5]Hoja1!$B$10:$AC$500,20,FALSE),0)</f>
        <v>49650</v>
      </c>
    </row>
    <row r="114" spans="1:6" x14ac:dyDescent="0.2">
      <c r="A114" t="s">
        <v>113</v>
      </c>
      <c r="B114">
        <f>IFERROR(VLOOKUP(A114,[1]Hoja1!$B$10:$AC$529,20,FALSE),0)</f>
        <v>5299</v>
      </c>
      <c r="C114">
        <f>IFERROR(VLOOKUP(A114,[2]Hoja1!$B$10:$AC$542,20,FALSE),0)</f>
        <v>3467</v>
      </c>
      <c r="D114">
        <f>IFERROR(VLOOKUP(A114,[3]Hoja1!$B$10:$AC$523,20,FALSE),0)</f>
        <v>964</v>
      </c>
      <c r="E114">
        <f>IFERROR(VLOOKUP(A114,[4]Hoja1!$B$10:$AC$531,20,FALSE),0)</f>
        <v>7731</v>
      </c>
      <c r="F114">
        <f>IFERROR(VLOOKUP(A114,[5]Hoja1!$B$10:$AC$500,20,FALSE),0)</f>
        <v>1444</v>
      </c>
    </row>
    <row r="115" spans="1:6" x14ac:dyDescent="0.2">
      <c r="A115" t="s">
        <v>114</v>
      </c>
      <c r="B115">
        <f>IFERROR(VLOOKUP(A115,[1]Hoja1!$B$10:$AC$529,20,FALSE),0)</f>
        <v>2676</v>
      </c>
      <c r="C115">
        <f>IFERROR(VLOOKUP(A115,[2]Hoja1!$B$10:$AC$542,20,FALSE),0)</f>
        <v>1656</v>
      </c>
      <c r="D115">
        <f>IFERROR(VLOOKUP(A115,[3]Hoja1!$B$10:$AC$523,20,FALSE),0)</f>
        <v>1111</v>
      </c>
      <c r="E115">
        <f>IFERROR(VLOOKUP(A115,[4]Hoja1!$B$10:$AC$531,20,FALSE),0)</f>
        <v>3233</v>
      </c>
      <c r="F115">
        <f>IFERROR(VLOOKUP(A115,[5]Hoja1!$B$10:$AC$500,20,FALSE),0)</f>
        <v>3640</v>
      </c>
    </row>
    <row r="116" spans="1:6" x14ac:dyDescent="0.2">
      <c r="A116" t="s">
        <v>115</v>
      </c>
      <c r="B116">
        <f>IFERROR(VLOOKUP(A116,[1]Hoja1!$B$10:$AC$529,20,FALSE),0)</f>
        <v>0</v>
      </c>
      <c r="C116">
        <f>IFERROR(VLOOKUP(A116,[2]Hoja1!$B$10:$AC$542,20,FALSE),0)</f>
        <v>1790</v>
      </c>
      <c r="D116">
        <f>IFERROR(VLOOKUP(A116,[3]Hoja1!$B$10:$AC$523,20,FALSE),0)</f>
        <v>207</v>
      </c>
      <c r="E116">
        <f>IFERROR(VLOOKUP(A116,[4]Hoja1!$B$10:$AC$531,20,FALSE),0)</f>
        <v>684</v>
      </c>
      <c r="F116">
        <f>IFERROR(VLOOKUP(A116,[5]Hoja1!$B$10:$AC$500,20,FALSE),0)</f>
        <v>1216</v>
      </c>
    </row>
    <row r="117" spans="1:6" x14ac:dyDescent="0.2">
      <c r="A117" t="s">
        <v>116</v>
      </c>
      <c r="B117">
        <f>IFERROR(VLOOKUP(A117,[1]Hoja1!$B$10:$AC$529,20,FALSE),0)</f>
        <v>14746</v>
      </c>
      <c r="C117">
        <f>IFERROR(VLOOKUP(A117,[2]Hoja1!$B$10:$AC$542,20,FALSE),0)</f>
        <v>9234</v>
      </c>
      <c r="D117">
        <f>IFERROR(VLOOKUP(A117,[3]Hoja1!$B$10:$AC$523,20,FALSE),0)</f>
        <v>9188</v>
      </c>
      <c r="E117">
        <f>IFERROR(VLOOKUP(A117,[4]Hoja1!$B$10:$AC$531,20,FALSE),0)</f>
        <v>6515</v>
      </c>
      <c r="F117">
        <f>IFERROR(VLOOKUP(A117,[5]Hoja1!$B$10:$AC$500,20,FALSE),0)</f>
        <v>16726</v>
      </c>
    </row>
    <row r="118" spans="1:6" x14ac:dyDescent="0.2">
      <c r="A118" t="s">
        <v>117</v>
      </c>
      <c r="B118">
        <f>IFERROR(VLOOKUP(A118,[1]Hoja1!$B$10:$AC$529,20,FALSE),0)</f>
        <v>11</v>
      </c>
      <c r="C118">
        <f>IFERROR(VLOOKUP(A118,[2]Hoja1!$B$10:$AC$542,20,FALSE),0)</f>
        <v>82</v>
      </c>
      <c r="D118">
        <f>IFERROR(VLOOKUP(A118,[3]Hoja1!$B$10:$AC$523,20,FALSE),0)</f>
        <v>14</v>
      </c>
      <c r="E118">
        <f>IFERROR(VLOOKUP(A118,[4]Hoja1!$B$10:$AC$531,20,FALSE),0)</f>
        <v>31</v>
      </c>
      <c r="F118">
        <f>IFERROR(VLOOKUP(A118,[5]Hoja1!$B$10:$AC$500,20,FALSE),0)</f>
        <v>74</v>
      </c>
    </row>
    <row r="119" spans="1:6" x14ac:dyDescent="0.2">
      <c r="A119" t="s">
        <v>118</v>
      </c>
      <c r="B119">
        <f>IFERROR(VLOOKUP(A119,[1]Hoja1!$B$10:$AC$529,20,FALSE),0)</f>
        <v>82</v>
      </c>
      <c r="C119">
        <f>IFERROR(VLOOKUP(A119,[2]Hoja1!$B$10:$AC$542,20,FALSE),0)</f>
        <v>170</v>
      </c>
      <c r="D119">
        <f>IFERROR(VLOOKUP(A119,[3]Hoja1!$B$10:$AC$523,20,FALSE),0)</f>
        <v>60</v>
      </c>
      <c r="E119">
        <f>IFERROR(VLOOKUP(A119,[4]Hoja1!$B$10:$AC$531,20,FALSE),0)</f>
        <v>18</v>
      </c>
      <c r="F119">
        <f>IFERROR(VLOOKUP(A119,[5]Hoja1!$B$10:$AC$500,20,FALSE),0)</f>
        <v>272</v>
      </c>
    </row>
    <row r="120" spans="1:6" x14ac:dyDescent="0.2">
      <c r="A120" t="s">
        <v>119</v>
      </c>
      <c r="B120">
        <f>IFERROR(VLOOKUP(A120,[1]Hoja1!$B$10:$AC$529,20,FALSE),0)</f>
        <v>7</v>
      </c>
      <c r="C120">
        <f>IFERROR(VLOOKUP(A120,[2]Hoja1!$B$10:$AC$542,20,FALSE),0)</f>
        <v>0</v>
      </c>
      <c r="D120">
        <f>IFERROR(VLOOKUP(A120,[3]Hoja1!$B$10:$AC$523,20,FALSE),0)</f>
        <v>0</v>
      </c>
      <c r="E120">
        <f>IFERROR(VLOOKUP(A120,[4]Hoja1!$B$10:$AC$531,20,FALSE),0)</f>
        <v>0</v>
      </c>
      <c r="F120">
        <f>IFERROR(VLOOKUP(A120,[5]Hoja1!$B$10:$AC$500,20,FALSE),0)</f>
        <v>0</v>
      </c>
    </row>
    <row r="121" spans="1:6" x14ac:dyDescent="0.2">
      <c r="A121" t="s">
        <v>120</v>
      </c>
      <c r="B121">
        <f>IFERROR(VLOOKUP(A121,[1]Hoja1!$B$10:$AC$529,20,FALSE),0)</f>
        <v>0</v>
      </c>
      <c r="C121">
        <f>IFERROR(VLOOKUP(A121,[2]Hoja1!$B$10:$AC$542,20,FALSE),0)</f>
        <v>13</v>
      </c>
      <c r="D121">
        <f>IFERROR(VLOOKUP(A121,[3]Hoja1!$B$10:$AC$523,20,FALSE),0)</f>
        <v>11</v>
      </c>
      <c r="E121">
        <f>IFERROR(VLOOKUP(A121,[4]Hoja1!$B$10:$AC$531,20,FALSE),0)</f>
        <v>0</v>
      </c>
      <c r="F121">
        <f>IFERROR(VLOOKUP(A121,[5]Hoja1!$B$10:$AC$500,20,FALSE),0)</f>
        <v>0</v>
      </c>
    </row>
    <row r="122" spans="1:6" x14ac:dyDescent="0.2">
      <c r="A122" t="s">
        <v>121</v>
      </c>
      <c r="B122">
        <f>IFERROR(VLOOKUP(A122,[1]Hoja1!$B$10:$AC$529,20,FALSE),0)</f>
        <v>1</v>
      </c>
      <c r="C122">
        <f>IFERROR(VLOOKUP(A122,[2]Hoja1!$B$10:$AC$542,20,FALSE),0)</f>
        <v>1</v>
      </c>
      <c r="D122">
        <f>IFERROR(VLOOKUP(A122,[3]Hoja1!$B$10:$AC$523,20,FALSE),0)</f>
        <v>7</v>
      </c>
      <c r="E122">
        <f>IFERROR(VLOOKUP(A122,[4]Hoja1!$B$10:$AC$531,20,FALSE),0)</f>
        <v>0</v>
      </c>
      <c r="F122">
        <f>IFERROR(VLOOKUP(A122,[5]Hoja1!$B$10:$AC$500,20,FALSE),0)</f>
        <v>0</v>
      </c>
    </row>
    <row r="123" spans="1:6" x14ac:dyDescent="0.2">
      <c r="A123" t="s">
        <v>122</v>
      </c>
      <c r="B123">
        <f>IFERROR(VLOOKUP(A123,[1]Hoja1!$B$10:$AC$529,20,FALSE),0)</f>
        <v>0</v>
      </c>
      <c r="C123">
        <f>IFERROR(VLOOKUP(A123,[2]Hoja1!$B$10:$AC$542,20,FALSE),0)</f>
        <v>18</v>
      </c>
      <c r="D123">
        <f>IFERROR(VLOOKUP(A123,[3]Hoja1!$B$10:$AC$523,20,FALSE),0)</f>
        <v>12</v>
      </c>
      <c r="E123">
        <f>IFERROR(VLOOKUP(A123,[4]Hoja1!$B$10:$AC$531,20,FALSE),0)</f>
        <v>9</v>
      </c>
      <c r="F123">
        <f>IFERROR(VLOOKUP(A123,[5]Hoja1!$B$10:$AC$500,20,FALSE),0)</f>
        <v>0</v>
      </c>
    </row>
    <row r="124" spans="1:6" x14ac:dyDescent="0.2">
      <c r="A124" t="s">
        <v>123</v>
      </c>
      <c r="B124">
        <f>IFERROR(VLOOKUP(A124,[1]Hoja1!$B$10:$AC$529,20,FALSE),0)</f>
        <v>0</v>
      </c>
      <c r="C124">
        <f>IFERROR(VLOOKUP(A124,[2]Hoja1!$B$10:$AC$542,20,FALSE),0)</f>
        <v>9</v>
      </c>
      <c r="D124">
        <f>IFERROR(VLOOKUP(A124,[3]Hoja1!$B$10:$AC$523,20,FALSE),0)</f>
        <v>0</v>
      </c>
      <c r="E124">
        <f>IFERROR(VLOOKUP(A124,[4]Hoja1!$B$10:$AC$531,20,FALSE),0)</f>
        <v>0</v>
      </c>
      <c r="F124">
        <f>IFERROR(VLOOKUP(A124,[5]Hoja1!$B$10:$AC$500,20,FALSE),0)</f>
        <v>27</v>
      </c>
    </row>
    <row r="125" spans="1:6" x14ac:dyDescent="0.2">
      <c r="A125" t="s">
        <v>124</v>
      </c>
      <c r="B125">
        <f>IFERROR(VLOOKUP(A125,[1]Hoja1!$B$10:$AC$529,20,FALSE),0)</f>
        <v>35</v>
      </c>
      <c r="C125">
        <f>IFERROR(VLOOKUP(A125,[2]Hoja1!$B$10:$AC$542,20,FALSE),0)</f>
        <v>23</v>
      </c>
      <c r="D125">
        <f>IFERROR(VLOOKUP(A125,[3]Hoja1!$B$10:$AC$523,20,FALSE),0)</f>
        <v>10</v>
      </c>
      <c r="E125">
        <f>IFERROR(VLOOKUP(A125,[4]Hoja1!$B$10:$AC$531,20,FALSE),0)</f>
        <v>13</v>
      </c>
      <c r="F125">
        <f>IFERROR(VLOOKUP(A125,[5]Hoja1!$B$10:$AC$500,20,FALSE),0)</f>
        <v>10</v>
      </c>
    </row>
    <row r="126" spans="1:6" x14ac:dyDescent="0.2">
      <c r="A126" t="s">
        <v>125</v>
      </c>
      <c r="B126">
        <f>IFERROR(VLOOKUP(A126,[1]Hoja1!$B$10:$AC$529,20,FALSE),0)</f>
        <v>14</v>
      </c>
      <c r="C126">
        <f>IFERROR(VLOOKUP(A126,[2]Hoja1!$B$10:$AC$542,20,FALSE),0)</f>
        <v>15</v>
      </c>
      <c r="D126">
        <f>IFERROR(VLOOKUP(A126,[3]Hoja1!$B$10:$AC$523,20,FALSE),0)</f>
        <v>22</v>
      </c>
      <c r="E126">
        <f>IFERROR(VLOOKUP(A126,[4]Hoja1!$B$10:$AC$531,20,FALSE),0)</f>
        <v>46</v>
      </c>
      <c r="F126">
        <f>IFERROR(VLOOKUP(A126,[5]Hoja1!$B$10:$AC$500,20,FALSE),0)</f>
        <v>41</v>
      </c>
    </row>
    <row r="127" spans="1:6" x14ac:dyDescent="0.2">
      <c r="A127" t="s">
        <v>126</v>
      </c>
      <c r="B127">
        <f>IFERROR(VLOOKUP(A127,[1]Hoja1!$B$10:$AC$529,20,FALSE),0)</f>
        <v>9</v>
      </c>
      <c r="C127">
        <f>IFERROR(VLOOKUP(A127,[2]Hoja1!$B$10:$AC$542,20,FALSE),0)</f>
        <v>118</v>
      </c>
      <c r="D127">
        <f>IFERROR(VLOOKUP(A127,[3]Hoja1!$B$10:$AC$523,20,FALSE),0)</f>
        <v>19</v>
      </c>
      <c r="E127">
        <f>IFERROR(VLOOKUP(A127,[4]Hoja1!$B$10:$AC$531,20,FALSE),0)</f>
        <v>54</v>
      </c>
      <c r="F127">
        <f>IFERROR(VLOOKUP(A127,[5]Hoja1!$B$10:$AC$500,20,FALSE),0)</f>
        <v>115</v>
      </c>
    </row>
    <row r="128" spans="1:6" x14ac:dyDescent="0.2">
      <c r="A128" t="s">
        <v>127</v>
      </c>
      <c r="B128">
        <f>IFERROR(VLOOKUP(A128,[1]Hoja1!$B$10:$AC$529,20,FALSE),0)</f>
        <v>33</v>
      </c>
      <c r="C128">
        <f>IFERROR(VLOOKUP(A128,[2]Hoja1!$B$10:$AC$542,20,FALSE),0)</f>
        <v>54</v>
      </c>
      <c r="D128">
        <f>IFERROR(VLOOKUP(A128,[3]Hoja1!$B$10:$AC$523,20,FALSE),0)</f>
        <v>39</v>
      </c>
      <c r="E128">
        <f>IFERROR(VLOOKUP(A128,[4]Hoja1!$B$10:$AC$531,20,FALSE),0)</f>
        <v>21</v>
      </c>
      <c r="F128">
        <f>IFERROR(VLOOKUP(A128,[5]Hoja1!$B$10:$AC$500,20,FALSE),0)</f>
        <v>12</v>
      </c>
    </row>
    <row r="129" spans="1:6" x14ac:dyDescent="0.2">
      <c r="A129" t="s">
        <v>128</v>
      </c>
      <c r="B129">
        <f>IFERROR(VLOOKUP(A129,[1]Hoja1!$B$10:$AC$529,20,FALSE),0)</f>
        <v>6</v>
      </c>
      <c r="C129">
        <f>IFERROR(VLOOKUP(A129,[2]Hoja1!$B$10:$AC$542,20,FALSE),0)</f>
        <v>0</v>
      </c>
      <c r="D129">
        <f>IFERROR(VLOOKUP(A129,[3]Hoja1!$B$10:$AC$523,20,FALSE),0)</f>
        <v>6</v>
      </c>
      <c r="E129">
        <f>IFERROR(VLOOKUP(A129,[4]Hoja1!$B$10:$AC$531,20,FALSE),0)</f>
        <v>15</v>
      </c>
      <c r="F129">
        <f>IFERROR(VLOOKUP(A129,[5]Hoja1!$B$10:$AC$500,20,FALSE),0)</f>
        <v>0</v>
      </c>
    </row>
    <row r="130" spans="1:6" x14ac:dyDescent="0.2">
      <c r="A130" t="s">
        <v>129</v>
      </c>
      <c r="B130">
        <f>IFERROR(VLOOKUP(A130,[1]Hoja1!$B$10:$AC$529,20,FALSE),0)</f>
        <v>28</v>
      </c>
      <c r="C130">
        <f>IFERROR(VLOOKUP(A130,[2]Hoja1!$B$10:$AC$542,20,FALSE),0)</f>
        <v>4</v>
      </c>
      <c r="D130">
        <f>IFERROR(VLOOKUP(A130,[3]Hoja1!$B$10:$AC$523,20,FALSE),0)</f>
        <v>10</v>
      </c>
      <c r="E130">
        <f>IFERROR(VLOOKUP(A130,[4]Hoja1!$B$10:$AC$531,20,FALSE),0)</f>
        <v>83</v>
      </c>
      <c r="F130">
        <f>IFERROR(VLOOKUP(A130,[5]Hoja1!$B$10:$AC$500,20,FALSE),0)</f>
        <v>0</v>
      </c>
    </row>
    <row r="131" spans="1:6" x14ac:dyDescent="0.2">
      <c r="A131" t="s">
        <v>130</v>
      </c>
      <c r="B131">
        <f>IFERROR(VLOOKUP(A131,[1]Hoja1!$B$10:$AC$529,20,FALSE),0)</f>
        <v>19</v>
      </c>
      <c r="C131">
        <f>IFERROR(VLOOKUP(A131,[2]Hoja1!$B$10:$AC$542,20,FALSE),0)</f>
        <v>24</v>
      </c>
      <c r="D131">
        <f>IFERROR(VLOOKUP(A131,[3]Hoja1!$B$10:$AC$523,20,FALSE),0)</f>
        <v>23</v>
      </c>
      <c r="E131">
        <f>IFERROR(VLOOKUP(A131,[4]Hoja1!$B$10:$AC$531,20,FALSE),0)</f>
        <v>0</v>
      </c>
      <c r="F131">
        <f>IFERROR(VLOOKUP(A131,[5]Hoja1!$B$10:$AC$500,20,FALSE),0)</f>
        <v>0</v>
      </c>
    </row>
    <row r="132" spans="1:6" x14ac:dyDescent="0.2">
      <c r="A132" t="s">
        <v>131</v>
      </c>
      <c r="B132">
        <f>IFERROR(VLOOKUP(A132,[1]Hoja1!$B$10:$AC$529,20,FALSE),0)</f>
        <v>6</v>
      </c>
      <c r="C132">
        <f>IFERROR(VLOOKUP(A132,[2]Hoja1!$B$10:$AC$542,20,FALSE),0)</f>
        <v>2</v>
      </c>
      <c r="D132">
        <f>IFERROR(VLOOKUP(A132,[3]Hoja1!$B$10:$AC$523,20,FALSE),0)</f>
        <v>21</v>
      </c>
      <c r="E132">
        <f>IFERROR(VLOOKUP(A132,[4]Hoja1!$B$10:$AC$531,20,FALSE),0)</f>
        <v>26</v>
      </c>
      <c r="F132">
        <f>IFERROR(VLOOKUP(A132,[5]Hoja1!$B$10:$AC$500,20,FALSE),0)</f>
        <v>0</v>
      </c>
    </row>
    <row r="133" spans="1:6" x14ac:dyDescent="0.2">
      <c r="A133" t="s">
        <v>132</v>
      </c>
      <c r="B133">
        <f>IFERROR(VLOOKUP(A133,[1]Hoja1!$B$10:$AC$529,20,FALSE),0)</f>
        <v>12</v>
      </c>
      <c r="C133">
        <f>IFERROR(VLOOKUP(A133,[2]Hoja1!$B$10:$AC$542,20,FALSE),0)</f>
        <v>9</v>
      </c>
      <c r="D133">
        <f>IFERROR(VLOOKUP(A133,[3]Hoja1!$B$10:$AC$523,20,FALSE),0)</f>
        <v>8</v>
      </c>
      <c r="E133">
        <f>IFERROR(VLOOKUP(A133,[4]Hoja1!$B$10:$AC$531,20,FALSE),0)</f>
        <v>8</v>
      </c>
      <c r="F133">
        <f>IFERROR(VLOOKUP(A133,[5]Hoja1!$B$10:$AC$500,20,FALSE),0)</f>
        <v>7</v>
      </c>
    </row>
    <row r="134" spans="1:6" x14ac:dyDescent="0.2">
      <c r="A134" t="s">
        <v>133</v>
      </c>
      <c r="B134">
        <f>IFERROR(VLOOKUP(A134,[1]Hoja1!$B$10:$AC$529,20,FALSE),0)</f>
        <v>60</v>
      </c>
      <c r="C134">
        <f>IFERROR(VLOOKUP(A134,[2]Hoja1!$B$10:$AC$542,20,FALSE),0)</f>
        <v>0</v>
      </c>
      <c r="D134">
        <f>IFERROR(VLOOKUP(A134,[3]Hoja1!$B$10:$AC$523,20,FALSE),0)</f>
        <v>60</v>
      </c>
      <c r="E134">
        <f>IFERROR(VLOOKUP(A134,[4]Hoja1!$B$10:$AC$531,20,FALSE),0)</f>
        <v>260</v>
      </c>
      <c r="F134">
        <f>IFERROR(VLOOKUP(A134,[5]Hoja1!$B$10:$AC$500,20,FALSE),0)</f>
        <v>260</v>
      </c>
    </row>
    <row r="135" spans="1:6" x14ac:dyDescent="0.2">
      <c r="A135" t="s">
        <v>134</v>
      </c>
      <c r="B135">
        <f>IFERROR(VLOOKUP(A135,[1]Hoja1!$B$10:$AC$529,20,FALSE),0)</f>
        <v>0</v>
      </c>
      <c r="C135">
        <f>IFERROR(VLOOKUP(A135,[2]Hoja1!$B$10:$AC$542,20,FALSE),0)</f>
        <v>0</v>
      </c>
      <c r="D135">
        <f>IFERROR(VLOOKUP(A135,[3]Hoja1!$B$10:$AC$523,20,FALSE),0)</f>
        <v>0</v>
      </c>
      <c r="E135">
        <f>IFERROR(VLOOKUP(A135,[4]Hoja1!$B$10:$AC$531,20,FALSE),0)</f>
        <v>0</v>
      </c>
      <c r="F135">
        <f>IFERROR(VLOOKUP(A135,[5]Hoja1!$B$10:$AC$500,20,FALSE),0)</f>
        <v>0</v>
      </c>
    </row>
    <row r="136" spans="1:6" x14ac:dyDescent="0.2">
      <c r="A136" t="s">
        <v>135</v>
      </c>
      <c r="B136">
        <f>IFERROR(VLOOKUP(A136,[1]Hoja1!$B$10:$AC$529,20,FALSE),0)</f>
        <v>60</v>
      </c>
      <c r="C136">
        <f>IFERROR(VLOOKUP(A136,[2]Hoja1!$B$10:$AC$542,20,FALSE),0)</f>
        <v>0</v>
      </c>
      <c r="D136">
        <f>IFERROR(VLOOKUP(A136,[3]Hoja1!$B$10:$AC$523,20,FALSE),0)</f>
        <v>120</v>
      </c>
      <c r="E136">
        <f>IFERROR(VLOOKUP(A136,[4]Hoja1!$B$10:$AC$531,20,FALSE),0)</f>
        <v>0</v>
      </c>
      <c r="F136">
        <f>IFERROR(VLOOKUP(A136,[5]Hoja1!$B$10:$AC$500,20,FALSE),0)</f>
        <v>0</v>
      </c>
    </row>
    <row r="137" spans="1:6" x14ac:dyDescent="0.2">
      <c r="A137" t="s">
        <v>136</v>
      </c>
      <c r="B137">
        <f>IFERROR(VLOOKUP(A137,[1]Hoja1!$B$10:$AC$529,20,FALSE),0)</f>
        <v>0</v>
      </c>
      <c r="C137">
        <f>IFERROR(VLOOKUP(A137,[2]Hoja1!$B$10:$AC$542,20,FALSE),0)</f>
        <v>0</v>
      </c>
      <c r="D137">
        <f>IFERROR(VLOOKUP(A137,[3]Hoja1!$B$10:$AC$523,20,FALSE),0)</f>
        <v>0</v>
      </c>
      <c r="E137">
        <f>IFERROR(VLOOKUP(A137,[4]Hoja1!$B$10:$AC$531,20,FALSE),0)</f>
        <v>0</v>
      </c>
      <c r="F137">
        <f>IFERROR(VLOOKUP(A137,[5]Hoja1!$B$10:$AC$500,20,FALSE),0)</f>
        <v>0</v>
      </c>
    </row>
    <row r="138" spans="1:6" x14ac:dyDescent="0.2">
      <c r="A138" t="s">
        <v>137</v>
      </c>
      <c r="B138">
        <f>IFERROR(VLOOKUP(A138,[1]Hoja1!$B$10:$AC$529,20,FALSE),0)</f>
        <v>25</v>
      </c>
      <c r="C138">
        <f>IFERROR(VLOOKUP(A138,[2]Hoja1!$B$10:$AC$542,20,FALSE),0)</f>
        <v>0</v>
      </c>
      <c r="D138">
        <f>IFERROR(VLOOKUP(A138,[3]Hoja1!$B$10:$AC$523,20,FALSE),0)</f>
        <v>270</v>
      </c>
      <c r="E138">
        <f>IFERROR(VLOOKUP(A138,[4]Hoja1!$B$10:$AC$531,20,FALSE),0)</f>
        <v>0</v>
      </c>
      <c r="F138">
        <f>IFERROR(VLOOKUP(A138,[5]Hoja1!$B$10:$AC$500,20,FALSE),0)</f>
        <v>0</v>
      </c>
    </row>
    <row r="139" spans="1:6" x14ac:dyDescent="0.2">
      <c r="A139" t="s">
        <v>138</v>
      </c>
      <c r="B139">
        <f>IFERROR(VLOOKUP(A139,[1]Hoja1!$B$10:$AC$529,20,FALSE),0)</f>
        <v>0</v>
      </c>
      <c r="C139">
        <f>IFERROR(VLOOKUP(A139,[2]Hoja1!$B$10:$AC$542,20,FALSE),0)</f>
        <v>0</v>
      </c>
      <c r="D139">
        <f>IFERROR(VLOOKUP(A139,[3]Hoja1!$B$10:$AC$523,20,FALSE),0)</f>
        <v>0</v>
      </c>
      <c r="E139">
        <f>IFERROR(VLOOKUP(A139,[4]Hoja1!$B$10:$AC$531,20,FALSE),0)</f>
        <v>4</v>
      </c>
      <c r="F139">
        <f>IFERROR(VLOOKUP(A139,[5]Hoja1!$B$10:$AC$500,20,FALSE),0)</f>
        <v>0</v>
      </c>
    </row>
    <row r="140" spans="1:6" x14ac:dyDescent="0.2">
      <c r="A140" t="s">
        <v>139</v>
      </c>
      <c r="B140">
        <f>IFERROR(VLOOKUP(A140,[1]Hoja1!$B$10:$AC$529,20,FALSE),0)</f>
        <v>105</v>
      </c>
      <c r="C140">
        <f>IFERROR(VLOOKUP(A140,[2]Hoja1!$B$10:$AC$542,20,FALSE),0)</f>
        <v>36</v>
      </c>
      <c r="D140">
        <f>IFERROR(VLOOKUP(A140,[3]Hoja1!$B$10:$AC$523,20,FALSE),0)</f>
        <v>317</v>
      </c>
      <c r="E140">
        <f>IFERROR(VLOOKUP(A140,[4]Hoja1!$B$10:$AC$531,20,FALSE),0)</f>
        <v>144</v>
      </c>
      <c r="F140">
        <f>IFERROR(VLOOKUP(A140,[5]Hoja1!$B$10:$AC$500,20,FALSE),0)</f>
        <v>275</v>
      </c>
    </row>
    <row r="141" spans="1:6" x14ac:dyDescent="0.2">
      <c r="A141" t="s">
        <v>140</v>
      </c>
      <c r="B141">
        <f>IFERROR(VLOOKUP(A141,[1]Hoja1!$B$10:$AC$529,20,FALSE),0)</f>
        <v>48</v>
      </c>
      <c r="C141">
        <f>IFERROR(VLOOKUP(A141,[2]Hoja1!$B$10:$AC$542,20,FALSE),0)</f>
        <v>3</v>
      </c>
      <c r="D141">
        <f>IFERROR(VLOOKUP(A141,[3]Hoja1!$B$10:$AC$523,20,FALSE),0)</f>
        <v>18</v>
      </c>
      <c r="E141">
        <f>IFERROR(VLOOKUP(A141,[4]Hoja1!$B$10:$AC$531,20,FALSE),0)</f>
        <v>12</v>
      </c>
      <c r="F141">
        <f>IFERROR(VLOOKUP(A141,[5]Hoja1!$B$10:$AC$500,20,FALSE),0)</f>
        <v>72</v>
      </c>
    </row>
    <row r="142" spans="1:6" x14ac:dyDescent="0.2">
      <c r="A142" t="s">
        <v>141</v>
      </c>
      <c r="B142">
        <f>IFERROR(VLOOKUP(A142,[1]Hoja1!$B$10:$AC$529,20,FALSE),0)</f>
        <v>380</v>
      </c>
      <c r="C142">
        <f>IFERROR(VLOOKUP(A142,[2]Hoja1!$B$10:$AC$542,20,FALSE),0)</f>
        <v>136</v>
      </c>
      <c r="D142">
        <f>IFERROR(VLOOKUP(A142,[3]Hoja1!$B$10:$AC$523,20,FALSE),0)</f>
        <v>536</v>
      </c>
      <c r="E142">
        <f>IFERROR(VLOOKUP(A142,[4]Hoja1!$B$10:$AC$531,20,FALSE),0)</f>
        <v>792</v>
      </c>
      <c r="F142">
        <f>IFERROR(VLOOKUP(A142,[5]Hoja1!$B$10:$AC$500,20,FALSE),0)</f>
        <v>377</v>
      </c>
    </row>
    <row r="143" spans="1:6" x14ac:dyDescent="0.2">
      <c r="A143" t="s">
        <v>142</v>
      </c>
      <c r="B143">
        <f>IFERROR(VLOOKUP(A143,[1]Hoja1!$B$10:$AC$529,20,FALSE),0)</f>
        <v>3</v>
      </c>
      <c r="C143">
        <f>IFERROR(VLOOKUP(A143,[2]Hoja1!$B$10:$AC$542,20,FALSE),0)</f>
        <v>3</v>
      </c>
      <c r="D143">
        <f>IFERROR(VLOOKUP(A143,[3]Hoja1!$B$10:$AC$523,20,FALSE),0)</f>
        <v>0</v>
      </c>
      <c r="E143">
        <f>IFERROR(VLOOKUP(A143,[4]Hoja1!$B$10:$AC$531,20,FALSE),0)</f>
        <v>0</v>
      </c>
      <c r="F143">
        <f>IFERROR(VLOOKUP(A143,[5]Hoja1!$B$10:$AC$500,20,FALSE),0)</f>
        <v>0</v>
      </c>
    </row>
    <row r="144" spans="1:6" x14ac:dyDescent="0.2">
      <c r="A144" t="s">
        <v>143</v>
      </c>
      <c r="B144">
        <f>IFERROR(VLOOKUP(A144,[1]Hoja1!$B$10:$AC$529,20,FALSE),0)</f>
        <v>63</v>
      </c>
      <c r="C144">
        <f>IFERROR(VLOOKUP(A144,[2]Hoja1!$B$10:$AC$542,20,FALSE),0)</f>
        <v>30</v>
      </c>
      <c r="D144">
        <f>IFERROR(VLOOKUP(A144,[3]Hoja1!$B$10:$AC$523,20,FALSE),0)</f>
        <v>0</v>
      </c>
      <c r="E144">
        <f>IFERROR(VLOOKUP(A144,[4]Hoja1!$B$10:$AC$531,20,FALSE),0)</f>
        <v>0</v>
      </c>
      <c r="F144">
        <f>IFERROR(VLOOKUP(A144,[5]Hoja1!$B$10:$AC$500,20,FALSE),0)</f>
        <v>0</v>
      </c>
    </row>
    <row r="145" spans="1:6" x14ac:dyDescent="0.2">
      <c r="A145" t="s">
        <v>144</v>
      </c>
      <c r="B145">
        <f>IFERROR(VLOOKUP(A145,[1]Hoja1!$B$10:$AC$529,20,FALSE),0)</f>
        <v>7</v>
      </c>
      <c r="C145">
        <f>IFERROR(VLOOKUP(A145,[2]Hoja1!$B$10:$AC$542,20,FALSE),0)</f>
        <v>17</v>
      </c>
      <c r="D145">
        <f>IFERROR(VLOOKUP(A145,[3]Hoja1!$B$10:$AC$523,20,FALSE),0)</f>
        <v>15</v>
      </c>
      <c r="E145">
        <f>IFERROR(VLOOKUP(A145,[4]Hoja1!$B$10:$AC$531,20,FALSE),0)</f>
        <v>0</v>
      </c>
      <c r="F145">
        <f>IFERROR(VLOOKUP(A145,[5]Hoja1!$B$10:$AC$500,20,FALSE),0)</f>
        <v>0</v>
      </c>
    </row>
    <row r="146" spans="1:6" x14ac:dyDescent="0.2">
      <c r="A146" t="s">
        <v>145</v>
      </c>
      <c r="B146">
        <f>IFERROR(VLOOKUP(A146,[1]Hoja1!$B$10:$AC$529,20,FALSE),0)</f>
        <v>0</v>
      </c>
      <c r="C146">
        <f>IFERROR(VLOOKUP(A146,[2]Hoja1!$B$10:$AC$542,20,FALSE),0)</f>
        <v>8</v>
      </c>
      <c r="D146">
        <f>IFERROR(VLOOKUP(A146,[3]Hoja1!$B$10:$AC$523,20,FALSE),0)</f>
        <v>4</v>
      </c>
      <c r="E146">
        <f>IFERROR(VLOOKUP(A146,[4]Hoja1!$B$10:$AC$531,20,FALSE),0)</f>
        <v>12</v>
      </c>
      <c r="F146">
        <f>IFERROR(VLOOKUP(A146,[5]Hoja1!$B$10:$AC$500,20,FALSE),0)</f>
        <v>1</v>
      </c>
    </row>
    <row r="147" spans="1:6" x14ac:dyDescent="0.2">
      <c r="A147" t="s">
        <v>146</v>
      </c>
      <c r="B147">
        <f>IFERROR(VLOOKUP(A147,[1]Hoja1!$B$10:$AC$529,20,FALSE),0)</f>
        <v>8</v>
      </c>
      <c r="C147">
        <f>IFERROR(VLOOKUP(A147,[2]Hoja1!$B$10:$AC$542,20,FALSE),0)</f>
        <v>6</v>
      </c>
      <c r="D147">
        <f>IFERROR(VLOOKUP(A147,[3]Hoja1!$B$10:$AC$523,20,FALSE),0)</f>
        <v>13</v>
      </c>
      <c r="E147">
        <f>IFERROR(VLOOKUP(A147,[4]Hoja1!$B$10:$AC$531,20,FALSE),0)</f>
        <v>36</v>
      </c>
      <c r="F147">
        <f>IFERROR(VLOOKUP(A147,[5]Hoja1!$B$10:$AC$500,20,FALSE),0)</f>
        <v>27</v>
      </c>
    </row>
    <row r="148" spans="1:6" x14ac:dyDescent="0.2">
      <c r="A148" t="s">
        <v>147</v>
      </c>
      <c r="B148">
        <f>IFERROR(VLOOKUP(A148,[1]Hoja1!$B$10:$AC$529,20,FALSE),0)</f>
        <v>2</v>
      </c>
      <c r="C148">
        <f>IFERROR(VLOOKUP(A148,[2]Hoja1!$B$10:$AC$542,20,FALSE),0)</f>
        <v>0</v>
      </c>
      <c r="D148">
        <f>IFERROR(VLOOKUP(A148,[3]Hoja1!$B$10:$AC$523,20,FALSE),0)</f>
        <v>20</v>
      </c>
      <c r="E148">
        <f>IFERROR(VLOOKUP(A148,[4]Hoja1!$B$10:$AC$531,20,FALSE),0)</f>
        <v>0</v>
      </c>
      <c r="F148">
        <f>IFERROR(VLOOKUP(A148,[5]Hoja1!$B$10:$AC$500,20,FALSE),0)</f>
        <v>0</v>
      </c>
    </row>
    <row r="149" spans="1:6" x14ac:dyDescent="0.2">
      <c r="A149" t="s">
        <v>148</v>
      </c>
      <c r="B149">
        <f>IFERROR(VLOOKUP(A149,[1]Hoja1!$B$10:$AC$529,20,FALSE),0)</f>
        <v>30</v>
      </c>
      <c r="C149">
        <f>IFERROR(VLOOKUP(A149,[2]Hoja1!$B$10:$AC$542,20,FALSE),0)</f>
        <v>14</v>
      </c>
      <c r="D149">
        <f>IFERROR(VLOOKUP(A149,[3]Hoja1!$B$10:$AC$523,20,FALSE),0)</f>
        <v>29</v>
      </c>
      <c r="E149">
        <f>IFERROR(VLOOKUP(A149,[4]Hoja1!$B$10:$AC$531,20,FALSE),0)</f>
        <v>50</v>
      </c>
      <c r="F149">
        <f>IFERROR(VLOOKUP(A149,[5]Hoja1!$B$10:$AC$500,20,FALSE),0)</f>
        <v>27</v>
      </c>
    </row>
    <row r="150" spans="1:6" x14ac:dyDescent="0.2">
      <c r="A150" t="s">
        <v>149</v>
      </c>
      <c r="B150">
        <f>IFERROR(VLOOKUP(A150,[1]Hoja1!$B$10:$AC$529,20,FALSE),0)</f>
        <v>11</v>
      </c>
      <c r="C150">
        <f>IFERROR(VLOOKUP(A150,[2]Hoja1!$B$10:$AC$542,20,FALSE),0)</f>
        <v>5</v>
      </c>
      <c r="D150">
        <f>IFERROR(VLOOKUP(A150,[3]Hoja1!$B$10:$AC$523,20,FALSE),0)</f>
        <v>0</v>
      </c>
      <c r="E150">
        <f>IFERROR(VLOOKUP(A150,[4]Hoja1!$B$10:$AC$531,20,FALSE),0)</f>
        <v>0</v>
      </c>
      <c r="F150">
        <f>IFERROR(VLOOKUP(A150,[5]Hoja1!$B$10:$AC$500,20,FALSE),0)</f>
        <v>0</v>
      </c>
    </row>
    <row r="151" spans="1:6" x14ac:dyDescent="0.2">
      <c r="A151" t="s">
        <v>150</v>
      </c>
      <c r="B151">
        <f>IFERROR(VLOOKUP(A151,[1]Hoja1!$B$10:$AC$529,20,FALSE),0)</f>
        <v>0</v>
      </c>
      <c r="C151">
        <f>IFERROR(VLOOKUP(A151,[2]Hoja1!$B$10:$AC$542,20,FALSE),0)</f>
        <v>2</v>
      </c>
      <c r="D151">
        <f>IFERROR(VLOOKUP(A151,[3]Hoja1!$B$10:$AC$523,20,FALSE),0)</f>
        <v>5</v>
      </c>
      <c r="E151">
        <f>IFERROR(VLOOKUP(A151,[4]Hoja1!$B$10:$AC$531,20,FALSE),0)</f>
        <v>7</v>
      </c>
      <c r="F151">
        <f>IFERROR(VLOOKUP(A151,[5]Hoja1!$B$10:$AC$500,20,FALSE),0)</f>
        <v>2</v>
      </c>
    </row>
    <row r="152" spans="1:6" x14ac:dyDescent="0.2">
      <c r="A152" t="s">
        <v>151</v>
      </c>
      <c r="B152">
        <f>IFERROR(VLOOKUP(A152,[1]Hoja1!$B$10:$AC$529,20,FALSE),0)</f>
        <v>885</v>
      </c>
      <c r="C152">
        <f>IFERROR(VLOOKUP(A152,[2]Hoja1!$B$10:$AC$542,20,FALSE),0)</f>
        <v>1885</v>
      </c>
      <c r="D152">
        <f>IFERROR(VLOOKUP(A152,[3]Hoja1!$B$10:$AC$523,20,FALSE),0)</f>
        <v>655</v>
      </c>
      <c r="E152">
        <f>IFERROR(VLOOKUP(A152,[4]Hoja1!$B$10:$AC$531,20,FALSE),0)</f>
        <v>2380</v>
      </c>
      <c r="F152">
        <f>IFERROR(VLOOKUP(A152,[5]Hoja1!$B$10:$AC$500,20,FALSE),0)</f>
        <v>0</v>
      </c>
    </row>
    <row r="153" spans="1:6" x14ac:dyDescent="0.2">
      <c r="A153" t="s">
        <v>152</v>
      </c>
      <c r="B153">
        <f>IFERROR(VLOOKUP(A153,[1]Hoja1!$B$10:$AC$529,20,FALSE),0)</f>
        <v>124</v>
      </c>
      <c r="C153">
        <f>IFERROR(VLOOKUP(A153,[2]Hoja1!$B$10:$AC$542,20,FALSE),0)</f>
        <v>103</v>
      </c>
      <c r="D153">
        <f>IFERROR(VLOOKUP(A153,[3]Hoja1!$B$10:$AC$523,20,FALSE),0)</f>
        <v>45</v>
      </c>
      <c r="E153">
        <f>IFERROR(VLOOKUP(A153,[4]Hoja1!$B$10:$AC$531,20,FALSE),0)</f>
        <v>89</v>
      </c>
      <c r="F153">
        <f>IFERROR(VLOOKUP(A153,[5]Hoja1!$B$10:$AC$500,20,FALSE),0)</f>
        <v>67</v>
      </c>
    </row>
    <row r="154" spans="1:6" x14ac:dyDescent="0.2">
      <c r="A154" t="s">
        <v>153</v>
      </c>
      <c r="B154">
        <f>IFERROR(VLOOKUP(A154,[1]Hoja1!$B$10:$AC$529,20,FALSE),0)</f>
        <v>305</v>
      </c>
      <c r="C154">
        <f>IFERROR(VLOOKUP(A154,[2]Hoja1!$B$10:$AC$542,20,FALSE),0)</f>
        <v>350</v>
      </c>
      <c r="D154">
        <f>IFERROR(VLOOKUP(A154,[3]Hoja1!$B$10:$AC$523,20,FALSE),0)</f>
        <v>330</v>
      </c>
      <c r="E154">
        <f>IFERROR(VLOOKUP(A154,[4]Hoja1!$B$10:$AC$531,20,FALSE),0)</f>
        <v>120</v>
      </c>
      <c r="F154">
        <f>IFERROR(VLOOKUP(A154,[5]Hoja1!$B$10:$AC$500,20,FALSE),0)</f>
        <v>75</v>
      </c>
    </row>
    <row r="155" spans="1:6" x14ac:dyDescent="0.2">
      <c r="A155" t="s">
        <v>154</v>
      </c>
      <c r="B155">
        <f>IFERROR(VLOOKUP(A155,[1]Hoja1!$B$10:$AC$529,20,FALSE),0)</f>
        <v>1572</v>
      </c>
      <c r="C155">
        <f>IFERROR(VLOOKUP(A155,[2]Hoja1!$B$10:$AC$542,20,FALSE),0)</f>
        <v>1665</v>
      </c>
      <c r="D155">
        <f>IFERROR(VLOOKUP(A155,[3]Hoja1!$B$10:$AC$523,20,FALSE),0)</f>
        <v>1484</v>
      </c>
      <c r="E155">
        <f>IFERROR(VLOOKUP(A155,[4]Hoja1!$B$10:$AC$531,20,FALSE),0)</f>
        <v>2763</v>
      </c>
      <c r="F155">
        <f>IFERROR(VLOOKUP(A155,[5]Hoja1!$B$10:$AC$500,20,FALSE),0)</f>
        <v>1583</v>
      </c>
    </row>
    <row r="156" spans="1:6" x14ac:dyDescent="0.2">
      <c r="A156" t="s">
        <v>155</v>
      </c>
      <c r="B156">
        <f>IFERROR(VLOOKUP(A156,[1]Hoja1!$B$10:$AC$529,20,FALSE),0)</f>
        <v>202</v>
      </c>
      <c r="C156">
        <f>IFERROR(VLOOKUP(A156,[2]Hoja1!$B$10:$AC$542,20,FALSE),0)</f>
        <v>192</v>
      </c>
      <c r="D156">
        <f>IFERROR(VLOOKUP(A156,[3]Hoja1!$B$10:$AC$523,20,FALSE),0)</f>
        <v>187</v>
      </c>
      <c r="E156">
        <f>IFERROR(VLOOKUP(A156,[4]Hoja1!$B$10:$AC$531,20,FALSE),0)</f>
        <v>68</v>
      </c>
      <c r="F156">
        <f>IFERROR(VLOOKUP(A156,[5]Hoja1!$B$10:$AC$500,20,FALSE),0)</f>
        <v>73</v>
      </c>
    </row>
    <row r="157" spans="1:6" x14ac:dyDescent="0.2">
      <c r="A157" t="s">
        <v>156</v>
      </c>
      <c r="B157">
        <f>IFERROR(VLOOKUP(A157,[1]Hoja1!$B$10:$AC$529,20,FALSE),0)</f>
        <v>109</v>
      </c>
      <c r="C157">
        <f>IFERROR(VLOOKUP(A157,[2]Hoja1!$B$10:$AC$542,20,FALSE),0)</f>
        <v>48</v>
      </c>
      <c r="D157">
        <f>IFERROR(VLOOKUP(A157,[3]Hoja1!$B$10:$AC$523,20,FALSE),0)</f>
        <v>98</v>
      </c>
      <c r="E157">
        <f>IFERROR(VLOOKUP(A157,[4]Hoja1!$B$10:$AC$531,20,FALSE),0)</f>
        <v>13</v>
      </c>
      <c r="F157">
        <f>IFERROR(VLOOKUP(A157,[5]Hoja1!$B$10:$AC$500,20,FALSE),0)</f>
        <v>60</v>
      </c>
    </row>
    <row r="158" spans="1:6" x14ac:dyDescent="0.2">
      <c r="A158" t="s">
        <v>157</v>
      </c>
      <c r="B158">
        <f>IFERROR(VLOOKUP(A158,[1]Hoja1!$B$10:$AC$529,20,FALSE),0)</f>
        <v>42</v>
      </c>
      <c r="C158">
        <f>IFERROR(VLOOKUP(A158,[2]Hoja1!$B$10:$AC$542,20,FALSE),0)</f>
        <v>17</v>
      </c>
      <c r="D158">
        <f>IFERROR(VLOOKUP(A158,[3]Hoja1!$B$10:$AC$523,20,FALSE),0)</f>
        <v>21</v>
      </c>
      <c r="E158">
        <f>IFERROR(VLOOKUP(A158,[4]Hoja1!$B$10:$AC$531,20,FALSE),0)</f>
        <v>10</v>
      </c>
      <c r="F158">
        <f>IFERROR(VLOOKUP(A158,[5]Hoja1!$B$10:$AC$500,20,FALSE),0)</f>
        <v>0</v>
      </c>
    </row>
    <row r="159" spans="1:6" x14ac:dyDescent="0.2">
      <c r="A159" t="s">
        <v>158</v>
      </c>
      <c r="B159">
        <f>IFERROR(VLOOKUP(A159,[1]Hoja1!$B$10:$AC$529,20,FALSE),0)</f>
        <v>1530</v>
      </c>
      <c r="C159">
        <f>IFERROR(VLOOKUP(A159,[2]Hoja1!$B$10:$AC$542,20,FALSE),0)</f>
        <v>1823</v>
      </c>
      <c r="D159">
        <f>IFERROR(VLOOKUP(A159,[3]Hoja1!$B$10:$AC$523,20,FALSE),0)</f>
        <v>1426</v>
      </c>
      <c r="E159">
        <f>IFERROR(VLOOKUP(A159,[4]Hoja1!$B$10:$AC$531,20,FALSE),0)</f>
        <v>1232</v>
      </c>
      <c r="F159">
        <f>IFERROR(VLOOKUP(A159,[5]Hoja1!$B$10:$AC$500,20,FALSE),0)</f>
        <v>4829</v>
      </c>
    </row>
    <row r="160" spans="1:6" x14ac:dyDescent="0.2">
      <c r="A160" t="s">
        <v>159</v>
      </c>
      <c r="B160">
        <f>IFERROR(VLOOKUP(A160,[1]Hoja1!$B$10:$AC$529,20,FALSE),0)</f>
        <v>845</v>
      </c>
      <c r="C160">
        <f>IFERROR(VLOOKUP(A160,[2]Hoja1!$B$10:$AC$542,20,FALSE),0)</f>
        <v>2193</v>
      </c>
      <c r="D160">
        <f>IFERROR(VLOOKUP(A160,[3]Hoja1!$B$10:$AC$523,20,FALSE),0)</f>
        <v>1116</v>
      </c>
      <c r="E160">
        <f>IFERROR(VLOOKUP(A160,[4]Hoja1!$B$10:$AC$531,20,FALSE),0)</f>
        <v>778</v>
      </c>
      <c r="F160">
        <f>IFERROR(VLOOKUP(A160,[5]Hoja1!$B$10:$AC$500,20,FALSE),0)</f>
        <v>910</v>
      </c>
    </row>
    <row r="161" spans="1:6" x14ac:dyDescent="0.2">
      <c r="A161" t="s">
        <v>160</v>
      </c>
      <c r="B161">
        <f>IFERROR(VLOOKUP(A161,[1]Hoja1!$B$10:$AC$529,20,FALSE),0)</f>
        <v>8430</v>
      </c>
      <c r="C161">
        <f>IFERROR(VLOOKUP(A161,[2]Hoja1!$B$10:$AC$542,20,FALSE),0)</f>
        <v>5710</v>
      </c>
      <c r="D161">
        <f>IFERROR(VLOOKUP(A161,[3]Hoja1!$B$10:$AC$523,20,FALSE),0)</f>
        <v>5183</v>
      </c>
      <c r="E161">
        <f>IFERROR(VLOOKUP(A161,[4]Hoja1!$B$10:$AC$531,20,FALSE),0)</f>
        <v>1070</v>
      </c>
      <c r="F161">
        <f>IFERROR(VLOOKUP(A161,[5]Hoja1!$B$10:$AC$500,20,FALSE),0)</f>
        <v>16323</v>
      </c>
    </row>
    <row r="162" spans="1:6" x14ac:dyDescent="0.2">
      <c r="A162" t="s">
        <v>161</v>
      </c>
      <c r="B162">
        <f>IFERROR(VLOOKUP(A162,[1]Hoja1!$B$10:$AC$529,20,FALSE),0)</f>
        <v>82</v>
      </c>
      <c r="C162">
        <f>IFERROR(VLOOKUP(A162,[2]Hoja1!$B$10:$AC$542,20,FALSE),0)</f>
        <v>82</v>
      </c>
      <c r="D162">
        <f>IFERROR(VLOOKUP(A162,[3]Hoja1!$B$10:$AC$523,20,FALSE),0)</f>
        <v>82</v>
      </c>
      <c r="E162">
        <f>IFERROR(VLOOKUP(A162,[4]Hoja1!$B$10:$AC$531,20,FALSE),0)</f>
        <v>0</v>
      </c>
      <c r="F162">
        <f>IFERROR(VLOOKUP(A162,[5]Hoja1!$B$10:$AC$500,20,FALSE),0)</f>
        <v>0</v>
      </c>
    </row>
    <row r="163" spans="1:6" x14ac:dyDescent="0.2">
      <c r="A163" t="s">
        <v>162</v>
      </c>
      <c r="B163">
        <f>IFERROR(VLOOKUP(A163,[1]Hoja1!$B$10:$AC$529,20,FALSE),0)</f>
        <v>10</v>
      </c>
      <c r="C163">
        <f>IFERROR(VLOOKUP(A163,[2]Hoja1!$B$10:$AC$542,20,FALSE),0)</f>
        <v>3</v>
      </c>
      <c r="D163">
        <f>IFERROR(VLOOKUP(A163,[3]Hoja1!$B$10:$AC$523,20,FALSE),0)</f>
        <v>2</v>
      </c>
      <c r="E163">
        <f>IFERROR(VLOOKUP(A163,[4]Hoja1!$B$10:$AC$531,20,FALSE),0)</f>
        <v>0</v>
      </c>
      <c r="F163">
        <f>IFERROR(VLOOKUP(A163,[5]Hoja1!$B$10:$AC$500,20,FALSE),0)</f>
        <v>0</v>
      </c>
    </row>
    <row r="164" spans="1:6" x14ac:dyDescent="0.2">
      <c r="A164" t="s">
        <v>163</v>
      </c>
      <c r="B164">
        <f>IFERROR(VLOOKUP(A164,[1]Hoja1!$B$10:$AC$529,20,FALSE),0)</f>
        <v>61</v>
      </c>
      <c r="C164">
        <f>IFERROR(VLOOKUP(A164,[2]Hoja1!$B$10:$AC$542,20,FALSE),0)</f>
        <v>233</v>
      </c>
      <c r="D164">
        <f>IFERROR(VLOOKUP(A164,[3]Hoja1!$B$10:$AC$523,20,FALSE),0)</f>
        <v>90</v>
      </c>
      <c r="E164">
        <f>IFERROR(VLOOKUP(A164,[4]Hoja1!$B$10:$AC$531,20,FALSE),0)</f>
        <v>461</v>
      </c>
      <c r="F164">
        <f>IFERROR(VLOOKUP(A164,[5]Hoja1!$B$10:$AC$500,20,FALSE),0)</f>
        <v>170</v>
      </c>
    </row>
    <row r="165" spans="1:6" x14ac:dyDescent="0.2">
      <c r="A165" t="s">
        <v>164</v>
      </c>
      <c r="B165">
        <f>IFERROR(VLOOKUP(A165,[1]Hoja1!$B$10:$AC$529,20,FALSE),0)</f>
        <v>2139</v>
      </c>
      <c r="C165">
        <f>IFERROR(VLOOKUP(A165,[2]Hoja1!$B$10:$AC$542,20,FALSE),0)</f>
        <v>2141</v>
      </c>
      <c r="D165">
        <f>IFERROR(VLOOKUP(A165,[3]Hoja1!$B$10:$AC$523,20,FALSE),0)</f>
        <v>2715</v>
      </c>
      <c r="E165">
        <f>IFERROR(VLOOKUP(A165,[4]Hoja1!$B$10:$AC$531,20,FALSE),0)</f>
        <v>1364</v>
      </c>
      <c r="F165">
        <f>IFERROR(VLOOKUP(A165,[5]Hoja1!$B$10:$AC$500,20,FALSE),0)</f>
        <v>458</v>
      </c>
    </row>
    <row r="166" spans="1:6" x14ac:dyDescent="0.2">
      <c r="A166" t="s">
        <v>165</v>
      </c>
      <c r="B166">
        <f>IFERROR(VLOOKUP(A166,[1]Hoja1!$B$10:$AC$529,20,FALSE),0)</f>
        <v>564</v>
      </c>
      <c r="C166">
        <f>IFERROR(VLOOKUP(A166,[2]Hoja1!$B$10:$AC$542,20,FALSE),0)</f>
        <v>33</v>
      </c>
      <c r="D166">
        <f>IFERROR(VLOOKUP(A166,[3]Hoja1!$B$10:$AC$523,20,FALSE),0)</f>
        <v>1091</v>
      </c>
      <c r="E166">
        <f>IFERROR(VLOOKUP(A166,[4]Hoja1!$B$10:$AC$531,20,FALSE),0)</f>
        <v>828</v>
      </c>
      <c r="F166">
        <f>IFERROR(VLOOKUP(A166,[5]Hoja1!$B$10:$AC$500,20,FALSE),0)</f>
        <v>822</v>
      </c>
    </row>
    <row r="167" spans="1:6" x14ac:dyDescent="0.2">
      <c r="A167" t="s">
        <v>166</v>
      </c>
      <c r="B167">
        <f>IFERROR(VLOOKUP(A167,[1]Hoja1!$B$10:$AC$529,20,FALSE),0)</f>
        <v>862</v>
      </c>
      <c r="C167">
        <f>IFERROR(VLOOKUP(A167,[2]Hoja1!$B$10:$AC$542,20,FALSE),0)</f>
        <v>320</v>
      </c>
      <c r="D167">
        <f>IFERROR(VLOOKUP(A167,[3]Hoja1!$B$10:$AC$523,20,FALSE),0)</f>
        <v>686</v>
      </c>
      <c r="E167">
        <f>IFERROR(VLOOKUP(A167,[4]Hoja1!$B$10:$AC$531,20,FALSE),0)</f>
        <v>0</v>
      </c>
      <c r="F167">
        <f>IFERROR(VLOOKUP(A167,[5]Hoja1!$B$10:$AC$500,20,FALSE),0)</f>
        <v>0</v>
      </c>
    </row>
    <row r="168" spans="1:6" x14ac:dyDescent="0.2">
      <c r="A168" t="s">
        <v>167</v>
      </c>
      <c r="B168">
        <f>IFERROR(VLOOKUP(A168,[1]Hoja1!$B$10:$AC$529,20,FALSE),0)</f>
        <v>24</v>
      </c>
      <c r="C168">
        <f>IFERROR(VLOOKUP(A168,[2]Hoja1!$B$10:$AC$542,20,FALSE),0)</f>
        <v>14</v>
      </c>
      <c r="D168">
        <f>IFERROR(VLOOKUP(A168,[3]Hoja1!$B$10:$AC$523,20,FALSE),0)</f>
        <v>27</v>
      </c>
      <c r="E168">
        <f>IFERROR(VLOOKUP(A168,[4]Hoja1!$B$10:$AC$531,20,FALSE),0)</f>
        <v>60</v>
      </c>
      <c r="F168">
        <f>IFERROR(VLOOKUP(A168,[5]Hoja1!$B$10:$AC$500,20,FALSE),0)</f>
        <v>38</v>
      </c>
    </row>
    <row r="169" spans="1:6" x14ac:dyDescent="0.2">
      <c r="A169" t="s">
        <v>168</v>
      </c>
      <c r="B169">
        <f>IFERROR(VLOOKUP(A169,[1]Hoja1!$B$10:$AC$529,20,FALSE),0)</f>
        <v>924</v>
      </c>
      <c r="C169">
        <f>IFERROR(VLOOKUP(A169,[2]Hoja1!$B$10:$AC$542,20,FALSE),0)</f>
        <v>919</v>
      </c>
      <c r="D169">
        <f>IFERROR(VLOOKUP(A169,[3]Hoja1!$B$10:$AC$523,20,FALSE),0)</f>
        <v>1561</v>
      </c>
      <c r="E169">
        <f>IFERROR(VLOOKUP(A169,[4]Hoja1!$B$10:$AC$531,20,FALSE),0)</f>
        <v>1275</v>
      </c>
      <c r="F169">
        <f>IFERROR(VLOOKUP(A169,[5]Hoja1!$B$10:$AC$500,20,FALSE),0)</f>
        <v>554</v>
      </c>
    </row>
    <row r="170" spans="1:6" x14ac:dyDescent="0.2">
      <c r="A170" t="s">
        <v>169</v>
      </c>
      <c r="B170">
        <f>IFERROR(VLOOKUP(A170,[1]Hoja1!$B$10:$AC$529,20,FALSE),0)</f>
        <v>115</v>
      </c>
      <c r="C170">
        <f>IFERROR(VLOOKUP(A170,[2]Hoja1!$B$10:$AC$542,20,FALSE),0)</f>
        <v>128</v>
      </c>
      <c r="D170">
        <f>IFERROR(VLOOKUP(A170,[3]Hoja1!$B$10:$AC$523,20,FALSE),0)</f>
        <v>151</v>
      </c>
      <c r="E170">
        <f>IFERROR(VLOOKUP(A170,[4]Hoja1!$B$10:$AC$531,20,FALSE),0)</f>
        <v>76</v>
      </c>
      <c r="F170">
        <f>IFERROR(VLOOKUP(A170,[5]Hoja1!$B$10:$AC$500,20,FALSE),0)</f>
        <v>148</v>
      </c>
    </row>
    <row r="171" spans="1:6" x14ac:dyDescent="0.2">
      <c r="A171" t="s">
        <v>170</v>
      </c>
      <c r="B171">
        <f>IFERROR(VLOOKUP(A171,[1]Hoja1!$B$10:$AC$529,20,FALSE),0)</f>
        <v>110</v>
      </c>
      <c r="C171">
        <f>IFERROR(VLOOKUP(A171,[2]Hoja1!$B$10:$AC$542,20,FALSE),0)</f>
        <v>67</v>
      </c>
      <c r="D171">
        <f>IFERROR(VLOOKUP(A171,[3]Hoja1!$B$10:$AC$523,20,FALSE),0)</f>
        <v>58</v>
      </c>
      <c r="E171">
        <f>IFERROR(VLOOKUP(A171,[4]Hoja1!$B$10:$AC$531,20,FALSE),0)</f>
        <v>136</v>
      </c>
      <c r="F171">
        <f>IFERROR(VLOOKUP(A171,[5]Hoja1!$B$10:$AC$500,20,FALSE),0)</f>
        <v>136</v>
      </c>
    </row>
    <row r="172" spans="1:6" x14ac:dyDescent="0.2">
      <c r="A172" t="s">
        <v>171</v>
      </c>
      <c r="B172">
        <f>IFERROR(VLOOKUP(A172,[1]Hoja1!$B$10:$AC$529,20,FALSE),0)</f>
        <v>98</v>
      </c>
      <c r="C172">
        <f>IFERROR(VLOOKUP(A172,[2]Hoja1!$B$10:$AC$542,20,FALSE),0)</f>
        <v>74</v>
      </c>
      <c r="D172">
        <f>IFERROR(VLOOKUP(A172,[3]Hoja1!$B$10:$AC$523,20,FALSE),0)</f>
        <v>38</v>
      </c>
      <c r="E172">
        <f>IFERROR(VLOOKUP(A172,[4]Hoja1!$B$10:$AC$531,20,FALSE),0)</f>
        <v>14</v>
      </c>
      <c r="F172">
        <f>IFERROR(VLOOKUP(A172,[5]Hoja1!$B$10:$AC$500,20,FALSE),0)</f>
        <v>11</v>
      </c>
    </row>
    <row r="173" spans="1:6" x14ac:dyDescent="0.2">
      <c r="A173" t="s">
        <v>172</v>
      </c>
      <c r="B173">
        <f>IFERROR(VLOOKUP(A173,[1]Hoja1!$B$10:$AC$529,20,FALSE),0)</f>
        <v>149</v>
      </c>
      <c r="C173">
        <f>IFERROR(VLOOKUP(A173,[2]Hoja1!$B$10:$AC$542,20,FALSE),0)</f>
        <v>68</v>
      </c>
      <c r="D173">
        <f>IFERROR(VLOOKUP(A173,[3]Hoja1!$B$10:$AC$523,20,FALSE),0)</f>
        <v>14</v>
      </c>
      <c r="E173">
        <f>IFERROR(VLOOKUP(A173,[4]Hoja1!$B$10:$AC$531,20,FALSE),0)</f>
        <v>65</v>
      </c>
      <c r="F173">
        <f>IFERROR(VLOOKUP(A173,[5]Hoja1!$B$10:$AC$500,20,FALSE),0)</f>
        <v>127</v>
      </c>
    </row>
    <row r="174" spans="1:6" x14ac:dyDescent="0.2">
      <c r="A174" t="s">
        <v>173</v>
      </c>
      <c r="B174">
        <f>IFERROR(VLOOKUP(A174,[1]Hoja1!$B$10:$AC$529,20,FALSE),0)</f>
        <v>189</v>
      </c>
      <c r="C174">
        <f>IFERROR(VLOOKUP(A174,[2]Hoja1!$B$10:$AC$542,20,FALSE),0)</f>
        <v>51</v>
      </c>
      <c r="D174">
        <f>IFERROR(VLOOKUP(A174,[3]Hoja1!$B$10:$AC$523,20,FALSE),0)</f>
        <v>261</v>
      </c>
      <c r="E174">
        <f>IFERROR(VLOOKUP(A174,[4]Hoja1!$B$10:$AC$531,20,FALSE),0)</f>
        <v>248</v>
      </c>
      <c r="F174">
        <f>IFERROR(VLOOKUP(A174,[5]Hoja1!$B$10:$AC$500,20,FALSE),0)</f>
        <v>457</v>
      </c>
    </row>
    <row r="175" spans="1:6" x14ac:dyDescent="0.2">
      <c r="A175" t="s">
        <v>174</v>
      </c>
      <c r="B175">
        <f>IFERROR(VLOOKUP(A175,[1]Hoja1!$B$10:$AC$529,20,FALSE),0)</f>
        <v>257</v>
      </c>
      <c r="C175">
        <f>IFERROR(VLOOKUP(A175,[2]Hoja1!$B$10:$AC$542,20,FALSE),0)</f>
        <v>98</v>
      </c>
      <c r="D175">
        <f>IFERROR(VLOOKUP(A175,[3]Hoja1!$B$10:$AC$523,20,FALSE),0)</f>
        <v>348</v>
      </c>
      <c r="E175">
        <f>IFERROR(VLOOKUP(A175,[4]Hoja1!$B$10:$AC$531,20,FALSE),0)</f>
        <v>84</v>
      </c>
      <c r="F175">
        <f>IFERROR(VLOOKUP(A175,[5]Hoja1!$B$10:$AC$500,20,FALSE),0)</f>
        <v>36</v>
      </c>
    </row>
    <row r="176" spans="1:6" x14ac:dyDescent="0.2">
      <c r="A176" t="s">
        <v>175</v>
      </c>
      <c r="B176">
        <f>IFERROR(VLOOKUP(A176,[1]Hoja1!$B$10:$AC$529,20,FALSE),0)</f>
        <v>7</v>
      </c>
      <c r="C176">
        <f>IFERROR(VLOOKUP(A176,[2]Hoja1!$B$10:$AC$542,20,FALSE),0)</f>
        <v>3</v>
      </c>
      <c r="D176">
        <f>IFERROR(VLOOKUP(A176,[3]Hoja1!$B$10:$AC$523,20,FALSE),0)</f>
        <v>1</v>
      </c>
      <c r="E176">
        <f>IFERROR(VLOOKUP(A176,[4]Hoja1!$B$10:$AC$531,20,FALSE),0)</f>
        <v>1</v>
      </c>
      <c r="F176">
        <f>IFERROR(VLOOKUP(A176,[5]Hoja1!$B$10:$AC$500,20,FALSE),0)</f>
        <v>0</v>
      </c>
    </row>
    <row r="177" spans="1:6" x14ac:dyDescent="0.2">
      <c r="A177" t="s">
        <v>176</v>
      </c>
      <c r="B177">
        <f>IFERROR(VLOOKUP(A177,[1]Hoja1!$B$10:$AC$529,20,FALSE),0)</f>
        <v>765</v>
      </c>
      <c r="C177">
        <f>IFERROR(VLOOKUP(A177,[2]Hoja1!$B$10:$AC$542,20,FALSE),0)</f>
        <v>1377</v>
      </c>
      <c r="D177">
        <f>IFERROR(VLOOKUP(A177,[3]Hoja1!$B$10:$AC$523,20,FALSE),0)</f>
        <v>50</v>
      </c>
      <c r="E177">
        <f>IFERROR(VLOOKUP(A177,[4]Hoja1!$B$10:$AC$531,20,FALSE),0)</f>
        <v>167</v>
      </c>
      <c r="F177">
        <f>IFERROR(VLOOKUP(A177,[5]Hoja1!$B$10:$AC$500,20,FALSE),0)</f>
        <v>380</v>
      </c>
    </row>
    <row r="178" spans="1:6" x14ac:dyDescent="0.2">
      <c r="A178" t="s">
        <v>177</v>
      </c>
      <c r="B178">
        <f>IFERROR(VLOOKUP(A178,[1]Hoja1!$B$10:$AC$529,20,FALSE),0)</f>
        <v>1173</v>
      </c>
      <c r="C178">
        <f>IFERROR(VLOOKUP(A178,[2]Hoja1!$B$10:$AC$542,20,FALSE),0)</f>
        <v>1146</v>
      </c>
      <c r="D178">
        <f>IFERROR(VLOOKUP(A178,[3]Hoja1!$B$10:$AC$523,20,FALSE),0)</f>
        <v>1119</v>
      </c>
      <c r="E178">
        <f>IFERROR(VLOOKUP(A178,[4]Hoja1!$B$10:$AC$531,20,FALSE),0)</f>
        <v>1105</v>
      </c>
      <c r="F178">
        <f>IFERROR(VLOOKUP(A178,[5]Hoja1!$B$10:$AC$500,20,FALSE),0)</f>
        <v>2163</v>
      </c>
    </row>
    <row r="179" spans="1:6" x14ac:dyDescent="0.2">
      <c r="A179" t="s">
        <v>178</v>
      </c>
      <c r="B179">
        <f>IFERROR(VLOOKUP(A179,[1]Hoja1!$B$10:$AC$529,20,FALSE),0)</f>
        <v>178</v>
      </c>
      <c r="C179">
        <f>IFERROR(VLOOKUP(A179,[2]Hoja1!$B$10:$AC$542,20,FALSE),0)</f>
        <v>65</v>
      </c>
      <c r="D179">
        <f>IFERROR(VLOOKUP(A179,[3]Hoja1!$B$10:$AC$523,20,FALSE),0)</f>
        <v>137</v>
      </c>
      <c r="E179">
        <f>IFERROR(VLOOKUP(A179,[4]Hoja1!$B$10:$AC$531,20,FALSE),0)</f>
        <v>81</v>
      </c>
      <c r="F179">
        <f>IFERROR(VLOOKUP(A179,[5]Hoja1!$B$10:$AC$500,20,FALSE),0)</f>
        <v>61</v>
      </c>
    </row>
    <row r="180" spans="1:6" x14ac:dyDescent="0.2">
      <c r="A180" t="s">
        <v>179</v>
      </c>
      <c r="B180">
        <f>IFERROR(VLOOKUP(A180,[1]Hoja1!$B$10:$AC$529,20,FALSE),0)</f>
        <v>804</v>
      </c>
      <c r="C180">
        <f>IFERROR(VLOOKUP(A180,[2]Hoja1!$B$10:$AC$542,20,FALSE),0)</f>
        <v>222</v>
      </c>
      <c r="D180">
        <f>IFERROR(VLOOKUP(A180,[3]Hoja1!$B$10:$AC$523,20,FALSE),0)</f>
        <v>486</v>
      </c>
      <c r="E180">
        <f>IFERROR(VLOOKUP(A180,[4]Hoja1!$B$10:$AC$531,20,FALSE),0)</f>
        <v>400</v>
      </c>
      <c r="F180">
        <f>IFERROR(VLOOKUP(A180,[5]Hoja1!$B$10:$AC$500,20,FALSE),0)</f>
        <v>585</v>
      </c>
    </row>
    <row r="181" spans="1:6" x14ac:dyDescent="0.2">
      <c r="A181" t="s">
        <v>180</v>
      </c>
      <c r="B181">
        <f>IFERROR(VLOOKUP(A181,[1]Hoja1!$B$10:$AC$529,20,FALSE),0)</f>
        <v>68</v>
      </c>
      <c r="C181">
        <f>IFERROR(VLOOKUP(A181,[2]Hoja1!$B$10:$AC$542,20,FALSE),0)</f>
        <v>46</v>
      </c>
      <c r="D181">
        <f>IFERROR(VLOOKUP(A181,[3]Hoja1!$B$10:$AC$523,20,FALSE),0)</f>
        <v>0</v>
      </c>
      <c r="E181">
        <f>IFERROR(VLOOKUP(A181,[4]Hoja1!$B$10:$AC$531,20,FALSE),0)</f>
        <v>0</v>
      </c>
      <c r="F181">
        <f>IFERROR(VLOOKUP(A181,[5]Hoja1!$B$10:$AC$500,20,FALSE),0)</f>
        <v>0</v>
      </c>
    </row>
    <row r="182" spans="1:6" x14ac:dyDescent="0.2">
      <c r="A182" t="s">
        <v>181</v>
      </c>
      <c r="B182">
        <f>IFERROR(VLOOKUP(A182,[1]Hoja1!$B$10:$AC$529,20,FALSE),0)</f>
        <v>458</v>
      </c>
      <c r="C182">
        <f>IFERROR(VLOOKUP(A182,[2]Hoja1!$B$10:$AC$542,20,FALSE),0)</f>
        <v>363</v>
      </c>
      <c r="D182">
        <f>IFERROR(VLOOKUP(A182,[3]Hoja1!$B$10:$AC$523,20,FALSE),0)</f>
        <v>61</v>
      </c>
      <c r="E182">
        <f>IFERROR(VLOOKUP(A182,[4]Hoja1!$B$10:$AC$531,20,FALSE),0)</f>
        <v>921</v>
      </c>
      <c r="F182">
        <f>IFERROR(VLOOKUP(A182,[5]Hoja1!$B$10:$AC$500,20,FALSE),0)</f>
        <v>221</v>
      </c>
    </row>
    <row r="183" spans="1:6" x14ac:dyDescent="0.2">
      <c r="A183" t="s">
        <v>182</v>
      </c>
      <c r="B183">
        <f>IFERROR(VLOOKUP(A183,[1]Hoja1!$B$10:$AC$529,20,FALSE),0)</f>
        <v>15</v>
      </c>
      <c r="C183">
        <f>IFERROR(VLOOKUP(A183,[2]Hoja1!$B$10:$AC$542,20,FALSE),0)</f>
        <v>28</v>
      </c>
      <c r="D183">
        <f>IFERROR(VLOOKUP(A183,[3]Hoja1!$B$10:$AC$523,20,FALSE),0)</f>
        <v>37</v>
      </c>
      <c r="E183">
        <f>IFERROR(VLOOKUP(A183,[4]Hoja1!$B$10:$AC$531,20,FALSE),0)</f>
        <v>17</v>
      </c>
      <c r="F183">
        <f>IFERROR(VLOOKUP(A183,[5]Hoja1!$B$10:$AC$500,20,FALSE),0)</f>
        <v>7</v>
      </c>
    </row>
    <row r="184" spans="1:6" x14ac:dyDescent="0.2">
      <c r="A184" t="s">
        <v>183</v>
      </c>
      <c r="B184">
        <f>IFERROR(VLOOKUP(A184,[1]Hoja1!$B$10:$AC$529,20,FALSE),0)</f>
        <v>304</v>
      </c>
      <c r="C184">
        <f>IFERROR(VLOOKUP(A184,[2]Hoja1!$B$10:$AC$542,20,FALSE),0)</f>
        <v>219</v>
      </c>
      <c r="D184">
        <f>IFERROR(VLOOKUP(A184,[3]Hoja1!$B$10:$AC$523,20,FALSE),0)</f>
        <v>263</v>
      </c>
      <c r="E184">
        <f>IFERROR(VLOOKUP(A184,[4]Hoja1!$B$10:$AC$531,20,FALSE),0)</f>
        <v>33</v>
      </c>
      <c r="F184">
        <f>IFERROR(VLOOKUP(A184,[5]Hoja1!$B$10:$AC$500,20,FALSE),0)</f>
        <v>381</v>
      </c>
    </row>
    <row r="185" spans="1:6" x14ac:dyDescent="0.2">
      <c r="A185" t="s">
        <v>184</v>
      </c>
      <c r="B185">
        <f>IFERROR(VLOOKUP(A185,[1]Hoja1!$B$10:$AC$529,20,FALSE),0)</f>
        <v>523</v>
      </c>
      <c r="C185">
        <f>IFERROR(VLOOKUP(A185,[2]Hoja1!$B$10:$AC$542,20,FALSE),0)</f>
        <v>185</v>
      </c>
      <c r="D185">
        <f>IFERROR(VLOOKUP(A185,[3]Hoja1!$B$10:$AC$523,20,FALSE),0)</f>
        <v>304</v>
      </c>
      <c r="E185">
        <f>IFERROR(VLOOKUP(A185,[4]Hoja1!$B$10:$AC$531,20,FALSE),0)</f>
        <v>168</v>
      </c>
      <c r="F185">
        <f>IFERROR(VLOOKUP(A185,[5]Hoja1!$B$10:$AC$500,20,FALSE),0)</f>
        <v>1728</v>
      </c>
    </row>
    <row r="186" spans="1:6" x14ac:dyDescent="0.2">
      <c r="A186" t="s">
        <v>185</v>
      </c>
      <c r="B186">
        <f>IFERROR(VLOOKUP(A186,[1]Hoja1!$B$10:$AC$529,20,FALSE),0)</f>
        <v>777</v>
      </c>
      <c r="C186">
        <f>IFERROR(VLOOKUP(A186,[2]Hoja1!$B$10:$AC$542,20,FALSE),0)</f>
        <v>502</v>
      </c>
      <c r="D186">
        <f>IFERROR(VLOOKUP(A186,[3]Hoja1!$B$10:$AC$523,20,FALSE),0)</f>
        <v>188</v>
      </c>
      <c r="E186">
        <f>IFERROR(VLOOKUP(A186,[4]Hoja1!$B$10:$AC$531,20,FALSE),0)</f>
        <v>65</v>
      </c>
      <c r="F186">
        <f>IFERROR(VLOOKUP(A186,[5]Hoja1!$B$10:$AC$500,20,FALSE),0)</f>
        <v>4</v>
      </c>
    </row>
    <row r="187" spans="1:6" x14ac:dyDescent="0.2">
      <c r="A187" t="s">
        <v>186</v>
      </c>
      <c r="B187">
        <f>IFERROR(VLOOKUP(A187,[1]Hoja1!$B$10:$AC$529,20,FALSE),0)</f>
        <v>88</v>
      </c>
      <c r="C187">
        <f>IFERROR(VLOOKUP(A187,[2]Hoja1!$B$10:$AC$542,20,FALSE),0)</f>
        <v>106</v>
      </c>
      <c r="D187">
        <f>IFERROR(VLOOKUP(A187,[3]Hoja1!$B$10:$AC$523,20,FALSE),0)</f>
        <v>150</v>
      </c>
      <c r="E187">
        <f>IFERROR(VLOOKUP(A187,[4]Hoja1!$B$10:$AC$531,20,FALSE),0)</f>
        <v>35</v>
      </c>
      <c r="F187">
        <f>IFERROR(VLOOKUP(A187,[5]Hoja1!$B$10:$AC$500,20,FALSE),0)</f>
        <v>0</v>
      </c>
    </row>
    <row r="188" spans="1:6" x14ac:dyDescent="0.2">
      <c r="A188" t="s">
        <v>187</v>
      </c>
      <c r="B188">
        <f>IFERROR(VLOOKUP(A188,[1]Hoja1!$B$10:$AC$529,20,FALSE),0)</f>
        <v>138</v>
      </c>
      <c r="C188">
        <f>IFERROR(VLOOKUP(A188,[2]Hoja1!$B$10:$AC$542,20,FALSE),0)</f>
        <v>523</v>
      </c>
      <c r="D188">
        <f>IFERROR(VLOOKUP(A188,[3]Hoja1!$B$10:$AC$523,20,FALSE),0)</f>
        <v>106</v>
      </c>
      <c r="E188">
        <f>IFERROR(VLOOKUP(A188,[4]Hoja1!$B$10:$AC$531,20,FALSE),0)</f>
        <v>180</v>
      </c>
      <c r="F188">
        <f>IFERROR(VLOOKUP(A188,[5]Hoja1!$B$10:$AC$500,20,FALSE),0)</f>
        <v>0</v>
      </c>
    </row>
    <row r="189" spans="1:6" x14ac:dyDescent="0.2">
      <c r="A189" t="s">
        <v>188</v>
      </c>
      <c r="B189">
        <f>IFERROR(VLOOKUP(A189,[1]Hoja1!$B$10:$AC$529,20,FALSE),0)</f>
        <v>986</v>
      </c>
      <c r="C189">
        <f>IFERROR(VLOOKUP(A189,[2]Hoja1!$B$10:$AC$542,20,FALSE),0)</f>
        <v>760</v>
      </c>
      <c r="D189">
        <f>IFERROR(VLOOKUP(A189,[3]Hoja1!$B$10:$AC$523,20,FALSE),0)</f>
        <v>445</v>
      </c>
      <c r="E189">
        <f>IFERROR(VLOOKUP(A189,[4]Hoja1!$B$10:$AC$531,20,FALSE),0)</f>
        <v>325</v>
      </c>
      <c r="F189">
        <f>IFERROR(VLOOKUP(A189,[5]Hoja1!$B$10:$AC$500,20,FALSE),0)</f>
        <v>245</v>
      </c>
    </row>
    <row r="190" spans="1:6" x14ac:dyDescent="0.2">
      <c r="A190" t="s">
        <v>189</v>
      </c>
      <c r="B190">
        <f>IFERROR(VLOOKUP(A190,[1]Hoja1!$B$10:$AC$529,20,FALSE),0)</f>
        <v>97</v>
      </c>
      <c r="C190">
        <f>IFERROR(VLOOKUP(A190,[2]Hoja1!$B$10:$AC$542,20,FALSE),0)</f>
        <v>324</v>
      </c>
      <c r="D190">
        <f>IFERROR(VLOOKUP(A190,[3]Hoja1!$B$10:$AC$523,20,FALSE),0)</f>
        <v>4</v>
      </c>
      <c r="E190">
        <f>IFERROR(VLOOKUP(A190,[4]Hoja1!$B$10:$AC$531,20,FALSE),0)</f>
        <v>158</v>
      </c>
      <c r="F190">
        <f>IFERROR(VLOOKUP(A190,[5]Hoja1!$B$10:$AC$500,20,FALSE),0)</f>
        <v>137</v>
      </c>
    </row>
    <row r="191" spans="1:6" x14ac:dyDescent="0.2">
      <c r="A191" t="s">
        <v>190</v>
      </c>
      <c r="B191">
        <f>IFERROR(VLOOKUP(A191,[1]Hoja1!$B$10:$AC$529,20,FALSE),0)</f>
        <v>27</v>
      </c>
      <c r="C191">
        <f>IFERROR(VLOOKUP(A191,[2]Hoja1!$B$10:$AC$542,20,FALSE),0)</f>
        <v>23</v>
      </c>
      <c r="D191">
        <f>IFERROR(VLOOKUP(A191,[3]Hoja1!$B$10:$AC$523,20,FALSE),0)</f>
        <v>127</v>
      </c>
      <c r="E191">
        <f>IFERROR(VLOOKUP(A191,[4]Hoja1!$B$10:$AC$531,20,FALSE),0)</f>
        <v>118</v>
      </c>
      <c r="F191">
        <f>IFERROR(VLOOKUP(A191,[5]Hoja1!$B$10:$AC$500,20,FALSE),0)</f>
        <v>15</v>
      </c>
    </row>
    <row r="192" spans="1:6" x14ac:dyDescent="0.2">
      <c r="A192" t="s">
        <v>191</v>
      </c>
      <c r="B192">
        <f>IFERROR(VLOOKUP(A192,[1]Hoja1!$B$10:$AC$529,20,FALSE),0)</f>
        <v>802</v>
      </c>
      <c r="C192">
        <f>IFERROR(VLOOKUP(A192,[2]Hoja1!$B$10:$AC$542,20,FALSE),0)</f>
        <v>298</v>
      </c>
      <c r="D192">
        <f>IFERROR(VLOOKUP(A192,[3]Hoja1!$B$10:$AC$523,20,FALSE),0)</f>
        <v>250</v>
      </c>
      <c r="E192">
        <f>IFERROR(VLOOKUP(A192,[4]Hoja1!$B$10:$AC$531,20,FALSE),0)</f>
        <v>310</v>
      </c>
      <c r="F192">
        <f>IFERROR(VLOOKUP(A192,[5]Hoja1!$B$10:$AC$500,20,FALSE),0)</f>
        <v>-5</v>
      </c>
    </row>
    <row r="193" spans="1:6" x14ac:dyDescent="0.2">
      <c r="A193" t="s">
        <v>192</v>
      </c>
      <c r="B193">
        <f>IFERROR(VLOOKUP(A193,[1]Hoja1!$B$10:$AC$529,20,FALSE),0)</f>
        <v>16</v>
      </c>
      <c r="C193">
        <f>IFERROR(VLOOKUP(A193,[2]Hoja1!$B$10:$AC$542,20,FALSE),0)</f>
        <v>0</v>
      </c>
      <c r="D193">
        <f>IFERROR(VLOOKUP(A193,[3]Hoja1!$B$10:$AC$523,20,FALSE),0)</f>
        <v>19</v>
      </c>
      <c r="E193">
        <f>IFERROR(VLOOKUP(A193,[4]Hoja1!$B$10:$AC$531,20,FALSE),0)</f>
        <v>14</v>
      </c>
      <c r="F193">
        <f>IFERROR(VLOOKUP(A193,[5]Hoja1!$B$10:$AC$500,20,FALSE),0)</f>
        <v>18</v>
      </c>
    </row>
    <row r="194" spans="1:6" x14ac:dyDescent="0.2">
      <c r="A194" t="s">
        <v>193</v>
      </c>
      <c r="B194">
        <f>IFERROR(VLOOKUP(A194,[1]Hoja1!$B$10:$AC$529,20,FALSE),0)</f>
        <v>13</v>
      </c>
      <c r="C194">
        <f>IFERROR(VLOOKUP(A194,[2]Hoja1!$B$10:$AC$542,20,FALSE),0)</f>
        <v>8</v>
      </c>
      <c r="D194">
        <f>IFERROR(VLOOKUP(A194,[3]Hoja1!$B$10:$AC$523,20,FALSE),0)</f>
        <v>2</v>
      </c>
      <c r="E194">
        <f>IFERROR(VLOOKUP(A194,[4]Hoja1!$B$10:$AC$531,20,FALSE),0)</f>
        <v>11</v>
      </c>
      <c r="F194">
        <f>IFERROR(VLOOKUP(A194,[5]Hoja1!$B$10:$AC$500,20,FALSE),0)</f>
        <v>12</v>
      </c>
    </row>
    <row r="195" spans="1:6" x14ac:dyDescent="0.2">
      <c r="A195" t="s">
        <v>194</v>
      </c>
      <c r="B195">
        <f>IFERROR(VLOOKUP(A195,[1]Hoja1!$B$10:$AC$529,20,FALSE),0)</f>
        <v>93</v>
      </c>
      <c r="C195">
        <f>IFERROR(VLOOKUP(A195,[2]Hoja1!$B$10:$AC$542,20,FALSE),0)</f>
        <v>0</v>
      </c>
      <c r="D195">
        <f>IFERROR(VLOOKUP(A195,[3]Hoja1!$B$10:$AC$523,20,FALSE),0)</f>
        <v>69</v>
      </c>
      <c r="E195">
        <f>IFERROR(VLOOKUP(A195,[4]Hoja1!$B$10:$AC$531,20,FALSE),0)</f>
        <v>82</v>
      </c>
      <c r="F195">
        <f>IFERROR(VLOOKUP(A195,[5]Hoja1!$B$10:$AC$500,20,FALSE),0)</f>
        <v>48</v>
      </c>
    </row>
    <row r="196" spans="1:6" x14ac:dyDescent="0.2">
      <c r="A196" t="s">
        <v>195</v>
      </c>
      <c r="B196">
        <f>IFERROR(VLOOKUP(A196,[1]Hoja1!$B$10:$AC$529,20,FALSE),0)</f>
        <v>267</v>
      </c>
      <c r="C196">
        <f>IFERROR(VLOOKUP(A196,[2]Hoja1!$B$10:$AC$542,20,FALSE),0)</f>
        <v>501</v>
      </c>
      <c r="D196">
        <f>IFERROR(VLOOKUP(A196,[3]Hoja1!$B$10:$AC$523,20,FALSE),0)</f>
        <v>862</v>
      </c>
      <c r="E196">
        <f>IFERROR(VLOOKUP(A196,[4]Hoja1!$B$10:$AC$531,20,FALSE),0)</f>
        <v>185</v>
      </c>
      <c r="F196">
        <f>IFERROR(VLOOKUP(A196,[5]Hoja1!$B$10:$AC$500,20,FALSE),0)</f>
        <v>0</v>
      </c>
    </row>
    <row r="197" spans="1:6" x14ac:dyDescent="0.2">
      <c r="A197" t="s">
        <v>196</v>
      </c>
      <c r="B197">
        <f>IFERROR(VLOOKUP(A197,[1]Hoja1!$B$10:$AC$529,20,FALSE),0)</f>
        <v>500</v>
      </c>
      <c r="C197">
        <f>IFERROR(VLOOKUP(A197,[2]Hoja1!$B$10:$AC$542,20,FALSE),0)</f>
        <v>488</v>
      </c>
      <c r="D197">
        <f>IFERROR(VLOOKUP(A197,[3]Hoja1!$B$10:$AC$523,20,FALSE),0)</f>
        <v>264</v>
      </c>
      <c r="E197">
        <f>IFERROR(VLOOKUP(A197,[4]Hoja1!$B$10:$AC$531,20,FALSE),0)</f>
        <v>51</v>
      </c>
      <c r="F197">
        <f>IFERROR(VLOOKUP(A197,[5]Hoja1!$B$10:$AC$500,20,FALSE),0)</f>
        <v>58</v>
      </c>
    </row>
    <row r="198" spans="1:6" x14ac:dyDescent="0.2">
      <c r="A198" t="s">
        <v>197</v>
      </c>
      <c r="B198">
        <f>IFERROR(VLOOKUP(A198,[1]Hoja1!$B$10:$AC$529,20,FALSE),0)</f>
        <v>1109</v>
      </c>
      <c r="C198">
        <f>IFERROR(VLOOKUP(A198,[2]Hoja1!$B$10:$AC$542,20,FALSE),0)</f>
        <v>613</v>
      </c>
      <c r="D198">
        <f>IFERROR(VLOOKUP(A198,[3]Hoja1!$B$10:$AC$523,20,FALSE),0)</f>
        <v>1205</v>
      </c>
      <c r="E198">
        <f>IFERROR(VLOOKUP(A198,[4]Hoja1!$B$10:$AC$531,20,FALSE),0)</f>
        <v>1609</v>
      </c>
      <c r="F198">
        <f>IFERROR(VLOOKUP(A198,[5]Hoja1!$B$10:$AC$500,20,FALSE),0)</f>
        <v>544</v>
      </c>
    </row>
    <row r="199" spans="1:6" x14ac:dyDescent="0.2">
      <c r="A199" t="s">
        <v>198</v>
      </c>
      <c r="B199">
        <f>IFERROR(VLOOKUP(A199,[1]Hoja1!$B$10:$AC$529,20,FALSE),0)</f>
        <v>12</v>
      </c>
      <c r="C199">
        <f>IFERROR(VLOOKUP(A199,[2]Hoja1!$B$10:$AC$542,20,FALSE),0)</f>
        <v>2</v>
      </c>
      <c r="D199">
        <f>IFERROR(VLOOKUP(A199,[3]Hoja1!$B$10:$AC$523,20,FALSE),0)</f>
        <v>21</v>
      </c>
      <c r="E199">
        <f>IFERROR(VLOOKUP(A199,[4]Hoja1!$B$10:$AC$531,20,FALSE),0)</f>
        <v>35</v>
      </c>
      <c r="F199">
        <f>IFERROR(VLOOKUP(A199,[5]Hoja1!$B$10:$AC$500,20,FALSE),0)</f>
        <v>1</v>
      </c>
    </row>
    <row r="200" spans="1:6" x14ac:dyDescent="0.2">
      <c r="A200" t="s">
        <v>199</v>
      </c>
      <c r="B200">
        <f>IFERROR(VLOOKUP(A200,[1]Hoja1!$B$10:$AC$529,20,FALSE),0)</f>
        <v>235</v>
      </c>
      <c r="C200">
        <f>IFERROR(VLOOKUP(A200,[2]Hoja1!$B$10:$AC$542,20,FALSE),0)</f>
        <v>394</v>
      </c>
      <c r="D200">
        <f>IFERROR(VLOOKUP(A200,[3]Hoja1!$B$10:$AC$523,20,FALSE),0)</f>
        <v>97</v>
      </c>
      <c r="E200">
        <f>IFERROR(VLOOKUP(A200,[4]Hoja1!$B$10:$AC$531,20,FALSE),0)</f>
        <v>10</v>
      </c>
      <c r="F200">
        <f>IFERROR(VLOOKUP(A200,[5]Hoja1!$B$10:$AC$500,20,FALSE),0)</f>
        <v>889</v>
      </c>
    </row>
    <row r="201" spans="1:6" x14ac:dyDescent="0.2">
      <c r="A201" t="s">
        <v>200</v>
      </c>
      <c r="B201">
        <f>IFERROR(VLOOKUP(A201,[1]Hoja1!$B$10:$AC$529,20,FALSE),0)</f>
        <v>296</v>
      </c>
      <c r="C201">
        <f>IFERROR(VLOOKUP(A201,[2]Hoja1!$B$10:$AC$542,20,FALSE),0)</f>
        <v>884</v>
      </c>
      <c r="D201">
        <f>IFERROR(VLOOKUP(A201,[3]Hoja1!$B$10:$AC$523,20,FALSE),0)</f>
        <v>154</v>
      </c>
      <c r="E201">
        <f>IFERROR(VLOOKUP(A201,[4]Hoja1!$B$10:$AC$531,20,FALSE),0)</f>
        <v>692</v>
      </c>
      <c r="F201">
        <f>IFERROR(VLOOKUP(A201,[5]Hoja1!$B$10:$AC$500,20,FALSE),0)</f>
        <v>0</v>
      </c>
    </row>
    <row r="202" spans="1:6" x14ac:dyDescent="0.2">
      <c r="A202" t="s">
        <v>201</v>
      </c>
      <c r="B202">
        <f>IFERROR(VLOOKUP(A202,[1]Hoja1!$B$10:$AC$529,20,FALSE),0)</f>
        <v>162</v>
      </c>
      <c r="C202">
        <f>IFERROR(VLOOKUP(A202,[2]Hoja1!$B$10:$AC$542,20,FALSE),0)</f>
        <v>152</v>
      </c>
      <c r="D202">
        <f>IFERROR(VLOOKUP(A202,[3]Hoja1!$B$10:$AC$523,20,FALSE),0)</f>
        <v>92</v>
      </c>
      <c r="E202">
        <f>IFERROR(VLOOKUP(A202,[4]Hoja1!$B$10:$AC$531,20,FALSE),0)</f>
        <v>32</v>
      </c>
      <c r="F202">
        <f>IFERROR(VLOOKUP(A202,[5]Hoja1!$B$10:$AC$500,20,FALSE),0)</f>
        <v>118</v>
      </c>
    </row>
    <row r="203" spans="1:6" x14ac:dyDescent="0.2">
      <c r="A203" t="s">
        <v>202</v>
      </c>
      <c r="B203">
        <f>IFERROR(VLOOKUP(A203,[1]Hoja1!$B$10:$AC$529,20,FALSE),0)</f>
        <v>29</v>
      </c>
      <c r="C203">
        <f>IFERROR(VLOOKUP(A203,[2]Hoja1!$B$10:$AC$542,20,FALSE),0)</f>
        <v>34</v>
      </c>
      <c r="D203">
        <f>IFERROR(VLOOKUP(A203,[3]Hoja1!$B$10:$AC$523,20,FALSE),0)</f>
        <v>14</v>
      </c>
      <c r="E203">
        <f>IFERROR(VLOOKUP(A203,[4]Hoja1!$B$10:$AC$531,20,FALSE),0)</f>
        <v>35</v>
      </c>
      <c r="F203">
        <f>IFERROR(VLOOKUP(A203,[5]Hoja1!$B$10:$AC$500,20,FALSE),0)</f>
        <v>14</v>
      </c>
    </row>
    <row r="204" spans="1:6" x14ac:dyDescent="0.2">
      <c r="A204" t="s">
        <v>203</v>
      </c>
      <c r="B204">
        <f>IFERROR(VLOOKUP(A204,[1]Hoja1!$B$10:$AC$529,20,FALSE),0)</f>
        <v>939</v>
      </c>
      <c r="C204">
        <f>IFERROR(VLOOKUP(A204,[2]Hoja1!$B$10:$AC$542,20,FALSE),0)</f>
        <v>244</v>
      </c>
      <c r="D204">
        <f>IFERROR(VLOOKUP(A204,[3]Hoja1!$B$10:$AC$523,20,FALSE),0)</f>
        <v>0</v>
      </c>
      <c r="E204">
        <f>IFERROR(VLOOKUP(A204,[4]Hoja1!$B$10:$AC$531,20,FALSE),0)</f>
        <v>1092</v>
      </c>
      <c r="F204">
        <f>IFERROR(VLOOKUP(A204,[5]Hoja1!$B$10:$AC$500,20,FALSE),0)</f>
        <v>2088</v>
      </c>
    </row>
    <row r="205" spans="1:6" x14ac:dyDescent="0.2">
      <c r="A205" t="s">
        <v>204</v>
      </c>
      <c r="B205">
        <f>IFERROR(VLOOKUP(A205,[1]Hoja1!$B$10:$AC$529,20,FALSE),0)</f>
        <v>160</v>
      </c>
      <c r="C205">
        <f>IFERROR(VLOOKUP(A205,[2]Hoja1!$B$10:$AC$542,20,FALSE),0)</f>
        <v>0</v>
      </c>
      <c r="D205">
        <f>IFERROR(VLOOKUP(A205,[3]Hoja1!$B$10:$AC$523,20,FALSE),0)</f>
        <v>30</v>
      </c>
      <c r="E205">
        <f>IFERROR(VLOOKUP(A205,[4]Hoja1!$B$10:$AC$531,20,FALSE),0)</f>
        <v>90</v>
      </c>
      <c r="F205">
        <f>IFERROR(VLOOKUP(A205,[5]Hoja1!$B$10:$AC$500,20,FALSE),0)</f>
        <v>390</v>
      </c>
    </row>
    <row r="206" spans="1:6" x14ac:dyDescent="0.2">
      <c r="A206" t="s">
        <v>205</v>
      </c>
      <c r="B206">
        <f>IFERROR(VLOOKUP(A206,[1]Hoja1!$B$10:$AC$529,20,FALSE),0)</f>
        <v>725</v>
      </c>
      <c r="C206">
        <f>IFERROR(VLOOKUP(A206,[2]Hoja1!$B$10:$AC$542,20,FALSE),0)</f>
        <v>175</v>
      </c>
      <c r="D206">
        <f>IFERROR(VLOOKUP(A206,[3]Hoja1!$B$10:$AC$523,20,FALSE),0)</f>
        <v>0</v>
      </c>
      <c r="E206">
        <f>IFERROR(VLOOKUP(A206,[4]Hoja1!$B$10:$AC$531,20,FALSE),0)</f>
        <v>0</v>
      </c>
      <c r="F206">
        <f>IFERROR(VLOOKUP(A206,[5]Hoja1!$B$10:$AC$500,20,FALSE),0)</f>
        <v>0</v>
      </c>
    </row>
    <row r="207" spans="1:6" x14ac:dyDescent="0.2">
      <c r="A207" t="s">
        <v>206</v>
      </c>
      <c r="B207">
        <f>IFERROR(VLOOKUP(A207,[1]Hoja1!$B$10:$AC$529,20,FALSE),0)</f>
        <v>310</v>
      </c>
      <c r="C207">
        <f>IFERROR(VLOOKUP(A207,[2]Hoja1!$B$10:$AC$542,20,FALSE),0)</f>
        <v>730</v>
      </c>
      <c r="D207">
        <f>IFERROR(VLOOKUP(A207,[3]Hoja1!$B$10:$AC$523,20,FALSE),0)</f>
        <v>266</v>
      </c>
      <c r="E207">
        <f>IFERROR(VLOOKUP(A207,[4]Hoja1!$B$10:$AC$531,20,FALSE),0)</f>
        <v>0</v>
      </c>
      <c r="F207">
        <f>IFERROR(VLOOKUP(A207,[5]Hoja1!$B$10:$AC$500,20,FALSE),0)</f>
        <v>180</v>
      </c>
    </row>
    <row r="208" spans="1:6" x14ac:dyDescent="0.2">
      <c r="A208" t="s">
        <v>207</v>
      </c>
      <c r="B208">
        <f>IFERROR(VLOOKUP(A208,[1]Hoja1!$B$10:$AC$529,20,FALSE),0)</f>
        <v>0</v>
      </c>
      <c r="C208">
        <f>IFERROR(VLOOKUP(A208,[2]Hoja1!$B$10:$AC$542,20,FALSE),0)</f>
        <v>0</v>
      </c>
      <c r="D208">
        <f>IFERROR(VLOOKUP(A208,[3]Hoja1!$B$10:$AC$523,20,FALSE),0)</f>
        <v>0</v>
      </c>
      <c r="E208">
        <f>IFERROR(VLOOKUP(A208,[4]Hoja1!$B$10:$AC$531,20,FALSE),0)</f>
        <v>0</v>
      </c>
      <c r="F208">
        <f>IFERROR(VLOOKUP(A208,[5]Hoja1!$B$10:$AC$500,20,FALSE),0)</f>
        <v>0</v>
      </c>
    </row>
    <row r="209" spans="1:6" x14ac:dyDescent="0.2">
      <c r="A209" t="s">
        <v>208</v>
      </c>
      <c r="B209">
        <f>IFERROR(VLOOKUP(A209,[1]Hoja1!$B$10:$AC$529,20,FALSE),0)</f>
        <v>0</v>
      </c>
      <c r="C209">
        <f>IFERROR(VLOOKUP(A209,[2]Hoja1!$B$10:$AC$542,20,FALSE),0)</f>
        <v>0</v>
      </c>
      <c r="D209">
        <f>IFERROR(VLOOKUP(A209,[3]Hoja1!$B$10:$AC$523,20,FALSE),0)</f>
        <v>0</v>
      </c>
      <c r="E209">
        <f>IFERROR(VLOOKUP(A209,[4]Hoja1!$B$10:$AC$531,20,FALSE),0)</f>
        <v>0</v>
      </c>
      <c r="F209">
        <f>IFERROR(VLOOKUP(A209,[5]Hoja1!$B$10:$AC$500,20,FALSE),0)</f>
        <v>0</v>
      </c>
    </row>
    <row r="210" spans="1:6" x14ac:dyDescent="0.2">
      <c r="A210" t="s">
        <v>209</v>
      </c>
      <c r="B210">
        <f>IFERROR(VLOOKUP(A210,[1]Hoja1!$B$10:$AC$529,20,FALSE),0)</f>
        <v>0</v>
      </c>
      <c r="C210">
        <f>IFERROR(VLOOKUP(A210,[2]Hoja1!$B$10:$AC$542,20,FALSE),0)</f>
        <v>7</v>
      </c>
      <c r="D210">
        <f>IFERROR(VLOOKUP(A210,[3]Hoja1!$B$10:$AC$523,20,FALSE),0)</f>
        <v>5</v>
      </c>
      <c r="E210">
        <f>IFERROR(VLOOKUP(A210,[4]Hoja1!$B$10:$AC$531,20,FALSE),0)</f>
        <v>11</v>
      </c>
      <c r="F210">
        <f>IFERROR(VLOOKUP(A210,[5]Hoja1!$B$10:$AC$500,20,FALSE),0)</f>
        <v>8</v>
      </c>
    </row>
    <row r="211" spans="1:6" x14ac:dyDescent="0.2">
      <c r="A211" t="s">
        <v>210</v>
      </c>
      <c r="B211">
        <f>IFERROR(VLOOKUP(A211,[1]Hoja1!$B$10:$AC$529,20,FALSE),0)</f>
        <v>200</v>
      </c>
      <c r="C211">
        <f>IFERROR(VLOOKUP(A211,[2]Hoja1!$B$10:$AC$542,20,FALSE),0)</f>
        <v>255</v>
      </c>
      <c r="D211">
        <f>IFERROR(VLOOKUP(A211,[3]Hoja1!$B$10:$AC$523,20,FALSE),0)</f>
        <v>390</v>
      </c>
      <c r="E211">
        <f>IFERROR(VLOOKUP(A211,[4]Hoja1!$B$10:$AC$531,20,FALSE),0)</f>
        <v>410</v>
      </c>
      <c r="F211">
        <f>IFERROR(VLOOKUP(A211,[5]Hoja1!$B$10:$AC$500,20,FALSE),0)</f>
        <v>905</v>
      </c>
    </row>
    <row r="212" spans="1:6" x14ac:dyDescent="0.2">
      <c r="A212" t="s">
        <v>211</v>
      </c>
      <c r="B212">
        <f>IFERROR(VLOOKUP(A212,[1]Hoja1!$B$10:$AC$529,20,FALSE),0)</f>
        <v>540</v>
      </c>
      <c r="C212">
        <f>IFERROR(VLOOKUP(A212,[2]Hoja1!$B$10:$AC$542,20,FALSE),0)</f>
        <v>44</v>
      </c>
      <c r="D212">
        <f>IFERROR(VLOOKUP(A212,[3]Hoja1!$B$10:$AC$523,20,FALSE),0)</f>
        <v>570</v>
      </c>
      <c r="E212">
        <f>IFERROR(VLOOKUP(A212,[4]Hoja1!$B$10:$AC$531,20,FALSE),0)</f>
        <v>2450</v>
      </c>
      <c r="F212">
        <f>IFERROR(VLOOKUP(A212,[5]Hoja1!$B$10:$AC$500,20,FALSE),0)</f>
        <v>828</v>
      </c>
    </row>
    <row r="213" spans="1:6" x14ac:dyDescent="0.2">
      <c r="A213" t="s">
        <v>212</v>
      </c>
      <c r="B213">
        <f>IFERROR(VLOOKUP(A213,[1]Hoja1!$B$10:$AC$529,20,FALSE),0)</f>
        <v>150</v>
      </c>
      <c r="C213">
        <f>IFERROR(VLOOKUP(A213,[2]Hoja1!$B$10:$AC$542,20,FALSE),0)</f>
        <v>20</v>
      </c>
      <c r="D213">
        <f>IFERROR(VLOOKUP(A213,[3]Hoja1!$B$10:$AC$523,20,FALSE),0)</f>
        <v>180</v>
      </c>
      <c r="E213">
        <f>IFERROR(VLOOKUP(A213,[4]Hoja1!$B$10:$AC$531,20,FALSE),0)</f>
        <v>180</v>
      </c>
      <c r="F213">
        <f>IFERROR(VLOOKUP(A213,[5]Hoja1!$B$10:$AC$500,20,FALSE),0)</f>
        <v>540</v>
      </c>
    </row>
    <row r="214" spans="1:6" x14ac:dyDescent="0.2">
      <c r="A214" t="s">
        <v>213</v>
      </c>
      <c r="B214">
        <f>IFERROR(VLOOKUP(A214,[1]Hoja1!$B$10:$AC$529,20,FALSE),0)</f>
        <v>170</v>
      </c>
      <c r="C214">
        <f>IFERROR(VLOOKUP(A214,[2]Hoja1!$B$10:$AC$542,20,FALSE),0)</f>
        <v>65</v>
      </c>
      <c r="D214">
        <f>IFERROR(VLOOKUP(A214,[3]Hoja1!$B$10:$AC$523,20,FALSE),0)</f>
        <v>382</v>
      </c>
      <c r="E214">
        <f>IFERROR(VLOOKUP(A214,[4]Hoja1!$B$10:$AC$531,20,FALSE),0)</f>
        <v>212</v>
      </c>
      <c r="F214">
        <f>IFERROR(VLOOKUP(A214,[5]Hoja1!$B$10:$AC$500,20,FALSE),0)</f>
        <v>0</v>
      </c>
    </row>
    <row r="215" spans="1:6" x14ac:dyDescent="0.2">
      <c r="A215" t="s">
        <v>214</v>
      </c>
      <c r="B215">
        <f>IFERROR(VLOOKUP(A215,[1]Hoja1!$B$10:$AC$529,20,FALSE),0)</f>
        <v>1043</v>
      </c>
      <c r="C215">
        <f>IFERROR(VLOOKUP(A215,[2]Hoja1!$B$10:$AC$542,20,FALSE),0)</f>
        <v>741</v>
      </c>
      <c r="D215">
        <f>IFERROR(VLOOKUP(A215,[3]Hoja1!$B$10:$AC$523,20,FALSE),0)</f>
        <v>384</v>
      </c>
      <c r="E215">
        <f>IFERROR(VLOOKUP(A215,[4]Hoja1!$B$10:$AC$531,20,FALSE),0)</f>
        <v>674</v>
      </c>
      <c r="F215">
        <f>IFERROR(VLOOKUP(A215,[5]Hoja1!$B$10:$AC$500,20,FALSE),0)</f>
        <v>88</v>
      </c>
    </row>
    <row r="216" spans="1:6" x14ac:dyDescent="0.2">
      <c r="A216" t="s">
        <v>215</v>
      </c>
      <c r="B216">
        <f>IFERROR(VLOOKUP(A216,[1]Hoja1!$B$10:$AC$529,20,FALSE),0)</f>
        <v>3275</v>
      </c>
      <c r="C216">
        <f>IFERROR(VLOOKUP(A216,[2]Hoja1!$B$10:$AC$542,20,FALSE),0)</f>
        <v>1379</v>
      </c>
      <c r="D216">
        <f>IFERROR(VLOOKUP(A216,[3]Hoja1!$B$10:$AC$523,20,FALSE),0)</f>
        <v>1959</v>
      </c>
      <c r="E216">
        <f>IFERROR(VLOOKUP(A216,[4]Hoja1!$B$10:$AC$531,20,FALSE),0)</f>
        <v>3072</v>
      </c>
      <c r="F216">
        <f>IFERROR(VLOOKUP(A216,[5]Hoja1!$B$10:$AC$500,20,FALSE),0)</f>
        <v>6059</v>
      </c>
    </row>
    <row r="217" spans="1:6" x14ac:dyDescent="0.2">
      <c r="A217" t="s">
        <v>216</v>
      </c>
      <c r="B217">
        <f>IFERROR(VLOOKUP(A217,[1]Hoja1!$B$10:$AC$529,20,FALSE),0)</f>
        <v>1968</v>
      </c>
      <c r="C217">
        <f>IFERROR(VLOOKUP(A217,[2]Hoja1!$B$10:$AC$542,20,FALSE),0)</f>
        <v>853</v>
      </c>
      <c r="D217">
        <f>IFERROR(VLOOKUP(A217,[3]Hoja1!$B$10:$AC$523,20,FALSE),0)</f>
        <v>1442</v>
      </c>
      <c r="E217">
        <f>IFERROR(VLOOKUP(A217,[4]Hoja1!$B$10:$AC$531,20,FALSE),0)</f>
        <v>2203</v>
      </c>
      <c r="F217">
        <f>IFERROR(VLOOKUP(A217,[5]Hoja1!$B$10:$AC$500,20,FALSE),0)</f>
        <v>1141</v>
      </c>
    </row>
    <row r="218" spans="1:6" x14ac:dyDescent="0.2">
      <c r="A218" t="s">
        <v>217</v>
      </c>
      <c r="B218">
        <f>IFERROR(VLOOKUP(A218,[1]Hoja1!$B$10:$AC$529,20,FALSE),0)</f>
        <v>92</v>
      </c>
      <c r="C218">
        <f>IFERROR(VLOOKUP(A218,[2]Hoja1!$B$10:$AC$542,20,FALSE),0)</f>
        <v>153</v>
      </c>
      <c r="D218">
        <f>IFERROR(VLOOKUP(A218,[3]Hoja1!$B$10:$AC$523,20,FALSE),0)</f>
        <v>57</v>
      </c>
      <c r="E218">
        <f>IFERROR(VLOOKUP(A218,[4]Hoja1!$B$10:$AC$531,20,FALSE),0)</f>
        <v>307</v>
      </c>
      <c r="F218">
        <f>IFERROR(VLOOKUP(A218,[5]Hoja1!$B$10:$AC$500,20,FALSE),0)</f>
        <v>224</v>
      </c>
    </row>
    <row r="219" spans="1:6" x14ac:dyDescent="0.2">
      <c r="A219" t="s">
        <v>218</v>
      </c>
      <c r="B219">
        <f>IFERROR(VLOOKUP(A219,[1]Hoja1!$B$10:$AC$529,20,FALSE),0)</f>
        <v>16600</v>
      </c>
      <c r="C219">
        <f>IFERROR(VLOOKUP(A219,[2]Hoja1!$B$10:$AC$542,20,FALSE),0)</f>
        <v>11374</v>
      </c>
      <c r="D219">
        <f>IFERROR(VLOOKUP(A219,[3]Hoja1!$B$10:$AC$523,20,FALSE),0)</f>
        <v>13716</v>
      </c>
      <c r="E219">
        <f>IFERROR(VLOOKUP(A219,[4]Hoja1!$B$10:$AC$531,20,FALSE),0)</f>
        <v>16616</v>
      </c>
      <c r="F219">
        <f>IFERROR(VLOOKUP(A219,[5]Hoja1!$B$10:$AC$500,20,FALSE),0)</f>
        <v>12922</v>
      </c>
    </row>
    <row r="220" spans="1:6" x14ac:dyDescent="0.2">
      <c r="A220" t="s">
        <v>219</v>
      </c>
      <c r="B220">
        <f>IFERROR(VLOOKUP(A220,[1]Hoja1!$B$10:$AC$529,20,FALSE),0)</f>
        <v>646</v>
      </c>
      <c r="C220">
        <f>IFERROR(VLOOKUP(A220,[2]Hoja1!$B$10:$AC$542,20,FALSE),0)</f>
        <v>1003</v>
      </c>
      <c r="D220">
        <f>IFERROR(VLOOKUP(A220,[3]Hoja1!$B$10:$AC$523,20,FALSE),0)</f>
        <v>1003</v>
      </c>
      <c r="E220">
        <f>IFERROR(VLOOKUP(A220,[4]Hoja1!$B$10:$AC$531,20,FALSE),0)</f>
        <v>938</v>
      </c>
      <c r="F220">
        <f>IFERROR(VLOOKUP(A220,[5]Hoja1!$B$10:$AC$500,20,FALSE),0)</f>
        <v>768</v>
      </c>
    </row>
    <row r="221" spans="1:6" x14ac:dyDescent="0.2">
      <c r="A221" t="s">
        <v>220</v>
      </c>
      <c r="B221">
        <f>IFERROR(VLOOKUP(A221,[1]Hoja1!$B$10:$AC$529,20,FALSE),0)</f>
        <v>799</v>
      </c>
      <c r="C221">
        <f>IFERROR(VLOOKUP(A221,[2]Hoja1!$B$10:$AC$542,20,FALSE),0)</f>
        <v>876</v>
      </c>
      <c r="D221">
        <f>IFERROR(VLOOKUP(A221,[3]Hoja1!$B$10:$AC$523,20,FALSE),0)</f>
        <v>648</v>
      </c>
      <c r="E221">
        <f>IFERROR(VLOOKUP(A221,[4]Hoja1!$B$10:$AC$531,20,FALSE),0)</f>
        <v>846</v>
      </c>
      <c r="F221">
        <f>IFERROR(VLOOKUP(A221,[5]Hoja1!$B$10:$AC$500,20,FALSE),0)</f>
        <v>534</v>
      </c>
    </row>
    <row r="222" spans="1:6" x14ac:dyDescent="0.2">
      <c r="A222" t="s">
        <v>221</v>
      </c>
      <c r="B222">
        <f>IFERROR(VLOOKUP(A222,[1]Hoja1!$B$10:$AC$529,20,FALSE),0)</f>
        <v>1162</v>
      </c>
      <c r="C222">
        <f>IFERROR(VLOOKUP(A222,[2]Hoja1!$B$10:$AC$542,20,FALSE),0)</f>
        <v>448</v>
      </c>
      <c r="D222">
        <f>IFERROR(VLOOKUP(A222,[3]Hoja1!$B$10:$AC$523,20,FALSE),0)</f>
        <v>705</v>
      </c>
      <c r="E222">
        <f>IFERROR(VLOOKUP(A222,[4]Hoja1!$B$10:$AC$531,20,FALSE),0)</f>
        <v>2735</v>
      </c>
      <c r="F222">
        <f>IFERROR(VLOOKUP(A222,[5]Hoja1!$B$10:$AC$500,20,FALSE),0)</f>
        <v>1485</v>
      </c>
    </row>
    <row r="223" spans="1:6" x14ac:dyDescent="0.2">
      <c r="A223" t="s">
        <v>222</v>
      </c>
      <c r="B223">
        <f>IFERROR(VLOOKUP(A223,[1]Hoja1!$B$10:$AC$529,20,FALSE),0)</f>
        <v>25</v>
      </c>
      <c r="C223">
        <f>IFERROR(VLOOKUP(A223,[2]Hoja1!$B$10:$AC$542,20,FALSE),0)</f>
        <v>135</v>
      </c>
      <c r="D223">
        <f>IFERROR(VLOOKUP(A223,[3]Hoja1!$B$10:$AC$523,20,FALSE),0)</f>
        <v>101</v>
      </c>
      <c r="E223">
        <f>IFERROR(VLOOKUP(A223,[4]Hoja1!$B$10:$AC$531,20,FALSE),0)</f>
        <v>83</v>
      </c>
      <c r="F223">
        <f>IFERROR(VLOOKUP(A223,[5]Hoja1!$B$10:$AC$500,20,FALSE),0)</f>
        <v>191</v>
      </c>
    </row>
    <row r="224" spans="1:6" x14ac:dyDescent="0.2">
      <c r="A224" t="s">
        <v>223</v>
      </c>
      <c r="B224">
        <f>IFERROR(VLOOKUP(A224,[1]Hoja1!$B$10:$AC$529,20,FALSE),0)</f>
        <v>1951</v>
      </c>
      <c r="C224">
        <f>IFERROR(VLOOKUP(A224,[2]Hoja1!$B$10:$AC$542,20,FALSE),0)</f>
        <v>2138</v>
      </c>
      <c r="D224">
        <f>IFERROR(VLOOKUP(A224,[3]Hoja1!$B$10:$AC$523,20,FALSE),0)</f>
        <v>1688</v>
      </c>
      <c r="E224">
        <f>IFERROR(VLOOKUP(A224,[4]Hoja1!$B$10:$AC$531,20,FALSE),0)</f>
        <v>1011</v>
      </c>
      <c r="F224">
        <f>IFERROR(VLOOKUP(A224,[5]Hoja1!$B$10:$AC$500,20,FALSE),0)</f>
        <v>1603</v>
      </c>
    </row>
    <row r="225" spans="1:6" x14ac:dyDescent="0.2">
      <c r="A225" t="s">
        <v>224</v>
      </c>
      <c r="B225">
        <f>IFERROR(VLOOKUP(A225,[1]Hoja1!$B$10:$AC$529,20,FALSE),0)</f>
        <v>413</v>
      </c>
      <c r="C225">
        <f>IFERROR(VLOOKUP(A225,[2]Hoja1!$B$10:$AC$542,20,FALSE),0)</f>
        <v>151</v>
      </c>
      <c r="D225">
        <f>IFERROR(VLOOKUP(A225,[3]Hoja1!$B$10:$AC$523,20,FALSE),0)</f>
        <v>222</v>
      </c>
      <c r="E225">
        <f>IFERROR(VLOOKUP(A225,[4]Hoja1!$B$10:$AC$531,20,FALSE),0)</f>
        <v>84</v>
      </c>
      <c r="F225">
        <f>IFERROR(VLOOKUP(A225,[5]Hoja1!$B$10:$AC$500,20,FALSE),0)</f>
        <v>199</v>
      </c>
    </row>
    <row r="226" spans="1:6" x14ac:dyDescent="0.2">
      <c r="A226" t="s">
        <v>225</v>
      </c>
      <c r="B226">
        <f>IFERROR(VLOOKUP(A226,[1]Hoja1!$B$10:$AC$529,20,FALSE),0)</f>
        <v>2338</v>
      </c>
      <c r="C226">
        <f>IFERROR(VLOOKUP(A226,[2]Hoja1!$B$10:$AC$542,20,FALSE),0)</f>
        <v>1301</v>
      </c>
      <c r="D226">
        <f>IFERROR(VLOOKUP(A226,[3]Hoja1!$B$10:$AC$523,20,FALSE),0)</f>
        <v>657</v>
      </c>
      <c r="E226">
        <f>IFERROR(VLOOKUP(A226,[4]Hoja1!$B$10:$AC$531,20,FALSE),0)</f>
        <v>0</v>
      </c>
      <c r="F226">
        <f>IFERROR(VLOOKUP(A226,[5]Hoja1!$B$10:$AC$500,20,FALSE),0)</f>
        <v>1614</v>
      </c>
    </row>
    <row r="227" spans="1:6" x14ac:dyDescent="0.2">
      <c r="A227" t="s">
        <v>226</v>
      </c>
      <c r="B227">
        <f>IFERROR(VLOOKUP(A227,[1]Hoja1!$B$10:$AC$529,20,FALSE),0)</f>
        <v>768</v>
      </c>
      <c r="C227">
        <f>IFERROR(VLOOKUP(A227,[2]Hoja1!$B$10:$AC$542,20,FALSE),0)</f>
        <v>507</v>
      </c>
      <c r="D227">
        <f>IFERROR(VLOOKUP(A227,[3]Hoja1!$B$10:$AC$523,20,FALSE),0)</f>
        <v>11</v>
      </c>
      <c r="E227">
        <f>IFERROR(VLOOKUP(A227,[4]Hoja1!$B$10:$AC$531,20,FALSE),0)</f>
        <v>430</v>
      </c>
      <c r="F227">
        <f>IFERROR(VLOOKUP(A227,[5]Hoja1!$B$10:$AC$500,20,FALSE),0)</f>
        <v>105</v>
      </c>
    </row>
    <row r="228" spans="1:6" x14ac:dyDescent="0.2">
      <c r="A228" t="s">
        <v>227</v>
      </c>
      <c r="B228">
        <f>IFERROR(VLOOKUP(A228,[1]Hoja1!$B$10:$AC$529,20,FALSE),0)</f>
        <v>347</v>
      </c>
      <c r="C228">
        <f>IFERROR(VLOOKUP(A228,[2]Hoja1!$B$10:$AC$542,20,FALSE),0)</f>
        <v>68</v>
      </c>
      <c r="D228">
        <f>IFERROR(VLOOKUP(A228,[3]Hoja1!$B$10:$AC$523,20,FALSE),0)</f>
        <v>563</v>
      </c>
      <c r="E228">
        <f>IFERROR(VLOOKUP(A228,[4]Hoja1!$B$10:$AC$531,20,FALSE),0)</f>
        <v>476</v>
      </c>
      <c r="F228">
        <f>IFERROR(VLOOKUP(A228,[5]Hoja1!$B$10:$AC$500,20,FALSE),0)</f>
        <v>1036</v>
      </c>
    </row>
    <row r="229" spans="1:6" x14ac:dyDescent="0.2">
      <c r="A229" t="s">
        <v>228</v>
      </c>
      <c r="B229">
        <f>IFERROR(VLOOKUP(A229,[1]Hoja1!$B$10:$AC$529,20,FALSE),0)</f>
        <v>29</v>
      </c>
      <c r="C229">
        <f>IFERROR(VLOOKUP(A229,[2]Hoja1!$B$10:$AC$542,20,FALSE),0)</f>
        <v>49</v>
      </c>
      <c r="D229">
        <f>IFERROR(VLOOKUP(A229,[3]Hoja1!$B$10:$AC$523,20,FALSE),0)</f>
        <v>26</v>
      </c>
      <c r="E229">
        <f>IFERROR(VLOOKUP(A229,[4]Hoja1!$B$10:$AC$531,20,FALSE),0)</f>
        <v>43</v>
      </c>
      <c r="F229">
        <f>IFERROR(VLOOKUP(A229,[5]Hoja1!$B$10:$AC$500,20,FALSE),0)</f>
        <v>30</v>
      </c>
    </row>
    <row r="230" spans="1:6" x14ac:dyDescent="0.2">
      <c r="A230" t="s">
        <v>229</v>
      </c>
      <c r="B230">
        <f>IFERROR(VLOOKUP(A230,[1]Hoja1!$B$10:$AC$529,20,FALSE),0)</f>
        <v>20</v>
      </c>
      <c r="C230">
        <f>IFERROR(VLOOKUP(A230,[2]Hoja1!$B$10:$AC$542,20,FALSE),0)</f>
        <v>283</v>
      </c>
      <c r="D230">
        <f>IFERROR(VLOOKUP(A230,[3]Hoja1!$B$10:$AC$523,20,FALSE),0)</f>
        <v>89</v>
      </c>
      <c r="E230">
        <f>IFERROR(VLOOKUP(A230,[4]Hoja1!$B$10:$AC$531,20,FALSE),0)</f>
        <v>26</v>
      </c>
      <c r="F230">
        <f>IFERROR(VLOOKUP(A230,[5]Hoja1!$B$10:$AC$500,20,FALSE),0)</f>
        <v>128</v>
      </c>
    </row>
    <row r="231" spans="1:6" x14ac:dyDescent="0.2">
      <c r="A231" t="s">
        <v>230</v>
      </c>
      <c r="B231">
        <f>IFERROR(VLOOKUP(A231,[1]Hoja1!$B$10:$AC$529,20,FALSE),0)</f>
        <v>41</v>
      </c>
      <c r="C231">
        <f>IFERROR(VLOOKUP(A231,[2]Hoja1!$B$10:$AC$542,20,FALSE),0)</f>
        <v>46</v>
      </c>
      <c r="D231">
        <f>IFERROR(VLOOKUP(A231,[3]Hoja1!$B$10:$AC$523,20,FALSE),0)</f>
        <v>92</v>
      </c>
      <c r="E231">
        <f>IFERROR(VLOOKUP(A231,[4]Hoja1!$B$10:$AC$531,20,FALSE),0)</f>
        <v>87</v>
      </c>
      <c r="F231">
        <f>IFERROR(VLOOKUP(A231,[5]Hoja1!$B$10:$AC$500,20,FALSE),0)</f>
        <v>96</v>
      </c>
    </row>
    <row r="232" spans="1:6" x14ac:dyDescent="0.2">
      <c r="A232" t="s">
        <v>231</v>
      </c>
      <c r="B232">
        <f>IFERROR(VLOOKUP(A232,[1]Hoja1!$B$10:$AC$529,20,FALSE),0)</f>
        <v>165</v>
      </c>
      <c r="C232">
        <f>IFERROR(VLOOKUP(A232,[2]Hoja1!$B$10:$AC$542,20,FALSE),0)</f>
        <v>67</v>
      </c>
      <c r="D232">
        <f>IFERROR(VLOOKUP(A232,[3]Hoja1!$B$10:$AC$523,20,FALSE),0)</f>
        <v>16</v>
      </c>
      <c r="E232">
        <f>IFERROR(VLOOKUP(A232,[4]Hoja1!$B$10:$AC$531,20,FALSE),0)</f>
        <v>115</v>
      </c>
      <c r="F232">
        <f>IFERROR(VLOOKUP(A232,[5]Hoja1!$B$10:$AC$500,20,FALSE),0)</f>
        <v>324</v>
      </c>
    </row>
    <row r="233" spans="1:6" x14ac:dyDescent="0.2">
      <c r="A233" t="s">
        <v>232</v>
      </c>
      <c r="B233">
        <f>IFERROR(VLOOKUP(A233,[1]Hoja1!$B$10:$AC$529,20,FALSE),0)</f>
        <v>54</v>
      </c>
      <c r="C233">
        <f>IFERROR(VLOOKUP(A233,[2]Hoja1!$B$10:$AC$542,20,FALSE),0)</f>
        <v>54</v>
      </c>
      <c r="D233">
        <f>IFERROR(VLOOKUP(A233,[3]Hoja1!$B$10:$AC$523,20,FALSE),0)</f>
        <v>54</v>
      </c>
      <c r="E233">
        <f>IFERROR(VLOOKUP(A233,[4]Hoja1!$B$10:$AC$531,20,FALSE),0)</f>
        <v>52</v>
      </c>
      <c r="F233">
        <f>IFERROR(VLOOKUP(A233,[5]Hoja1!$B$10:$AC$500,20,FALSE),0)</f>
        <v>0</v>
      </c>
    </row>
    <row r="234" spans="1:6" x14ac:dyDescent="0.2">
      <c r="A234" t="s">
        <v>233</v>
      </c>
      <c r="B234">
        <f>IFERROR(VLOOKUP(A234,[1]Hoja1!$B$10:$AC$529,20,FALSE),0)</f>
        <v>0</v>
      </c>
      <c r="C234">
        <f>IFERROR(VLOOKUP(A234,[2]Hoja1!$B$10:$AC$542,20,FALSE),0)</f>
        <v>1</v>
      </c>
      <c r="D234">
        <f>IFERROR(VLOOKUP(A234,[3]Hoja1!$B$10:$AC$523,20,FALSE),0)</f>
        <v>9</v>
      </c>
      <c r="E234">
        <f>IFERROR(VLOOKUP(A234,[4]Hoja1!$B$10:$AC$531,20,FALSE),0)</f>
        <v>11</v>
      </c>
      <c r="F234">
        <f>IFERROR(VLOOKUP(A234,[5]Hoja1!$B$10:$AC$500,20,FALSE),0)</f>
        <v>25</v>
      </c>
    </row>
    <row r="235" spans="1:6" x14ac:dyDescent="0.2">
      <c r="A235" t="s">
        <v>234</v>
      </c>
      <c r="B235">
        <f>IFERROR(VLOOKUP(A235,[1]Hoja1!$B$10:$AC$529,20,FALSE),0)</f>
        <v>571</v>
      </c>
      <c r="C235">
        <f>IFERROR(VLOOKUP(A235,[2]Hoja1!$B$10:$AC$542,20,FALSE),0)</f>
        <v>0</v>
      </c>
      <c r="D235">
        <f>IFERROR(VLOOKUP(A235,[3]Hoja1!$B$10:$AC$523,20,FALSE),0)</f>
        <v>911</v>
      </c>
      <c r="E235">
        <f>IFERROR(VLOOKUP(A235,[4]Hoja1!$B$10:$AC$531,20,FALSE),0)</f>
        <v>0</v>
      </c>
      <c r="F235">
        <f>IFERROR(VLOOKUP(A235,[5]Hoja1!$B$10:$AC$500,20,FALSE),0)</f>
        <v>138</v>
      </c>
    </row>
    <row r="236" spans="1:6" x14ac:dyDescent="0.2">
      <c r="A236" t="s">
        <v>235</v>
      </c>
      <c r="B236">
        <f>IFERROR(VLOOKUP(A236,[1]Hoja1!$B$10:$AC$529,20,FALSE),0)</f>
        <v>859</v>
      </c>
      <c r="C236">
        <f>IFERROR(VLOOKUP(A236,[2]Hoja1!$B$10:$AC$542,20,FALSE),0)</f>
        <v>1864</v>
      </c>
      <c r="D236">
        <f>IFERROR(VLOOKUP(A236,[3]Hoja1!$B$10:$AC$523,20,FALSE),0)</f>
        <v>925</v>
      </c>
      <c r="E236">
        <f>IFERROR(VLOOKUP(A236,[4]Hoja1!$B$10:$AC$531,20,FALSE),0)</f>
        <v>1029</v>
      </c>
      <c r="F236">
        <f>IFERROR(VLOOKUP(A236,[5]Hoja1!$B$10:$AC$500,20,FALSE),0)</f>
        <v>4002</v>
      </c>
    </row>
    <row r="237" spans="1:6" x14ac:dyDescent="0.2">
      <c r="A237" t="s">
        <v>236</v>
      </c>
      <c r="B237">
        <f>IFERROR(VLOOKUP(A237,[1]Hoja1!$B$10:$AC$529,20,FALSE),0)</f>
        <v>140</v>
      </c>
      <c r="C237">
        <f>IFERROR(VLOOKUP(A237,[2]Hoja1!$B$10:$AC$542,20,FALSE),0)</f>
        <v>3</v>
      </c>
      <c r="D237">
        <f>IFERROR(VLOOKUP(A237,[3]Hoja1!$B$10:$AC$523,20,FALSE),0)</f>
        <v>57</v>
      </c>
      <c r="E237">
        <f>IFERROR(VLOOKUP(A237,[4]Hoja1!$B$10:$AC$531,20,FALSE),0)</f>
        <v>76</v>
      </c>
      <c r="F237">
        <f>IFERROR(VLOOKUP(A237,[5]Hoja1!$B$10:$AC$500,20,FALSE),0)</f>
        <v>141</v>
      </c>
    </row>
    <row r="238" spans="1:6" x14ac:dyDescent="0.2">
      <c r="A238" t="s">
        <v>237</v>
      </c>
      <c r="B238">
        <f>IFERROR(VLOOKUP(A238,[1]Hoja1!$B$10:$AC$529,20,FALSE),0)</f>
        <v>6262</v>
      </c>
      <c r="C238">
        <f>IFERROR(VLOOKUP(A238,[2]Hoja1!$B$10:$AC$542,20,FALSE),0)</f>
        <v>7504</v>
      </c>
      <c r="D238">
        <f>IFERROR(VLOOKUP(A238,[3]Hoja1!$B$10:$AC$523,20,FALSE),0)</f>
        <v>8577</v>
      </c>
      <c r="E238">
        <f>IFERROR(VLOOKUP(A238,[4]Hoja1!$B$10:$AC$531,20,FALSE),0)</f>
        <v>12578</v>
      </c>
      <c r="F238">
        <f>IFERROR(VLOOKUP(A238,[5]Hoja1!$B$10:$AC$500,20,FALSE),0)</f>
        <v>13951</v>
      </c>
    </row>
    <row r="239" spans="1:6" x14ac:dyDescent="0.2">
      <c r="A239" t="s">
        <v>238</v>
      </c>
      <c r="B239">
        <f>IFERROR(VLOOKUP(A239,[1]Hoja1!$B$10:$AC$529,20,FALSE),0)</f>
        <v>127</v>
      </c>
      <c r="C239">
        <f>IFERROR(VLOOKUP(A239,[2]Hoja1!$B$10:$AC$542,20,FALSE),0)</f>
        <v>50</v>
      </c>
      <c r="D239">
        <f>IFERROR(VLOOKUP(A239,[3]Hoja1!$B$10:$AC$523,20,FALSE),0)</f>
        <v>83</v>
      </c>
      <c r="E239">
        <f>IFERROR(VLOOKUP(A239,[4]Hoja1!$B$10:$AC$531,20,FALSE),0)</f>
        <v>48</v>
      </c>
      <c r="F239">
        <f>IFERROR(VLOOKUP(A239,[5]Hoja1!$B$10:$AC$500,20,FALSE),0)</f>
        <v>14</v>
      </c>
    </row>
    <row r="240" spans="1:6" x14ac:dyDescent="0.2">
      <c r="A240" t="s">
        <v>239</v>
      </c>
      <c r="B240">
        <f>IFERROR(VLOOKUP(A240,[1]Hoja1!$B$10:$AC$529,20,FALSE),0)</f>
        <v>0</v>
      </c>
      <c r="C240">
        <f>IFERROR(VLOOKUP(A240,[2]Hoja1!$B$10:$AC$542,20,FALSE),0)</f>
        <v>33</v>
      </c>
      <c r="D240">
        <f>IFERROR(VLOOKUP(A240,[3]Hoja1!$B$10:$AC$523,20,FALSE),0)</f>
        <v>6</v>
      </c>
      <c r="E240">
        <f>IFERROR(VLOOKUP(A240,[4]Hoja1!$B$10:$AC$531,20,FALSE),0)</f>
        <v>74</v>
      </c>
      <c r="F240">
        <f>IFERROR(VLOOKUP(A240,[5]Hoja1!$B$10:$AC$500,20,FALSE),0)</f>
        <v>30</v>
      </c>
    </row>
    <row r="241" spans="1:6" x14ac:dyDescent="0.2">
      <c r="A241" t="s">
        <v>240</v>
      </c>
      <c r="B241">
        <f>IFERROR(VLOOKUP(A241,[1]Hoja1!$B$10:$AC$529,20,FALSE),0)</f>
        <v>70</v>
      </c>
      <c r="C241">
        <f>IFERROR(VLOOKUP(A241,[2]Hoja1!$B$10:$AC$542,20,FALSE),0)</f>
        <v>44</v>
      </c>
      <c r="D241">
        <f>IFERROR(VLOOKUP(A241,[3]Hoja1!$B$10:$AC$523,20,FALSE),0)</f>
        <v>18</v>
      </c>
      <c r="E241">
        <f>IFERROR(VLOOKUP(A241,[4]Hoja1!$B$10:$AC$531,20,FALSE),0)</f>
        <v>10</v>
      </c>
      <c r="F241">
        <f>IFERROR(VLOOKUP(A241,[5]Hoja1!$B$10:$AC$500,20,FALSE),0)</f>
        <v>5</v>
      </c>
    </row>
    <row r="242" spans="1:6" x14ac:dyDescent="0.2">
      <c r="A242" t="s">
        <v>241</v>
      </c>
      <c r="B242">
        <f>IFERROR(VLOOKUP(A242,[1]Hoja1!$B$10:$AC$529,20,FALSE),0)</f>
        <v>123</v>
      </c>
      <c r="C242">
        <f>IFERROR(VLOOKUP(A242,[2]Hoja1!$B$10:$AC$542,20,FALSE),0)</f>
        <v>260</v>
      </c>
      <c r="D242">
        <f>IFERROR(VLOOKUP(A242,[3]Hoja1!$B$10:$AC$523,20,FALSE),0)</f>
        <v>269</v>
      </c>
      <c r="E242">
        <f>IFERROR(VLOOKUP(A242,[4]Hoja1!$B$10:$AC$531,20,FALSE),0)</f>
        <v>590</v>
      </c>
      <c r="F242">
        <f>IFERROR(VLOOKUP(A242,[5]Hoja1!$B$10:$AC$500,20,FALSE),0)</f>
        <v>699</v>
      </c>
    </row>
    <row r="243" spans="1:6" x14ac:dyDescent="0.2">
      <c r="A243" t="s">
        <v>242</v>
      </c>
      <c r="B243">
        <f>IFERROR(VLOOKUP(A243,[1]Hoja1!$B$10:$AC$529,20,FALSE),0)</f>
        <v>1300</v>
      </c>
      <c r="C243">
        <f>IFERROR(VLOOKUP(A243,[2]Hoja1!$B$10:$AC$542,20,FALSE),0)</f>
        <v>2052</v>
      </c>
      <c r="D243">
        <f>IFERROR(VLOOKUP(A243,[3]Hoja1!$B$10:$AC$523,20,FALSE),0)</f>
        <v>107</v>
      </c>
      <c r="E243">
        <f>IFERROR(VLOOKUP(A243,[4]Hoja1!$B$10:$AC$531,20,FALSE),0)</f>
        <v>2840</v>
      </c>
      <c r="F243">
        <f>IFERROR(VLOOKUP(A243,[5]Hoja1!$B$10:$AC$500,20,FALSE),0)</f>
        <v>993</v>
      </c>
    </row>
    <row r="244" spans="1:6" x14ac:dyDescent="0.2">
      <c r="A244" t="s">
        <v>243</v>
      </c>
      <c r="B244">
        <f>IFERROR(VLOOKUP(A244,[1]Hoja1!$B$10:$AC$529,20,FALSE),0)</f>
        <v>31</v>
      </c>
      <c r="C244">
        <f>IFERROR(VLOOKUP(A244,[2]Hoja1!$B$10:$AC$542,20,FALSE),0)</f>
        <v>48</v>
      </c>
      <c r="D244">
        <f>IFERROR(VLOOKUP(A244,[3]Hoja1!$B$10:$AC$523,20,FALSE),0)</f>
        <v>45</v>
      </c>
      <c r="E244">
        <f>IFERROR(VLOOKUP(A244,[4]Hoja1!$B$10:$AC$531,20,FALSE),0)</f>
        <v>88</v>
      </c>
      <c r="F244">
        <f>IFERROR(VLOOKUP(A244,[5]Hoja1!$B$10:$AC$500,20,FALSE),0)</f>
        <v>9</v>
      </c>
    </row>
    <row r="245" spans="1:6" x14ac:dyDescent="0.2">
      <c r="A245" t="s">
        <v>244</v>
      </c>
      <c r="B245">
        <f>IFERROR(VLOOKUP(A245,[1]Hoja1!$B$10:$AC$529,20,FALSE),0)</f>
        <v>2140</v>
      </c>
      <c r="C245">
        <f>IFERROR(VLOOKUP(A245,[2]Hoja1!$B$10:$AC$542,20,FALSE),0)</f>
        <v>5890</v>
      </c>
      <c r="D245">
        <f>IFERROR(VLOOKUP(A245,[3]Hoja1!$B$10:$AC$523,20,FALSE),0)</f>
        <v>2940</v>
      </c>
      <c r="E245">
        <f>IFERROR(VLOOKUP(A245,[4]Hoja1!$B$10:$AC$531,20,FALSE),0)</f>
        <v>936</v>
      </c>
      <c r="F245">
        <f>IFERROR(VLOOKUP(A245,[5]Hoja1!$B$10:$AC$500,20,FALSE),0)</f>
        <v>1202</v>
      </c>
    </row>
    <row r="246" spans="1:6" x14ac:dyDescent="0.2">
      <c r="A246" t="s">
        <v>245</v>
      </c>
      <c r="B246">
        <f>IFERROR(VLOOKUP(A246,[1]Hoja1!$B$10:$AC$529,20,FALSE),0)</f>
        <v>1301</v>
      </c>
      <c r="C246">
        <f>IFERROR(VLOOKUP(A246,[2]Hoja1!$B$10:$AC$542,20,FALSE),0)</f>
        <v>2377</v>
      </c>
      <c r="D246">
        <f>IFERROR(VLOOKUP(A246,[3]Hoja1!$B$10:$AC$523,20,FALSE),0)</f>
        <v>711</v>
      </c>
      <c r="E246">
        <f>IFERROR(VLOOKUP(A246,[4]Hoja1!$B$10:$AC$531,20,FALSE),0)</f>
        <v>1446</v>
      </c>
      <c r="F246">
        <f>IFERROR(VLOOKUP(A246,[5]Hoja1!$B$10:$AC$500,20,FALSE),0)</f>
        <v>2226</v>
      </c>
    </row>
    <row r="247" spans="1:6" x14ac:dyDescent="0.2">
      <c r="A247" t="s">
        <v>246</v>
      </c>
      <c r="B247">
        <f>IFERROR(VLOOKUP(A247,[1]Hoja1!$B$10:$AC$529,20,FALSE),0)</f>
        <v>2990</v>
      </c>
      <c r="C247">
        <f>IFERROR(VLOOKUP(A247,[2]Hoja1!$B$10:$AC$542,20,FALSE),0)</f>
        <v>1429</v>
      </c>
      <c r="D247">
        <f>IFERROR(VLOOKUP(A247,[3]Hoja1!$B$10:$AC$523,20,FALSE),0)</f>
        <v>1170</v>
      </c>
      <c r="E247">
        <f>IFERROR(VLOOKUP(A247,[4]Hoja1!$B$10:$AC$531,20,FALSE),0)</f>
        <v>1797</v>
      </c>
      <c r="F247">
        <f>IFERROR(VLOOKUP(A247,[5]Hoja1!$B$10:$AC$500,20,FALSE),0)</f>
        <v>1746</v>
      </c>
    </row>
    <row r="248" spans="1:6" x14ac:dyDescent="0.2">
      <c r="A248" t="s">
        <v>247</v>
      </c>
      <c r="B248">
        <f>IFERROR(VLOOKUP(A248,[1]Hoja1!$B$10:$AC$529,20,FALSE),0)</f>
        <v>60</v>
      </c>
      <c r="C248">
        <f>IFERROR(VLOOKUP(A248,[2]Hoja1!$B$10:$AC$542,20,FALSE),0)</f>
        <v>59</v>
      </c>
      <c r="D248">
        <f>IFERROR(VLOOKUP(A248,[3]Hoja1!$B$10:$AC$523,20,FALSE),0)</f>
        <v>65</v>
      </c>
      <c r="E248">
        <f>IFERROR(VLOOKUP(A248,[4]Hoja1!$B$10:$AC$531,20,FALSE),0)</f>
        <v>45</v>
      </c>
      <c r="F248">
        <f>IFERROR(VLOOKUP(A248,[5]Hoja1!$B$10:$AC$500,20,FALSE),0)</f>
        <v>140</v>
      </c>
    </row>
    <row r="249" spans="1:6" x14ac:dyDescent="0.2">
      <c r="A249" t="s">
        <v>248</v>
      </c>
      <c r="B249">
        <f>IFERROR(VLOOKUP(A249,[1]Hoja1!$B$10:$AC$529,20,FALSE),0)</f>
        <v>1140</v>
      </c>
      <c r="C249">
        <f>IFERROR(VLOOKUP(A249,[2]Hoja1!$B$10:$AC$542,20,FALSE),0)</f>
        <v>238</v>
      </c>
      <c r="D249">
        <f>IFERROR(VLOOKUP(A249,[3]Hoja1!$B$10:$AC$523,20,FALSE),0)</f>
        <v>617</v>
      </c>
      <c r="E249">
        <f>IFERROR(VLOOKUP(A249,[4]Hoja1!$B$10:$AC$531,20,FALSE),0)</f>
        <v>1470</v>
      </c>
      <c r="F249">
        <f>IFERROR(VLOOKUP(A249,[5]Hoja1!$B$10:$AC$500,20,FALSE),0)</f>
        <v>1490</v>
      </c>
    </row>
    <row r="250" spans="1:6" x14ac:dyDescent="0.2">
      <c r="A250" t="s">
        <v>249</v>
      </c>
      <c r="B250">
        <f>IFERROR(VLOOKUP(A250,[1]Hoja1!$B$10:$AC$529,20,FALSE),0)</f>
        <v>79</v>
      </c>
      <c r="C250">
        <f>IFERROR(VLOOKUP(A250,[2]Hoja1!$B$10:$AC$542,20,FALSE),0)</f>
        <v>43</v>
      </c>
      <c r="D250">
        <f>IFERROR(VLOOKUP(A250,[3]Hoja1!$B$10:$AC$523,20,FALSE),0)</f>
        <v>38</v>
      </c>
      <c r="E250">
        <f>IFERROR(VLOOKUP(A250,[4]Hoja1!$B$10:$AC$531,20,FALSE),0)</f>
        <v>83</v>
      </c>
      <c r="F250">
        <f>IFERROR(VLOOKUP(A250,[5]Hoja1!$B$10:$AC$500,20,FALSE),0)</f>
        <v>79</v>
      </c>
    </row>
    <row r="251" spans="1:6" x14ac:dyDescent="0.2">
      <c r="A251" t="s">
        <v>250</v>
      </c>
      <c r="B251">
        <f>IFERROR(VLOOKUP(A251,[1]Hoja1!$B$10:$AC$529,20,FALSE),0)</f>
        <v>2992</v>
      </c>
      <c r="C251">
        <f>IFERROR(VLOOKUP(A251,[2]Hoja1!$B$10:$AC$542,20,FALSE),0)</f>
        <v>2215</v>
      </c>
      <c r="D251">
        <f>IFERROR(VLOOKUP(A251,[3]Hoja1!$B$10:$AC$523,20,FALSE),0)</f>
        <v>536</v>
      </c>
      <c r="E251">
        <f>IFERROR(VLOOKUP(A251,[4]Hoja1!$B$10:$AC$531,20,FALSE),0)</f>
        <v>30</v>
      </c>
      <c r="F251">
        <f>IFERROR(VLOOKUP(A251,[5]Hoja1!$B$10:$AC$500,20,FALSE),0)</f>
        <v>30</v>
      </c>
    </row>
    <row r="252" spans="1:6" x14ac:dyDescent="0.2">
      <c r="A252" t="s">
        <v>251</v>
      </c>
      <c r="B252">
        <f>IFERROR(VLOOKUP(A252,[1]Hoja1!$B$10:$AC$529,20,FALSE),0)</f>
        <v>37</v>
      </c>
      <c r="C252">
        <f>IFERROR(VLOOKUP(A252,[2]Hoja1!$B$10:$AC$542,20,FALSE),0)</f>
        <v>27</v>
      </c>
      <c r="D252">
        <f>IFERROR(VLOOKUP(A252,[3]Hoja1!$B$10:$AC$523,20,FALSE),0)</f>
        <v>40</v>
      </c>
      <c r="E252">
        <f>IFERROR(VLOOKUP(A252,[4]Hoja1!$B$10:$AC$531,20,FALSE),0)</f>
        <v>14</v>
      </c>
      <c r="F252">
        <f>IFERROR(VLOOKUP(A252,[5]Hoja1!$B$10:$AC$500,20,FALSE),0)</f>
        <v>0</v>
      </c>
    </row>
    <row r="253" spans="1:6" x14ac:dyDescent="0.2">
      <c r="A253" t="s">
        <v>252</v>
      </c>
      <c r="B253">
        <f>IFERROR(VLOOKUP(A253,[1]Hoja1!$B$10:$AC$529,20,FALSE),0)</f>
        <v>180</v>
      </c>
      <c r="C253">
        <f>IFERROR(VLOOKUP(A253,[2]Hoja1!$B$10:$AC$542,20,FALSE),0)</f>
        <v>565</v>
      </c>
      <c r="D253">
        <f>IFERROR(VLOOKUP(A253,[3]Hoja1!$B$10:$AC$523,20,FALSE),0)</f>
        <v>570</v>
      </c>
      <c r="E253">
        <f>IFERROR(VLOOKUP(A253,[4]Hoja1!$B$10:$AC$531,20,FALSE),0)</f>
        <v>360</v>
      </c>
      <c r="F253">
        <f>IFERROR(VLOOKUP(A253,[5]Hoja1!$B$10:$AC$500,20,FALSE),0)</f>
        <v>620</v>
      </c>
    </row>
    <row r="254" spans="1:6" x14ac:dyDescent="0.2">
      <c r="A254" t="s">
        <v>253</v>
      </c>
      <c r="B254">
        <f>IFERROR(VLOOKUP(A254,[1]Hoja1!$B$10:$AC$529,20,FALSE),0)</f>
        <v>1800</v>
      </c>
      <c r="C254">
        <f>IFERROR(VLOOKUP(A254,[2]Hoja1!$B$10:$AC$542,20,FALSE),0)</f>
        <v>1025</v>
      </c>
      <c r="D254">
        <f>IFERROR(VLOOKUP(A254,[3]Hoja1!$B$10:$AC$523,20,FALSE),0)</f>
        <v>690</v>
      </c>
      <c r="E254">
        <f>IFERROR(VLOOKUP(A254,[4]Hoja1!$B$10:$AC$531,20,FALSE),0)</f>
        <v>1085</v>
      </c>
      <c r="F254">
        <f>IFERROR(VLOOKUP(A254,[5]Hoja1!$B$10:$AC$500,20,FALSE),0)</f>
        <v>1349</v>
      </c>
    </row>
    <row r="255" spans="1:6" x14ac:dyDescent="0.2">
      <c r="A255" t="s">
        <v>254</v>
      </c>
      <c r="B255">
        <f>IFERROR(VLOOKUP(A255,[1]Hoja1!$B$10:$AC$529,20,FALSE),0)</f>
        <v>7318</v>
      </c>
      <c r="C255">
        <f>IFERROR(VLOOKUP(A255,[2]Hoja1!$B$10:$AC$542,20,FALSE),0)</f>
        <v>4320</v>
      </c>
      <c r="D255">
        <f>IFERROR(VLOOKUP(A255,[3]Hoja1!$B$10:$AC$523,20,FALSE),0)</f>
        <v>2018</v>
      </c>
      <c r="E255">
        <f>IFERROR(VLOOKUP(A255,[4]Hoja1!$B$10:$AC$531,20,FALSE),0)</f>
        <v>5176</v>
      </c>
      <c r="F255">
        <f>IFERROR(VLOOKUP(A255,[5]Hoja1!$B$10:$AC$500,20,FALSE),0)</f>
        <v>0</v>
      </c>
    </row>
    <row r="256" spans="1:6" x14ac:dyDescent="0.2">
      <c r="A256" t="s">
        <v>255</v>
      </c>
      <c r="B256">
        <f>IFERROR(VLOOKUP(A256,[1]Hoja1!$B$10:$AC$529,20,FALSE),0)</f>
        <v>46</v>
      </c>
      <c r="C256">
        <f>IFERROR(VLOOKUP(A256,[2]Hoja1!$B$10:$AC$542,20,FALSE),0)</f>
        <v>37</v>
      </c>
      <c r="D256">
        <f>IFERROR(VLOOKUP(A256,[3]Hoja1!$B$10:$AC$523,20,FALSE),0)</f>
        <v>12</v>
      </c>
      <c r="E256">
        <f>IFERROR(VLOOKUP(A256,[4]Hoja1!$B$10:$AC$531,20,FALSE),0)</f>
        <v>36</v>
      </c>
      <c r="F256">
        <f>IFERROR(VLOOKUP(A256,[5]Hoja1!$B$10:$AC$500,20,FALSE),0)</f>
        <v>34</v>
      </c>
    </row>
    <row r="257" spans="1:6" x14ac:dyDescent="0.2">
      <c r="A257" t="s">
        <v>256</v>
      </c>
      <c r="B257">
        <f>IFERROR(VLOOKUP(A257,[1]Hoja1!$B$10:$AC$529,20,FALSE),0)</f>
        <v>849</v>
      </c>
      <c r="C257">
        <f>IFERROR(VLOOKUP(A257,[2]Hoja1!$B$10:$AC$542,20,FALSE),0)</f>
        <v>503</v>
      </c>
      <c r="D257">
        <f>IFERROR(VLOOKUP(A257,[3]Hoja1!$B$10:$AC$523,20,FALSE),0)</f>
        <v>171</v>
      </c>
      <c r="E257">
        <f>IFERROR(VLOOKUP(A257,[4]Hoja1!$B$10:$AC$531,20,FALSE),0)</f>
        <v>64</v>
      </c>
      <c r="F257">
        <f>IFERROR(VLOOKUP(A257,[5]Hoja1!$B$10:$AC$500,20,FALSE),0)</f>
        <v>0</v>
      </c>
    </row>
    <row r="258" spans="1:6" x14ac:dyDescent="0.2">
      <c r="A258" t="s">
        <v>257</v>
      </c>
      <c r="B258">
        <f>IFERROR(VLOOKUP(A258,[1]Hoja1!$B$10:$AC$529,20,FALSE),0)</f>
        <v>1589</v>
      </c>
      <c r="C258">
        <f>IFERROR(VLOOKUP(A258,[2]Hoja1!$B$10:$AC$542,20,FALSE),0)</f>
        <v>1095</v>
      </c>
      <c r="D258">
        <f>IFERROR(VLOOKUP(A258,[3]Hoja1!$B$10:$AC$523,20,FALSE),0)</f>
        <v>1504</v>
      </c>
      <c r="E258">
        <f>IFERROR(VLOOKUP(A258,[4]Hoja1!$B$10:$AC$531,20,FALSE),0)</f>
        <v>157</v>
      </c>
      <c r="F258">
        <f>IFERROR(VLOOKUP(A258,[5]Hoja1!$B$10:$AC$500,20,FALSE),0)</f>
        <v>1058</v>
      </c>
    </row>
    <row r="259" spans="1:6" x14ac:dyDescent="0.2">
      <c r="A259" t="s">
        <v>258</v>
      </c>
      <c r="B259">
        <f>IFERROR(VLOOKUP(A259,[1]Hoja1!$B$10:$AC$529,20,FALSE),0)</f>
        <v>3162</v>
      </c>
      <c r="C259">
        <f>IFERROR(VLOOKUP(A259,[2]Hoja1!$B$10:$AC$542,20,FALSE),0)</f>
        <v>405</v>
      </c>
      <c r="D259">
        <f>IFERROR(VLOOKUP(A259,[3]Hoja1!$B$10:$AC$523,20,FALSE),0)</f>
        <v>3437</v>
      </c>
      <c r="E259">
        <f>IFERROR(VLOOKUP(A259,[4]Hoja1!$B$10:$AC$531,20,FALSE),0)</f>
        <v>669</v>
      </c>
      <c r="F259">
        <f>IFERROR(VLOOKUP(A259,[5]Hoja1!$B$10:$AC$500,20,FALSE),0)</f>
        <v>3098</v>
      </c>
    </row>
    <row r="260" spans="1:6" x14ac:dyDescent="0.2">
      <c r="A260" t="s">
        <v>259</v>
      </c>
      <c r="B260">
        <f>IFERROR(VLOOKUP(A260,[1]Hoja1!$B$10:$AC$529,20,FALSE),0)</f>
        <v>740</v>
      </c>
      <c r="C260">
        <f>IFERROR(VLOOKUP(A260,[2]Hoja1!$B$10:$AC$542,20,FALSE),0)</f>
        <v>2065</v>
      </c>
      <c r="D260">
        <f>IFERROR(VLOOKUP(A260,[3]Hoja1!$B$10:$AC$523,20,FALSE),0)</f>
        <v>87</v>
      </c>
      <c r="E260">
        <f>IFERROR(VLOOKUP(A260,[4]Hoja1!$B$10:$AC$531,20,FALSE),0)</f>
        <v>49</v>
      </c>
      <c r="F260">
        <f>IFERROR(VLOOKUP(A260,[5]Hoja1!$B$10:$AC$500,20,FALSE),0)</f>
        <v>1280</v>
      </c>
    </row>
    <row r="261" spans="1:6" x14ac:dyDescent="0.2">
      <c r="A261" t="s">
        <v>260</v>
      </c>
      <c r="B261">
        <f>IFERROR(VLOOKUP(A261,[1]Hoja1!$B$10:$AC$529,20,FALSE),0)</f>
        <v>1107</v>
      </c>
      <c r="C261">
        <f>IFERROR(VLOOKUP(A261,[2]Hoja1!$B$10:$AC$542,20,FALSE),0)</f>
        <v>1450</v>
      </c>
      <c r="D261">
        <f>IFERROR(VLOOKUP(A261,[3]Hoja1!$B$10:$AC$523,20,FALSE),0)</f>
        <v>151</v>
      </c>
      <c r="E261">
        <f>IFERROR(VLOOKUP(A261,[4]Hoja1!$B$10:$AC$531,20,FALSE),0)</f>
        <v>1306</v>
      </c>
      <c r="F261">
        <f>IFERROR(VLOOKUP(A261,[5]Hoja1!$B$10:$AC$500,20,FALSE),0)</f>
        <v>2554</v>
      </c>
    </row>
    <row r="262" spans="1:6" x14ac:dyDescent="0.2">
      <c r="A262" t="s">
        <v>261</v>
      </c>
      <c r="B262">
        <f>IFERROR(VLOOKUP(A262,[1]Hoja1!$B$10:$AC$529,20,FALSE),0)</f>
        <v>93</v>
      </c>
      <c r="C262">
        <f>IFERROR(VLOOKUP(A262,[2]Hoja1!$B$10:$AC$542,20,FALSE),0)</f>
        <v>104</v>
      </c>
      <c r="D262">
        <f>IFERROR(VLOOKUP(A262,[3]Hoja1!$B$10:$AC$523,20,FALSE),0)</f>
        <v>11</v>
      </c>
      <c r="E262">
        <f>IFERROR(VLOOKUP(A262,[4]Hoja1!$B$10:$AC$531,20,FALSE),0)</f>
        <v>111</v>
      </c>
      <c r="F262">
        <f>IFERROR(VLOOKUP(A262,[5]Hoja1!$B$10:$AC$500,20,FALSE),0)</f>
        <v>5</v>
      </c>
    </row>
    <row r="263" spans="1:6" x14ac:dyDescent="0.2">
      <c r="A263" t="s">
        <v>262</v>
      </c>
      <c r="B263">
        <f>IFERROR(VLOOKUP(A263,[1]Hoja1!$B$10:$AC$529,20,FALSE),0)</f>
        <v>834</v>
      </c>
      <c r="C263">
        <f>IFERROR(VLOOKUP(A263,[2]Hoja1!$B$10:$AC$542,20,FALSE),0)</f>
        <v>1590</v>
      </c>
      <c r="D263">
        <f>IFERROR(VLOOKUP(A263,[3]Hoja1!$B$10:$AC$523,20,FALSE),0)</f>
        <v>921</v>
      </c>
      <c r="E263">
        <f>IFERROR(VLOOKUP(A263,[4]Hoja1!$B$10:$AC$531,20,FALSE),0)</f>
        <v>854</v>
      </c>
      <c r="F263">
        <f>IFERROR(VLOOKUP(A263,[5]Hoja1!$B$10:$AC$500,20,FALSE),0)</f>
        <v>620</v>
      </c>
    </row>
    <row r="264" spans="1:6" x14ac:dyDescent="0.2">
      <c r="A264" t="s">
        <v>263</v>
      </c>
      <c r="B264">
        <f>IFERROR(VLOOKUP(A264,[1]Hoja1!$B$10:$AC$529,20,FALSE),0)</f>
        <v>2</v>
      </c>
      <c r="C264">
        <f>IFERROR(VLOOKUP(A264,[2]Hoja1!$B$10:$AC$542,20,FALSE),0)</f>
        <v>0</v>
      </c>
      <c r="D264">
        <f>IFERROR(VLOOKUP(A264,[3]Hoja1!$B$10:$AC$523,20,FALSE),0)</f>
        <v>0</v>
      </c>
      <c r="E264">
        <f>IFERROR(VLOOKUP(A264,[4]Hoja1!$B$10:$AC$531,20,FALSE),0)</f>
        <v>0</v>
      </c>
      <c r="F264">
        <f>IFERROR(VLOOKUP(A264,[5]Hoja1!$B$10:$AC$500,20,FALSE),0)</f>
        <v>0</v>
      </c>
    </row>
    <row r="265" spans="1:6" x14ac:dyDescent="0.2">
      <c r="A265" t="s">
        <v>264</v>
      </c>
      <c r="B265">
        <f>IFERROR(VLOOKUP(A265,[1]Hoja1!$B$10:$AC$529,20,FALSE),0)</f>
        <v>145</v>
      </c>
      <c r="C265">
        <f>IFERROR(VLOOKUP(A265,[2]Hoja1!$B$10:$AC$542,20,FALSE),0)</f>
        <v>114</v>
      </c>
      <c r="D265">
        <f>IFERROR(VLOOKUP(A265,[3]Hoja1!$B$10:$AC$523,20,FALSE),0)</f>
        <v>79</v>
      </c>
      <c r="E265">
        <f>IFERROR(VLOOKUP(A265,[4]Hoja1!$B$10:$AC$531,20,FALSE),0)</f>
        <v>220</v>
      </c>
      <c r="F265">
        <f>IFERROR(VLOOKUP(A265,[5]Hoja1!$B$10:$AC$500,20,FALSE),0)</f>
        <v>176</v>
      </c>
    </row>
    <row r="266" spans="1:6" x14ac:dyDescent="0.2">
      <c r="A266" t="s">
        <v>265</v>
      </c>
      <c r="B266">
        <f>IFERROR(VLOOKUP(A266,[1]Hoja1!$B$10:$AC$529,20,FALSE),0)</f>
        <v>344</v>
      </c>
      <c r="C266">
        <f>IFERROR(VLOOKUP(A266,[2]Hoja1!$B$10:$AC$542,20,FALSE),0)</f>
        <v>265</v>
      </c>
      <c r="D266">
        <f>IFERROR(VLOOKUP(A266,[3]Hoja1!$B$10:$AC$523,20,FALSE),0)</f>
        <v>469</v>
      </c>
      <c r="E266">
        <f>IFERROR(VLOOKUP(A266,[4]Hoja1!$B$10:$AC$531,20,FALSE),0)</f>
        <v>121</v>
      </c>
      <c r="F266">
        <f>IFERROR(VLOOKUP(A266,[5]Hoja1!$B$10:$AC$500,20,FALSE),0)</f>
        <v>145</v>
      </c>
    </row>
    <row r="267" spans="1:6" x14ac:dyDescent="0.2">
      <c r="A267" t="s">
        <v>266</v>
      </c>
      <c r="B267">
        <f>IFERROR(VLOOKUP(A267,[1]Hoja1!$B$10:$AC$529,20,FALSE),0)</f>
        <v>0</v>
      </c>
      <c r="C267">
        <f>IFERROR(VLOOKUP(A267,[2]Hoja1!$B$10:$AC$542,20,FALSE),0)</f>
        <v>88</v>
      </c>
      <c r="D267">
        <f>IFERROR(VLOOKUP(A267,[3]Hoja1!$B$10:$AC$523,20,FALSE),0)</f>
        <v>449</v>
      </c>
      <c r="E267">
        <f>IFERROR(VLOOKUP(A267,[4]Hoja1!$B$10:$AC$531,20,FALSE),0)</f>
        <v>101</v>
      </c>
      <c r="F267">
        <f>IFERROR(VLOOKUP(A267,[5]Hoja1!$B$10:$AC$500,20,FALSE),0)</f>
        <v>18</v>
      </c>
    </row>
    <row r="268" spans="1:6" x14ac:dyDescent="0.2">
      <c r="A268" t="s">
        <v>267</v>
      </c>
      <c r="B268">
        <f>IFERROR(VLOOKUP(A268,[1]Hoja1!$B$10:$AC$529,20,FALSE),0)</f>
        <v>335</v>
      </c>
      <c r="C268">
        <f>IFERROR(VLOOKUP(A268,[2]Hoja1!$B$10:$AC$542,20,FALSE),0)</f>
        <v>1120</v>
      </c>
      <c r="D268">
        <f>IFERROR(VLOOKUP(A268,[3]Hoja1!$B$10:$AC$523,20,FALSE),0)</f>
        <v>100</v>
      </c>
      <c r="E268">
        <f>IFERROR(VLOOKUP(A268,[4]Hoja1!$B$10:$AC$531,20,FALSE),0)</f>
        <v>469</v>
      </c>
      <c r="F268">
        <f>IFERROR(VLOOKUP(A268,[5]Hoja1!$B$10:$AC$500,20,FALSE),0)</f>
        <v>1968</v>
      </c>
    </row>
    <row r="269" spans="1:6" x14ac:dyDescent="0.2">
      <c r="A269" t="s">
        <v>268</v>
      </c>
      <c r="B269">
        <f>IFERROR(VLOOKUP(A269,[1]Hoja1!$B$10:$AC$529,20,FALSE),0)</f>
        <v>541</v>
      </c>
      <c r="C269">
        <f>IFERROR(VLOOKUP(A269,[2]Hoja1!$B$10:$AC$542,20,FALSE),0)</f>
        <v>415</v>
      </c>
      <c r="D269">
        <f>IFERROR(VLOOKUP(A269,[3]Hoja1!$B$10:$AC$523,20,FALSE),0)</f>
        <v>245</v>
      </c>
      <c r="E269">
        <f>IFERROR(VLOOKUP(A269,[4]Hoja1!$B$10:$AC$531,20,FALSE),0)</f>
        <v>0</v>
      </c>
      <c r="F269">
        <f>IFERROR(VLOOKUP(A269,[5]Hoja1!$B$10:$AC$500,20,FALSE),0)</f>
        <v>0</v>
      </c>
    </row>
    <row r="270" spans="1:6" x14ac:dyDescent="0.2">
      <c r="A270" t="s">
        <v>269</v>
      </c>
      <c r="B270">
        <f>IFERROR(VLOOKUP(A270,[1]Hoja1!$B$10:$AC$529,20,FALSE),0)</f>
        <v>98</v>
      </c>
      <c r="C270">
        <f>IFERROR(VLOOKUP(A270,[2]Hoja1!$B$10:$AC$542,20,FALSE),0)</f>
        <v>62</v>
      </c>
      <c r="D270">
        <f>IFERROR(VLOOKUP(A270,[3]Hoja1!$B$10:$AC$523,20,FALSE),0)</f>
        <v>62</v>
      </c>
      <c r="E270">
        <f>IFERROR(VLOOKUP(A270,[4]Hoja1!$B$10:$AC$531,20,FALSE),0)</f>
        <v>44</v>
      </c>
      <c r="F270">
        <f>IFERROR(VLOOKUP(A270,[5]Hoja1!$B$10:$AC$500,20,FALSE),0)</f>
        <v>96</v>
      </c>
    </row>
    <row r="271" spans="1:6" x14ac:dyDescent="0.2">
      <c r="A271" t="s">
        <v>270</v>
      </c>
      <c r="B271">
        <f>IFERROR(VLOOKUP(A271,[1]Hoja1!$B$10:$AC$529,20,FALSE),0)</f>
        <v>252</v>
      </c>
      <c r="C271">
        <f>IFERROR(VLOOKUP(A271,[2]Hoja1!$B$10:$AC$542,20,FALSE),0)</f>
        <v>250</v>
      </c>
      <c r="D271">
        <f>IFERROR(VLOOKUP(A271,[3]Hoja1!$B$10:$AC$523,20,FALSE),0)</f>
        <v>217</v>
      </c>
      <c r="E271">
        <f>IFERROR(VLOOKUP(A271,[4]Hoja1!$B$10:$AC$531,20,FALSE),0)</f>
        <v>0</v>
      </c>
      <c r="F271">
        <f>IFERROR(VLOOKUP(A271,[5]Hoja1!$B$10:$AC$500,20,FALSE),0)</f>
        <v>243</v>
      </c>
    </row>
    <row r="272" spans="1:6" x14ac:dyDescent="0.2">
      <c r="A272" t="s">
        <v>271</v>
      </c>
      <c r="B272">
        <f>IFERROR(VLOOKUP(A272,[1]Hoja1!$B$10:$AC$529,20,FALSE),0)</f>
        <v>3</v>
      </c>
      <c r="C272">
        <f>IFERROR(VLOOKUP(A272,[2]Hoja1!$B$10:$AC$542,20,FALSE),0)</f>
        <v>0</v>
      </c>
      <c r="D272">
        <f>IFERROR(VLOOKUP(A272,[3]Hoja1!$B$10:$AC$523,20,FALSE),0)</f>
        <v>0</v>
      </c>
      <c r="E272">
        <f>IFERROR(VLOOKUP(A272,[4]Hoja1!$B$10:$AC$531,20,FALSE),0)</f>
        <v>0</v>
      </c>
      <c r="F272">
        <f>IFERROR(VLOOKUP(A272,[5]Hoja1!$B$10:$AC$500,20,FALSE),0)</f>
        <v>0</v>
      </c>
    </row>
    <row r="273" spans="1:6" x14ac:dyDescent="0.2">
      <c r="A273" t="s">
        <v>272</v>
      </c>
      <c r="B273">
        <f>IFERROR(VLOOKUP(A273,[1]Hoja1!$B$10:$AC$529,20,FALSE),0)</f>
        <v>1613</v>
      </c>
      <c r="C273">
        <f>IFERROR(VLOOKUP(A273,[2]Hoja1!$B$10:$AC$542,20,FALSE),0)</f>
        <v>1116</v>
      </c>
      <c r="D273">
        <f>IFERROR(VLOOKUP(A273,[3]Hoja1!$B$10:$AC$523,20,FALSE),0)</f>
        <v>954</v>
      </c>
      <c r="E273">
        <f>IFERROR(VLOOKUP(A273,[4]Hoja1!$B$10:$AC$531,20,FALSE),0)</f>
        <v>954</v>
      </c>
      <c r="F273">
        <f>IFERROR(VLOOKUP(A273,[5]Hoja1!$B$10:$AC$500,20,FALSE),0)</f>
        <v>0</v>
      </c>
    </row>
    <row r="274" spans="1:6" x14ac:dyDescent="0.2">
      <c r="A274" t="s">
        <v>273</v>
      </c>
      <c r="B274">
        <f>IFERROR(VLOOKUP(A274,[1]Hoja1!$B$10:$AC$529,20,FALSE),0)</f>
        <v>4</v>
      </c>
      <c r="C274">
        <f>IFERROR(VLOOKUP(A274,[2]Hoja1!$B$10:$AC$542,20,FALSE),0)</f>
        <v>8</v>
      </c>
      <c r="D274">
        <f>IFERROR(VLOOKUP(A274,[3]Hoja1!$B$10:$AC$523,20,FALSE),0)</f>
        <v>10</v>
      </c>
      <c r="E274">
        <f>IFERROR(VLOOKUP(A274,[4]Hoja1!$B$10:$AC$531,20,FALSE),0)</f>
        <v>0</v>
      </c>
      <c r="F274">
        <f>IFERROR(VLOOKUP(A274,[5]Hoja1!$B$10:$AC$500,20,FALSE),0)</f>
        <v>1</v>
      </c>
    </row>
    <row r="275" spans="1:6" x14ac:dyDescent="0.2">
      <c r="A275" t="s">
        <v>274</v>
      </c>
      <c r="B275">
        <f>IFERROR(VLOOKUP(A275,[1]Hoja1!$B$10:$AC$529,20,FALSE),0)</f>
        <v>53</v>
      </c>
      <c r="C275">
        <f>IFERROR(VLOOKUP(A275,[2]Hoja1!$B$10:$AC$542,20,FALSE),0)</f>
        <v>19</v>
      </c>
      <c r="D275">
        <f>IFERROR(VLOOKUP(A275,[3]Hoja1!$B$10:$AC$523,20,FALSE),0)</f>
        <v>95</v>
      </c>
      <c r="E275">
        <f>IFERROR(VLOOKUP(A275,[4]Hoja1!$B$10:$AC$531,20,FALSE),0)</f>
        <v>52</v>
      </c>
      <c r="F275">
        <f>IFERROR(VLOOKUP(A275,[5]Hoja1!$B$10:$AC$500,20,FALSE),0)</f>
        <v>16</v>
      </c>
    </row>
    <row r="276" spans="1:6" x14ac:dyDescent="0.2">
      <c r="A276" t="s">
        <v>275</v>
      </c>
      <c r="B276">
        <f>IFERROR(VLOOKUP(A276,[1]Hoja1!$B$10:$AC$529,20,FALSE),0)</f>
        <v>0</v>
      </c>
      <c r="C276">
        <f>IFERROR(VLOOKUP(A276,[2]Hoja1!$B$10:$AC$542,20,FALSE),0)</f>
        <v>0</v>
      </c>
      <c r="D276">
        <f>IFERROR(VLOOKUP(A276,[3]Hoja1!$B$10:$AC$523,20,FALSE),0)</f>
        <v>0</v>
      </c>
      <c r="E276">
        <f>IFERROR(VLOOKUP(A276,[4]Hoja1!$B$10:$AC$531,20,FALSE),0)</f>
        <v>0</v>
      </c>
      <c r="F276">
        <f>IFERROR(VLOOKUP(A276,[5]Hoja1!$B$10:$AC$500,20,FALSE),0)</f>
        <v>2</v>
      </c>
    </row>
    <row r="277" spans="1:6" x14ac:dyDescent="0.2">
      <c r="A277" t="s">
        <v>276</v>
      </c>
      <c r="B277">
        <f>IFERROR(VLOOKUP(A277,[1]Hoja1!$B$10:$AC$529,20,FALSE),0)</f>
        <v>46</v>
      </c>
      <c r="C277">
        <f>IFERROR(VLOOKUP(A277,[2]Hoja1!$B$10:$AC$542,20,FALSE),0)</f>
        <v>16</v>
      </c>
      <c r="D277">
        <f>IFERROR(VLOOKUP(A277,[3]Hoja1!$B$10:$AC$523,20,FALSE),0)</f>
        <v>38</v>
      </c>
      <c r="E277">
        <f>IFERROR(VLOOKUP(A277,[4]Hoja1!$B$10:$AC$531,20,FALSE),0)</f>
        <v>29</v>
      </c>
      <c r="F277">
        <f>IFERROR(VLOOKUP(A277,[5]Hoja1!$B$10:$AC$500,20,FALSE),0)</f>
        <v>11</v>
      </c>
    </row>
    <row r="278" spans="1:6" x14ac:dyDescent="0.2">
      <c r="A278" t="s">
        <v>277</v>
      </c>
      <c r="B278">
        <f>IFERROR(VLOOKUP(A278,[1]Hoja1!$B$10:$AC$529,20,FALSE),0)</f>
        <v>115</v>
      </c>
      <c r="C278">
        <f>IFERROR(VLOOKUP(A278,[2]Hoja1!$B$10:$AC$542,20,FALSE),0)</f>
        <v>91</v>
      </c>
      <c r="D278">
        <f>IFERROR(VLOOKUP(A278,[3]Hoja1!$B$10:$AC$523,20,FALSE),0)</f>
        <v>39</v>
      </c>
      <c r="E278">
        <f>IFERROR(VLOOKUP(A278,[4]Hoja1!$B$10:$AC$531,20,FALSE),0)</f>
        <v>52</v>
      </c>
      <c r="F278">
        <f>IFERROR(VLOOKUP(A278,[5]Hoja1!$B$10:$AC$500,20,FALSE),0)</f>
        <v>12</v>
      </c>
    </row>
    <row r="279" spans="1:6" x14ac:dyDescent="0.2">
      <c r="A279" t="s">
        <v>278</v>
      </c>
      <c r="B279">
        <f>IFERROR(VLOOKUP(A279,[1]Hoja1!$B$10:$AC$529,20,FALSE),0)</f>
        <v>770</v>
      </c>
      <c r="C279">
        <f>IFERROR(VLOOKUP(A279,[2]Hoja1!$B$10:$AC$542,20,FALSE),0)</f>
        <v>305</v>
      </c>
      <c r="D279">
        <f>IFERROR(VLOOKUP(A279,[3]Hoja1!$B$10:$AC$523,20,FALSE),0)</f>
        <v>96</v>
      </c>
      <c r="E279">
        <f>IFERROR(VLOOKUP(A279,[4]Hoja1!$B$10:$AC$531,20,FALSE),0)</f>
        <v>433</v>
      </c>
      <c r="F279">
        <f>IFERROR(VLOOKUP(A279,[5]Hoja1!$B$10:$AC$500,20,FALSE),0)</f>
        <v>0</v>
      </c>
    </row>
    <row r="280" spans="1:6" x14ac:dyDescent="0.2">
      <c r="A280" t="s">
        <v>279</v>
      </c>
      <c r="B280">
        <f>IFERROR(VLOOKUP(A280,[1]Hoja1!$B$10:$AC$529,20,FALSE),0)</f>
        <v>2897</v>
      </c>
      <c r="C280">
        <f>IFERROR(VLOOKUP(A280,[2]Hoja1!$B$10:$AC$542,20,FALSE),0)</f>
        <v>5474</v>
      </c>
      <c r="D280">
        <f>IFERROR(VLOOKUP(A280,[3]Hoja1!$B$10:$AC$523,20,FALSE),0)</f>
        <v>9742</v>
      </c>
      <c r="E280">
        <f>IFERROR(VLOOKUP(A280,[4]Hoja1!$B$10:$AC$531,20,FALSE),0)</f>
        <v>5468</v>
      </c>
      <c r="F280">
        <f>IFERROR(VLOOKUP(A280,[5]Hoja1!$B$10:$AC$500,20,FALSE),0)</f>
        <v>5722</v>
      </c>
    </row>
    <row r="281" spans="1:6" x14ac:dyDescent="0.2">
      <c r="A281" t="s">
        <v>280</v>
      </c>
      <c r="B281">
        <f>IFERROR(VLOOKUP(A281,[1]Hoja1!$B$10:$AC$529,20,FALSE),0)</f>
        <v>79</v>
      </c>
      <c r="C281">
        <f>IFERROR(VLOOKUP(A281,[2]Hoja1!$B$10:$AC$542,20,FALSE),0)</f>
        <v>55</v>
      </c>
      <c r="D281">
        <f>IFERROR(VLOOKUP(A281,[3]Hoja1!$B$10:$AC$523,20,FALSE),0)</f>
        <v>42</v>
      </c>
      <c r="E281">
        <f>IFERROR(VLOOKUP(A281,[4]Hoja1!$B$10:$AC$531,20,FALSE),0)</f>
        <v>300</v>
      </c>
      <c r="F281">
        <f>IFERROR(VLOOKUP(A281,[5]Hoja1!$B$10:$AC$500,20,FALSE),0)</f>
        <v>36</v>
      </c>
    </row>
    <row r="282" spans="1:6" x14ac:dyDescent="0.2">
      <c r="A282" t="s">
        <v>281</v>
      </c>
      <c r="B282">
        <f>IFERROR(VLOOKUP(A282,[1]Hoja1!$B$10:$AC$529,20,FALSE),0)</f>
        <v>218</v>
      </c>
      <c r="C282">
        <f>IFERROR(VLOOKUP(A282,[2]Hoja1!$B$10:$AC$542,20,FALSE),0)</f>
        <v>393</v>
      </c>
      <c r="D282">
        <f>IFERROR(VLOOKUP(A282,[3]Hoja1!$B$10:$AC$523,20,FALSE),0)</f>
        <v>741</v>
      </c>
      <c r="E282">
        <f>IFERROR(VLOOKUP(A282,[4]Hoja1!$B$10:$AC$531,20,FALSE),0)</f>
        <v>261</v>
      </c>
      <c r="F282">
        <f>IFERROR(VLOOKUP(A282,[5]Hoja1!$B$10:$AC$500,20,FALSE),0)</f>
        <v>489</v>
      </c>
    </row>
    <row r="283" spans="1:6" x14ac:dyDescent="0.2">
      <c r="A283" t="s">
        <v>282</v>
      </c>
      <c r="B283">
        <f>IFERROR(VLOOKUP(A283,[1]Hoja1!$B$10:$AC$529,20,FALSE),0)</f>
        <v>209</v>
      </c>
      <c r="C283">
        <f>IFERROR(VLOOKUP(A283,[2]Hoja1!$B$10:$AC$542,20,FALSE),0)</f>
        <v>283</v>
      </c>
      <c r="D283">
        <f>IFERROR(VLOOKUP(A283,[3]Hoja1!$B$10:$AC$523,20,FALSE),0)</f>
        <v>737</v>
      </c>
      <c r="E283">
        <f>IFERROR(VLOOKUP(A283,[4]Hoja1!$B$10:$AC$531,20,FALSE),0)</f>
        <v>133</v>
      </c>
      <c r="F283">
        <f>IFERROR(VLOOKUP(A283,[5]Hoja1!$B$10:$AC$500,20,FALSE),0)</f>
        <v>695</v>
      </c>
    </row>
    <row r="284" spans="1:6" x14ac:dyDescent="0.2">
      <c r="A284" t="s">
        <v>283</v>
      </c>
      <c r="B284">
        <f>IFERROR(VLOOKUP(A284,[1]Hoja1!$B$10:$AC$529,20,FALSE),0)</f>
        <v>15</v>
      </c>
      <c r="C284">
        <f>IFERROR(VLOOKUP(A284,[2]Hoja1!$B$10:$AC$542,20,FALSE),0)</f>
        <v>11</v>
      </c>
      <c r="D284">
        <f>IFERROR(VLOOKUP(A284,[3]Hoja1!$B$10:$AC$523,20,FALSE),0)</f>
        <v>22</v>
      </c>
      <c r="E284">
        <f>IFERROR(VLOOKUP(A284,[4]Hoja1!$B$10:$AC$531,20,FALSE),0)</f>
        <v>54</v>
      </c>
      <c r="F284">
        <f>IFERROR(VLOOKUP(A284,[5]Hoja1!$B$10:$AC$500,20,FALSE),0)</f>
        <v>35</v>
      </c>
    </row>
    <row r="285" spans="1:6" x14ac:dyDescent="0.2">
      <c r="A285" t="s">
        <v>284</v>
      </c>
      <c r="B285">
        <f>IFERROR(VLOOKUP(A285,[1]Hoja1!$B$10:$AC$529,20,FALSE),0)</f>
        <v>195</v>
      </c>
      <c r="C285">
        <f>IFERROR(VLOOKUP(A285,[2]Hoja1!$B$10:$AC$542,20,FALSE),0)</f>
        <v>185</v>
      </c>
      <c r="D285">
        <f>IFERROR(VLOOKUP(A285,[3]Hoja1!$B$10:$AC$523,20,FALSE),0)</f>
        <v>190</v>
      </c>
      <c r="E285">
        <f>IFERROR(VLOOKUP(A285,[4]Hoja1!$B$10:$AC$531,20,FALSE),0)</f>
        <v>104</v>
      </c>
      <c r="F285">
        <f>IFERROR(VLOOKUP(A285,[5]Hoja1!$B$10:$AC$500,20,FALSE),0)</f>
        <v>205</v>
      </c>
    </row>
    <row r="286" spans="1:6" x14ac:dyDescent="0.2">
      <c r="A286" t="s">
        <v>285</v>
      </c>
      <c r="B286">
        <f>IFERROR(VLOOKUP(A286,[1]Hoja1!$B$10:$AC$529,20,FALSE),0)</f>
        <v>225</v>
      </c>
      <c r="C286">
        <f>IFERROR(VLOOKUP(A286,[2]Hoja1!$B$10:$AC$542,20,FALSE),0)</f>
        <v>65</v>
      </c>
      <c r="D286">
        <f>IFERROR(VLOOKUP(A286,[3]Hoja1!$B$10:$AC$523,20,FALSE),0)</f>
        <v>0</v>
      </c>
      <c r="E286">
        <f>IFERROR(VLOOKUP(A286,[4]Hoja1!$B$10:$AC$531,20,FALSE),0)</f>
        <v>0</v>
      </c>
      <c r="F286">
        <f>IFERROR(VLOOKUP(A286,[5]Hoja1!$B$10:$AC$500,20,FALSE),0)</f>
        <v>0</v>
      </c>
    </row>
    <row r="287" spans="1:6" x14ac:dyDescent="0.2">
      <c r="A287" t="s">
        <v>286</v>
      </c>
      <c r="B287">
        <f>IFERROR(VLOOKUP(A287,[1]Hoja1!$B$10:$AC$529,20,FALSE),0)</f>
        <v>1373</v>
      </c>
      <c r="C287">
        <f>IFERROR(VLOOKUP(A287,[2]Hoja1!$B$10:$AC$542,20,FALSE),0)</f>
        <v>820</v>
      </c>
      <c r="D287">
        <f>IFERROR(VLOOKUP(A287,[3]Hoja1!$B$10:$AC$523,20,FALSE),0)</f>
        <v>583</v>
      </c>
      <c r="E287">
        <f>IFERROR(VLOOKUP(A287,[4]Hoja1!$B$10:$AC$531,20,FALSE),0)</f>
        <v>308</v>
      </c>
      <c r="F287">
        <f>IFERROR(VLOOKUP(A287,[5]Hoja1!$B$10:$AC$500,20,FALSE),0)</f>
        <v>672</v>
      </c>
    </row>
    <row r="288" spans="1:6" x14ac:dyDescent="0.2">
      <c r="A288" t="s">
        <v>287</v>
      </c>
      <c r="B288">
        <f>IFERROR(VLOOKUP(A288,[1]Hoja1!$B$10:$AC$529,20,FALSE),0)</f>
        <v>24</v>
      </c>
      <c r="C288">
        <f>IFERROR(VLOOKUP(A288,[2]Hoja1!$B$10:$AC$542,20,FALSE),0)</f>
        <v>19</v>
      </c>
      <c r="D288">
        <f>IFERROR(VLOOKUP(A288,[3]Hoja1!$B$10:$AC$523,20,FALSE),0)</f>
        <v>0</v>
      </c>
      <c r="E288">
        <f>IFERROR(VLOOKUP(A288,[4]Hoja1!$B$10:$AC$531,20,FALSE),0)</f>
        <v>40</v>
      </c>
      <c r="F288">
        <f>IFERROR(VLOOKUP(A288,[5]Hoja1!$B$10:$AC$500,20,FALSE),0)</f>
        <v>5</v>
      </c>
    </row>
    <row r="289" spans="1:6" x14ac:dyDescent="0.2">
      <c r="A289" t="s">
        <v>288</v>
      </c>
      <c r="B289">
        <f>IFERROR(VLOOKUP(A289,[1]Hoja1!$B$10:$AC$529,20,FALSE),0)</f>
        <v>0</v>
      </c>
      <c r="C289">
        <f>IFERROR(VLOOKUP(A289,[2]Hoja1!$B$10:$AC$542,20,FALSE),0)</f>
        <v>0</v>
      </c>
      <c r="D289">
        <f>IFERROR(VLOOKUP(A289,[3]Hoja1!$B$10:$AC$523,20,FALSE),0)</f>
        <v>10</v>
      </c>
      <c r="E289">
        <f>IFERROR(VLOOKUP(A289,[4]Hoja1!$B$10:$AC$531,20,FALSE),0)</f>
        <v>0</v>
      </c>
      <c r="F289">
        <f>IFERROR(VLOOKUP(A289,[5]Hoja1!$B$10:$AC$500,20,FALSE),0)</f>
        <v>0</v>
      </c>
    </row>
    <row r="290" spans="1:6" x14ac:dyDescent="0.2">
      <c r="A290" t="s">
        <v>289</v>
      </c>
      <c r="B290">
        <f>IFERROR(VLOOKUP(A290,[1]Hoja1!$B$10:$AC$529,20,FALSE),0)</f>
        <v>10</v>
      </c>
      <c r="C290">
        <f>IFERROR(VLOOKUP(A290,[2]Hoja1!$B$10:$AC$542,20,FALSE),0)</f>
        <v>0</v>
      </c>
      <c r="D290">
        <f>IFERROR(VLOOKUP(A290,[3]Hoja1!$B$10:$AC$523,20,FALSE),0)</f>
        <v>0</v>
      </c>
      <c r="E290">
        <f>IFERROR(VLOOKUP(A290,[4]Hoja1!$B$10:$AC$531,20,FALSE),0)</f>
        <v>19</v>
      </c>
      <c r="F290">
        <f>IFERROR(VLOOKUP(A290,[5]Hoja1!$B$10:$AC$500,20,FALSE),0)</f>
        <v>0</v>
      </c>
    </row>
    <row r="291" spans="1:6" x14ac:dyDescent="0.2">
      <c r="A291" t="s">
        <v>290</v>
      </c>
      <c r="B291">
        <f>IFERROR(VLOOKUP(A291,[1]Hoja1!$B$10:$AC$529,20,FALSE),0)</f>
        <v>9</v>
      </c>
      <c r="C291">
        <f>IFERROR(VLOOKUP(A291,[2]Hoja1!$B$10:$AC$542,20,FALSE),0)</f>
        <v>4</v>
      </c>
      <c r="D291">
        <f>IFERROR(VLOOKUP(A291,[3]Hoja1!$B$10:$AC$523,20,FALSE),0)</f>
        <v>0</v>
      </c>
      <c r="E291">
        <f>IFERROR(VLOOKUP(A291,[4]Hoja1!$B$10:$AC$531,20,FALSE),0)</f>
        <v>2</v>
      </c>
      <c r="F291">
        <f>IFERROR(VLOOKUP(A291,[5]Hoja1!$B$10:$AC$500,20,FALSE),0)</f>
        <v>0</v>
      </c>
    </row>
    <row r="292" spans="1:6" x14ac:dyDescent="0.2">
      <c r="A292" t="s">
        <v>291</v>
      </c>
      <c r="B292">
        <f>IFERROR(VLOOKUP(A292,[1]Hoja1!$B$10:$AC$529,20,FALSE),0)</f>
        <v>71</v>
      </c>
      <c r="C292">
        <f>IFERROR(VLOOKUP(A292,[2]Hoja1!$B$10:$AC$542,20,FALSE),0)</f>
        <v>84</v>
      </c>
      <c r="D292">
        <f>IFERROR(VLOOKUP(A292,[3]Hoja1!$B$10:$AC$523,20,FALSE),0)</f>
        <v>39</v>
      </c>
      <c r="E292">
        <f>IFERROR(VLOOKUP(A292,[4]Hoja1!$B$10:$AC$531,20,FALSE),0)</f>
        <v>54</v>
      </c>
      <c r="F292">
        <f>IFERROR(VLOOKUP(A292,[5]Hoja1!$B$10:$AC$500,20,FALSE),0)</f>
        <v>0</v>
      </c>
    </row>
    <row r="293" spans="1:6" x14ac:dyDescent="0.2">
      <c r="A293" t="s">
        <v>292</v>
      </c>
      <c r="B293">
        <f>IFERROR(VLOOKUP(A293,[1]Hoja1!$B$10:$AC$529,20,FALSE),0)</f>
        <v>20</v>
      </c>
      <c r="C293">
        <f>IFERROR(VLOOKUP(A293,[2]Hoja1!$B$10:$AC$542,20,FALSE),0)</f>
        <v>36</v>
      </c>
      <c r="D293">
        <f>IFERROR(VLOOKUP(A293,[3]Hoja1!$B$10:$AC$523,20,FALSE),0)</f>
        <v>40</v>
      </c>
      <c r="E293">
        <f>IFERROR(VLOOKUP(A293,[4]Hoja1!$B$10:$AC$531,20,FALSE),0)</f>
        <v>51</v>
      </c>
      <c r="F293">
        <f>IFERROR(VLOOKUP(A293,[5]Hoja1!$B$10:$AC$500,20,FALSE),0)</f>
        <v>26</v>
      </c>
    </row>
    <row r="294" spans="1:6" x14ac:dyDescent="0.2">
      <c r="A294" t="s">
        <v>293</v>
      </c>
      <c r="B294">
        <f>IFERROR(VLOOKUP(A294,[1]Hoja1!$B$10:$AC$529,20,FALSE),0)</f>
        <v>9</v>
      </c>
      <c r="C294">
        <f>IFERROR(VLOOKUP(A294,[2]Hoja1!$B$10:$AC$542,20,FALSE),0)</f>
        <v>2</v>
      </c>
      <c r="D294">
        <f>IFERROR(VLOOKUP(A294,[3]Hoja1!$B$10:$AC$523,20,FALSE),0)</f>
        <v>0</v>
      </c>
      <c r="E294">
        <f>IFERROR(VLOOKUP(A294,[4]Hoja1!$B$10:$AC$531,20,FALSE),0)</f>
        <v>3</v>
      </c>
      <c r="F294">
        <f>IFERROR(VLOOKUP(A294,[5]Hoja1!$B$10:$AC$500,20,FALSE),0)</f>
        <v>0</v>
      </c>
    </row>
    <row r="295" spans="1:6" x14ac:dyDescent="0.2">
      <c r="A295" t="s">
        <v>294</v>
      </c>
      <c r="B295">
        <f>IFERROR(VLOOKUP(A295,[1]Hoja1!$B$10:$AC$529,20,FALSE),0)</f>
        <v>11</v>
      </c>
      <c r="C295">
        <f>IFERROR(VLOOKUP(A295,[2]Hoja1!$B$10:$AC$542,20,FALSE),0)</f>
        <v>8</v>
      </c>
      <c r="D295">
        <f>IFERROR(VLOOKUP(A295,[3]Hoja1!$B$10:$AC$523,20,FALSE),0)</f>
        <v>8</v>
      </c>
      <c r="E295">
        <f>IFERROR(VLOOKUP(A295,[4]Hoja1!$B$10:$AC$531,20,FALSE),0)</f>
        <v>119</v>
      </c>
      <c r="F295">
        <f>IFERROR(VLOOKUP(A295,[5]Hoja1!$B$10:$AC$500,20,FALSE),0)</f>
        <v>7</v>
      </c>
    </row>
    <row r="296" spans="1:6" x14ac:dyDescent="0.2">
      <c r="A296" t="s">
        <v>295</v>
      </c>
      <c r="B296">
        <f>IFERROR(VLOOKUP(A296,[1]Hoja1!$B$10:$AC$529,20,FALSE),0)</f>
        <v>305</v>
      </c>
      <c r="C296">
        <f>IFERROR(VLOOKUP(A296,[2]Hoja1!$B$10:$AC$542,20,FALSE),0)</f>
        <v>146</v>
      </c>
      <c r="D296">
        <f>IFERROR(VLOOKUP(A296,[3]Hoja1!$B$10:$AC$523,20,FALSE),0)</f>
        <v>229</v>
      </c>
      <c r="E296">
        <f>IFERROR(VLOOKUP(A296,[4]Hoja1!$B$10:$AC$531,20,FALSE),0)</f>
        <v>38</v>
      </c>
      <c r="F296">
        <f>IFERROR(VLOOKUP(A296,[5]Hoja1!$B$10:$AC$500,20,FALSE),0)</f>
        <v>203</v>
      </c>
    </row>
    <row r="297" spans="1:6" x14ac:dyDescent="0.2">
      <c r="A297" t="s">
        <v>296</v>
      </c>
      <c r="B297">
        <f>IFERROR(VLOOKUP(A297,[1]Hoja1!$B$10:$AC$529,20,FALSE),0)</f>
        <v>0</v>
      </c>
      <c r="C297">
        <f>IFERROR(VLOOKUP(A297,[2]Hoja1!$B$10:$AC$542,20,FALSE),0)</f>
        <v>0</v>
      </c>
      <c r="D297">
        <f>IFERROR(VLOOKUP(A297,[3]Hoja1!$B$10:$AC$523,20,FALSE),0)</f>
        <v>21</v>
      </c>
      <c r="E297">
        <f>IFERROR(VLOOKUP(A297,[4]Hoja1!$B$10:$AC$531,20,FALSE),0)</f>
        <v>28</v>
      </c>
      <c r="F297">
        <f>IFERROR(VLOOKUP(A297,[5]Hoja1!$B$10:$AC$500,20,FALSE),0)</f>
        <v>83</v>
      </c>
    </row>
    <row r="298" spans="1:6" x14ac:dyDescent="0.2">
      <c r="A298" t="s">
        <v>297</v>
      </c>
      <c r="B298">
        <f>IFERROR(VLOOKUP(A298,[1]Hoja1!$B$10:$AC$529,20,FALSE),0)</f>
        <v>123</v>
      </c>
      <c r="C298">
        <f>IFERROR(VLOOKUP(A298,[2]Hoja1!$B$10:$AC$542,20,FALSE),0)</f>
        <v>74</v>
      </c>
      <c r="D298">
        <f>IFERROR(VLOOKUP(A298,[3]Hoja1!$B$10:$AC$523,20,FALSE),0)</f>
        <v>39</v>
      </c>
      <c r="E298">
        <f>IFERROR(VLOOKUP(A298,[4]Hoja1!$B$10:$AC$531,20,FALSE),0)</f>
        <v>71</v>
      </c>
      <c r="F298">
        <f>IFERROR(VLOOKUP(A298,[5]Hoja1!$B$10:$AC$500,20,FALSE),0)</f>
        <v>67</v>
      </c>
    </row>
    <row r="299" spans="1:6" x14ac:dyDescent="0.2">
      <c r="A299" t="s">
        <v>298</v>
      </c>
      <c r="B299">
        <f>IFERROR(VLOOKUP(A299,[1]Hoja1!$B$10:$AC$529,20,FALSE),0)</f>
        <v>0</v>
      </c>
      <c r="C299">
        <f>IFERROR(VLOOKUP(A299,[2]Hoja1!$B$10:$AC$542,20,FALSE),0)</f>
        <v>6</v>
      </c>
      <c r="D299">
        <f>IFERROR(VLOOKUP(A299,[3]Hoja1!$B$10:$AC$523,20,FALSE),0)</f>
        <v>35</v>
      </c>
      <c r="E299">
        <f>IFERROR(VLOOKUP(A299,[4]Hoja1!$B$10:$AC$531,20,FALSE),0)</f>
        <v>60</v>
      </c>
      <c r="F299">
        <f>IFERROR(VLOOKUP(A299,[5]Hoja1!$B$10:$AC$500,20,FALSE),0)</f>
        <v>27</v>
      </c>
    </row>
    <row r="300" spans="1:6" x14ac:dyDescent="0.2">
      <c r="A300" t="s">
        <v>299</v>
      </c>
      <c r="B300">
        <f>IFERROR(VLOOKUP(A300,[1]Hoja1!$B$10:$AC$529,20,FALSE),0)</f>
        <v>0</v>
      </c>
      <c r="C300">
        <f>IFERROR(VLOOKUP(A300,[2]Hoja1!$B$10:$AC$542,20,FALSE),0)</f>
        <v>0</v>
      </c>
      <c r="D300">
        <f>IFERROR(VLOOKUP(A300,[3]Hoja1!$B$10:$AC$523,20,FALSE),0)</f>
        <v>0</v>
      </c>
      <c r="E300">
        <f>IFERROR(VLOOKUP(A300,[4]Hoja1!$B$10:$AC$531,20,FALSE),0)</f>
        <v>0</v>
      </c>
      <c r="F300">
        <f>IFERROR(VLOOKUP(A300,[5]Hoja1!$B$10:$AC$500,20,FALSE),0)</f>
        <v>0</v>
      </c>
    </row>
    <row r="301" spans="1:6" x14ac:dyDescent="0.2">
      <c r="A301" t="s">
        <v>300</v>
      </c>
      <c r="B301">
        <f>IFERROR(VLOOKUP(A301,[1]Hoja1!$B$10:$AC$529,20,FALSE),0)</f>
        <v>30</v>
      </c>
      <c r="C301">
        <f>IFERROR(VLOOKUP(A301,[2]Hoja1!$B$10:$AC$542,20,FALSE),0)</f>
        <v>12</v>
      </c>
      <c r="D301">
        <f>IFERROR(VLOOKUP(A301,[3]Hoja1!$B$10:$AC$523,20,FALSE),0)</f>
        <v>28</v>
      </c>
      <c r="E301">
        <f>IFERROR(VLOOKUP(A301,[4]Hoja1!$B$10:$AC$531,20,FALSE),0)</f>
        <v>0</v>
      </c>
      <c r="F301">
        <f>IFERROR(VLOOKUP(A301,[5]Hoja1!$B$10:$AC$500,20,FALSE),0)</f>
        <v>121</v>
      </c>
    </row>
    <row r="302" spans="1:6" x14ac:dyDescent="0.2">
      <c r="A302" t="s">
        <v>301</v>
      </c>
      <c r="B302">
        <f>IFERROR(VLOOKUP(A302,[1]Hoja1!$B$10:$AC$529,20,FALSE),0)</f>
        <v>8</v>
      </c>
      <c r="C302">
        <f>IFERROR(VLOOKUP(A302,[2]Hoja1!$B$10:$AC$542,20,FALSE),0)</f>
        <v>24</v>
      </c>
      <c r="D302">
        <f>IFERROR(VLOOKUP(A302,[3]Hoja1!$B$10:$AC$523,20,FALSE),0)</f>
        <v>16</v>
      </c>
      <c r="E302">
        <f>IFERROR(VLOOKUP(A302,[4]Hoja1!$B$10:$AC$531,20,FALSE),0)</f>
        <v>0</v>
      </c>
      <c r="F302">
        <f>IFERROR(VLOOKUP(A302,[5]Hoja1!$B$10:$AC$500,20,FALSE),0)</f>
        <v>0</v>
      </c>
    </row>
    <row r="303" spans="1:6" x14ac:dyDescent="0.2">
      <c r="A303" t="s">
        <v>302</v>
      </c>
      <c r="B303">
        <f>IFERROR(VLOOKUP(A303,[1]Hoja1!$B$10:$AC$529,20,FALSE),0)</f>
        <v>1062</v>
      </c>
      <c r="C303">
        <f>IFERROR(VLOOKUP(A303,[2]Hoja1!$B$10:$AC$542,20,FALSE),0)</f>
        <v>325</v>
      </c>
      <c r="D303">
        <f>IFERROR(VLOOKUP(A303,[3]Hoja1!$B$10:$AC$523,20,FALSE),0)</f>
        <v>1194</v>
      </c>
      <c r="E303">
        <f>IFERROR(VLOOKUP(A303,[4]Hoja1!$B$10:$AC$531,20,FALSE),0)</f>
        <v>680</v>
      </c>
      <c r="F303">
        <f>IFERROR(VLOOKUP(A303,[5]Hoja1!$B$10:$AC$500,20,FALSE),0)</f>
        <v>1511</v>
      </c>
    </row>
    <row r="304" spans="1:6" x14ac:dyDescent="0.2">
      <c r="A304" t="s">
        <v>303</v>
      </c>
      <c r="B304">
        <f>IFERROR(VLOOKUP(A304,[1]Hoja1!$B$10:$AC$529,20,FALSE),0)</f>
        <v>97</v>
      </c>
      <c r="C304">
        <f>IFERROR(VLOOKUP(A304,[2]Hoja1!$B$10:$AC$542,20,FALSE),0)</f>
        <v>58</v>
      </c>
      <c r="D304">
        <f>IFERROR(VLOOKUP(A304,[3]Hoja1!$B$10:$AC$523,20,FALSE),0)</f>
        <v>16</v>
      </c>
      <c r="E304">
        <f>IFERROR(VLOOKUP(A304,[4]Hoja1!$B$10:$AC$531,20,FALSE),0)</f>
        <v>0</v>
      </c>
      <c r="F304">
        <f>IFERROR(VLOOKUP(A304,[5]Hoja1!$B$10:$AC$500,20,FALSE),0)</f>
        <v>0</v>
      </c>
    </row>
    <row r="305" spans="1:6" x14ac:dyDescent="0.2">
      <c r="A305" t="s">
        <v>304</v>
      </c>
      <c r="B305">
        <f>IFERROR(VLOOKUP(A305,[1]Hoja1!$B$10:$AC$529,20,FALSE),0)</f>
        <v>128</v>
      </c>
      <c r="C305">
        <f>IFERROR(VLOOKUP(A305,[2]Hoja1!$B$10:$AC$542,20,FALSE),0)</f>
        <v>105</v>
      </c>
      <c r="D305">
        <f>IFERROR(VLOOKUP(A305,[3]Hoja1!$B$10:$AC$523,20,FALSE),0)</f>
        <v>102</v>
      </c>
      <c r="E305">
        <f>IFERROR(VLOOKUP(A305,[4]Hoja1!$B$10:$AC$531,20,FALSE),0)</f>
        <v>82</v>
      </c>
      <c r="F305">
        <f>IFERROR(VLOOKUP(A305,[5]Hoja1!$B$10:$AC$500,20,FALSE),0)</f>
        <v>83</v>
      </c>
    </row>
    <row r="306" spans="1:6" x14ac:dyDescent="0.2">
      <c r="A306" t="s">
        <v>305</v>
      </c>
      <c r="B306">
        <f>IFERROR(VLOOKUP(A306,[1]Hoja1!$B$10:$AC$529,20,FALSE),0)</f>
        <v>24</v>
      </c>
      <c r="C306">
        <f>IFERROR(VLOOKUP(A306,[2]Hoja1!$B$10:$AC$542,20,FALSE),0)</f>
        <v>3</v>
      </c>
      <c r="D306">
        <f>IFERROR(VLOOKUP(A306,[3]Hoja1!$B$10:$AC$523,20,FALSE),0)</f>
        <v>1</v>
      </c>
      <c r="E306">
        <f>IFERROR(VLOOKUP(A306,[4]Hoja1!$B$10:$AC$531,20,FALSE),0)</f>
        <v>66</v>
      </c>
      <c r="F306">
        <f>IFERROR(VLOOKUP(A306,[5]Hoja1!$B$10:$AC$500,20,FALSE),0)</f>
        <v>12</v>
      </c>
    </row>
    <row r="307" spans="1:6" x14ac:dyDescent="0.2">
      <c r="A307" t="s">
        <v>306</v>
      </c>
      <c r="B307">
        <f>IFERROR(VLOOKUP(A307,[1]Hoja1!$B$10:$AC$529,20,FALSE),0)</f>
        <v>13</v>
      </c>
      <c r="C307">
        <f>IFERROR(VLOOKUP(A307,[2]Hoja1!$B$10:$AC$542,20,FALSE),0)</f>
        <v>0</v>
      </c>
      <c r="D307">
        <f>IFERROR(VLOOKUP(A307,[3]Hoja1!$B$10:$AC$523,20,FALSE),0)</f>
        <v>26</v>
      </c>
      <c r="E307">
        <f>IFERROR(VLOOKUP(A307,[4]Hoja1!$B$10:$AC$531,20,FALSE),0)</f>
        <v>0</v>
      </c>
      <c r="F307">
        <f>IFERROR(VLOOKUP(A307,[5]Hoja1!$B$10:$AC$500,20,FALSE),0)</f>
        <v>0</v>
      </c>
    </row>
    <row r="308" spans="1:6" x14ac:dyDescent="0.2">
      <c r="A308" t="s">
        <v>307</v>
      </c>
      <c r="B308">
        <f>IFERROR(VLOOKUP(A308,[1]Hoja1!$B$10:$AC$529,20,FALSE),0)</f>
        <v>20</v>
      </c>
      <c r="C308">
        <f>IFERROR(VLOOKUP(A308,[2]Hoja1!$B$10:$AC$542,20,FALSE),0)</f>
        <v>16</v>
      </c>
      <c r="D308">
        <f>IFERROR(VLOOKUP(A308,[3]Hoja1!$B$10:$AC$523,20,FALSE),0)</f>
        <v>23</v>
      </c>
      <c r="E308">
        <f>IFERROR(VLOOKUP(A308,[4]Hoja1!$B$10:$AC$531,20,FALSE),0)</f>
        <v>0</v>
      </c>
      <c r="F308">
        <f>IFERROR(VLOOKUP(A308,[5]Hoja1!$B$10:$AC$500,20,FALSE),0)</f>
        <v>0</v>
      </c>
    </row>
    <row r="309" spans="1:6" x14ac:dyDescent="0.2">
      <c r="A309" t="s">
        <v>308</v>
      </c>
      <c r="B309">
        <f>IFERROR(VLOOKUP(A309,[1]Hoja1!$B$10:$AC$529,20,FALSE),0)</f>
        <v>17</v>
      </c>
      <c r="C309">
        <f>IFERROR(VLOOKUP(A309,[2]Hoja1!$B$10:$AC$542,20,FALSE),0)</f>
        <v>4</v>
      </c>
      <c r="D309">
        <f>IFERROR(VLOOKUP(A309,[3]Hoja1!$B$10:$AC$523,20,FALSE),0)</f>
        <v>5</v>
      </c>
      <c r="E309">
        <f>IFERROR(VLOOKUP(A309,[4]Hoja1!$B$10:$AC$531,20,FALSE),0)</f>
        <v>0</v>
      </c>
      <c r="F309">
        <f>IFERROR(VLOOKUP(A309,[5]Hoja1!$B$10:$AC$500,20,FALSE),0)</f>
        <v>0</v>
      </c>
    </row>
    <row r="310" spans="1:6" x14ac:dyDescent="0.2">
      <c r="A310" t="s">
        <v>309</v>
      </c>
      <c r="B310">
        <f>IFERROR(VLOOKUP(A310,[1]Hoja1!$B$10:$AC$529,20,FALSE),0)</f>
        <v>30</v>
      </c>
      <c r="C310">
        <f>IFERROR(VLOOKUP(A310,[2]Hoja1!$B$10:$AC$542,20,FALSE),0)</f>
        <v>22</v>
      </c>
      <c r="D310">
        <f>IFERROR(VLOOKUP(A310,[3]Hoja1!$B$10:$AC$523,20,FALSE),0)</f>
        <v>13</v>
      </c>
      <c r="E310">
        <f>IFERROR(VLOOKUP(A310,[4]Hoja1!$B$10:$AC$531,20,FALSE),0)</f>
        <v>0</v>
      </c>
      <c r="F310">
        <f>IFERROR(VLOOKUP(A310,[5]Hoja1!$B$10:$AC$500,20,FALSE),0)</f>
        <v>0</v>
      </c>
    </row>
    <row r="311" spans="1:6" x14ac:dyDescent="0.2">
      <c r="A311" t="s">
        <v>310</v>
      </c>
      <c r="B311">
        <f>IFERROR(VLOOKUP(A311,[1]Hoja1!$B$10:$AC$529,20,FALSE),0)</f>
        <v>17</v>
      </c>
      <c r="C311">
        <f>IFERROR(VLOOKUP(A311,[2]Hoja1!$B$10:$AC$542,20,FALSE),0)</f>
        <v>14</v>
      </c>
      <c r="D311">
        <f>IFERROR(VLOOKUP(A311,[3]Hoja1!$B$10:$AC$523,20,FALSE),0)</f>
        <v>2</v>
      </c>
      <c r="E311">
        <f>IFERROR(VLOOKUP(A311,[4]Hoja1!$B$10:$AC$531,20,FALSE),0)</f>
        <v>0</v>
      </c>
      <c r="F311">
        <f>IFERROR(VLOOKUP(A311,[5]Hoja1!$B$10:$AC$500,20,FALSE),0)</f>
        <v>0</v>
      </c>
    </row>
    <row r="312" spans="1:6" x14ac:dyDescent="0.2">
      <c r="A312" t="s">
        <v>311</v>
      </c>
      <c r="B312">
        <f>IFERROR(VLOOKUP(A312,[1]Hoja1!$B$10:$AC$529,20,FALSE),0)</f>
        <v>11</v>
      </c>
      <c r="C312">
        <f>IFERROR(VLOOKUP(A312,[2]Hoja1!$B$10:$AC$542,20,FALSE),0)</f>
        <v>3</v>
      </c>
      <c r="D312">
        <f>IFERROR(VLOOKUP(A312,[3]Hoja1!$B$10:$AC$523,20,FALSE),0)</f>
        <v>0</v>
      </c>
      <c r="E312">
        <f>IFERROR(VLOOKUP(A312,[4]Hoja1!$B$10:$AC$531,20,FALSE),0)</f>
        <v>3</v>
      </c>
      <c r="F312">
        <f>IFERROR(VLOOKUP(A312,[5]Hoja1!$B$10:$AC$500,20,FALSE),0)</f>
        <v>1</v>
      </c>
    </row>
    <row r="313" spans="1:6" x14ac:dyDescent="0.2">
      <c r="A313" t="s">
        <v>312</v>
      </c>
      <c r="B313">
        <f>IFERROR(VLOOKUP(A313,[1]Hoja1!$B$10:$AC$529,20,FALSE),0)</f>
        <v>0</v>
      </c>
      <c r="C313">
        <f>IFERROR(VLOOKUP(A313,[2]Hoja1!$B$10:$AC$542,20,FALSE),0)</f>
        <v>7</v>
      </c>
      <c r="D313">
        <f>IFERROR(VLOOKUP(A313,[3]Hoja1!$B$10:$AC$523,20,FALSE),0)</f>
        <v>4</v>
      </c>
      <c r="E313">
        <f>IFERROR(VLOOKUP(A313,[4]Hoja1!$B$10:$AC$531,20,FALSE),0)</f>
        <v>9</v>
      </c>
      <c r="F313">
        <f>IFERROR(VLOOKUP(A313,[5]Hoja1!$B$10:$AC$500,20,FALSE),0)</f>
        <v>4</v>
      </c>
    </row>
    <row r="314" spans="1:6" x14ac:dyDescent="0.2">
      <c r="A314" t="s">
        <v>313</v>
      </c>
      <c r="B314">
        <f>IFERROR(VLOOKUP(A314,[1]Hoja1!$B$10:$AC$529,20,FALSE),0)</f>
        <v>4</v>
      </c>
      <c r="C314">
        <f>IFERROR(VLOOKUP(A314,[2]Hoja1!$B$10:$AC$542,20,FALSE),0)</f>
        <v>2</v>
      </c>
      <c r="D314">
        <f>IFERROR(VLOOKUP(A314,[3]Hoja1!$B$10:$AC$523,20,FALSE),0)</f>
        <v>0</v>
      </c>
      <c r="E314">
        <f>IFERROR(VLOOKUP(A314,[4]Hoja1!$B$10:$AC$531,20,FALSE),0)</f>
        <v>0</v>
      </c>
      <c r="F314">
        <f>IFERROR(VLOOKUP(A314,[5]Hoja1!$B$10:$AC$500,20,FALSE),0)</f>
        <v>0</v>
      </c>
    </row>
    <row r="315" spans="1:6" x14ac:dyDescent="0.2">
      <c r="A315" t="s">
        <v>314</v>
      </c>
      <c r="B315">
        <f>IFERROR(VLOOKUP(A315,[1]Hoja1!$B$10:$AC$529,20,FALSE),0)</f>
        <v>0</v>
      </c>
      <c r="C315">
        <f>IFERROR(VLOOKUP(A315,[2]Hoja1!$B$10:$AC$542,20,FALSE),0)</f>
        <v>9</v>
      </c>
      <c r="D315">
        <f>IFERROR(VLOOKUP(A315,[3]Hoja1!$B$10:$AC$523,20,FALSE),0)</f>
        <v>58</v>
      </c>
      <c r="E315">
        <f>IFERROR(VLOOKUP(A315,[4]Hoja1!$B$10:$AC$531,20,FALSE),0)</f>
        <v>58</v>
      </c>
      <c r="F315">
        <f>IFERROR(VLOOKUP(A315,[5]Hoja1!$B$10:$AC$500,20,FALSE),0)</f>
        <v>9</v>
      </c>
    </row>
    <row r="316" spans="1:6" x14ac:dyDescent="0.2">
      <c r="A316" t="s">
        <v>315</v>
      </c>
      <c r="B316">
        <f>IFERROR(VLOOKUP(A316,[1]Hoja1!$B$10:$AC$529,20,FALSE),0)</f>
        <v>34</v>
      </c>
      <c r="C316">
        <f>IFERROR(VLOOKUP(A316,[2]Hoja1!$B$10:$AC$542,20,FALSE),0)</f>
        <v>29</v>
      </c>
      <c r="D316">
        <f>IFERROR(VLOOKUP(A316,[3]Hoja1!$B$10:$AC$523,20,FALSE),0)</f>
        <v>29</v>
      </c>
      <c r="E316">
        <f>IFERROR(VLOOKUP(A316,[4]Hoja1!$B$10:$AC$531,20,FALSE),0)</f>
        <v>29</v>
      </c>
      <c r="F316">
        <f>IFERROR(VLOOKUP(A316,[5]Hoja1!$B$10:$AC$500,20,FALSE),0)</f>
        <v>0</v>
      </c>
    </row>
    <row r="317" spans="1:6" x14ac:dyDescent="0.2">
      <c r="A317" t="s">
        <v>316</v>
      </c>
      <c r="B317">
        <f>IFERROR(VLOOKUP(A317,[1]Hoja1!$B$10:$AC$529,20,FALSE),0)</f>
        <v>3</v>
      </c>
      <c r="C317">
        <f>IFERROR(VLOOKUP(A317,[2]Hoja1!$B$10:$AC$542,20,FALSE),0)</f>
        <v>3</v>
      </c>
      <c r="D317">
        <f>IFERROR(VLOOKUP(A317,[3]Hoja1!$B$10:$AC$523,20,FALSE),0)</f>
        <v>0</v>
      </c>
      <c r="E317">
        <f>IFERROR(VLOOKUP(A317,[4]Hoja1!$B$10:$AC$531,20,FALSE),0)</f>
        <v>0</v>
      </c>
      <c r="F317">
        <f>IFERROR(VLOOKUP(A317,[5]Hoja1!$B$10:$AC$500,20,FALSE),0)</f>
        <v>0</v>
      </c>
    </row>
    <row r="318" spans="1:6" x14ac:dyDescent="0.2">
      <c r="A318" t="s">
        <v>317</v>
      </c>
      <c r="B318">
        <f>IFERROR(VLOOKUP(A318,[1]Hoja1!$B$10:$AC$529,20,FALSE),0)</f>
        <v>5</v>
      </c>
      <c r="C318">
        <f>IFERROR(VLOOKUP(A318,[2]Hoja1!$B$10:$AC$542,20,FALSE),0)</f>
        <v>5</v>
      </c>
      <c r="D318">
        <f>IFERROR(VLOOKUP(A318,[3]Hoja1!$B$10:$AC$523,20,FALSE),0)</f>
        <v>3</v>
      </c>
      <c r="E318">
        <f>IFERROR(VLOOKUP(A318,[4]Hoja1!$B$10:$AC$531,20,FALSE),0)</f>
        <v>2</v>
      </c>
      <c r="F318">
        <f>IFERROR(VLOOKUP(A318,[5]Hoja1!$B$10:$AC$500,20,FALSE),0)</f>
        <v>1</v>
      </c>
    </row>
    <row r="319" spans="1:6" x14ac:dyDescent="0.2">
      <c r="A319" t="s">
        <v>318</v>
      </c>
      <c r="B319">
        <f>IFERROR(VLOOKUP(A319,[1]Hoja1!$B$10:$AC$529,20,FALSE),0)</f>
        <v>13</v>
      </c>
      <c r="C319">
        <f>IFERROR(VLOOKUP(A319,[2]Hoja1!$B$10:$AC$542,20,FALSE),0)</f>
        <v>0</v>
      </c>
      <c r="D319">
        <f>IFERROR(VLOOKUP(A319,[3]Hoja1!$B$10:$AC$523,20,FALSE),0)</f>
        <v>23</v>
      </c>
      <c r="E319">
        <f>IFERROR(VLOOKUP(A319,[4]Hoja1!$B$10:$AC$531,20,FALSE),0)</f>
        <v>3</v>
      </c>
      <c r="F319">
        <f>IFERROR(VLOOKUP(A319,[5]Hoja1!$B$10:$AC$500,20,FALSE),0)</f>
        <v>0</v>
      </c>
    </row>
    <row r="320" spans="1:6" x14ac:dyDescent="0.2">
      <c r="A320" t="s">
        <v>319</v>
      </c>
      <c r="B320">
        <f>IFERROR(VLOOKUP(A320,[1]Hoja1!$B$10:$AC$529,20,FALSE),0)</f>
        <v>1</v>
      </c>
      <c r="C320">
        <f>IFERROR(VLOOKUP(A320,[2]Hoja1!$B$10:$AC$542,20,FALSE),0)</f>
        <v>0</v>
      </c>
      <c r="D320">
        <f>IFERROR(VLOOKUP(A320,[3]Hoja1!$B$10:$AC$523,20,FALSE),0)</f>
        <v>0</v>
      </c>
      <c r="E320">
        <f>IFERROR(VLOOKUP(A320,[4]Hoja1!$B$10:$AC$531,20,FALSE),0)</f>
        <v>0</v>
      </c>
      <c r="F320">
        <f>IFERROR(VLOOKUP(A320,[5]Hoja1!$B$10:$AC$500,20,FALSE),0)</f>
        <v>0</v>
      </c>
    </row>
    <row r="321" spans="1:6" x14ac:dyDescent="0.2">
      <c r="A321" t="s">
        <v>320</v>
      </c>
      <c r="B321">
        <f>IFERROR(VLOOKUP(A321,[1]Hoja1!$B$10:$AC$529,20,FALSE),0)</f>
        <v>7</v>
      </c>
      <c r="C321">
        <f>IFERROR(VLOOKUP(A321,[2]Hoja1!$B$10:$AC$542,20,FALSE),0)</f>
        <v>2</v>
      </c>
      <c r="D321">
        <f>IFERROR(VLOOKUP(A321,[3]Hoja1!$B$10:$AC$523,20,FALSE),0)</f>
        <v>0</v>
      </c>
      <c r="E321">
        <f>IFERROR(VLOOKUP(A321,[4]Hoja1!$B$10:$AC$531,20,FALSE),0)</f>
        <v>0</v>
      </c>
      <c r="F321">
        <f>IFERROR(VLOOKUP(A321,[5]Hoja1!$B$10:$AC$500,20,FALSE),0)</f>
        <v>0</v>
      </c>
    </row>
    <row r="322" spans="1:6" x14ac:dyDescent="0.2">
      <c r="A322" t="s">
        <v>321</v>
      </c>
      <c r="B322">
        <f>IFERROR(VLOOKUP(A322,[1]Hoja1!$B$10:$AC$529,20,FALSE),0)</f>
        <v>0</v>
      </c>
      <c r="C322">
        <f>IFERROR(VLOOKUP(A322,[2]Hoja1!$B$10:$AC$542,20,FALSE),0)</f>
        <v>0</v>
      </c>
      <c r="D322">
        <f>IFERROR(VLOOKUP(A322,[3]Hoja1!$B$10:$AC$523,20,FALSE),0)</f>
        <v>0</v>
      </c>
      <c r="E322">
        <f>IFERROR(VLOOKUP(A322,[4]Hoja1!$B$10:$AC$531,20,FALSE),0)</f>
        <v>0</v>
      </c>
      <c r="F322">
        <f>IFERROR(VLOOKUP(A322,[5]Hoja1!$B$10:$AC$500,20,FALSE),0)</f>
        <v>0</v>
      </c>
    </row>
    <row r="323" spans="1:6" x14ac:dyDescent="0.2">
      <c r="A323" t="s">
        <v>322</v>
      </c>
      <c r="B323">
        <f>IFERROR(VLOOKUP(A323,[1]Hoja1!$B$10:$AC$529,20,FALSE),0)</f>
        <v>0</v>
      </c>
      <c r="C323">
        <f>IFERROR(VLOOKUP(A323,[2]Hoja1!$B$10:$AC$542,20,FALSE),0)</f>
        <v>0</v>
      </c>
      <c r="D323">
        <f>IFERROR(VLOOKUP(A323,[3]Hoja1!$B$10:$AC$523,20,FALSE),0)</f>
        <v>72</v>
      </c>
      <c r="E323">
        <f>IFERROR(VLOOKUP(A323,[4]Hoja1!$B$10:$AC$531,20,FALSE),0)</f>
        <v>120</v>
      </c>
      <c r="F323">
        <f>IFERROR(VLOOKUP(A323,[5]Hoja1!$B$10:$AC$500,20,FALSE),0)</f>
        <v>120</v>
      </c>
    </row>
    <row r="324" spans="1:6" x14ac:dyDescent="0.2">
      <c r="A324" t="s">
        <v>323</v>
      </c>
      <c r="B324">
        <f>IFERROR(VLOOKUP(A324,[1]Hoja1!$B$10:$AC$529,20,FALSE),0)</f>
        <v>0</v>
      </c>
      <c r="C324">
        <f>IFERROR(VLOOKUP(A324,[2]Hoja1!$B$10:$AC$542,20,FALSE),0)</f>
        <v>0</v>
      </c>
      <c r="D324">
        <f>IFERROR(VLOOKUP(A324,[3]Hoja1!$B$10:$AC$523,20,FALSE),0)</f>
        <v>0</v>
      </c>
      <c r="E324">
        <f>IFERROR(VLOOKUP(A324,[4]Hoja1!$B$10:$AC$531,20,FALSE),0)</f>
        <v>0</v>
      </c>
      <c r="F324">
        <f>IFERROR(VLOOKUP(A324,[5]Hoja1!$B$10:$AC$500,20,FALSE),0)</f>
        <v>0</v>
      </c>
    </row>
    <row r="325" spans="1:6" x14ac:dyDescent="0.2">
      <c r="A325" t="s">
        <v>324</v>
      </c>
      <c r="B325">
        <f>IFERROR(VLOOKUP(A325,[1]Hoja1!$B$10:$AC$529,20,FALSE),0)</f>
        <v>0</v>
      </c>
      <c r="C325">
        <f>IFERROR(VLOOKUP(A325,[2]Hoja1!$B$10:$AC$542,20,FALSE),0)</f>
        <v>0</v>
      </c>
      <c r="D325">
        <f>IFERROR(VLOOKUP(A325,[3]Hoja1!$B$10:$AC$523,20,FALSE),0)</f>
        <v>1</v>
      </c>
      <c r="E325">
        <f>IFERROR(VLOOKUP(A325,[4]Hoja1!$B$10:$AC$531,20,FALSE),0)</f>
        <v>0</v>
      </c>
      <c r="F325">
        <f>IFERROR(VLOOKUP(A325,[5]Hoja1!$B$10:$AC$500,20,FALSE),0)</f>
        <v>0</v>
      </c>
    </row>
    <row r="326" spans="1:6" x14ac:dyDescent="0.2">
      <c r="A326" t="s">
        <v>325</v>
      </c>
      <c r="B326">
        <f>IFERROR(VLOOKUP(A326,[1]Hoja1!$B$10:$AC$529,20,FALSE),0)</f>
        <v>0</v>
      </c>
      <c r="C326">
        <f>IFERROR(VLOOKUP(A326,[2]Hoja1!$B$10:$AC$542,20,FALSE),0)</f>
        <v>0</v>
      </c>
      <c r="D326">
        <f>IFERROR(VLOOKUP(A326,[3]Hoja1!$B$10:$AC$523,20,FALSE),0)</f>
        <v>4</v>
      </c>
      <c r="E326">
        <f>IFERROR(VLOOKUP(A326,[4]Hoja1!$B$10:$AC$531,20,FALSE),0)</f>
        <v>0</v>
      </c>
      <c r="F326">
        <f>IFERROR(VLOOKUP(A326,[5]Hoja1!$B$10:$AC$500,20,FALSE),0)</f>
        <v>0</v>
      </c>
    </row>
    <row r="327" spans="1:6" x14ac:dyDescent="0.2">
      <c r="A327" t="s">
        <v>326</v>
      </c>
      <c r="B327">
        <f>IFERROR(VLOOKUP(A327,[1]Hoja1!$B$10:$AC$529,20,FALSE),0)</f>
        <v>0</v>
      </c>
      <c r="C327">
        <f>IFERROR(VLOOKUP(A327,[2]Hoja1!$B$10:$AC$542,20,FALSE),0)</f>
        <v>0</v>
      </c>
      <c r="D327">
        <f>IFERROR(VLOOKUP(A327,[3]Hoja1!$B$10:$AC$523,20,FALSE),0)</f>
        <v>0</v>
      </c>
      <c r="E327">
        <f>IFERROR(VLOOKUP(A327,[4]Hoja1!$B$10:$AC$531,20,FALSE),0)</f>
        <v>0</v>
      </c>
      <c r="F327">
        <f>IFERROR(VLOOKUP(A327,[5]Hoja1!$B$10:$AC$500,20,FALSE),0)</f>
        <v>0</v>
      </c>
    </row>
    <row r="328" spans="1:6" x14ac:dyDescent="0.2">
      <c r="A328" t="s">
        <v>327</v>
      </c>
      <c r="B328">
        <f>IFERROR(VLOOKUP(A328,[1]Hoja1!$B$10:$AC$529,20,FALSE),0)</f>
        <v>0</v>
      </c>
      <c r="C328">
        <f>IFERROR(VLOOKUP(A328,[2]Hoja1!$B$10:$AC$542,20,FALSE),0)</f>
        <v>0</v>
      </c>
      <c r="D328">
        <f>IFERROR(VLOOKUP(A328,[3]Hoja1!$B$10:$AC$523,20,FALSE),0)</f>
        <v>0</v>
      </c>
      <c r="E328">
        <f>IFERROR(VLOOKUP(A328,[4]Hoja1!$B$10:$AC$531,20,FALSE),0)</f>
        <v>2</v>
      </c>
      <c r="F328">
        <f>IFERROR(VLOOKUP(A328,[5]Hoja1!$B$10:$AC$500,20,FALSE),0)</f>
        <v>7</v>
      </c>
    </row>
    <row r="329" spans="1:6" x14ac:dyDescent="0.2">
      <c r="A329" t="s">
        <v>328</v>
      </c>
      <c r="B329">
        <f>IFERROR(VLOOKUP(A329,[1]Hoja1!$B$10:$AC$529,20,FALSE),0)</f>
        <v>0</v>
      </c>
      <c r="C329">
        <f>IFERROR(VLOOKUP(A329,[2]Hoja1!$B$10:$AC$542,20,FALSE),0)</f>
        <v>0</v>
      </c>
      <c r="D329">
        <f>IFERROR(VLOOKUP(A329,[3]Hoja1!$B$10:$AC$523,20,FALSE),0)</f>
        <v>120</v>
      </c>
      <c r="E329">
        <f>IFERROR(VLOOKUP(A329,[4]Hoja1!$B$10:$AC$531,20,FALSE),0)</f>
        <v>131</v>
      </c>
      <c r="F329">
        <f>IFERROR(VLOOKUP(A329,[5]Hoja1!$B$10:$AC$500,20,FALSE),0)</f>
        <v>104</v>
      </c>
    </row>
    <row r="330" spans="1:6" x14ac:dyDescent="0.2">
      <c r="A330" t="s">
        <v>329</v>
      </c>
      <c r="B330">
        <f>IFERROR(VLOOKUP(A330,[1]Hoja1!$B$10:$AC$529,20,FALSE),0)</f>
        <v>3</v>
      </c>
      <c r="C330">
        <f>IFERROR(VLOOKUP(A330,[2]Hoja1!$B$10:$AC$542,20,FALSE),0)</f>
        <v>5</v>
      </c>
      <c r="D330">
        <f>IFERROR(VLOOKUP(A330,[3]Hoja1!$B$10:$AC$523,20,FALSE),0)</f>
        <v>7</v>
      </c>
      <c r="E330">
        <f>IFERROR(VLOOKUP(A330,[4]Hoja1!$B$10:$AC$531,20,FALSE),0)</f>
        <v>10</v>
      </c>
      <c r="F330">
        <f>IFERROR(VLOOKUP(A330,[5]Hoja1!$B$10:$AC$500,20,FALSE),0)</f>
        <v>9</v>
      </c>
    </row>
    <row r="331" spans="1:6" x14ac:dyDescent="0.2">
      <c r="A331" t="s">
        <v>330</v>
      </c>
      <c r="B331">
        <f>IFERROR(VLOOKUP(A331,[1]Hoja1!$B$10:$AC$529,20,FALSE),0)</f>
        <v>210</v>
      </c>
      <c r="C331">
        <f>IFERROR(VLOOKUP(A331,[2]Hoja1!$B$10:$AC$542,20,FALSE),0)</f>
        <v>1070</v>
      </c>
      <c r="D331">
        <f>IFERROR(VLOOKUP(A331,[3]Hoja1!$B$10:$AC$523,20,FALSE),0)</f>
        <v>6222</v>
      </c>
      <c r="E331">
        <f>IFERROR(VLOOKUP(A331,[4]Hoja1!$B$10:$AC$531,20,FALSE),0)</f>
        <v>3800</v>
      </c>
      <c r="F331">
        <f>IFERROR(VLOOKUP(A331,[5]Hoja1!$B$10:$AC$500,20,FALSE),0)</f>
        <v>3917</v>
      </c>
    </row>
    <row r="332" spans="1:6" x14ac:dyDescent="0.2">
      <c r="A332" t="s">
        <v>331</v>
      </c>
      <c r="B332">
        <f>IFERROR(VLOOKUP(A332,[1]Hoja1!$B$10:$AC$529,20,FALSE),0)</f>
        <v>19</v>
      </c>
      <c r="C332">
        <f>IFERROR(VLOOKUP(A332,[2]Hoja1!$B$10:$AC$542,20,FALSE),0)</f>
        <v>420</v>
      </c>
      <c r="D332">
        <f>IFERROR(VLOOKUP(A332,[3]Hoja1!$B$10:$AC$523,20,FALSE),0)</f>
        <v>260</v>
      </c>
      <c r="E332">
        <f>IFERROR(VLOOKUP(A332,[4]Hoja1!$B$10:$AC$531,20,FALSE),0)</f>
        <v>155</v>
      </c>
      <c r="F332">
        <f>IFERROR(VLOOKUP(A332,[5]Hoja1!$B$10:$AC$500,20,FALSE),0)</f>
        <v>981</v>
      </c>
    </row>
    <row r="333" spans="1:6" x14ac:dyDescent="0.2">
      <c r="A333" t="s">
        <v>332</v>
      </c>
      <c r="B333">
        <f>IFERROR(VLOOKUP(A333,[1]Hoja1!$B$10:$AC$529,20,FALSE),0)</f>
        <v>0</v>
      </c>
      <c r="C333">
        <f>IFERROR(VLOOKUP(A333,[2]Hoja1!$B$10:$AC$542,20,FALSE),0)</f>
        <v>0</v>
      </c>
      <c r="D333">
        <f>IFERROR(VLOOKUP(A333,[3]Hoja1!$B$10:$AC$523,20,FALSE),0)</f>
        <v>0</v>
      </c>
      <c r="E333">
        <f>IFERROR(VLOOKUP(A333,[4]Hoja1!$B$10:$AC$531,20,FALSE),0)</f>
        <v>210</v>
      </c>
      <c r="F333">
        <f>IFERROR(VLOOKUP(A333,[5]Hoja1!$B$10:$AC$500,20,FALSE),0)</f>
        <v>170</v>
      </c>
    </row>
    <row r="334" spans="1:6" x14ac:dyDescent="0.2">
      <c r="A334" t="s">
        <v>333</v>
      </c>
      <c r="B334">
        <f>IFERROR(VLOOKUP(A334,[1]Hoja1!$B$10:$AC$529,20,FALSE),0)</f>
        <v>1</v>
      </c>
      <c r="C334">
        <f>IFERROR(VLOOKUP(A334,[2]Hoja1!$B$10:$AC$542,20,FALSE),0)</f>
        <v>10</v>
      </c>
      <c r="D334">
        <f>IFERROR(VLOOKUP(A334,[3]Hoja1!$B$10:$AC$523,20,FALSE),0)</f>
        <v>5</v>
      </c>
      <c r="E334">
        <f>IFERROR(VLOOKUP(A334,[4]Hoja1!$B$10:$AC$531,20,FALSE),0)</f>
        <v>20</v>
      </c>
      <c r="F334">
        <f>IFERROR(VLOOKUP(A334,[5]Hoja1!$B$10:$AC$500,20,FALSE),0)</f>
        <v>14</v>
      </c>
    </row>
    <row r="335" spans="1:6" x14ac:dyDescent="0.2">
      <c r="A335" t="s">
        <v>334</v>
      </c>
      <c r="B335">
        <f>IFERROR(VLOOKUP(A335,[1]Hoja1!$B$10:$AC$529,20,FALSE),0)</f>
        <v>12</v>
      </c>
      <c r="C335">
        <f>IFERROR(VLOOKUP(A335,[2]Hoja1!$B$10:$AC$542,20,FALSE),0)</f>
        <v>14</v>
      </c>
      <c r="D335">
        <f>IFERROR(VLOOKUP(A335,[3]Hoja1!$B$10:$AC$523,20,FALSE),0)</f>
        <v>0</v>
      </c>
      <c r="E335">
        <f>IFERROR(VLOOKUP(A335,[4]Hoja1!$B$10:$AC$531,20,FALSE),0)</f>
        <v>0</v>
      </c>
      <c r="F335">
        <f>IFERROR(VLOOKUP(A335,[5]Hoja1!$B$10:$AC$500,20,FALSE),0)</f>
        <v>0</v>
      </c>
    </row>
    <row r="336" spans="1:6" x14ac:dyDescent="0.2">
      <c r="A336" t="s">
        <v>335</v>
      </c>
      <c r="B336">
        <f>IFERROR(VLOOKUP(A336,[1]Hoja1!$B$10:$AC$529,20,FALSE),0)</f>
        <v>0</v>
      </c>
      <c r="C336">
        <f>IFERROR(VLOOKUP(A336,[2]Hoja1!$B$10:$AC$542,20,FALSE),0)</f>
        <v>0</v>
      </c>
      <c r="D336">
        <f>IFERROR(VLOOKUP(A336,[3]Hoja1!$B$10:$AC$523,20,FALSE),0)</f>
        <v>2</v>
      </c>
      <c r="E336">
        <f>IFERROR(VLOOKUP(A336,[4]Hoja1!$B$10:$AC$531,20,FALSE),0)</f>
        <v>0</v>
      </c>
      <c r="F336">
        <f>IFERROR(VLOOKUP(A336,[5]Hoja1!$B$10:$AC$500,20,FALSE),0)</f>
        <v>0</v>
      </c>
    </row>
    <row r="337" spans="1:6" x14ac:dyDescent="0.2">
      <c r="A337" t="s">
        <v>336</v>
      </c>
      <c r="B337">
        <f>IFERROR(VLOOKUP(A337,[1]Hoja1!$B$10:$AC$529,20,FALSE),0)</f>
        <v>19</v>
      </c>
      <c r="C337">
        <f>IFERROR(VLOOKUP(A337,[2]Hoja1!$B$10:$AC$542,20,FALSE),0)</f>
        <v>0</v>
      </c>
      <c r="D337">
        <f>IFERROR(VLOOKUP(A337,[3]Hoja1!$B$10:$AC$523,20,FALSE),0)</f>
        <v>0</v>
      </c>
      <c r="E337">
        <f>IFERROR(VLOOKUP(A337,[4]Hoja1!$B$10:$AC$531,20,FALSE),0)</f>
        <v>0</v>
      </c>
      <c r="F337">
        <f>IFERROR(VLOOKUP(A337,[5]Hoja1!$B$10:$AC$500,20,FALSE),0)</f>
        <v>0</v>
      </c>
    </row>
    <row r="338" spans="1:6" x14ac:dyDescent="0.2">
      <c r="A338" t="s">
        <v>337</v>
      </c>
      <c r="B338">
        <f>IFERROR(VLOOKUP(A338,[1]Hoja1!$B$10:$AC$529,20,FALSE),0)</f>
        <v>0</v>
      </c>
      <c r="C338">
        <f>IFERROR(VLOOKUP(A338,[2]Hoja1!$B$10:$AC$542,20,FALSE),0)</f>
        <v>258</v>
      </c>
      <c r="D338">
        <f>IFERROR(VLOOKUP(A338,[3]Hoja1!$B$10:$AC$523,20,FALSE),0)</f>
        <v>101</v>
      </c>
      <c r="E338">
        <f>IFERROR(VLOOKUP(A338,[4]Hoja1!$B$10:$AC$531,20,FALSE),0)</f>
        <v>196</v>
      </c>
      <c r="F338">
        <f>IFERROR(VLOOKUP(A338,[5]Hoja1!$B$10:$AC$500,20,FALSE),0)</f>
        <v>330</v>
      </c>
    </row>
    <row r="339" spans="1:6" x14ac:dyDescent="0.2">
      <c r="A339" t="s">
        <v>338</v>
      </c>
      <c r="B339">
        <f>IFERROR(VLOOKUP(A339,[1]Hoja1!$B$10:$AC$529,20,FALSE),0)</f>
        <v>0</v>
      </c>
      <c r="C339">
        <f>IFERROR(VLOOKUP(A339,[2]Hoja1!$B$10:$AC$542,20,FALSE),0)</f>
        <v>97</v>
      </c>
      <c r="D339">
        <f>IFERROR(VLOOKUP(A339,[3]Hoja1!$B$10:$AC$523,20,FALSE),0)</f>
        <v>89</v>
      </c>
      <c r="E339">
        <f>IFERROR(VLOOKUP(A339,[4]Hoja1!$B$10:$AC$531,20,FALSE),0)</f>
        <v>94</v>
      </c>
      <c r="F339">
        <f>IFERROR(VLOOKUP(A339,[5]Hoja1!$B$10:$AC$500,20,FALSE),0)</f>
        <v>113</v>
      </c>
    </row>
    <row r="340" spans="1:6" x14ac:dyDescent="0.2">
      <c r="A340" t="s">
        <v>339</v>
      </c>
      <c r="B340">
        <f>IFERROR(VLOOKUP(A340,[1]Hoja1!$B$10:$AC$529,20,FALSE),0)</f>
        <v>0</v>
      </c>
      <c r="C340">
        <f>IFERROR(VLOOKUP(A340,[2]Hoja1!$B$10:$AC$542,20,FALSE),0)</f>
        <v>413</v>
      </c>
      <c r="D340">
        <f>IFERROR(VLOOKUP(A340,[3]Hoja1!$B$10:$AC$523,20,FALSE),0)</f>
        <v>744</v>
      </c>
      <c r="E340">
        <f>IFERROR(VLOOKUP(A340,[4]Hoja1!$B$10:$AC$531,20,FALSE),0)</f>
        <v>800</v>
      </c>
      <c r="F340">
        <f>IFERROR(VLOOKUP(A340,[5]Hoja1!$B$10:$AC$500,20,FALSE),0)</f>
        <v>1675</v>
      </c>
    </row>
    <row r="341" spans="1:6" x14ac:dyDescent="0.2">
      <c r="A341" t="s">
        <v>340</v>
      </c>
      <c r="B341">
        <f>IFERROR(VLOOKUP(A341,[1]Hoja1!$B$10:$AC$529,20,FALSE),0)</f>
        <v>0</v>
      </c>
      <c r="C341">
        <f>IFERROR(VLOOKUP(A341,[2]Hoja1!$B$10:$AC$542,20,FALSE),0)</f>
        <v>20</v>
      </c>
      <c r="D341">
        <f>IFERROR(VLOOKUP(A341,[3]Hoja1!$B$10:$AC$523,20,FALSE),0)</f>
        <v>53</v>
      </c>
      <c r="E341">
        <f>IFERROR(VLOOKUP(A341,[4]Hoja1!$B$10:$AC$531,20,FALSE),0)</f>
        <v>36</v>
      </c>
      <c r="F341">
        <f>IFERROR(VLOOKUP(A341,[5]Hoja1!$B$10:$AC$500,20,FALSE),0)</f>
        <v>273</v>
      </c>
    </row>
    <row r="342" spans="1:6" x14ac:dyDescent="0.2">
      <c r="A342" t="s">
        <v>341</v>
      </c>
      <c r="B342">
        <f>IFERROR(VLOOKUP(A342,[1]Hoja1!$B$10:$AC$529,20,FALSE),0)</f>
        <v>0</v>
      </c>
      <c r="C342">
        <f>IFERROR(VLOOKUP(A342,[2]Hoja1!$B$10:$AC$542,20,FALSE),0)</f>
        <v>97</v>
      </c>
      <c r="D342">
        <f>IFERROR(VLOOKUP(A342,[3]Hoja1!$B$10:$AC$523,20,FALSE),0)</f>
        <v>0</v>
      </c>
      <c r="E342">
        <f>IFERROR(VLOOKUP(A342,[4]Hoja1!$B$10:$AC$531,20,FALSE),0)</f>
        <v>0</v>
      </c>
      <c r="F342">
        <f>IFERROR(VLOOKUP(A342,[5]Hoja1!$B$10:$AC$500,20,FALSE),0)</f>
        <v>0</v>
      </c>
    </row>
    <row r="343" spans="1:6" x14ac:dyDescent="0.2">
      <c r="A343" t="s">
        <v>342</v>
      </c>
      <c r="B343">
        <f>IFERROR(VLOOKUP(A343,[1]Hoja1!$B$10:$AC$529,20,FALSE),0)</f>
        <v>0</v>
      </c>
      <c r="C343">
        <f>IFERROR(VLOOKUP(A343,[2]Hoja1!$B$10:$AC$542,20,FALSE),0)</f>
        <v>8</v>
      </c>
      <c r="D343">
        <f>IFERROR(VLOOKUP(A343,[3]Hoja1!$B$10:$AC$523,20,FALSE),0)</f>
        <v>48</v>
      </c>
      <c r="E343">
        <f>IFERROR(VLOOKUP(A343,[4]Hoja1!$B$10:$AC$531,20,FALSE),0)</f>
        <v>10</v>
      </c>
      <c r="F343">
        <f>IFERROR(VLOOKUP(A343,[5]Hoja1!$B$10:$AC$500,20,FALSE),0)</f>
        <v>39</v>
      </c>
    </row>
    <row r="344" spans="1:6" x14ac:dyDescent="0.2">
      <c r="A344" t="s">
        <v>343</v>
      </c>
      <c r="B344">
        <f>IFERROR(VLOOKUP(A344,[1]Hoja1!$B$10:$AC$529,20,FALSE),0)</f>
        <v>0</v>
      </c>
      <c r="C344">
        <f>IFERROR(VLOOKUP(A344,[2]Hoja1!$B$10:$AC$542,20,FALSE),0)</f>
        <v>0</v>
      </c>
      <c r="D344">
        <f>IFERROR(VLOOKUP(A344,[3]Hoja1!$B$10:$AC$523,20,FALSE),0)</f>
        <v>145</v>
      </c>
      <c r="E344">
        <f>IFERROR(VLOOKUP(A344,[4]Hoja1!$B$10:$AC$531,20,FALSE),0)</f>
        <v>2171</v>
      </c>
      <c r="F344">
        <f>IFERROR(VLOOKUP(A344,[5]Hoja1!$B$10:$AC$500,20,FALSE),0)</f>
        <v>5173</v>
      </c>
    </row>
    <row r="345" spans="1:6" x14ac:dyDescent="0.2">
      <c r="A345" t="s">
        <v>344</v>
      </c>
      <c r="B345">
        <f>IFERROR(VLOOKUP(A345,[1]Hoja1!$B$10:$AC$529,20,FALSE),0)</f>
        <v>0</v>
      </c>
      <c r="C345">
        <f>IFERROR(VLOOKUP(A345,[2]Hoja1!$B$10:$AC$542,20,FALSE),0)</f>
        <v>11</v>
      </c>
      <c r="D345">
        <f>IFERROR(VLOOKUP(A345,[3]Hoja1!$B$10:$AC$523,20,FALSE),0)</f>
        <v>2</v>
      </c>
      <c r="E345">
        <f>IFERROR(VLOOKUP(A345,[4]Hoja1!$B$10:$AC$531,20,FALSE),0)</f>
        <v>0</v>
      </c>
      <c r="F345">
        <f>IFERROR(VLOOKUP(A345,[5]Hoja1!$B$10:$AC$500,20,FALSE),0)</f>
        <v>15</v>
      </c>
    </row>
    <row r="346" spans="1:6" x14ac:dyDescent="0.2">
      <c r="A346" t="s">
        <v>345</v>
      </c>
      <c r="B346">
        <f>IFERROR(VLOOKUP(A346,[1]Hoja1!$B$10:$AC$529,20,FALSE),0)</f>
        <v>0</v>
      </c>
      <c r="C346">
        <f>IFERROR(VLOOKUP(A346,[2]Hoja1!$B$10:$AC$542,20,FALSE),0)</f>
        <v>0</v>
      </c>
      <c r="D346">
        <f>IFERROR(VLOOKUP(A346,[3]Hoja1!$B$10:$AC$523,20,FALSE),0)</f>
        <v>0</v>
      </c>
      <c r="E346">
        <f>IFERROR(VLOOKUP(A346,[4]Hoja1!$B$10:$AC$531,20,FALSE),0)</f>
        <v>0</v>
      </c>
      <c r="F346">
        <f>IFERROR(VLOOKUP(A346,[5]Hoja1!$B$10:$AC$500,20,FALSE),0)</f>
        <v>0</v>
      </c>
    </row>
    <row r="347" spans="1:6" x14ac:dyDescent="0.2">
      <c r="A347" t="s">
        <v>346</v>
      </c>
      <c r="B347">
        <f>IFERROR(VLOOKUP(A347,[1]Hoja1!$B$10:$AC$529,20,FALSE),0)</f>
        <v>0</v>
      </c>
      <c r="C347">
        <f>IFERROR(VLOOKUP(A347,[2]Hoja1!$B$10:$AC$542,20,FALSE),0)</f>
        <v>2</v>
      </c>
      <c r="D347">
        <f>IFERROR(VLOOKUP(A347,[3]Hoja1!$B$10:$AC$523,20,FALSE),0)</f>
        <v>4</v>
      </c>
      <c r="E347">
        <f>IFERROR(VLOOKUP(A347,[4]Hoja1!$B$10:$AC$531,20,FALSE),0)</f>
        <v>0</v>
      </c>
      <c r="F347">
        <f>IFERROR(VLOOKUP(A347,[5]Hoja1!$B$10:$AC$500,20,FALSE),0)</f>
        <v>0</v>
      </c>
    </row>
    <row r="348" spans="1:6" x14ac:dyDescent="0.2">
      <c r="A348" t="s">
        <v>347</v>
      </c>
      <c r="B348">
        <f>IFERROR(VLOOKUP(A348,[1]Hoja1!$B$10:$AC$529,20,FALSE),0)</f>
        <v>0</v>
      </c>
      <c r="C348">
        <f>IFERROR(VLOOKUP(A348,[2]Hoja1!$B$10:$AC$542,20,FALSE),0)</f>
        <v>47</v>
      </c>
      <c r="D348">
        <f>IFERROR(VLOOKUP(A348,[3]Hoja1!$B$10:$AC$523,20,FALSE),0)</f>
        <v>38</v>
      </c>
      <c r="E348">
        <f>IFERROR(VLOOKUP(A348,[4]Hoja1!$B$10:$AC$531,20,FALSE),0)</f>
        <v>191</v>
      </c>
      <c r="F348">
        <f>IFERROR(VLOOKUP(A348,[5]Hoja1!$B$10:$AC$500,20,FALSE),0)</f>
        <v>82</v>
      </c>
    </row>
    <row r="349" spans="1:6" x14ac:dyDescent="0.2">
      <c r="A349" t="s">
        <v>348</v>
      </c>
      <c r="B349">
        <f>IFERROR(VLOOKUP(A349,[1]Hoja1!$B$10:$AC$529,20,FALSE),0)</f>
        <v>0</v>
      </c>
      <c r="C349">
        <f>IFERROR(VLOOKUP(A349,[2]Hoja1!$B$10:$AC$542,20,FALSE),0)</f>
        <v>0</v>
      </c>
      <c r="D349">
        <f>IFERROR(VLOOKUP(A349,[3]Hoja1!$B$10:$AC$523,20,FALSE),0)</f>
        <v>5</v>
      </c>
      <c r="E349">
        <f>IFERROR(VLOOKUP(A349,[4]Hoja1!$B$10:$AC$531,20,FALSE),0)</f>
        <v>5</v>
      </c>
      <c r="F349">
        <f>IFERROR(VLOOKUP(A349,[5]Hoja1!$B$10:$AC$500,20,FALSE),0)</f>
        <v>14</v>
      </c>
    </row>
    <row r="350" spans="1:6" x14ac:dyDescent="0.2">
      <c r="A350" t="s">
        <v>349</v>
      </c>
      <c r="B350">
        <f>IFERROR(VLOOKUP(A350,[1]Hoja1!$B$10:$AC$529,20,FALSE),0)</f>
        <v>0</v>
      </c>
      <c r="C350">
        <f>IFERROR(VLOOKUP(A350,[2]Hoja1!$B$10:$AC$542,20,FALSE),0)</f>
        <v>775</v>
      </c>
      <c r="D350">
        <f>IFERROR(VLOOKUP(A350,[3]Hoja1!$B$10:$AC$523,20,FALSE),0)</f>
        <v>81</v>
      </c>
      <c r="E350">
        <f>IFERROR(VLOOKUP(A350,[4]Hoja1!$B$10:$AC$531,20,FALSE),0)</f>
        <v>1024</v>
      </c>
      <c r="F350">
        <f>IFERROR(VLOOKUP(A350,[5]Hoja1!$B$10:$AC$500,20,FALSE),0)</f>
        <v>109</v>
      </c>
    </row>
    <row r="351" spans="1:6" x14ac:dyDescent="0.2">
      <c r="A351" t="s">
        <v>350</v>
      </c>
      <c r="B351">
        <f>IFERROR(VLOOKUP(A351,[1]Hoja1!$B$10:$AC$529,20,FALSE),0)</f>
        <v>0</v>
      </c>
      <c r="C351">
        <f>IFERROR(VLOOKUP(A351,[2]Hoja1!$B$10:$AC$542,20,FALSE),0)</f>
        <v>0</v>
      </c>
      <c r="D351">
        <f>IFERROR(VLOOKUP(A351,[3]Hoja1!$B$10:$AC$523,20,FALSE),0)</f>
        <v>0</v>
      </c>
      <c r="E351">
        <f>IFERROR(VLOOKUP(A351,[4]Hoja1!$B$10:$AC$531,20,FALSE),0)</f>
        <v>0</v>
      </c>
      <c r="F351">
        <f>IFERROR(VLOOKUP(A351,[5]Hoja1!$B$10:$AC$500,20,FALSE),0)</f>
        <v>11</v>
      </c>
    </row>
    <row r="352" spans="1:6" x14ac:dyDescent="0.2">
      <c r="A352" t="s">
        <v>351</v>
      </c>
      <c r="B352">
        <f>IFERROR(VLOOKUP(A352,[1]Hoja1!$B$10:$AC$529,20,FALSE),0)</f>
        <v>0</v>
      </c>
      <c r="C352">
        <f>IFERROR(VLOOKUP(A352,[2]Hoja1!$B$10:$AC$542,20,FALSE),0)</f>
        <v>0</v>
      </c>
      <c r="D352">
        <f>IFERROR(VLOOKUP(A352,[3]Hoja1!$B$10:$AC$523,20,FALSE),0)</f>
        <v>0</v>
      </c>
      <c r="E352">
        <f>IFERROR(VLOOKUP(A352,[4]Hoja1!$B$10:$AC$531,20,FALSE),0)</f>
        <v>0</v>
      </c>
      <c r="F352">
        <f>IFERROR(VLOOKUP(A352,[5]Hoja1!$B$10:$AC$500,20,FALSE),0)</f>
        <v>0</v>
      </c>
    </row>
    <row r="353" spans="1:6" x14ac:dyDescent="0.2">
      <c r="A353" t="s">
        <v>352</v>
      </c>
      <c r="B353">
        <f>IFERROR(VLOOKUP(A353,[1]Hoja1!$B$10:$AC$529,20,FALSE),0)</f>
        <v>0</v>
      </c>
      <c r="C353">
        <f>IFERROR(VLOOKUP(A353,[2]Hoja1!$B$10:$AC$542,20,FALSE),0)</f>
        <v>0</v>
      </c>
      <c r="D353">
        <f>IFERROR(VLOOKUP(A353,[3]Hoja1!$B$10:$AC$523,20,FALSE),0)</f>
        <v>0</v>
      </c>
      <c r="E353">
        <f>IFERROR(VLOOKUP(A353,[4]Hoja1!$B$10:$AC$531,20,FALSE),0)</f>
        <v>0</v>
      </c>
      <c r="F353">
        <f>IFERROR(VLOOKUP(A353,[5]Hoja1!$B$10:$AC$500,20,FALSE),0)</f>
        <v>0</v>
      </c>
    </row>
    <row r="354" spans="1:6" x14ac:dyDescent="0.2">
      <c r="A354" t="s">
        <v>353</v>
      </c>
      <c r="B354">
        <f>IFERROR(VLOOKUP(A354,[1]Hoja1!$B$10:$AC$529,20,FALSE),0)</f>
        <v>0</v>
      </c>
      <c r="C354">
        <f>IFERROR(VLOOKUP(A354,[2]Hoja1!$B$10:$AC$542,20,FALSE),0)</f>
        <v>0</v>
      </c>
      <c r="D354">
        <f>IFERROR(VLOOKUP(A354,[3]Hoja1!$B$10:$AC$523,20,FALSE),0)</f>
        <v>0</v>
      </c>
      <c r="E354">
        <f>IFERROR(VLOOKUP(A354,[4]Hoja1!$B$10:$AC$531,20,FALSE),0)</f>
        <v>0</v>
      </c>
      <c r="F354">
        <f>IFERROR(VLOOKUP(A354,[5]Hoja1!$B$10:$AC$500,20,FALSE),0)</f>
        <v>0</v>
      </c>
    </row>
    <row r="355" spans="1:6" x14ac:dyDescent="0.2">
      <c r="A355" t="s">
        <v>354</v>
      </c>
      <c r="B355">
        <f>IFERROR(VLOOKUP(A355,[1]Hoja1!$B$10:$AC$529,20,FALSE),0)</f>
        <v>0</v>
      </c>
      <c r="C355">
        <f>IFERROR(VLOOKUP(A355,[2]Hoja1!$B$10:$AC$542,20,FALSE),0)</f>
        <v>0</v>
      </c>
      <c r="D355">
        <f>IFERROR(VLOOKUP(A355,[3]Hoja1!$B$10:$AC$523,20,FALSE),0)</f>
        <v>0</v>
      </c>
      <c r="E355">
        <f>IFERROR(VLOOKUP(A355,[4]Hoja1!$B$10:$AC$531,20,FALSE),0)</f>
        <v>0</v>
      </c>
      <c r="F355">
        <f>IFERROR(VLOOKUP(A355,[5]Hoja1!$B$10:$AC$500,20,FALSE),0)</f>
        <v>0</v>
      </c>
    </row>
    <row r="356" spans="1:6" x14ac:dyDescent="0.2">
      <c r="A356" t="s">
        <v>355</v>
      </c>
      <c r="B356">
        <f>IFERROR(VLOOKUP(A356,[1]Hoja1!$B$10:$AC$529,20,FALSE),0)</f>
        <v>0</v>
      </c>
      <c r="C356">
        <f>IFERROR(VLOOKUP(A356,[2]Hoja1!$B$10:$AC$542,20,FALSE),0)</f>
        <v>0</v>
      </c>
      <c r="D356">
        <f>IFERROR(VLOOKUP(A356,[3]Hoja1!$B$10:$AC$523,20,FALSE),0)</f>
        <v>0</v>
      </c>
      <c r="E356">
        <f>IFERROR(VLOOKUP(A356,[4]Hoja1!$B$10:$AC$531,20,FALSE),0)</f>
        <v>0</v>
      </c>
      <c r="F356">
        <f>IFERROR(VLOOKUP(A356,[5]Hoja1!$B$10:$AC$500,20,FALSE),0)</f>
        <v>0</v>
      </c>
    </row>
    <row r="357" spans="1:6" x14ac:dyDescent="0.2">
      <c r="A357" t="s">
        <v>356</v>
      </c>
      <c r="B357">
        <f>IFERROR(VLOOKUP(A357,[1]Hoja1!$B$10:$AC$529,20,FALSE),0)</f>
        <v>0</v>
      </c>
      <c r="C357">
        <f>IFERROR(VLOOKUP(A357,[2]Hoja1!$B$10:$AC$542,20,FALSE),0)</f>
        <v>0</v>
      </c>
      <c r="D357">
        <f>IFERROR(VLOOKUP(A357,[3]Hoja1!$B$10:$AC$523,20,FALSE),0)</f>
        <v>0</v>
      </c>
      <c r="E357">
        <f>IFERROR(VLOOKUP(A357,[4]Hoja1!$B$10:$AC$531,20,FALSE),0)</f>
        <v>0</v>
      </c>
      <c r="F357">
        <f>IFERROR(VLOOKUP(A357,[5]Hoja1!$B$10:$AC$500,20,FALSE),0)</f>
        <v>0</v>
      </c>
    </row>
    <row r="358" spans="1:6" x14ac:dyDescent="0.2">
      <c r="A358" t="s">
        <v>357</v>
      </c>
      <c r="B358">
        <f>IFERROR(VLOOKUP(A358,[1]Hoja1!$B$10:$AC$529,20,FALSE),0)</f>
        <v>0</v>
      </c>
      <c r="C358">
        <f>IFERROR(VLOOKUP(A358,[2]Hoja1!$B$10:$AC$542,20,FALSE),0)</f>
        <v>0</v>
      </c>
      <c r="D358">
        <f>IFERROR(VLOOKUP(A358,[3]Hoja1!$B$10:$AC$523,20,FALSE),0)</f>
        <v>0</v>
      </c>
      <c r="E358">
        <f>IFERROR(VLOOKUP(A358,[4]Hoja1!$B$10:$AC$531,20,FALSE),0)</f>
        <v>0</v>
      </c>
      <c r="F358">
        <f>IFERROR(VLOOKUP(A358,[5]Hoja1!$B$10:$AC$500,20,FALSE),0)</f>
        <v>0</v>
      </c>
    </row>
    <row r="359" spans="1:6" x14ac:dyDescent="0.2">
      <c r="A359" t="s">
        <v>358</v>
      </c>
      <c r="B359">
        <f>IFERROR(VLOOKUP(A359,[1]Hoja1!$B$10:$AC$529,20,FALSE),0)</f>
        <v>0</v>
      </c>
      <c r="C359">
        <f>IFERROR(VLOOKUP(A359,[2]Hoja1!$B$10:$AC$542,20,FALSE),0)</f>
        <v>0</v>
      </c>
      <c r="D359">
        <f>IFERROR(VLOOKUP(A359,[3]Hoja1!$B$10:$AC$523,20,FALSE),0)</f>
        <v>0</v>
      </c>
      <c r="E359">
        <f>IFERROR(VLOOKUP(A359,[4]Hoja1!$B$10:$AC$531,20,FALSE),0)</f>
        <v>0</v>
      </c>
      <c r="F359">
        <f>IFERROR(VLOOKUP(A359,[5]Hoja1!$B$10:$AC$500,20,FALSE),0)</f>
        <v>1</v>
      </c>
    </row>
    <row r="360" spans="1:6" x14ac:dyDescent="0.2">
      <c r="A360" t="s">
        <v>359</v>
      </c>
      <c r="B360">
        <f>IFERROR(VLOOKUP(A360,[1]Hoja1!$B$10:$AC$529,20,FALSE),0)</f>
        <v>0</v>
      </c>
      <c r="C360">
        <f>IFERROR(VLOOKUP(A360,[2]Hoja1!$B$10:$AC$542,20,FALSE),0)</f>
        <v>0</v>
      </c>
      <c r="D360">
        <f>IFERROR(VLOOKUP(A360,[3]Hoja1!$B$10:$AC$523,20,FALSE),0)</f>
        <v>0</v>
      </c>
      <c r="E360">
        <f>IFERROR(VLOOKUP(A360,[4]Hoja1!$B$10:$AC$531,20,FALSE),0)</f>
        <v>0</v>
      </c>
      <c r="F360">
        <f>IFERROR(VLOOKUP(A360,[5]Hoja1!$B$10:$AC$500,20,FALSE),0)</f>
        <v>0</v>
      </c>
    </row>
    <row r="361" spans="1:6" x14ac:dyDescent="0.2">
      <c r="A361" t="s">
        <v>360</v>
      </c>
      <c r="B361">
        <f>IFERROR(VLOOKUP(A361,[1]Hoja1!$B$10:$AC$529,20,FALSE),0)</f>
        <v>0</v>
      </c>
      <c r="C361">
        <f>IFERROR(VLOOKUP(A361,[2]Hoja1!$B$10:$AC$542,20,FALSE),0)</f>
        <v>0</v>
      </c>
      <c r="D361">
        <f>IFERROR(VLOOKUP(A361,[3]Hoja1!$B$10:$AC$523,20,FALSE),0)</f>
        <v>0</v>
      </c>
      <c r="E361">
        <f>IFERROR(VLOOKUP(A361,[4]Hoja1!$B$10:$AC$531,20,FALSE),0)</f>
        <v>15</v>
      </c>
      <c r="F361">
        <f>IFERROR(VLOOKUP(A361,[5]Hoja1!$B$10:$AC$500,20,FALSE),0)</f>
        <v>26</v>
      </c>
    </row>
    <row r="362" spans="1:6" x14ac:dyDescent="0.2">
      <c r="A362" t="s">
        <v>361</v>
      </c>
      <c r="B362">
        <f>IFERROR(VLOOKUP(A362,[1]Hoja1!$B$10:$AC$529,20,FALSE),0)</f>
        <v>0</v>
      </c>
      <c r="C362">
        <f>IFERROR(VLOOKUP(A362,[2]Hoja1!$B$10:$AC$542,20,FALSE),0)</f>
        <v>0</v>
      </c>
      <c r="D362">
        <f>IFERROR(VLOOKUP(A362,[3]Hoja1!$B$10:$AC$523,20,FALSE),0)</f>
        <v>4872</v>
      </c>
      <c r="E362">
        <f>IFERROR(VLOOKUP(A362,[4]Hoja1!$B$10:$AC$531,20,FALSE),0)</f>
        <v>339</v>
      </c>
      <c r="F362">
        <f>IFERROR(VLOOKUP(A362,[5]Hoja1!$B$10:$AC$500,20,FALSE),0)</f>
        <v>1665</v>
      </c>
    </row>
    <row r="363" spans="1:6" x14ac:dyDescent="0.2">
      <c r="A363" t="s">
        <v>362</v>
      </c>
      <c r="B363">
        <f>IFERROR(VLOOKUP(A363,[1]Hoja1!$B$10:$AC$529,20,FALSE),0)</f>
        <v>200</v>
      </c>
      <c r="C363">
        <f>IFERROR(VLOOKUP(A363,[2]Hoja1!$B$10:$AC$542,20,FALSE),0)</f>
        <v>200</v>
      </c>
      <c r="D363">
        <f>IFERROR(VLOOKUP(A363,[3]Hoja1!$B$10:$AC$523,20,FALSE),0)</f>
        <v>100</v>
      </c>
      <c r="E363">
        <f>IFERROR(VLOOKUP(A363,[4]Hoja1!$B$10:$AC$531,20,FALSE),0)</f>
        <v>100</v>
      </c>
      <c r="F363">
        <f>IFERROR(VLOOKUP(A363,[5]Hoja1!$B$10:$AC$500,20,FALSE),0)</f>
        <v>95</v>
      </c>
    </row>
    <row r="364" spans="1:6" x14ac:dyDescent="0.2">
      <c r="A364" t="s">
        <v>363</v>
      </c>
      <c r="B364">
        <f>IFERROR(VLOOKUP(A364,[1]Hoja1!$B$10:$AC$529,20,FALSE),0)</f>
        <v>65</v>
      </c>
      <c r="C364">
        <f>IFERROR(VLOOKUP(A364,[2]Hoja1!$B$10:$AC$542,20,FALSE),0)</f>
        <v>65</v>
      </c>
      <c r="D364">
        <f>IFERROR(VLOOKUP(A364,[3]Hoja1!$B$10:$AC$523,20,FALSE),0)</f>
        <v>55</v>
      </c>
      <c r="E364">
        <f>IFERROR(VLOOKUP(A364,[4]Hoja1!$B$10:$AC$531,20,FALSE),0)</f>
        <v>0</v>
      </c>
      <c r="F364">
        <f>IFERROR(VLOOKUP(A364,[5]Hoja1!$B$10:$AC$500,20,FALSE),0)</f>
        <v>0</v>
      </c>
    </row>
    <row r="365" spans="1:6" x14ac:dyDescent="0.2">
      <c r="A365" t="s">
        <v>364</v>
      </c>
      <c r="B365">
        <f>IFERROR(VLOOKUP(A365,[1]Hoja1!$B$10:$AC$529,20,FALSE),0)</f>
        <v>0</v>
      </c>
      <c r="C365">
        <f>IFERROR(VLOOKUP(A365,[2]Hoja1!$B$10:$AC$542,20,FALSE),0)</f>
        <v>0</v>
      </c>
      <c r="D365">
        <f>IFERROR(VLOOKUP(A365,[3]Hoja1!$B$10:$AC$523,20,FALSE),0)</f>
        <v>2</v>
      </c>
      <c r="E365">
        <f>IFERROR(VLOOKUP(A365,[4]Hoja1!$B$10:$AC$531,20,FALSE),0)</f>
        <v>17</v>
      </c>
      <c r="F365">
        <f>IFERROR(VLOOKUP(A365,[5]Hoja1!$B$10:$AC$500,20,FALSE),0)</f>
        <v>7</v>
      </c>
    </row>
    <row r="366" spans="1:6" x14ac:dyDescent="0.2">
      <c r="A366" t="s">
        <v>365</v>
      </c>
      <c r="B366">
        <f>IFERROR(VLOOKUP(A366,[1]Hoja1!$B$10:$AC$529,20,FALSE),0)</f>
        <v>0</v>
      </c>
      <c r="C366">
        <f>IFERROR(VLOOKUP(A366,[2]Hoja1!$B$10:$AC$542,20,FALSE),0)</f>
        <v>0</v>
      </c>
      <c r="D366">
        <f>IFERROR(VLOOKUP(A366,[3]Hoja1!$B$10:$AC$523,20,FALSE),0)</f>
        <v>2</v>
      </c>
      <c r="E366">
        <f>IFERROR(VLOOKUP(A366,[4]Hoja1!$B$10:$AC$531,20,FALSE),0)</f>
        <v>0</v>
      </c>
      <c r="F366">
        <f>IFERROR(VLOOKUP(A366,[5]Hoja1!$B$10:$AC$500,20,FALSE),0)</f>
        <v>0</v>
      </c>
    </row>
    <row r="367" spans="1:6" x14ac:dyDescent="0.2">
      <c r="A367" t="s">
        <v>366</v>
      </c>
      <c r="B367">
        <f>IFERROR(VLOOKUP(A367,[1]Hoja1!$B$10:$AC$529,20,FALSE),0)</f>
        <v>0</v>
      </c>
      <c r="C367">
        <f>IFERROR(VLOOKUP(A367,[2]Hoja1!$B$10:$AC$542,20,FALSE),0)</f>
        <v>0</v>
      </c>
      <c r="D367">
        <f>IFERROR(VLOOKUP(A367,[3]Hoja1!$B$10:$AC$523,20,FALSE),0)</f>
        <v>0</v>
      </c>
      <c r="E367">
        <f>IFERROR(VLOOKUP(A367,[4]Hoja1!$B$10:$AC$531,20,FALSE),0)</f>
        <v>0</v>
      </c>
      <c r="F367">
        <f>IFERROR(VLOOKUP(A367,[5]Hoja1!$B$10:$AC$500,20,FALSE),0)</f>
        <v>0</v>
      </c>
    </row>
    <row r="368" spans="1:6" x14ac:dyDescent="0.2">
      <c r="A368" t="s">
        <v>367</v>
      </c>
      <c r="B368">
        <f>IFERROR(VLOOKUP(A368,[1]Hoja1!$B$10:$AC$529,20,FALSE),0)</f>
        <v>0</v>
      </c>
      <c r="C368">
        <f>IFERROR(VLOOKUP(A368,[2]Hoja1!$B$10:$AC$542,20,FALSE),0)</f>
        <v>90</v>
      </c>
      <c r="D368">
        <f>IFERROR(VLOOKUP(A368,[3]Hoja1!$B$10:$AC$523,20,FALSE),0)</f>
        <v>30</v>
      </c>
      <c r="E368">
        <f>IFERROR(VLOOKUP(A368,[4]Hoja1!$B$10:$AC$531,20,FALSE),0)</f>
        <v>300</v>
      </c>
      <c r="F368">
        <f>IFERROR(VLOOKUP(A368,[5]Hoja1!$B$10:$AC$500,20,FALSE),0)</f>
        <v>150</v>
      </c>
    </row>
    <row r="369" spans="1:6" x14ac:dyDescent="0.2">
      <c r="A369" t="s">
        <v>368</v>
      </c>
      <c r="B369">
        <f>IFERROR(VLOOKUP(A369,[1]Hoja1!$B$10:$AC$529,20,FALSE),0)</f>
        <v>0</v>
      </c>
      <c r="C369">
        <f>IFERROR(VLOOKUP(A369,[2]Hoja1!$B$10:$AC$542,20,FALSE),0)</f>
        <v>0</v>
      </c>
      <c r="D369">
        <f>IFERROR(VLOOKUP(A369,[3]Hoja1!$B$10:$AC$523,20,FALSE),0)</f>
        <v>218</v>
      </c>
      <c r="E369">
        <f>IFERROR(VLOOKUP(A369,[4]Hoja1!$B$10:$AC$531,20,FALSE),0)</f>
        <v>358</v>
      </c>
      <c r="F369">
        <f>IFERROR(VLOOKUP(A369,[5]Hoja1!$B$10:$AC$500,20,FALSE),0)</f>
        <v>438</v>
      </c>
    </row>
    <row r="370" spans="1:6" x14ac:dyDescent="0.2">
      <c r="A370" t="s">
        <v>369</v>
      </c>
      <c r="B370">
        <f>IFERROR(VLOOKUP(A370,[1]Hoja1!$B$10:$AC$529,20,FALSE),0)</f>
        <v>0</v>
      </c>
      <c r="C370">
        <f>IFERROR(VLOOKUP(A370,[2]Hoja1!$B$10:$AC$542,20,FALSE),0)</f>
        <v>0</v>
      </c>
      <c r="D370">
        <f>IFERROR(VLOOKUP(A370,[3]Hoja1!$B$10:$AC$523,20,FALSE),0)</f>
        <v>25</v>
      </c>
      <c r="E370">
        <f>IFERROR(VLOOKUP(A370,[4]Hoja1!$B$10:$AC$531,20,FALSE),0)</f>
        <v>158</v>
      </c>
      <c r="F370">
        <f>IFERROR(VLOOKUP(A370,[5]Hoja1!$B$10:$AC$500,20,FALSE),0)</f>
        <v>988</v>
      </c>
    </row>
    <row r="371" spans="1:6" x14ac:dyDescent="0.2">
      <c r="A371" t="s">
        <v>370</v>
      </c>
      <c r="B371">
        <f>IFERROR(VLOOKUP(A371,[1]Hoja1!$B$10:$AC$529,20,FALSE),0)</f>
        <v>0</v>
      </c>
      <c r="C371">
        <f>IFERROR(VLOOKUP(A371,[2]Hoja1!$B$10:$AC$542,20,FALSE),0)</f>
        <v>0</v>
      </c>
      <c r="D371">
        <f>IFERROR(VLOOKUP(A371,[3]Hoja1!$B$10:$AC$523,20,FALSE),0)</f>
        <v>0</v>
      </c>
      <c r="E371">
        <f>IFERROR(VLOOKUP(A371,[4]Hoja1!$B$10:$AC$531,20,FALSE),0)</f>
        <v>0</v>
      </c>
      <c r="F371">
        <f>IFERROR(VLOOKUP(A371,[5]Hoja1!$B$10:$AC$500,20,FALSE),0)</f>
        <v>0</v>
      </c>
    </row>
    <row r="372" spans="1:6" x14ac:dyDescent="0.2">
      <c r="A372" t="s">
        <v>371</v>
      </c>
      <c r="B372">
        <f>IFERROR(VLOOKUP(A372,[1]Hoja1!$B$10:$AC$529,20,FALSE),0)</f>
        <v>0</v>
      </c>
      <c r="C372">
        <f>IFERROR(VLOOKUP(A372,[2]Hoja1!$B$10:$AC$542,20,FALSE),0)</f>
        <v>0</v>
      </c>
      <c r="D372">
        <f>IFERROR(VLOOKUP(A372,[3]Hoja1!$B$10:$AC$523,20,FALSE),0)</f>
        <v>0</v>
      </c>
      <c r="E372">
        <f>IFERROR(VLOOKUP(A372,[4]Hoja1!$B$10:$AC$531,20,FALSE),0)</f>
        <v>0</v>
      </c>
      <c r="F372">
        <f>IFERROR(VLOOKUP(A372,[5]Hoja1!$B$10:$AC$500,20,FALSE),0)</f>
        <v>0</v>
      </c>
    </row>
    <row r="373" spans="1:6" x14ac:dyDescent="0.2">
      <c r="A373" t="s">
        <v>372</v>
      </c>
      <c r="B373">
        <f>IFERROR(VLOOKUP(A373,[1]Hoja1!$B$10:$AC$529,20,FALSE),0)</f>
        <v>163</v>
      </c>
      <c r="C373">
        <f>IFERROR(VLOOKUP(A373,[2]Hoja1!$B$10:$AC$542,20,FALSE),0)</f>
        <v>163</v>
      </c>
      <c r="D373">
        <f>IFERROR(VLOOKUP(A373,[3]Hoja1!$B$10:$AC$523,20,FALSE),0)</f>
        <v>163</v>
      </c>
      <c r="E373">
        <f>IFERROR(VLOOKUP(A373,[4]Hoja1!$B$10:$AC$531,20,FALSE),0)</f>
        <v>150</v>
      </c>
      <c r="F373">
        <f>IFERROR(VLOOKUP(A373,[5]Hoja1!$B$10:$AC$500,20,FALSE),0)</f>
        <v>150</v>
      </c>
    </row>
    <row r="374" spans="1:6" x14ac:dyDescent="0.2">
      <c r="A374" t="s">
        <v>373</v>
      </c>
      <c r="B374">
        <f>IFERROR(VLOOKUP(A374,[1]Hoja1!$B$10:$AC$529,20,FALSE),0)</f>
        <v>0</v>
      </c>
      <c r="C374">
        <f>IFERROR(VLOOKUP(A374,[2]Hoja1!$B$10:$AC$542,20,FALSE),0)</f>
        <v>0</v>
      </c>
      <c r="D374">
        <f>IFERROR(VLOOKUP(A374,[3]Hoja1!$B$10:$AC$523,20,FALSE),0)</f>
        <v>0</v>
      </c>
      <c r="E374">
        <f>IFERROR(VLOOKUP(A374,[4]Hoja1!$B$10:$AC$531,20,FALSE),0)</f>
        <v>15</v>
      </c>
      <c r="F374">
        <f>IFERROR(VLOOKUP(A374,[5]Hoja1!$B$10:$AC$500,20,FALSE),0)</f>
        <v>21</v>
      </c>
    </row>
    <row r="375" spans="1:6" x14ac:dyDescent="0.2">
      <c r="A375" t="s">
        <v>374</v>
      </c>
      <c r="B375">
        <f>IFERROR(VLOOKUP(A375,[1]Hoja1!$B$10:$AC$529,20,FALSE),0)</f>
        <v>0</v>
      </c>
      <c r="C375">
        <f>IFERROR(VLOOKUP(A375,[2]Hoja1!$B$10:$AC$542,20,FALSE),0)</f>
        <v>0</v>
      </c>
      <c r="D375">
        <f>IFERROR(VLOOKUP(A375,[3]Hoja1!$B$10:$AC$523,20,FALSE),0)</f>
        <v>0</v>
      </c>
      <c r="E375">
        <f>IFERROR(VLOOKUP(A375,[4]Hoja1!$B$10:$AC$531,20,FALSE),0)</f>
        <v>3</v>
      </c>
      <c r="F375">
        <f>IFERROR(VLOOKUP(A375,[5]Hoja1!$B$10:$AC$500,20,FALSE),0)</f>
        <v>0</v>
      </c>
    </row>
    <row r="376" spans="1:6" x14ac:dyDescent="0.2">
      <c r="A376" t="s">
        <v>375</v>
      </c>
      <c r="B376">
        <f>IFERROR(VLOOKUP(A376,[1]Hoja1!$B$10:$AC$529,20,FALSE),0)</f>
        <v>0</v>
      </c>
      <c r="C376">
        <f>IFERROR(VLOOKUP(A376,[2]Hoja1!$B$10:$AC$542,20,FALSE),0)</f>
        <v>0</v>
      </c>
      <c r="D376">
        <f>IFERROR(VLOOKUP(A376,[3]Hoja1!$B$10:$AC$523,20,FALSE),0)</f>
        <v>0</v>
      </c>
      <c r="E376">
        <f>IFERROR(VLOOKUP(A376,[4]Hoja1!$B$10:$AC$531,20,FALSE),0)</f>
        <v>0</v>
      </c>
      <c r="F376">
        <f>IFERROR(VLOOKUP(A376,[5]Hoja1!$B$10:$AC$500,20,FALSE),0)</f>
        <v>0</v>
      </c>
    </row>
    <row r="377" spans="1:6" x14ac:dyDescent="0.2">
      <c r="A377" t="s">
        <v>376</v>
      </c>
      <c r="B377">
        <f>IFERROR(VLOOKUP(A377,[1]Hoja1!$B$10:$AC$529,20,FALSE),0)</f>
        <v>0</v>
      </c>
      <c r="C377">
        <f>IFERROR(VLOOKUP(A377,[2]Hoja1!$B$10:$AC$542,20,FALSE),0)</f>
        <v>0</v>
      </c>
      <c r="D377">
        <f>IFERROR(VLOOKUP(A377,[3]Hoja1!$B$10:$AC$523,20,FALSE),0)</f>
        <v>0</v>
      </c>
      <c r="E377">
        <f>IFERROR(VLOOKUP(A377,[4]Hoja1!$B$10:$AC$531,20,FALSE),0)</f>
        <v>0</v>
      </c>
      <c r="F377">
        <f>IFERROR(VLOOKUP(A377,[5]Hoja1!$B$10:$AC$500,20,FALSE),0)</f>
        <v>0</v>
      </c>
    </row>
    <row r="378" spans="1:6" x14ac:dyDescent="0.2">
      <c r="A378" t="s">
        <v>377</v>
      </c>
      <c r="B378">
        <f>IFERROR(VLOOKUP(A378,[1]Hoja1!$B$10:$AC$529,20,FALSE),0)</f>
        <v>0</v>
      </c>
      <c r="C378">
        <f>IFERROR(VLOOKUP(A378,[2]Hoja1!$B$10:$AC$542,20,FALSE),0)</f>
        <v>0</v>
      </c>
      <c r="D378">
        <f>IFERROR(VLOOKUP(A378,[3]Hoja1!$B$10:$AC$523,20,FALSE),0)</f>
        <v>0</v>
      </c>
      <c r="E378">
        <f>IFERROR(VLOOKUP(A378,[4]Hoja1!$B$10:$AC$531,20,FALSE),0)</f>
        <v>120</v>
      </c>
      <c r="F378">
        <f>IFERROR(VLOOKUP(A378,[5]Hoja1!$B$10:$AC$500,20,FALSE),0)</f>
        <v>125</v>
      </c>
    </row>
    <row r="379" spans="1:6" x14ac:dyDescent="0.2">
      <c r="A379" t="s">
        <v>378</v>
      </c>
      <c r="B379">
        <f>IFERROR(VLOOKUP(A379,[1]Hoja1!$B$10:$AC$529,20,FALSE),0)</f>
        <v>0</v>
      </c>
      <c r="C379">
        <f>IFERROR(VLOOKUP(A379,[2]Hoja1!$B$10:$AC$542,20,FALSE),0)</f>
        <v>0</v>
      </c>
      <c r="D379">
        <f>IFERROR(VLOOKUP(A379,[3]Hoja1!$B$10:$AC$523,20,FALSE),0)</f>
        <v>0</v>
      </c>
      <c r="E379">
        <f>IFERROR(VLOOKUP(A379,[4]Hoja1!$B$10:$AC$531,20,FALSE),0)</f>
        <v>0</v>
      </c>
      <c r="F379">
        <f>IFERROR(VLOOKUP(A379,[5]Hoja1!$B$10:$AC$500,20,FALSE),0)</f>
        <v>0</v>
      </c>
    </row>
    <row r="380" spans="1:6" x14ac:dyDescent="0.2">
      <c r="A380" t="s">
        <v>379</v>
      </c>
      <c r="B380">
        <f>IFERROR(VLOOKUP(A380,[1]Hoja1!$B$10:$AC$529,20,FALSE),0)</f>
        <v>0</v>
      </c>
      <c r="C380">
        <f>IFERROR(VLOOKUP(A380,[2]Hoja1!$B$10:$AC$542,20,FALSE),0)</f>
        <v>0</v>
      </c>
      <c r="D380">
        <f>IFERROR(VLOOKUP(A380,[3]Hoja1!$B$10:$AC$523,20,FALSE),0)</f>
        <v>0</v>
      </c>
      <c r="E380">
        <f>IFERROR(VLOOKUP(A380,[4]Hoja1!$B$10:$AC$531,20,FALSE),0)</f>
        <v>0</v>
      </c>
      <c r="F380">
        <f>IFERROR(VLOOKUP(A380,[5]Hoja1!$B$10:$AC$500,20,FALSE),0)</f>
        <v>0</v>
      </c>
    </row>
    <row r="381" spans="1:6" x14ac:dyDescent="0.2">
      <c r="A381" t="s">
        <v>380</v>
      </c>
      <c r="B381">
        <f>IFERROR(VLOOKUP(A381,[1]Hoja1!$B$10:$AC$529,20,FALSE),0)</f>
        <v>0</v>
      </c>
      <c r="C381">
        <f>IFERROR(VLOOKUP(A381,[2]Hoja1!$B$10:$AC$542,20,FALSE),0)</f>
        <v>0</v>
      </c>
      <c r="D381">
        <f>IFERROR(VLOOKUP(A381,[3]Hoja1!$B$10:$AC$523,20,FALSE),0)</f>
        <v>0</v>
      </c>
      <c r="E381">
        <f>IFERROR(VLOOKUP(A381,[4]Hoja1!$B$10:$AC$531,20,FALSE),0)</f>
        <v>2</v>
      </c>
      <c r="F381">
        <f>IFERROR(VLOOKUP(A381,[5]Hoja1!$B$10:$AC$500,20,FALSE),0)</f>
        <v>0</v>
      </c>
    </row>
    <row r="382" spans="1:6" x14ac:dyDescent="0.2">
      <c r="A382" t="s">
        <v>381</v>
      </c>
      <c r="B382">
        <f>IFERROR(VLOOKUP(A382,[1]Hoja1!$B$10:$AC$529,20,FALSE),0)</f>
        <v>0</v>
      </c>
      <c r="C382">
        <f>IFERROR(VLOOKUP(A382,[2]Hoja1!$B$10:$AC$542,20,FALSE),0)</f>
        <v>0</v>
      </c>
      <c r="D382">
        <f>IFERROR(VLOOKUP(A382,[3]Hoja1!$B$10:$AC$523,20,FALSE),0)</f>
        <v>0</v>
      </c>
      <c r="E382">
        <f>IFERROR(VLOOKUP(A382,[4]Hoja1!$B$10:$AC$531,20,FALSE),0)</f>
        <v>0</v>
      </c>
      <c r="F382">
        <f>IFERROR(VLOOKUP(A382,[5]Hoja1!$B$10:$AC$500,20,FALSE),0)</f>
        <v>0</v>
      </c>
    </row>
    <row r="383" spans="1:6" x14ac:dyDescent="0.2">
      <c r="A383" t="s">
        <v>382</v>
      </c>
      <c r="B383">
        <f>IFERROR(VLOOKUP(A383,[1]Hoja1!$B$10:$AC$529,20,FALSE),0)</f>
        <v>0</v>
      </c>
      <c r="C383">
        <f>IFERROR(VLOOKUP(A383,[2]Hoja1!$B$10:$AC$542,20,FALSE),0)</f>
        <v>0</v>
      </c>
      <c r="D383">
        <f>IFERROR(VLOOKUP(A383,[3]Hoja1!$B$10:$AC$523,20,FALSE),0)</f>
        <v>0</v>
      </c>
      <c r="E383">
        <f>IFERROR(VLOOKUP(A383,[4]Hoja1!$B$10:$AC$531,20,FALSE),0)</f>
        <v>0</v>
      </c>
      <c r="F383">
        <f>IFERROR(VLOOKUP(A383,[5]Hoja1!$B$10:$AC$500,20,FALSE),0)</f>
        <v>0</v>
      </c>
    </row>
    <row r="384" spans="1:6" x14ac:dyDescent="0.2">
      <c r="A384" t="s">
        <v>383</v>
      </c>
      <c r="B384">
        <f>IFERROR(VLOOKUP(A384,[1]Hoja1!$B$10:$AC$529,20,FALSE),0)</f>
        <v>36</v>
      </c>
      <c r="C384">
        <f>IFERROR(VLOOKUP(A384,[2]Hoja1!$B$10:$AC$542,20,FALSE),0)</f>
        <v>36</v>
      </c>
      <c r="D384">
        <f>IFERROR(VLOOKUP(A384,[3]Hoja1!$B$10:$AC$523,20,FALSE),0)</f>
        <v>36</v>
      </c>
      <c r="E384">
        <f>IFERROR(VLOOKUP(A384,[4]Hoja1!$B$10:$AC$531,20,FALSE),0)</f>
        <v>0</v>
      </c>
      <c r="F384">
        <f>IFERROR(VLOOKUP(A384,[5]Hoja1!$B$10:$AC$500,20,FALSE),0)</f>
        <v>0</v>
      </c>
    </row>
    <row r="385" spans="1:6" x14ac:dyDescent="0.2">
      <c r="A385" s="1" t="s">
        <v>384</v>
      </c>
      <c r="B385">
        <f>IFERROR(VLOOKUP(A385,[1]Hoja1!$B$10:$AC$529,20,FALSE),0)</f>
        <v>436</v>
      </c>
      <c r="C385">
        <f>IFERROR(VLOOKUP(A385,[2]Hoja1!$B$10:$AC$542,20,FALSE),0)</f>
        <v>245</v>
      </c>
      <c r="D385">
        <f>IFERROR(VLOOKUP(A385,[3]Hoja1!$B$10:$AC$523,20,FALSE),0)</f>
        <v>435</v>
      </c>
      <c r="E385">
        <f>IFERROR(VLOOKUP(A385,[4]Hoja1!$B$10:$AC$531,20,FALSE),0)</f>
        <v>160</v>
      </c>
      <c r="F385">
        <f>IFERROR(VLOOKUP(A385,[5]Hoja1!$B$10:$AC$500,20,FALSE),0)</f>
        <v>25</v>
      </c>
    </row>
    <row r="386" spans="1:6" x14ac:dyDescent="0.2">
      <c r="A386" t="s">
        <v>385</v>
      </c>
      <c r="B386">
        <f>IFERROR(VLOOKUP(A386,[1]Hoja1!$B$10:$AC$529,20,FALSE),0)</f>
        <v>10</v>
      </c>
      <c r="C386">
        <f>IFERROR(VLOOKUP(A386,[2]Hoja1!$B$10:$AC$542,20,FALSE),0)</f>
        <v>10</v>
      </c>
      <c r="D386">
        <f>IFERROR(VLOOKUP(A386,[3]Hoja1!$B$10:$AC$523,20,FALSE),0)</f>
        <v>5</v>
      </c>
      <c r="E386">
        <f>IFERROR(VLOOKUP(A386,[4]Hoja1!$B$10:$AC$531,20,FALSE),0)</f>
        <v>5</v>
      </c>
      <c r="F386">
        <f>IFERROR(VLOOKUP(A386,[5]Hoja1!$B$10:$AC$500,20,FALSE),0)</f>
        <v>5</v>
      </c>
    </row>
    <row r="387" spans="1:6" x14ac:dyDescent="0.2">
      <c r="A387" s="1" t="s">
        <v>386</v>
      </c>
      <c r="B387">
        <f>IFERROR(VLOOKUP(A387,[1]Hoja1!$B$10:$AC$529,20,FALSE),0)</f>
        <v>0</v>
      </c>
      <c r="C387">
        <f>IFERROR(VLOOKUP(A387,[2]Hoja1!$B$10:$AC$542,20,FALSE),0)</f>
        <v>2</v>
      </c>
      <c r="D387">
        <f>IFERROR(VLOOKUP(A387,[3]Hoja1!$B$10:$AC$523,20,FALSE),0)</f>
        <v>4</v>
      </c>
      <c r="E387">
        <f>IFERROR(VLOOKUP(A387,[4]Hoja1!$B$10:$AC$531,20,FALSE),0)</f>
        <v>9</v>
      </c>
      <c r="F387">
        <f>IFERROR(VLOOKUP(A387,[5]Hoja1!$B$10:$AC$500,20,FALSE),0)</f>
        <v>1</v>
      </c>
    </row>
    <row r="388" spans="1:6" x14ac:dyDescent="0.2">
      <c r="A388" t="s">
        <v>387</v>
      </c>
      <c r="B388">
        <f>IFERROR(VLOOKUP(A388,[1]Hoja1!$B$10:$AC$529,20,FALSE),0)</f>
        <v>3</v>
      </c>
      <c r="C388">
        <f>IFERROR(VLOOKUP(A388,[2]Hoja1!$B$10:$AC$542,20,FALSE),0)</f>
        <v>9</v>
      </c>
      <c r="D388">
        <f>IFERROR(VLOOKUP(A388,[3]Hoja1!$B$10:$AC$523,20,FALSE),0)</f>
        <v>3</v>
      </c>
      <c r="E388">
        <f>IFERROR(VLOOKUP(A388,[4]Hoja1!$B$10:$AC$531,20,FALSE),0)</f>
        <v>7</v>
      </c>
      <c r="F388">
        <f>IFERROR(VLOOKUP(A388,[5]Hoja1!$B$10:$AC$500,20,FALSE),0)</f>
        <v>2</v>
      </c>
    </row>
    <row r="389" spans="1:6" x14ac:dyDescent="0.2">
      <c r="A389" t="s">
        <v>388</v>
      </c>
      <c r="B389">
        <f>IFERROR(VLOOKUP(A389,[1]Hoja1!$B$10:$AC$529,20,FALSE),0)</f>
        <v>130</v>
      </c>
      <c r="C389">
        <f>IFERROR(VLOOKUP(A389,[2]Hoja1!$B$10:$AC$542,20,FALSE),0)</f>
        <v>130</v>
      </c>
      <c r="D389">
        <f>IFERROR(VLOOKUP(A389,[3]Hoja1!$B$10:$AC$523,20,FALSE),0)</f>
        <v>0</v>
      </c>
      <c r="E389">
        <f>IFERROR(VLOOKUP(A389,[4]Hoja1!$B$10:$AC$531,20,FALSE),0)</f>
        <v>0</v>
      </c>
      <c r="F389">
        <f>IFERROR(VLOOKUP(A389,[5]Hoja1!$B$10:$AC$500,20,FALSE),0)</f>
        <v>0</v>
      </c>
    </row>
    <row r="390" spans="1:6" x14ac:dyDescent="0.2">
      <c r="A390" t="s">
        <v>389</v>
      </c>
      <c r="B390">
        <f>IFERROR(VLOOKUP(A390,[1]Hoja1!$B$10:$AC$529,20,FALSE),0)</f>
        <v>0</v>
      </c>
      <c r="C390">
        <f>IFERROR(VLOOKUP(A390,[2]Hoja1!$B$10:$AC$542,20,FALSE),0)</f>
        <v>0</v>
      </c>
      <c r="D390">
        <f>IFERROR(VLOOKUP(A390,[3]Hoja1!$B$10:$AC$523,20,FALSE),0)</f>
        <v>0</v>
      </c>
      <c r="E390">
        <f>IFERROR(VLOOKUP(A390,[4]Hoja1!$B$10:$AC$531,20,FALSE),0)</f>
        <v>0</v>
      </c>
      <c r="F390">
        <f>IFERROR(VLOOKUP(A390,[5]Hoja1!$B$10:$AC$500,20,FALSE),0)</f>
        <v>0</v>
      </c>
    </row>
    <row r="391" spans="1:6" x14ac:dyDescent="0.2">
      <c r="A391" t="s">
        <v>390</v>
      </c>
      <c r="B391">
        <f>IFERROR(VLOOKUP(A391,[1]Hoja1!$B$10:$AC$529,20,FALSE),0)</f>
        <v>11</v>
      </c>
      <c r="C391">
        <f>IFERROR(VLOOKUP(A391,[2]Hoja1!$B$10:$AC$542,20,FALSE),0)</f>
        <v>11</v>
      </c>
      <c r="D391">
        <f>IFERROR(VLOOKUP(A391,[3]Hoja1!$B$10:$AC$523,20,FALSE),0)</f>
        <v>11</v>
      </c>
      <c r="E391">
        <f>IFERROR(VLOOKUP(A391,[4]Hoja1!$B$10:$AC$531,20,FALSE),0)</f>
        <v>0</v>
      </c>
      <c r="F391">
        <f>IFERROR(VLOOKUP(A391,[5]Hoja1!$B$10:$AC$500,20,FALSE),0)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Miguel Jurado Camacho</dc:creator>
  <cp:lastModifiedBy>Martín Miguel Jurado Camacho</cp:lastModifiedBy>
  <dcterms:created xsi:type="dcterms:W3CDTF">2025-11-05T19:32:41Z</dcterms:created>
  <dcterms:modified xsi:type="dcterms:W3CDTF">2025-11-05T19:41:40Z</dcterms:modified>
</cp:coreProperties>
</file>