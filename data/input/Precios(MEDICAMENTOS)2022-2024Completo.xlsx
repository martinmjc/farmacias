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urado/Documents/Malitzin/1datosSeguroUniversitario/BWO/"/>
    </mc:Choice>
  </mc:AlternateContent>
  <xr:revisionPtr revIDLastSave="0" documentId="13_ncr:1_{F10DDA0E-15B8-B142-88E5-914EBD115FBE}" xr6:coauthVersionLast="47" xr6:coauthVersionMax="47" xr10:uidLastSave="{00000000-0000-0000-0000-000000000000}"/>
  <bookViews>
    <workbookView xWindow="0" yWindow="620" windowWidth="28800" windowHeight="16080" xr2:uid="{2EF6683F-288A-C840-B2EB-DF46CE5BF673}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Hoja1!$A$1:$L$391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2" i="1" l="1"/>
  <c r="L383" i="1"/>
  <c r="L384" i="1"/>
  <c r="L385" i="1"/>
  <c r="L386" i="1"/>
  <c r="L387" i="1"/>
  <c r="L388" i="1"/>
  <c r="L389" i="1"/>
  <c r="L390" i="1"/>
  <c r="L391" i="1"/>
  <c r="K382" i="1"/>
  <c r="K383" i="1"/>
  <c r="K384" i="1"/>
  <c r="K385" i="1"/>
  <c r="K386" i="1"/>
  <c r="K387" i="1"/>
  <c r="K388" i="1"/>
  <c r="K389" i="1"/>
  <c r="K390" i="1"/>
  <c r="K391" i="1"/>
  <c r="J382" i="1"/>
  <c r="J383" i="1"/>
  <c r="J384" i="1"/>
  <c r="J385" i="1"/>
  <c r="J386" i="1"/>
  <c r="J387" i="1"/>
  <c r="J388" i="1"/>
  <c r="J389" i="1"/>
  <c r="J390" i="1"/>
  <c r="J391" i="1"/>
  <c r="I382" i="1"/>
  <c r="I383" i="1"/>
  <c r="I384" i="1"/>
  <c r="I385" i="1"/>
  <c r="I386" i="1"/>
  <c r="I387" i="1"/>
  <c r="I388" i="1"/>
  <c r="I389" i="1"/>
  <c r="I390" i="1"/>
  <c r="I391" i="1"/>
  <c r="H382" i="1"/>
  <c r="H383" i="1"/>
  <c r="H384" i="1"/>
  <c r="H385" i="1"/>
  <c r="H386" i="1"/>
  <c r="H387" i="1"/>
  <c r="H388" i="1"/>
  <c r="H389" i="1"/>
  <c r="H390" i="1"/>
  <c r="H391" i="1"/>
  <c r="G382" i="1"/>
  <c r="G383" i="1"/>
  <c r="G384" i="1"/>
  <c r="G385" i="1"/>
  <c r="G386" i="1"/>
  <c r="G387" i="1"/>
  <c r="G388" i="1"/>
  <c r="G389" i="1"/>
  <c r="G390" i="1"/>
  <c r="G391" i="1"/>
  <c r="F382" i="1"/>
  <c r="F383" i="1"/>
  <c r="F384" i="1"/>
  <c r="F385" i="1"/>
  <c r="F386" i="1"/>
  <c r="F387" i="1"/>
  <c r="F388" i="1"/>
  <c r="F389" i="1"/>
  <c r="F390" i="1"/>
  <c r="F391" i="1"/>
  <c r="E382" i="1"/>
  <c r="E383" i="1"/>
  <c r="E384" i="1"/>
  <c r="E385" i="1"/>
  <c r="E386" i="1"/>
  <c r="E387" i="1"/>
  <c r="E388" i="1"/>
  <c r="E389" i="1"/>
  <c r="E390" i="1"/>
  <c r="E391" i="1"/>
  <c r="D382" i="1"/>
  <c r="D383" i="1"/>
  <c r="D384" i="1"/>
  <c r="D385" i="1"/>
  <c r="D386" i="1"/>
  <c r="D387" i="1"/>
  <c r="D388" i="1"/>
  <c r="D389" i="1"/>
  <c r="D390" i="1"/>
  <c r="D391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<sst xmlns="http://schemas.openxmlformats.org/spreadsheetml/2006/main" count="1156" uniqueCount="880">
  <si>
    <t>Código</t>
  </si>
  <si>
    <t>Desripción</t>
  </si>
  <si>
    <t>A-02-01</t>
  </si>
  <si>
    <t>HIDROXIDO DE ALUMINIO Y MAGNESIO</t>
  </si>
  <si>
    <t>A-02-02</t>
  </si>
  <si>
    <t>OMEPRAZOL</t>
  </si>
  <si>
    <t>20 mg</t>
  </si>
  <si>
    <t>A-02-03</t>
  </si>
  <si>
    <t>RANITIDINA</t>
  </si>
  <si>
    <t>150 mg</t>
  </si>
  <si>
    <t>A-02-04</t>
  </si>
  <si>
    <t>50 mg</t>
  </si>
  <si>
    <t>A-02-05</t>
  </si>
  <si>
    <t>40 mg/ml</t>
  </si>
  <si>
    <t>A-03-01</t>
  </si>
  <si>
    <t>ATROPINA SULFATO</t>
  </si>
  <si>
    <t>1 mg/ml</t>
  </si>
  <si>
    <t>A-03-02</t>
  </si>
  <si>
    <t>BUTILBROMURO DE HIOSCINA (BUTILESCOPOLAMINA)</t>
  </si>
  <si>
    <t>10 mg</t>
  </si>
  <si>
    <t>A-03-04</t>
  </si>
  <si>
    <t>20 mg/ml</t>
  </si>
  <si>
    <t>A-03-06</t>
  </si>
  <si>
    <t>DOMPERIDONA</t>
  </si>
  <si>
    <t>A-03-07</t>
  </si>
  <si>
    <t>METOCLOPRAMIDA</t>
  </si>
  <si>
    <t>A-03-08</t>
  </si>
  <si>
    <t>10 mg/2ml</t>
  </si>
  <si>
    <t>A-03-09</t>
  </si>
  <si>
    <t>0,35% o 0,5%</t>
  </si>
  <si>
    <t>A-03-10</t>
  </si>
  <si>
    <t>PROPINOXATO</t>
  </si>
  <si>
    <t>A-03-11</t>
  </si>
  <si>
    <t>5 mg/ml</t>
  </si>
  <si>
    <t>A-03-12</t>
  </si>
  <si>
    <t>SIMETICONA</t>
  </si>
  <si>
    <t>3% o 4%</t>
  </si>
  <si>
    <t>A-03-13</t>
  </si>
  <si>
    <t>100 mg</t>
  </si>
  <si>
    <t>A-04-01</t>
  </si>
  <si>
    <t>ONDANSETRON</t>
  </si>
  <si>
    <t>8 mg</t>
  </si>
  <si>
    <t>A-05-01</t>
  </si>
  <si>
    <t>ACIDO URSODEOXICOLICO  250 MG</t>
  </si>
  <si>
    <t xml:space="preserve">250 MG. </t>
  </si>
  <si>
    <t>A-06-01</t>
  </si>
  <si>
    <t>ACEITE MINERAL</t>
  </si>
  <si>
    <t>A-06-02</t>
  </si>
  <si>
    <t>BISACODILO</t>
  </si>
  <si>
    <t>5 mg</t>
  </si>
  <si>
    <t>A-06-04</t>
  </si>
  <si>
    <t>FIBRA NATURAL</t>
  </si>
  <si>
    <t>Según disponibilidad</t>
  </si>
  <si>
    <t>A-06-05</t>
  </si>
  <si>
    <t>GLICEROL (GLICERINA)</t>
  </si>
  <si>
    <t>2 g a 4 g (adulto)</t>
  </si>
  <si>
    <t>A-06-06</t>
  </si>
  <si>
    <t>1 g a 1,80 g (infantil)</t>
  </si>
  <si>
    <t>A-06-07</t>
  </si>
  <si>
    <t>LACTULOSA</t>
  </si>
  <si>
    <t>65% hasta 66.7%</t>
  </si>
  <si>
    <t>A-07-02</t>
  </si>
  <si>
    <t>LOPERAMIDA</t>
  </si>
  <si>
    <t>2 mg</t>
  </si>
  <si>
    <t>A-07-04</t>
  </si>
  <si>
    <t>NISTATINA</t>
  </si>
  <si>
    <t>500.000 UI/5 ml</t>
  </si>
  <si>
    <t>A-07-06</t>
  </si>
  <si>
    <t>SALES DE REHIDRATACION ORAL (SRO) BAJA OSMOLARIDAD</t>
  </si>
  <si>
    <t>Según concentración eestándar</t>
  </si>
  <si>
    <t>A-07-07</t>
  </si>
  <si>
    <t>MESALAZINA</t>
  </si>
  <si>
    <t>500 mg</t>
  </si>
  <si>
    <t>A-09-01</t>
  </si>
  <si>
    <t>ENZIMAS PANCREATICAS (LIPASA, PROTEASA Y AMILASA EN COMBINACION)</t>
  </si>
  <si>
    <t>A-10-01</t>
  </si>
  <si>
    <t>GLIBENCLAMIDA</t>
  </si>
  <si>
    <t>A-10-02</t>
  </si>
  <si>
    <t>INSULINA RECOMBINANTE HUMANA NPH</t>
  </si>
  <si>
    <t>100 UI/ml</t>
  </si>
  <si>
    <t>A-10-03</t>
  </si>
  <si>
    <t>INSULINA ZINC CRISTALINA  RECOMBINANTE HUMANA</t>
  </si>
  <si>
    <t>A-10-04</t>
  </si>
  <si>
    <t>METFORMINA</t>
  </si>
  <si>
    <t>850 mg</t>
  </si>
  <si>
    <t>A-10-05</t>
  </si>
  <si>
    <t>INSULINA GLARGINA</t>
  </si>
  <si>
    <t>100 U.I / ml</t>
  </si>
  <si>
    <t>A-10-07</t>
  </si>
  <si>
    <t>A-11-02</t>
  </si>
  <si>
    <t>ACIDO ASCORBICO (VITAMINA C)</t>
  </si>
  <si>
    <t>500 mg/ml (2 ml)</t>
  </si>
  <si>
    <t>A-11-03</t>
  </si>
  <si>
    <t>A-11-04</t>
  </si>
  <si>
    <t>CIANOCOBALAMINA (VITAMINA B12)</t>
  </si>
  <si>
    <t>A-11-06</t>
  </si>
  <si>
    <t>COMPLEJO  B (B1 + B6 + B12)</t>
  </si>
  <si>
    <t>A-11-07</t>
  </si>
  <si>
    <t>A-11-09</t>
  </si>
  <si>
    <t>MULTIVITAMINAS</t>
  </si>
  <si>
    <t>Según concentración estándar</t>
  </si>
  <si>
    <t>A-11-10</t>
  </si>
  <si>
    <t>A-11-11</t>
  </si>
  <si>
    <t>PIRIDOXINA CLORHIDRATO (VITAMINA B6)</t>
  </si>
  <si>
    <t>300 mg</t>
  </si>
  <si>
    <t>A-11-13</t>
  </si>
  <si>
    <t>RETINOL (VITAMINA A)</t>
  </si>
  <si>
    <t>10.000 UI</t>
  </si>
  <si>
    <t>100.000 UI</t>
  </si>
  <si>
    <t>A-11-17</t>
  </si>
  <si>
    <t>TIAMINA (VITAMINA B 1)</t>
  </si>
  <si>
    <t>A-11-19</t>
  </si>
  <si>
    <t>TOCOFEROL (VITAMINA E)</t>
  </si>
  <si>
    <t>1.000 UI</t>
  </si>
  <si>
    <t>A-12-01</t>
  </si>
  <si>
    <t>CALCIO (CARBONATO O CITRATO)</t>
  </si>
  <si>
    <t>500 mg (ión calcio)</t>
  </si>
  <si>
    <t>A-12-02</t>
  </si>
  <si>
    <t>CALCIO + VITAMINA D</t>
  </si>
  <si>
    <t>500 mg (ión calcio); Según disponibilidad</t>
  </si>
  <si>
    <t>A-12-03</t>
  </si>
  <si>
    <t>CLORURO DE POTASIO</t>
  </si>
  <si>
    <t>1,3 mEq/ml</t>
  </si>
  <si>
    <t>A-12-05</t>
  </si>
  <si>
    <t>ZINC</t>
  </si>
  <si>
    <t>20 mg/5 ml (Como zinc elemental)</t>
  </si>
  <si>
    <t>A-12-06</t>
  </si>
  <si>
    <t>ZINC (COMO SULFATO)</t>
  </si>
  <si>
    <t>B-01-01</t>
  </si>
  <si>
    <t>ACIDO ACETIL SALICILICO</t>
  </si>
  <si>
    <t>B-01-03</t>
  </si>
  <si>
    <t>HEPARINA DE BAJO PESO MOLECULAR</t>
  </si>
  <si>
    <t>40 M.G.</t>
  </si>
  <si>
    <t>B-01-031</t>
  </si>
  <si>
    <t>HEPARINA DE BAJO PESO MOLECULAR  60 MG</t>
  </si>
  <si>
    <t>60 MG</t>
  </si>
  <si>
    <t>B-01-04</t>
  </si>
  <si>
    <t>HEPARINA SODICA</t>
  </si>
  <si>
    <t>5.000 UI/ml</t>
  </si>
  <si>
    <t>B-01-05</t>
  </si>
  <si>
    <t>WARFARINA</t>
  </si>
  <si>
    <t>B-01-06</t>
  </si>
  <si>
    <t>CLOPIDOGREL</t>
  </si>
  <si>
    <t>75 mg</t>
  </si>
  <si>
    <t>B-02-02</t>
  </si>
  <si>
    <t>FITOMENADIONA  (VITAMINA K1)</t>
  </si>
  <si>
    <t>10 mg/ml</t>
  </si>
  <si>
    <t>B-03-01</t>
  </si>
  <si>
    <t>ACIDO FOLICO</t>
  </si>
  <si>
    <t>B-03-02</t>
  </si>
  <si>
    <t>ERITROPOYETINA</t>
  </si>
  <si>
    <t>B-03-04</t>
  </si>
  <si>
    <t>HIERRO</t>
  </si>
  <si>
    <t>100 mg - IM o IV</t>
  </si>
  <si>
    <t>B-03-05</t>
  </si>
  <si>
    <t>MICRONUTRIENTES (VIT. C + VIT A + FE + ZN + AC. FOLICO) (CHISPITAS NUTRICIONALES)</t>
  </si>
  <si>
    <t>Según concentración estándard</t>
  </si>
  <si>
    <t>B-03-07</t>
  </si>
  <si>
    <t>SULFATO FERROSO</t>
  </si>
  <si>
    <t>125 mg/ml</t>
  </si>
  <si>
    <t>B-03-08</t>
  </si>
  <si>
    <t>SULFATO FERROSO + AC. FOLICO + VITAMINA C</t>
  </si>
  <si>
    <t>200 mg + 0,5 mg + 150 mg</t>
  </si>
  <si>
    <t>B-03-09</t>
  </si>
  <si>
    <t>125 mg + 0,25 mg + 30 mg</t>
  </si>
  <si>
    <t>B-05-01</t>
  </si>
  <si>
    <t>AGUA PARA INYECCION</t>
  </si>
  <si>
    <t>5 ml</t>
  </si>
  <si>
    <t>B-05-02</t>
  </si>
  <si>
    <t>ALBUMINA HUMANA</t>
  </si>
  <si>
    <t>B-05-03</t>
  </si>
  <si>
    <t>AMINOACIDOS</t>
  </si>
  <si>
    <t>B-05-04</t>
  </si>
  <si>
    <t>BICARBONATO DE SODIO</t>
  </si>
  <si>
    <t>B-05-06</t>
  </si>
  <si>
    <t>B-05-07</t>
  </si>
  <si>
    <t>CLORURO DE SODIO</t>
  </si>
  <si>
    <t>B-05-10</t>
  </si>
  <si>
    <t>GLUCONATO CALCICO (CALCIO GLUCONATO)</t>
  </si>
  <si>
    <t>B-05-11</t>
  </si>
  <si>
    <t>OLIGOELEMENTOS PARA NUTRICION PARENTERAL</t>
  </si>
  <si>
    <t>B-05-15</t>
  </si>
  <si>
    <t>SOLUCION DE GLUCOSA</t>
  </si>
  <si>
    <t>5% (500 ml)</t>
  </si>
  <si>
    <t>B-05-16</t>
  </si>
  <si>
    <t>5% (1.000 ml)</t>
  </si>
  <si>
    <t>B-05-17</t>
  </si>
  <si>
    <t>10% (500 ml)</t>
  </si>
  <si>
    <t>B-05-18</t>
  </si>
  <si>
    <t>10% (1.000 ml)</t>
  </si>
  <si>
    <t>B-05-19</t>
  </si>
  <si>
    <t>50% (500 ml)</t>
  </si>
  <si>
    <t>B-05-20</t>
  </si>
  <si>
    <t>50% (20 ml)</t>
  </si>
  <si>
    <t>B-05-21</t>
  </si>
  <si>
    <t>SOLUCION DE MANITOL</t>
  </si>
  <si>
    <t>20% (500 ml)</t>
  </si>
  <si>
    <t>B-05-22</t>
  </si>
  <si>
    <t>SOLUCION FISIOLOGICA</t>
  </si>
  <si>
    <t>0,9% (500 ml)</t>
  </si>
  <si>
    <t>B-05-23</t>
  </si>
  <si>
    <t>0,9% (1.000 ml)</t>
  </si>
  <si>
    <t>B-05-25</t>
  </si>
  <si>
    <t>SOLUCION GLUCOSADA CLORURADA</t>
  </si>
  <si>
    <t>1.000 ml</t>
  </si>
  <si>
    <t>B-05-29</t>
  </si>
  <si>
    <t>SOLUCION RINGER LACTATO</t>
  </si>
  <si>
    <t>500 ml</t>
  </si>
  <si>
    <t>B-05-30</t>
  </si>
  <si>
    <t>B-05-31</t>
  </si>
  <si>
    <t>SOLUCION RINGER NORMAL</t>
  </si>
  <si>
    <t>B-05-32</t>
  </si>
  <si>
    <t>B-05-33</t>
  </si>
  <si>
    <t>SULFATO DE MAGNESIO</t>
  </si>
  <si>
    <t>C-01-02</t>
  </si>
  <si>
    <t>AMIODARONA (CLORHIDRATO)</t>
  </si>
  <si>
    <t>200 mg</t>
  </si>
  <si>
    <t>C-01-03</t>
  </si>
  <si>
    <t>50 mg/ml</t>
  </si>
  <si>
    <t>C-01-04</t>
  </si>
  <si>
    <t>DIGOXINA</t>
  </si>
  <si>
    <t>0,75 mg/ml</t>
  </si>
  <si>
    <t>C-01-06</t>
  </si>
  <si>
    <t>0,25 mg</t>
  </si>
  <si>
    <t>C-01-10</t>
  </si>
  <si>
    <t>EPINEFRINA (ADRENALINA)</t>
  </si>
  <si>
    <t>C-01-11</t>
  </si>
  <si>
    <t>ISOSORBIDA MONONITRATO</t>
  </si>
  <si>
    <t>C-02-08</t>
  </si>
  <si>
    <t>SILDENAFILO</t>
  </si>
  <si>
    <t>C-03-01</t>
  </si>
  <si>
    <t>ACETAZOLAMIDA</t>
  </si>
  <si>
    <t>250 mg</t>
  </si>
  <si>
    <t>C-03-02</t>
  </si>
  <si>
    <t>ESPIRONOLACTONA</t>
  </si>
  <si>
    <t>C-03-04</t>
  </si>
  <si>
    <t>FUROSEMIDA</t>
  </si>
  <si>
    <t>40 mg</t>
  </si>
  <si>
    <t>C-03-05</t>
  </si>
  <si>
    <t>C-03-06</t>
  </si>
  <si>
    <t>HIDROCLOROTIAZIDA</t>
  </si>
  <si>
    <t>C-03-07</t>
  </si>
  <si>
    <t>HIDROCLOROTIAZIDA + AMILORIDA</t>
  </si>
  <si>
    <t>50 mg + 5 mg</t>
  </si>
  <si>
    <t>C-05-01</t>
  </si>
  <si>
    <t>CORTICOIDE + ANESTESICO</t>
  </si>
  <si>
    <t>C-05-02</t>
  </si>
  <si>
    <t>C-07-01</t>
  </si>
  <si>
    <t>ATENOLOL</t>
  </si>
  <si>
    <t>C-07-02</t>
  </si>
  <si>
    <t>PROPRANOLOL</t>
  </si>
  <si>
    <t>C-07-04</t>
  </si>
  <si>
    <t>CARVEDILOL</t>
  </si>
  <si>
    <t>6,25 mg</t>
  </si>
  <si>
    <t>C-07-05</t>
  </si>
  <si>
    <t>12,5 mg</t>
  </si>
  <si>
    <t>C-07-06</t>
  </si>
  <si>
    <t>BISOPROLOL</t>
  </si>
  <si>
    <t>C-08-02</t>
  </si>
  <si>
    <t>NIMODIPINA</t>
  </si>
  <si>
    <t>30 mg</t>
  </si>
  <si>
    <t>C-08-07</t>
  </si>
  <si>
    <t>AMLODIPINA</t>
  </si>
  <si>
    <t>C-09-01</t>
  </si>
  <si>
    <t>ENALAPRIL MALEATO</t>
  </si>
  <si>
    <t>C-09-02</t>
  </si>
  <si>
    <t>LOSARTAN</t>
  </si>
  <si>
    <t>C-10-01</t>
  </si>
  <si>
    <t>ATORVASTATINA</t>
  </si>
  <si>
    <t>C-10-02</t>
  </si>
  <si>
    <t>GENFIBROZILO</t>
  </si>
  <si>
    <t>600 mg</t>
  </si>
  <si>
    <t>C-10-04</t>
  </si>
  <si>
    <t>FENOFIBRATO</t>
  </si>
  <si>
    <t>C-10-05</t>
  </si>
  <si>
    <t>20 mg.</t>
  </si>
  <si>
    <t>D-01-02</t>
  </si>
  <si>
    <t>BACITRACINA + NEOMICINA SULFATO</t>
  </si>
  <si>
    <t>500 UI + 5 mg/g</t>
  </si>
  <si>
    <t>D-01-03</t>
  </si>
  <si>
    <t>CLOTRIMAZOL</t>
  </si>
  <si>
    <t>D-01-04</t>
  </si>
  <si>
    <t>100.000 UI/g</t>
  </si>
  <si>
    <t>D-01-06</t>
  </si>
  <si>
    <t>TOLNAFTATO</t>
  </si>
  <si>
    <t>D-01-07</t>
  </si>
  <si>
    <t>VIOLETA DE GENCIANA (CLORURO DE METILROSANILINA)</t>
  </si>
  <si>
    <t>D-02-02</t>
  </si>
  <si>
    <t>OXIDO DE ZINC CON O SIN ACEITE</t>
  </si>
  <si>
    <t>D-04-01</t>
  </si>
  <si>
    <t>LIDOCAINA</t>
  </si>
  <si>
    <t>D-06-02</t>
  </si>
  <si>
    <t>SULFADIAZINA DE PLATA</t>
  </si>
  <si>
    <t>D-06-03</t>
  </si>
  <si>
    <t>ACICLOVIR</t>
  </si>
  <si>
    <t>D-07-01</t>
  </si>
  <si>
    <t>BETAMETASONA (VALERATO)</t>
  </si>
  <si>
    <t>0,1%</t>
  </si>
  <si>
    <t>D-07-02</t>
  </si>
  <si>
    <t>CLOBETASOL</t>
  </si>
  <si>
    <t>0,05%</t>
  </si>
  <si>
    <t>D-07-03</t>
  </si>
  <si>
    <t>D-07-04</t>
  </si>
  <si>
    <t>HIDROCORTISONA ACETATO</t>
  </si>
  <si>
    <t>D-10-01</t>
  </si>
  <si>
    <t>ERITROMICINA</t>
  </si>
  <si>
    <t>2% a 4%</t>
  </si>
  <si>
    <t>D-10-03</t>
  </si>
  <si>
    <t>PEROXIDO DE BENZOILO</t>
  </si>
  <si>
    <t>D-10-04</t>
  </si>
  <si>
    <t>RESORCINOL</t>
  </si>
  <si>
    <t>EX-01-021</t>
  </si>
  <si>
    <t>DILTIAZEN   DILTIAZEN*   60 MG</t>
  </si>
  <si>
    <t>EX-01-04</t>
  </si>
  <si>
    <t>TELMISARTAN + HIDROCLOROTIAZIDA TELMISARTAN + HIDROCLOROTIAZIDA 40/12.5 MG</t>
  </si>
  <si>
    <t>40/12.5 MG</t>
  </si>
  <si>
    <t>EX-01-042</t>
  </si>
  <si>
    <t>TELMISARTAN TELMISARTAN 80MG</t>
  </si>
  <si>
    <t>80MG</t>
  </si>
  <si>
    <t>10 MG</t>
  </si>
  <si>
    <t>EX-01-11</t>
  </si>
  <si>
    <t>RIBAROXABAN/XARELTO RIBAROXABAN/XARELTO 10 MG</t>
  </si>
  <si>
    <t>EX-01-15</t>
  </si>
  <si>
    <t>RIBAROXABAN RIBAROXABAN 15 MG</t>
  </si>
  <si>
    <t>15 MG</t>
  </si>
  <si>
    <t>EX-01-16</t>
  </si>
  <si>
    <t>OCTREOTIDE</t>
  </si>
  <si>
    <t>100 MCG/ML</t>
  </si>
  <si>
    <t>G-01-02</t>
  </si>
  <si>
    <t>G-01-03</t>
  </si>
  <si>
    <t>G-01-04</t>
  </si>
  <si>
    <t>METRONIDAZOL</t>
  </si>
  <si>
    <t>G-01-05</t>
  </si>
  <si>
    <t>G-02-03</t>
  </si>
  <si>
    <t>ERGOMETRINA MALEATO</t>
  </si>
  <si>
    <t>0,2 mg</t>
  </si>
  <si>
    <t>G-02-04</t>
  </si>
  <si>
    <t>0,2 mg/ml</t>
  </si>
  <si>
    <t>G-02-09</t>
  </si>
  <si>
    <t>OXITOCINA</t>
  </si>
  <si>
    <t>5UI/ml a 10 UI/ml</t>
  </si>
  <si>
    <t>G-03-02</t>
  </si>
  <si>
    <t>CIPROTERONA ACETATO + ESTRADIOL VALERATO</t>
  </si>
  <si>
    <t>2 mg + 0,035 mg</t>
  </si>
  <si>
    <t>G-03-09</t>
  </si>
  <si>
    <t>ESTROGENOS CONJUGADOS</t>
  </si>
  <si>
    <t>0,625 mg</t>
  </si>
  <si>
    <t>G-03-12</t>
  </si>
  <si>
    <t>LEVONORGESTREL + ETINILESTRADIOL</t>
  </si>
  <si>
    <t>0,150 mg + 0,03 mg</t>
  </si>
  <si>
    <t>G-03-13</t>
  </si>
  <si>
    <t>MEDROXIPROGESTERONA ACETATO</t>
  </si>
  <si>
    <t>150 mg/ml</t>
  </si>
  <si>
    <t>G-03-18</t>
  </si>
  <si>
    <t>TESTOSTERONA UNDECANOATO</t>
  </si>
  <si>
    <t>1000 mg</t>
  </si>
  <si>
    <t>G-04-01</t>
  </si>
  <si>
    <t>FINASTERIDA</t>
  </si>
  <si>
    <t>H-02-01</t>
  </si>
  <si>
    <t>BETAMETASONA (FOSFATO)</t>
  </si>
  <si>
    <t>4 mg</t>
  </si>
  <si>
    <t>H-02-03</t>
  </si>
  <si>
    <t>DEXAMETASONA</t>
  </si>
  <si>
    <t>0,5 mg</t>
  </si>
  <si>
    <t>H-02-04</t>
  </si>
  <si>
    <t>4 mg/ml</t>
  </si>
  <si>
    <t>H-02-05</t>
  </si>
  <si>
    <t>HIDROCORTISONA SUCCINATO SODICO</t>
  </si>
  <si>
    <t>H-02-06</t>
  </si>
  <si>
    <t>H-02-07</t>
  </si>
  <si>
    <t>METILPREDNISOLONA SUCCINATO SODICO</t>
  </si>
  <si>
    <t>H-02-08</t>
  </si>
  <si>
    <t>PREDNISONA</t>
  </si>
  <si>
    <t>H-02-09</t>
  </si>
  <si>
    <t>H-03-01</t>
  </si>
  <si>
    <t>LEVOTIROXINA SODICA</t>
  </si>
  <si>
    <t>0,1 mg</t>
  </si>
  <si>
    <t>J-01-01</t>
  </si>
  <si>
    <t>ACIDO NALIDIXICO</t>
  </si>
  <si>
    <t>J-01-02</t>
  </si>
  <si>
    <t>250 mg/5 ml</t>
  </si>
  <si>
    <t>J-01-04</t>
  </si>
  <si>
    <t>AMIKACINA</t>
  </si>
  <si>
    <t>500 mg/ 2ml</t>
  </si>
  <si>
    <t>J-01-05</t>
  </si>
  <si>
    <t>AMOXICILINA</t>
  </si>
  <si>
    <t>1 g</t>
  </si>
  <si>
    <t>J-01-06</t>
  </si>
  <si>
    <t>J-01-09</t>
  </si>
  <si>
    <t>AMOXICILINA + INHIBIDOR BETALACTAMASA</t>
  </si>
  <si>
    <t>500 mg + Según disponibilidad</t>
  </si>
  <si>
    <t>J-01-10</t>
  </si>
  <si>
    <t>250 mg + Según disponibilidad</t>
  </si>
  <si>
    <t>J-01-13</t>
  </si>
  <si>
    <t>AZITROMICINA</t>
  </si>
  <si>
    <t>J-01-15</t>
  </si>
  <si>
    <t>BENCILPENICILINA BENZATINICA</t>
  </si>
  <si>
    <t>1.200.000 UI</t>
  </si>
  <si>
    <t>J-01-16</t>
  </si>
  <si>
    <t>2.400.000 UI</t>
  </si>
  <si>
    <t>J-01-18</t>
  </si>
  <si>
    <t>BENCILPENICILINA PROCAINICA</t>
  </si>
  <si>
    <t>800.000 UI</t>
  </si>
  <si>
    <t>J-01-21</t>
  </si>
  <si>
    <t>CEFAZOLINA</t>
  </si>
  <si>
    <t>J-01-22</t>
  </si>
  <si>
    <t>CEFOTAXIMA</t>
  </si>
  <si>
    <t>J-01-23</t>
  </si>
  <si>
    <t>CEFRADINA</t>
  </si>
  <si>
    <t>J-01-25</t>
  </si>
  <si>
    <t>CEFTAZIDIMA</t>
  </si>
  <si>
    <t>J-01-26</t>
  </si>
  <si>
    <t>CEFTRIAXONA</t>
  </si>
  <si>
    <t>J-01-27</t>
  </si>
  <si>
    <t>CIPROFLOXACINA</t>
  </si>
  <si>
    <t>J-01-28</t>
  </si>
  <si>
    <t>J-01-29</t>
  </si>
  <si>
    <t>CLARITROMICINA</t>
  </si>
  <si>
    <t>J-01-36</t>
  </si>
  <si>
    <t>CLOXACILINA</t>
  </si>
  <si>
    <t>J-01-37</t>
  </si>
  <si>
    <t>COTRIMOXAZOL (SULFAMETOXAZOL + TRIMETOPRIMA)</t>
  </si>
  <si>
    <t>800 mg + 160 mg</t>
  </si>
  <si>
    <t>J-01-38</t>
  </si>
  <si>
    <t>200 mg + 40 mg/5 ml</t>
  </si>
  <si>
    <t>J-01-41</t>
  </si>
  <si>
    <t>DICLOXACILINA SODICA</t>
  </si>
  <si>
    <t>J-01-44</t>
  </si>
  <si>
    <t>DOXICICLINA</t>
  </si>
  <si>
    <t>J-01-45</t>
  </si>
  <si>
    <t>ERITROMICINA ESTEARATO</t>
  </si>
  <si>
    <t>J-01-50</t>
  </si>
  <si>
    <t>IMIPENEM + CILASTATINA</t>
  </si>
  <si>
    <t>500 mg + 500 mg</t>
  </si>
  <si>
    <t>J-01-51</t>
  </si>
  <si>
    <t>NITROFURANTOINA</t>
  </si>
  <si>
    <t>J-01-54</t>
  </si>
  <si>
    <t>TETRACICLINA</t>
  </si>
  <si>
    <t>J-01-55</t>
  </si>
  <si>
    <t>VANCOMICINA</t>
  </si>
  <si>
    <t>J-01-57</t>
  </si>
  <si>
    <t>500 mg/5 ml</t>
  </si>
  <si>
    <t>J-01-58</t>
  </si>
  <si>
    <t>CEFIXIMA</t>
  </si>
  <si>
    <t>400 mg</t>
  </si>
  <si>
    <t>J-01-62</t>
  </si>
  <si>
    <t>200 mg/5 ml</t>
  </si>
  <si>
    <t>J-01-63</t>
  </si>
  <si>
    <t>100 mg/5 ml</t>
  </si>
  <si>
    <t>J-01-64</t>
  </si>
  <si>
    <t>CLINDAMICINA</t>
  </si>
  <si>
    <t>J-01-66</t>
  </si>
  <si>
    <t>LEVOFLOXACINA</t>
  </si>
  <si>
    <t>J-01-68</t>
  </si>
  <si>
    <t>500mg</t>
  </si>
  <si>
    <t>J-01-71</t>
  </si>
  <si>
    <t>875 mg + Según disponibilidad</t>
  </si>
  <si>
    <t>J-02-02</t>
  </si>
  <si>
    <t>FLUCONAZOL</t>
  </si>
  <si>
    <t>J-02-08</t>
  </si>
  <si>
    <t>J-05-04</t>
  </si>
  <si>
    <t>J-05-36</t>
  </si>
  <si>
    <t>OSELTAMIVIR</t>
  </si>
  <si>
    <t>L-01-24</t>
  </si>
  <si>
    <t>METOTREXATO</t>
  </si>
  <si>
    <t>L-01-26</t>
  </si>
  <si>
    <t>2,5 mg</t>
  </si>
  <si>
    <t>L-02-01</t>
  </si>
  <si>
    <t>ANASTROZOL</t>
  </si>
  <si>
    <t>1 mg</t>
  </si>
  <si>
    <t>L-02-03</t>
  </si>
  <si>
    <t>FLUTAMIDA</t>
  </si>
  <si>
    <t>L-02-05</t>
  </si>
  <si>
    <t>TAMOXIFENO</t>
  </si>
  <si>
    <t>L-02-07</t>
  </si>
  <si>
    <t>TRIPTORELINA</t>
  </si>
  <si>
    <t>11,25 mg</t>
  </si>
  <si>
    <t>L-02-08</t>
  </si>
  <si>
    <t>22.5 mg</t>
  </si>
  <si>
    <t>L-03-01</t>
  </si>
  <si>
    <t>FILGASTRIM</t>
  </si>
  <si>
    <t>300 mcg/ml</t>
  </si>
  <si>
    <t>L-04-01</t>
  </si>
  <si>
    <t>AZATIOPRINA</t>
  </si>
  <si>
    <t>L-04-07</t>
  </si>
  <si>
    <t>MICOFENOLATO DE MOFETILO</t>
  </si>
  <si>
    <t>L-04-10</t>
  </si>
  <si>
    <t>TACROLIMUS</t>
  </si>
  <si>
    <t>L-04-12</t>
  </si>
  <si>
    <t>LEFLUNOMIDA</t>
  </si>
  <si>
    <t>M-01-01</t>
  </si>
  <si>
    <t>DICLOFENACO SODICO</t>
  </si>
  <si>
    <t>M-01-02</t>
  </si>
  <si>
    <t>M-01-03</t>
  </si>
  <si>
    <t>M-01-04</t>
  </si>
  <si>
    <t>IBUPROFENO</t>
  </si>
  <si>
    <t>M-01-05</t>
  </si>
  <si>
    <t>M-01-06</t>
  </si>
  <si>
    <t>INDOMETACINA</t>
  </si>
  <si>
    <t>25 mg</t>
  </si>
  <si>
    <t>M-01-07</t>
  </si>
  <si>
    <t>M-01-09</t>
  </si>
  <si>
    <t>KETOROLACO</t>
  </si>
  <si>
    <t>30 mg/ml</t>
  </si>
  <si>
    <t>M-01-10</t>
  </si>
  <si>
    <t>KETOPROFENO</t>
  </si>
  <si>
    <t>M-01-11</t>
  </si>
  <si>
    <t>MELOXICAM</t>
  </si>
  <si>
    <t>15 mg</t>
  </si>
  <si>
    <t>M-03-01</t>
  </si>
  <si>
    <t>ATRACURIO BESILATO</t>
  </si>
  <si>
    <t>M-04-01</t>
  </si>
  <si>
    <t>ALOPURINOL</t>
  </si>
  <si>
    <t>M-04-02</t>
  </si>
  <si>
    <t>COLCHICINA</t>
  </si>
  <si>
    <t>M-05-03</t>
  </si>
  <si>
    <t>ACIDO ALENDRONICO (ALENDRONATO)</t>
  </si>
  <si>
    <t>70 mg</t>
  </si>
  <si>
    <t>N-01-02</t>
  </si>
  <si>
    <t>BUPIVACAINA CLORHIDRATO (PESADA)</t>
  </si>
  <si>
    <t>0,5%</t>
  </si>
  <si>
    <t>N-01-05</t>
  </si>
  <si>
    <t>FENTANILO CON CONSERVANTE (10 ML)</t>
  </si>
  <si>
    <t>0,05 mg/ml</t>
  </si>
  <si>
    <t>N-01-12</t>
  </si>
  <si>
    <t>LIDOCAINA CLORHIDRATO SIN CONSERVANTE</t>
  </si>
  <si>
    <t>N-01-13</t>
  </si>
  <si>
    <t>PROPOFOL</t>
  </si>
  <si>
    <t>N-01-15</t>
  </si>
  <si>
    <t>TIOPENTAL SODICO</t>
  </si>
  <si>
    <t>N-01-16</t>
  </si>
  <si>
    <t>REMIFENTANILO</t>
  </si>
  <si>
    <t>N-02-03</t>
  </si>
  <si>
    <t>ERGOTAMINA TARTRATO + CAFEINA</t>
  </si>
  <si>
    <t>1 mg + 100 mg</t>
  </si>
  <si>
    <t>N-02-05</t>
  </si>
  <si>
    <t>METAMIZOL (DIPIRONA)</t>
  </si>
  <si>
    <t>N-02-07</t>
  </si>
  <si>
    <t>MORFINA (CON Y SIN CONSERVANTE)</t>
  </si>
  <si>
    <t>N-02-08</t>
  </si>
  <si>
    <t>PARACETAMOL (ACETAMINOFENO)</t>
  </si>
  <si>
    <t>N-02-09</t>
  </si>
  <si>
    <t>125 mg/5 ml o 120 mg/5 ml</t>
  </si>
  <si>
    <t>N-02-10</t>
  </si>
  <si>
    <t>100 mg/ml</t>
  </si>
  <si>
    <t>N-02-11</t>
  </si>
  <si>
    <t>N-02-14</t>
  </si>
  <si>
    <t>TRAMADOL</t>
  </si>
  <si>
    <t>100 mg/2 ml</t>
  </si>
  <si>
    <t>N-02-15</t>
  </si>
  <si>
    <t>N-02-17</t>
  </si>
  <si>
    <t>N-03-03</t>
  </si>
  <si>
    <t>ACIDO VALPROICO O VALPROATO SODICO</t>
  </si>
  <si>
    <t>N-03-04</t>
  </si>
  <si>
    <t>CARBAMAZEPINA</t>
  </si>
  <si>
    <t>N-03-06</t>
  </si>
  <si>
    <t>CLONAZEPAM</t>
  </si>
  <si>
    <t>N-03-07</t>
  </si>
  <si>
    <t>FENITOINA</t>
  </si>
  <si>
    <t>N-03-08</t>
  </si>
  <si>
    <t>N-03-12</t>
  </si>
  <si>
    <t>2,5 mg/ml</t>
  </si>
  <si>
    <t>PREGABALINA</t>
  </si>
  <si>
    <t>N-03-21</t>
  </si>
  <si>
    <t>150 MG.</t>
  </si>
  <si>
    <t>N-03-22</t>
  </si>
  <si>
    <t>ACIDO VALPROICO Ò VALPROATO SODICO</t>
  </si>
  <si>
    <t>200/MG/ML</t>
  </si>
  <si>
    <t>N-04-01</t>
  </si>
  <si>
    <t>BIPERIDENO CLORHIDRATO</t>
  </si>
  <si>
    <t>N-04-02</t>
  </si>
  <si>
    <t>LEVODOPA + CARBIDOPA</t>
  </si>
  <si>
    <t>250 mg + 25 mg</t>
  </si>
  <si>
    <t>N-05-01</t>
  </si>
  <si>
    <t>ALPRAZOLAM</t>
  </si>
  <si>
    <t>DIAZEPAM</t>
  </si>
  <si>
    <t>N-05-05</t>
  </si>
  <si>
    <t>N-05-11</t>
  </si>
  <si>
    <t>MIDAZOLAM</t>
  </si>
  <si>
    <t>15 mg/3 ml</t>
  </si>
  <si>
    <t>N-06-01</t>
  </si>
  <si>
    <t>AMITRIPTILINA</t>
  </si>
  <si>
    <t>N-06-04</t>
  </si>
  <si>
    <t>FLUOXETINA</t>
  </si>
  <si>
    <t>N-06-08</t>
  </si>
  <si>
    <t>DULOXETINA</t>
  </si>
  <si>
    <t>30mg</t>
  </si>
  <si>
    <t>N-07-01</t>
  </si>
  <si>
    <t>DIMENHIDRINATO</t>
  </si>
  <si>
    <t>N-07-05</t>
  </si>
  <si>
    <t>NEOSTIGMINA</t>
  </si>
  <si>
    <t>0,5 mg/ml</t>
  </si>
  <si>
    <t>N-07-08</t>
  </si>
  <si>
    <t>FLUNARIZINA</t>
  </si>
  <si>
    <t>P-01-06</t>
  </si>
  <si>
    <t>P-01-07</t>
  </si>
  <si>
    <t>P-01-09</t>
  </si>
  <si>
    <t>P-01-11</t>
  </si>
  <si>
    <t>NITAZOXANIDA</t>
  </si>
  <si>
    <t>P-01-27</t>
  </si>
  <si>
    <t>HIDROXICLOROQUINA SULFATO</t>
  </si>
  <si>
    <t>P-02-01</t>
  </si>
  <si>
    <t>ALBENDAZOL</t>
  </si>
  <si>
    <t>P-02-03</t>
  </si>
  <si>
    <t>MEBENDAZOL</t>
  </si>
  <si>
    <t>P-02-05</t>
  </si>
  <si>
    <t>PIRANTEL PAMOATO</t>
  </si>
  <si>
    <t>P-02-08</t>
  </si>
  <si>
    <t>P-02-14</t>
  </si>
  <si>
    <t>IVERMECTINA</t>
  </si>
  <si>
    <t>6 MG</t>
  </si>
  <si>
    <t>P-03-01</t>
  </si>
  <si>
    <t>BENZOATO DE BENCILO</t>
  </si>
  <si>
    <t>20% o 25%</t>
  </si>
  <si>
    <t>R-03-03</t>
  </si>
  <si>
    <t>BECLOMETASONA DIPROPIONATO</t>
  </si>
  <si>
    <t>50 mcg/inhalación</t>
  </si>
  <si>
    <t>R-03-04</t>
  </si>
  <si>
    <t>SALBUTAMOL</t>
  </si>
  <si>
    <t>R-03-06</t>
  </si>
  <si>
    <t>0,1 mg/inhalación</t>
  </si>
  <si>
    <t>R-03-11</t>
  </si>
  <si>
    <t>SALMETEROL + FLUTICASONA</t>
  </si>
  <si>
    <t>25 mcg + 125 mcg</t>
  </si>
  <si>
    <t>R-03-13</t>
  </si>
  <si>
    <t>MONTELUKAST</t>
  </si>
  <si>
    <t>10mg</t>
  </si>
  <si>
    <t>R-05-01</t>
  </si>
  <si>
    <t>ANTIGRIPAL (PARACETAMOL + ANTIHISTAMINICO + VASOCONSTRICTOR CON O SIN CAFEINA)</t>
  </si>
  <si>
    <t>R-05-02</t>
  </si>
  <si>
    <t>CODEINA</t>
  </si>
  <si>
    <t>10 mg/5 ml</t>
  </si>
  <si>
    <t>R-05-03</t>
  </si>
  <si>
    <t>DEXTROMETORFANO BROMHIDRATO</t>
  </si>
  <si>
    <t>R-06-01</t>
  </si>
  <si>
    <t>CLORFENAMINA (CLORFENIRAMINA)</t>
  </si>
  <si>
    <t>R-06-02</t>
  </si>
  <si>
    <t>2 mg/5 ml</t>
  </si>
  <si>
    <t>R-06-03</t>
  </si>
  <si>
    <t>R-06-04</t>
  </si>
  <si>
    <t>KETOTIFENO</t>
  </si>
  <si>
    <t>R-06-07</t>
  </si>
  <si>
    <t>CETIRIZINA</t>
  </si>
  <si>
    <t>R-06-08</t>
  </si>
  <si>
    <t>5 mg/5 ml</t>
  </si>
  <si>
    <t>S-01-04</t>
  </si>
  <si>
    <t>0,3%</t>
  </si>
  <si>
    <t>S-01-05</t>
  </si>
  <si>
    <t>CLORANFENICOL</t>
  </si>
  <si>
    <t>S-01-06</t>
  </si>
  <si>
    <t>S-01-09</t>
  </si>
  <si>
    <t>S-01-12</t>
  </si>
  <si>
    <t>DORZOLAMIDA</t>
  </si>
  <si>
    <t>S-01-15</t>
  </si>
  <si>
    <t>GENTAMICINA</t>
  </si>
  <si>
    <t>S-01-16</t>
  </si>
  <si>
    <t>S-01-18</t>
  </si>
  <si>
    <t>LAGRIMAS ARTIFICIALES</t>
  </si>
  <si>
    <t>0,3% o 1%</t>
  </si>
  <si>
    <t>S-01-19</t>
  </si>
  <si>
    <t>NAFAZOLINA CLORHIDRATO</t>
  </si>
  <si>
    <t>S-01-22</t>
  </si>
  <si>
    <t>TIMOLOL MALEATO</t>
  </si>
  <si>
    <t>S-01-24</t>
  </si>
  <si>
    <t>CORTICOIDE  (DEXAMETASONA) + ANTIINFECCIOSO (CIPROFLOXACINO) DE ACCION TOPICA</t>
  </si>
  <si>
    <t>S-01-25</t>
  </si>
  <si>
    <t>CORTICOIDE + ANTIINFECCIOSO DE ACCION TOPICA</t>
  </si>
  <si>
    <t>S-01-27</t>
  </si>
  <si>
    <t>LATANOPROST</t>
  </si>
  <si>
    <t>50 mcg/ml</t>
  </si>
  <si>
    <t>S-02-01</t>
  </si>
  <si>
    <t>GLICERINA + CARBONATO DE SODIO</t>
  </si>
  <si>
    <t>V-03-01</t>
  </si>
  <si>
    <t>ACETIL CISTEINA</t>
  </si>
  <si>
    <t>V-06-01</t>
  </si>
  <si>
    <t>PROTEINAS PARA ALIMENTACION ENTERAL (ALIMENTO)</t>
  </si>
  <si>
    <t>V-06-04</t>
  </si>
  <si>
    <t>COMPLEMENTO NUTRICIONAL (CARMELO)</t>
  </si>
  <si>
    <t>Según concentración</t>
  </si>
  <si>
    <t>V-06-05</t>
  </si>
  <si>
    <t>COMPLEMENTO NUTRICIONAL</t>
  </si>
  <si>
    <t>V-06-06</t>
  </si>
  <si>
    <t>COMPLEMENTO NUTRICIONAL (DIABETICO)</t>
  </si>
  <si>
    <t>V-08-02</t>
  </si>
  <si>
    <t>CONTRASTE IODADO</t>
  </si>
  <si>
    <t>Según disponibilidad (50 ml)</t>
  </si>
  <si>
    <t>V-08-05</t>
  </si>
  <si>
    <t>GADOPENTATO DE DIMEGLUMINA</t>
  </si>
  <si>
    <t>469 mg/ml</t>
  </si>
  <si>
    <t>V-08-06</t>
  </si>
  <si>
    <t>MEGLUMINA DIATRIZOATO</t>
  </si>
  <si>
    <t>70% o 76% (20 ml)</t>
  </si>
  <si>
    <t>V-08-07</t>
  </si>
  <si>
    <t>70% o 76% (50 ml)</t>
  </si>
  <si>
    <t>V-08-08</t>
  </si>
  <si>
    <t>SULFATO DE BARIO</t>
  </si>
  <si>
    <t>B-05-09</t>
  </si>
  <si>
    <t>EMULSION DE LIPIDOS</t>
  </si>
  <si>
    <t>B-05-24</t>
  </si>
  <si>
    <t>C-01-15</t>
  </si>
  <si>
    <t>NORADRENALINA</t>
  </si>
  <si>
    <t>C-02-04</t>
  </si>
  <si>
    <t>METILDOPA (ALFAMETILDOPA)</t>
  </si>
  <si>
    <t>G-01-01</t>
  </si>
  <si>
    <t>ACIDO ACETICO (ACIDO TRICLOROACETICO)</t>
  </si>
  <si>
    <t>J-01-24</t>
  </si>
  <si>
    <t>J-01-30</t>
  </si>
  <si>
    <t>J-01-42</t>
  </si>
  <si>
    <t>J-01-46</t>
  </si>
  <si>
    <t>ERITROMICINA ETILSUCCINATO</t>
  </si>
  <si>
    <t>J-06-02</t>
  </si>
  <si>
    <t>INMUNOGLOBULINA ANTI D (RH +)</t>
  </si>
  <si>
    <t>0,1 mg/ml o 0,2 mg/ml</t>
  </si>
  <si>
    <t>L-01-03</t>
  </si>
  <si>
    <t>CAPECITABINE</t>
  </si>
  <si>
    <t>L-01-04</t>
  </si>
  <si>
    <t>CARBOPLATINO</t>
  </si>
  <si>
    <t>450 mg</t>
  </si>
  <si>
    <t>L-01-06</t>
  </si>
  <si>
    <t>CICLOFOSFAMIDA</t>
  </si>
  <si>
    <t>L-01-18</t>
  </si>
  <si>
    <t>GEMCITABINA</t>
  </si>
  <si>
    <t>L-01-28</t>
  </si>
  <si>
    <t>PACLITAXEL</t>
  </si>
  <si>
    <t>30 mg/5 ml</t>
  </si>
  <si>
    <t>L-01-38</t>
  </si>
  <si>
    <t>DOCETAXEL</t>
  </si>
  <si>
    <t>40 mg/ml  (2ml)</t>
  </si>
  <si>
    <t>L-02-11</t>
  </si>
  <si>
    <t>ENZALUTAMIDA</t>
  </si>
  <si>
    <t>M-05-04</t>
  </si>
  <si>
    <t>ACIDO ZOLEDRONICO</t>
  </si>
  <si>
    <t>4mg</t>
  </si>
  <si>
    <t>N-03-20</t>
  </si>
  <si>
    <t>PREGABALINA 75 MG</t>
  </si>
  <si>
    <t>75 MG</t>
  </si>
  <si>
    <t>N-05-18</t>
  </si>
  <si>
    <t>QUETIAPINA</t>
  </si>
  <si>
    <t>N-07-06</t>
  </si>
  <si>
    <t>PIRIDOSTIGMINA</t>
  </si>
  <si>
    <t>60 mg</t>
  </si>
  <si>
    <t>P-02-02</t>
  </si>
  <si>
    <t>S-01-26</t>
  </si>
  <si>
    <t>V-03-08</t>
  </si>
  <si>
    <t>MESNA (MERCAPTO ETILSULFONATO SODICO)</t>
  </si>
  <si>
    <t>V-08-03</t>
  </si>
  <si>
    <t>Según disponibilidad (100 ml o 200 ml)</t>
  </si>
  <si>
    <t>A-04-02</t>
  </si>
  <si>
    <t>A-11-18</t>
  </si>
  <si>
    <t>B-01-07</t>
  </si>
  <si>
    <t xml:space="preserve">RIBAROXABAN </t>
  </si>
  <si>
    <t xml:space="preserve">10 MG </t>
  </si>
  <si>
    <t>B-02-06</t>
  </si>
  <si>
    <t>ACIDO TRANEXAMICO</t>
  </si>
  <si>
    <t>B-05-34</t>
  </si>
  <si>
    <t>C-01-13</t>
  </si>
  <si>
    <t>ETILEFRINA</t>
  </si>
  <si>
    <t>C-10-03</t>
  </si>
  <si>
    <t>ROSUVASTATINA</t>
  </si>
  <si>
    <t>D-02-04</t>
  </si>
  <si>
    <t>VASELINA LIQUIDA</t>
  </si>
  <si>
    <t>EX-01-19</t>
  </si>
  <si>
    <t>IVABRADINA</t>
  </si>
  <si>
    <t>7.5 MG</t>
  </si>
  <si>
    <t>J-01-67</t>
  </si>
  <si>
    <t>COLISTINA</t>
  </si>
  <si>
    <t>J-01-69</t>
  </si>
  <si>
    <t>MEROPENEM</t>
  </si>
  <si>
    <t>J-01-75</t>
  </si>
  <si>
    <t>PIPERACILINA + TAZOBACTAM</t>
  </si>
  <si>
    <t>4 G/500 MG</t>
  </si>
  <si>
    <t>J-05-43</t>
  </si>
  <si>
    <t>800 mg</t>
  </si>
  <si>
    <t>L-01-17</t>
  </si>
  <si>
    <t>FLUOROURACILO</t>
  </si>
  <si>
    <t>500 mg/10 ml</t>
  </si>
  <si>
    <t>L-01-21</t>
  </si>
  <si>
    <t>ASPARAGINASA</t>
  </si>
  <si>
    <t>L-01-30</t>
  </si>
  <si>
    <t>VINCRISTINA</t>
  </si>
  <si>
    <t>L-01-34</t>
  </si>
  <si>
    <t>OXALIPLATINO</t>
  </si>
  <si>
    <t>L-01-35</t>
  </si>
  <si>
    <t>L-01-36</t>
  </si>
  <si>
    <t>BEVACIZUMAB</t>
  </si>
  <si>
    <t>25 mg/ML</t>
  </si>
  <si>
    <t>L-01-48</t>
  </si>
  <si>
    <t>DOXORRUBICINA LIPOSOMAL PEGILADA</t>
  </si>
  <si>
    <t>20mg/10ml</t>
  </si>
  <si>
    <t>L-01-52</t>
  </si>
  <si>
    <t>TEMOZOLOMIDA</t>
  </si>
  <si>
    <t>L-01-60</t>
  </si>
  <si>
    <t>300 MG/50 ML</t>
  </si>
  <si>
    <t>N-03-17</t>
  </si>
  <si>
    <t>LAMOTRIGINA</t>
  </si>
  <si>
    <t>V-03-07</t>
  </si>
  <si>
    <t>LEUCOVORINA</t>
  </si>
  <si>
    <t>C-03-03</t>
  </si>
  <si>
    <t>G-03-03</t>
  </si>
  <si>
    <t>CLOMIFENO CITRATO</t>
  </si>
  <si>
    <t>H-03-02</t>
  </si>
  <si>
    <t>PROPILTIOURACILO</t>
  </si>
  <si>
    <t>J-05-30</t>
  </si>
  <si>
    <t>L-01-09</t>
  </si>
  <si>
    <t>CISPLATINO</t>
  </si>
  <si>
    <t>L-01-19</t>
  </si>
  <si>
    <t>HIDROXIUREA</t>
  </si>
  <si>
    <t>L-02-04</t>
  </si>
  <si>
    <t>LETROZOL</t>
  </si>
  <si>
    <t>L-02-12</t>
  </si>
  <si>
    <t xml:space="preserve">BICALUTAMIDA </t>
  </si>
  <si>
    <t>50 MG</t>
  </si>
  <si>
    <t>N-03-18</t>
  </si>
  <si>
    <t>200mg</t>
  </si>
  <si>
    <t>G-02-11</t>
  </si>
  <si>
    <t>CABERGOLINA</t>
  </si>
  <si>
    <t>0.5mg</t>
  </si>
  <si>
    <t>J-01-11</t>
  </si>
  <si>
    <t>1 g + Según disponibilidad</t>
  </si>
  <si>
    <t>J-01-12</t>
  </si>
  <si>
    <t>AMPICILINA</t>
  </si>
  <si>
    <t>J-05-45</t>
  </si>
  <si>
    <t>L-01-40</t>
  </si>
  <si>
    <t>IRINOTECAN</t>
  </si>
  <si>
    <t>100 mg/5ml</t>
  </si>
  <si>
    <t>L-01-50</t>
  </si>
  <si>
    <t>IMATINIB</t>
  </si>
  <si>
    <t>L-01-57</t>
  </si>
  <si>
    <t>PAZOPANIB</t>
  </si>
  <si>
    <t>200 MG</t>
  </si>
  <si>
    <t>L-02-09</t>
  </si>
  <si>
    <t>ABIRATERONA ACETATO</t>
  </si>
  <si>
    <t>N-01-01</t>
  </si>
  <si>
    <t>BUPIVACAINA CLORHIDRATO</t>
  </si>
  <si>
    <t>R-07-01</t>
  </si>
  <si>
    <t>SURFACTANTE PULMONAR</t>
  </si>
  <si>
    <t>25 a 35 mg/ml</t>
  </si>
  <si>
    <t>V-08-11</t>
  </si>
  <si>
    <t>GADOBUTROL</t>
  </si>
  <si>
    <t>604,72 MG/ML</t>
  </si>
  <si>
    <t>Concentración</t>
  </si>
  <si>
    <t>Costo2022 (SU)</t>
  </si>
  <si>
    <t>Costo2023 (SU)</t>
  </si>
  <si>
    <t>Costo2024 (SU)</t>
  </si>
  <si>
    <t>Precio LINAME Junio 2022</t>
  </si>
  <si>
    <t>Precio LINAME Junio 2024</t>
  </si>
  <si>
    <t>Precio LINAME Nov. 2024</t>
  </si>
  <si>
    <t>Precio LINAME Abril 2025</t>
  </si>
  <si>
    <t>Precio LINAME Junio 2025</t>
  </si>
  <si>
    <t>Precio LINAME Sep 2023</t>
  </si>
  <si>
    <t>A-02-07</t>
  </si>
  <si>
    <t>SUCRALFATO</t>
  </si>
  <si>
    <t>1 g/5ml</t>
  </si>
  <si>
    <t>B-02-03</t>
  </si>
  <si>
    <t>ETAMSILATO  Inyectable</t>
  </si>
  <si>
    <t xml:space="preserve"> 250mg/2ml.</t>
  </si>
  <si>
    <t>C-08-04</t>
  </si>
  <si>
    <t>VERAPAMILO comprimido</t>
  </si>
  <si>
    <t>80 mg</t>
  </si>
  <si>
    <t>D-08-01</t>
  </si>
  <si>
    <t xml:space="preserve">ALCOHOL ETILICO (ETANOL) </t>
  </si>
  <si>
    <t>70% a 95%</t>
  </si>
  <si>
    <t>D-08-02</t>
  </si>
  <si>
    <t>CLORHEXIDINA GLUCONATO Según disponibilidad</t>
  </si>
  <si>
    <t>Solución</t>
  </si>
  <si>
    <t>D-08-08</t>
  </si>
  <si>
    <t xml:space="preserve">IODO POVIDONA (YODOPOVIDONA) </t>
  </si>
  <si>
    <t>0.1</t>
  </si>
  <si>
    <t>D-08-10</t>
  </si>
  <si>
    <t xml:space="preserve">PEROXIDO DE HIDROGENO (AGUA OXIGENADA) </t>
  </si>
  <si>
    <t>2% o 3%</t>
  </si>
  <si>
    <t>J-05-34</t>
  </si>
  <si>
    <t xml:space="preserve">LOPINAVIR + RITONAVIR </t>
  </si>
  <si>
    <t>200 mg + 50 mg</t>
  </si>
  <si>
    <t>N-01-09</t>
  </si>
  <si>
    <t xml:space="preserve">LIDOCAINA CLORHIDRATO </t>
  </si>
  <si>
    <t>0.02</t>
  </si>
  <si>
    <t>R-03-01</t>
  </si>
  <si>
    <t xml:space="preserve">AMINOFILINA </t>
  </si>
  <si>
    <t>250mg/10ml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</si>
</sst>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formato_Productos2022.xlsx" TargetMode="External"/><Relationship Id="rId1" Type="http://schemas.openxmlformats.org/officeDocument/2006/relationships/externalLinkPath" Target="/Users/martinjurado/Documents/Malitzin/1datosSeguroUniversitario/formato_Productos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formato_Productos2023.xlsx" TargetMode="External"/><Relationship Id="rId1" Type="http://schemas.openxmlformats.org/officeDocument/2006/relationships/externalLinkPath" Target="/Users/martinjurado/Documents/Malitzin/1datosSeguroUniversitario/formato_Productos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formato_Productos2024.xlsx" TargetMode="External"/><Relationship Id="rId1" Type="http://schemas.openxmlformats.org/officeDocument/2006/relationships/externalLinkPath" Target="/Users/martinjurado/Documents/Malitzin/1datosSeguroUniversitario/formato_Productos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LINAME/preciosReferenciales%20LINAME2022.xlsx" TargetMode="External"/><Relationship Id="rId1" Type="http://schemas.openxmlformats.org/officeDocument/2006/relationships/externalLinkPath" Target="/Users/martinjurado/Documents/Malitzin/LINAME/preciosReferenciales%20LINAME202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LINAME/preciosReferenciales%20LINAME2023.xlsx" TargetMode="External"/><Relationship Id="rId1" Type="http://schemas.openxmlformats.org/officeDocument/2006/relationships/externalLinkPath" Target="/Users/martinjurado/Documents/Malitzin/LINAME/preciosReferenciales%20LINAME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LINAME/preciosReferenciales%20LINAME2024-2025.xlsx" TargetMode="External"/><Relationship Id="rId1" Type="http://schemas.openxmlformats.org/officeDocument/2006/relationships/externalLinkPath" Target="/Users/martinjurado/Documents/Malitzin/LINAME/preciosReferenciales%20LINAME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Sheet1"/>
    </sheetNames>
    <sheetDataSet>
      <sheetData sheetId="0"/>
      <sheetData sheetId="1">
        <row r="1">
          <cell r="A1" t="str">
            <v>Codigo</v>
          </cell>
          <cell r="B1" t="str">
            <v>Descripción</v>
          </cell>
          <cell r="C1" t="str">
            <v>Concentración</v>
          </cell>
          <cell r="D1" t="str">
            <v>Precio</v>
          </cell>
          <cell r="E1" t="str">
            <v>Suma de Cantidad</v>
          </cell>
        </row>
        <row r="2">
          <cell r="A2" t="str">
            <v>A-02-01</v>
          </cell>
          <cell r="B2" t="str">
            <v>HIDROXIDO DE ALUMINIO Y MAGNESIO</v>
          </cell>
          <cell r="C2">
            <v>4.2361111111111113E-2</v>
          </cell>
          <cell r="D2">
            <v>0</v>
          </cell>
          <cell r="E2">
            <v>976</v>
          </cell>
        </row>
        <row r="3">
          <cell r="A3" t="str">
            <v>A-02-02</v>
          </cell>
          <cell r="B3" t="str">
            <v>OMEPRAZOL</v>
          </cell>
          <cell r="C3" t="str">
            <v>20 mg</v>
          </cell>
          <cell r="D3">
            <v>0</v>
          </cell>
          <cell r="E3">
            <v>60271</v>
          </cell>
        </row>
        <row r="4">
          <cell r="A4" t="str">
            <v>A-02-03</v>
          </cell>
          <cell r="B4" t="str">
            <v>RANITIDINA</v>
          </cell>
          <cell r="C4" t="str">
            <v>150 mg</v>
          </cell>
          <cell r="D4">
            <v>0</v>
          </cell>
          <cell r="E4">
            <v>2992</v>
          </cell>
        </row>
        <row r="5">
          <cell r="A5" t="str">
            <v>A-02-04</v>
          </cell>
          <cell r="B5" t="str">
            <v>RANITIDINA</v>
          </cell>
          <cell r="C5" t="str">
            <v>50 mg</v>
          </cell>
          <cell r="D5">
            <v>0</v>
          </cell>
          <cell r="E5">
            <v>524</v>
          </cell>
        </row>
        <row r="6">
          <cell r="A6" t="str">
            <v>A-02-05</v>
          </cell>
          <cell r="B6" t="str">
            <v>OMEPRAZOL</v>
          </cell>
          <cell r="C6" t="str">
            <v>40 mg/ml</v>
          </cell>
          <cell r="D6">
            <v>0</v>
          </cell>
          <cell r="E6">
            <v>2591</v>
          </cell>
        </row>
        <row r="7">
          <cell r="A7" t="str">
            <v>A-03-01</v>
          </cell>
          <cell r="B7" t="str">
            <v>ATROPINA SULFATO</v>
          </cell>
          <cell r="C7" t="str">
            <v>1 mg/ml</v>
          </cell>
          <cell r="D7">
            <v>0</v>
          </cell>
          <cell r="E7">
            <v>49</v>
          </cell>
        </row>
        <row r="8">
          <cell r="A8" t="str">
            <v>A-03-02</v>
          </cell>
          <cell r="B8" t="str">
            <v>BUTILBROMURO DE HIOSCINA (BUTILESCOPOLAMINA)</v>
          </cell>
          <cell r="C8" t="str">
            <v>10 mg</v>
          </cell>
          <cell r="D8">
            <v>0</v>
          </cell>
          <cell r="E8">
            <v>809</v>
          </cell>
        </row>
        <row r="9">
          <cell r="A9" t="str">
            <v>A-03-04</v>
          </cell>
          <cell r="B9" t="str">
            <v>BUTILBROMURO DE HIOSCINA (BUTILESCOPOLAMINA)</v>
          </cell>
          <cell r="C9" t="str">
            <v>20 mg/ml</v>
          </cell>
          <cell r="D9">
            <v>0</v>
          </cell>
          <cell r="E9">
            <v>400</v>
          </cell>
        </row>
        <row r="10">
          <cell r="A10" t="str">
            <v>A-03-06</v>
          </cell>
          <cell r="B10" t="str">
            <v>DOMPERIDONA</v>
          </cell>
          <cell r="C10" t="str">
            <v>10 mg</v>
          </cell>
          <cell r="D10">
            <v>0</v>
          </cell>
          <cell r="E10">
            <v>28933</v>
          </cell>
        </row>
        <row r="11">
          <cell r="A11" t="str">
            <v>A-03-07</v>
          </cell>
          <cell r="B11" t="str">
            <v>METOCLOPRAMIDA</v>
          </cell>
          <cell r="C11" t="str">
            <v>10 mg</v>
          </cell>
          <cell r="D11">
            <v>0</v>
          </cell>
          <cell r="E11">
            <v>1686</v>
          </cell>
        </row>
        <row r="12">
          <cell r="A12" t="str">
            <v>A-03-08</v>
          </cell>
          <cell r="B12" t="str">
            <v>METOCLOPRAMIDA</v>
          </cell>
          <cell r="C12" t="str">
            <v>10 mg/2ml</v>
          </cell>
          <cell r="D12">
            <v>0</v>
          </cell>
          <cell r="E12">
            <v>1404</v>
          </cell>
        </row>
        <row r="13">
          <cell r="A13" t="str">
            <v>A-03-09</v>
          </cell>
          <cell r="B13" t="str">
            <v>METOCLOPRAMIDA</v>
          </cell>
          <cell r="C13" t="str">
            <v>0,35% o 0,5%</v>
          </cell>
          <cell r="D13">
            <v>0</v>
          </cell>
          <cell r="E13">
            <v>42</v>
          </cell>
        </row>
        <row r="14">
          <cell r="A14" t="str">
            <v>A-03-10</v>
          </cell>
          <cell r="B14" t="str">
            <v>PROPINOXATO</v>
          </cell>
          <cell r="C14" t="str">
            <v>10 mg</v>
          </cell>
          <cell r="D14">
            <v>0</v>
          </cell>
          <cell r="E14">
            <v>1959</v>
          </cell>
        </row>
        <row r="15">
          <cell r="A15" t="str">
            <v>A-03-11</v>
          </cell>
          <cell r="B15" t="str">
            <v>PROPINOXATO</v>
          </cell>
          <cell r="C15" t="str">
            <v>5 mg/ml</v>
          </cell>
          <cell r="D15">
            <v>0</v>
          </cell>
          <cell r="E15">
            <v>490</v>
          </cell>
        </row>
        <row r="16">
          <cell r="A16" t="str">
            <v>A-03-12</v>
          </cell>
          <cell r="B16" t="str">
            <v>SIMETICONA</v>
          </cell>
          <cell r="C16" t="str">
            <v>3% o 4%</v>
          </cell>
          <cell r="D16">
            <v>0</v>
          </cell>
          <cell r="E16">
            <v>114</v>
          </cell>
        </row>
        <row r="17">
          <cell r="A17" t="str">
            <v>A-03-13</v>
          </cell>
          <cell r="B17" t="str">
            <v>SIMETICONA</v>
          </cell>
          <cell r="C17" t="str">
            <v>100 mg</v>
          </cell>
          <cell r="D17">
            <v>0</v>
          </cell>
          <cell r="E17">
            <v>29303</v>
          </cell>
        </row>
        <row r="18">
          <cell r="A18" t="str">
            <v>A-04-01</v>
          </cell>
          <cell r="B18" t="str">
            <v>ONDANSETRON</v>
          </cell>
          <cell r="C18" t="str">
            <v>8 mg</v>
          </cell>
          <cell r="D18">
            <v>0</v>
          </cell>
          <cell r="E18">
            <v>403</v>
          </cell>
        </row>
        <row r="19">
          <cell r="A19" t="str">
            <v>A-04-02</v>
          </cell>
          <cell r="B19" t="str">
            <v>ONDANSETRON</v>
          </cell>
          <cell r="C19" t="str">
            <v>8 mg</v>
          </cell>
          <cell r="D19">
            <v>0</v>
          </cell>
          <cell r="E19">
            <v>142</v>
          </cell>
        </row>
        <row r="20">
          <cell r="A20" t="str">
            <v>A-05-01</v>
          </cell>
          <cell r="B20" t="str">
            <v>ACIDO URSODEOXICOLICO  250 MG</v>
          </cell>
          <cell r="C20" t="str">
            <v xml:space="preserve">250 MG. </v>
          </cell>
          <cell r="D20">
            <v>0</v>
          </cell>
          <cell r="E20">
            <v>1735</v>
          </cell>
        </row>
        <row r="21">
          <cell r="A21" t="str">
            <v>A-06-01</v>
          </cell>
          <cell r="B21" t="str">
            <v>ACEITE MINERAL</v>
          </cell>
          <cell r="C21">
            <v>0.4</v>
          </cell>
          <cell r="D21">
            <v>0</v>
          </cell>
          <cell r="E21">
            <v>183</v>
          </cell>
        </row>
        <row r="22">
          <cell r="A22" t="str">
            <v>A-06-02</v>
          </cell>
          <cell r="B22" t="str">
            <v>BISACODILO</v>
          </cell>
          <cell r="C22" t="str">
            <v>5 mg</v>
          </cell>
          <cell r="D22">
            <v>0</v>
          </cell>
          <cell r="E22">
            <v>155</v>
          </cell>
        </row>
        <row r="23">
          <cell r="A23" t="str">
            <v>A-06-04</v>
          </cell>
          <cell r="B23" t="str">
            <v>FIBRA NATURAL</v>
          </cell>
          <cell r="C23" t="str">
            <v>Según disponibilidad</v>
          </cell>
          <cell r="D23">
            <v>0</v>
          </cell>
          <cell r="E23">
            <v>6647</v>
          </cell>
        </row>
        <row r="24">
          <cell r="A24" t="str">
            <v>A-06-05</v>
          </cell>
          <cell r="B24" t="str">
            <v>GLICEROL (GLICERINA)</v>
          </cell>
          <cell r="C24" t="str">
            <v>2 g a 4 g (adulto)</v>
          </cell>
          <cell r="D24">
            <v>0</v>
          </cell>
          <cell r="E24">
            <v>84</v>
          </cell>
        </row>
        <row r="25">
          <cell r="A25" t="str">
            <v>A-06-06</v>
          </cell>
          <cell r="B25" t="str">
            <v>GLICEROL (GLICERINA)</v>
          </cell>
          <cell r="C25" t="str">
            <v>1 g a 1,80 g (infantil)</v>
          </cell>
          <cell r="D25">
            <v>0</v>
          </cell>
          <cell r="E25">
            <v>9</v>
          </cell>
        </row>
        <row r="26">
          <cell r="A26" t="str">
            <v>A-06-07</v>
          </cell>
          <cell r="B26" t="str">
            <v>LACTULOSA</v>
          </cell>
          <cell r="C26" t="str">
            <v>65% hasta 66.7%</v>
          </cell>
          <cell r="D26">
            <v>0</v>
          </cell>
          <cell r="E26">
            <v>491</v>
          </cell>
        </row>
        <row r="27">
          <cell r="A27" t="str">
            <v>A-07-02</v>
          </cell>
          <cell r="B27" t="str">
            <v>LOPERAMIDA</v>
          </cell>
          <cell r="C27" t="str">
            <v>2 mg</v>
          </cell>
          <cell r="D27">
            <v>0</v>
          </cell>
          <cell r="E27">
            <v>673</v>
          </cell>
        </row>
        <row r="28">
          <cell r="A28" t="str">
            <v>A-07-04</v>
          </cell>
          <cell r="B28" t="str">
            <v>NISTATINA</v>
          </cell>
          <cell r="C28" t="str">
            <v>500.000 UI/5 ml</v>
          </cell>
          <cell r="D28">
            <v>0</v>
          </cell>
          <cell r="E28">
            <v>65</v>
          </cell>
        </row>
        <row r="29">
          <cell r="A29" t="str">
            <v>A-07-06</v>
          </cell>
          <cell r="B29" t="str">
            <v>SALES DE REHIDRATACION ORAL (SRO) BAJA OSMOLARIDAD</v>
          </cell>
          <cell r="C29" t="str">
            <v>Según concentración eestándar</v>
          </cell>
          <cell r="D29">
            <v>0</v>
          </cell>
          <cell r="E29">
            <v>742</v>
          </cell>
        </row>
        <row r="30">
          <cell r="A30" t="str">
            <v>A-07-07</v>
          </cell>
          <cell r="B30" t="str">
            <v>MESALAZINA</v>
          </cell>
          <cell r="C30" t="str">
            <v>500 mg</v>
          </cell>
          <cell r="D30">
            <v>0</v>
          </cell>
          <cell r="E30">
            <v>2180</v>
          </cell>
        </row>
        <row r="31">
          <cell r="A31" t="str">
            <v>A-09-01</v>
          </cell>
          <cell r="B31" t="str">
            <v>ENZIMAS PANCREATICAS (LIPASA, PROTEASA Y AMILASA EN COMBINACION)</v>
          </cell>
          <cell r="C31" t="str">
            <v>Según disponibilidad</v>
          </cell>
          <cell r="D31">
            <v>0</v>
          </cell>
          <cell r="E31">
            <v>6982</v>
          </cell>
        </row>
        <row r="32">
          <cell r="A32" t="str">
            <v>A-10-01</v>
          </cell>
          <cell r="B32" t="str">
            <v>GLIBENCLAMIDA</v>
          </cell>
          <cell r="C32" t="str">
            <v>5 mg</v>
          </cell>
          <cell r="D32">
            <v>0</v>
          </cell>
          <cell r="E32">
            <v>16663</v>
          </cell>
        </row>
        <row r="33">
          <cell r="A33" t="str">
            <v>A-10-02</v>
          </cell>
          <cell r="B33" t="str">
            <v>INSULINA RECOMBINANTE HUMANA NPH</v>
          </cell>
          <cell r="C33" t="str">
            <v>100 UI/ml</v>
          </cell>
          <cell r="D33">
            <v>0</v>
          </cell>
          <cell r="E33">
            <v>264</v>
          </cell>
        </row>
        <row r="34">
          <cell r="A34" t="str">
            <v>A-10-03</v>
          </cell>
          <cell r="B34" t="str">
            <v>INSULINA ZINC CRISTALINA  RECOMBINANTE HUMANA</v>
          </cell>
          <cell r="C34" t="str">
            <v>100 UI/ml</v>
          </cell>
          <cell r="D34">
            <v>0</v>
          </cell>
          <cell r="E34">
            <v>88</v>
          </cell>
        </row>
        <row r="35">
          <cell r="A35" t="str">
            <v>A-10-04</v>
          </cell>
          <cell r="B35" t="str">
            <v>METFORMINA</v>
          </cell>
          <cell r="C35" t="str">
            <v>850 mg</v>
          </cell>
          <cell r="D35">
            <v>0</v>
          </cell>
          <cell r="E35">
            <v>83943</v>
          </cell>
        </row>
        <row r="36">
          <cell r="A36" t="str">
            <v>A-10-05</v>
          </cell>
          <cell r="B36" t="str">
            <v>INSULINA GLARGINA</v>
          </cell>
          <cell r="C36" t="str">
            <v>100 U.I / ml</v>
          </cell>
          <cell r="D36">
            <v>0</v>
          </cell>
          <cell r="E36">
            <v>78</v>
          </cell>
        </row>
        <row r="37">
          <cell r="A37" t="str">
            <v>A-10-07</v>
          </cell>
          <cell r="B37" t="str">
            <v>METFORMINA</v>
          </cell>
          <cell r="C37" t="str">
            <v>500 mg</v>
          </cell>
          <cell r="D37">
            <v>0</v>
          </cell>
          <cell r="E37">
            <v>988</v>
          </cell>
        </row>
        <row r="38">
          <cell r="A38" t="str">
            <v>A-11-02</v>
          </cell>
          <cell r="B38" t="str">
            <v>ACIDO ASCORBICO (VITAMINA C)</v>
          </cell>
          <cell r="C38" t="str">
            <v>500 mg/ml (2 ml)</v>
          </cell>
          <cell r="D38">
            <v>0</v>
          </cell>
          <cell r="E38">
            <v>1449</v>
          </cell>
        </row>
        <row r="39">
          <cell r="A39" t="str">
            <v>A-11-03</v>
          </cell>
          <cell r="B39" t="str">
            <v>ACIDO ASCORBICO (VITAMINA C)</v>
          </cell>
          <cell r="C39" t="str">
            <v>Según disponibilidad</v>
          </cell>
          <cell r="D39">
            <v>0</v>
          </cell>
          <cell r="E39">
            <v>26</v>
          </cell>
        </row>
        <row r="40">
          <cell r="A40" t="str">
            <v>A-11-04</v>
          </cell>
          <cell r="B40" t="str">
            <v>CIANOCOBALAMINA (VITAMINA B12)</v>
          </cell>
          <cell r="C40" t="str">
            <v>1 mg/ml</v>
          </cell>
          <cell r="D40">
            <v>0</v>
          </cell>
          <cell r="E40">
            <v>1572</v>
          </cell>
        </row>
        <row r="41">
          <cell r="A41" t="str">
            <v>A-11-06</v>
          </cell>
          <cell r="B41" t="str">
            <v>COMPLEJO  B (B1 + B6 + B12)</v>
          </cell>
          <cell r="C41" t="str">
            <v>Según concentración eestándar</v>
          </cell>
          <cell r="D41">
            <v>0</v>
          </cell>
          <cell r="E41">
            <v>13390</v>
          </cell>
        </row>
        <row r="42">
          <cell r="A42" t="str">
            <v>A-11-07</v>
          </cell>
          <cell r="B42" t="str">
            <v>COMPLEJO  B (B1 + B6 + B12)</v>
          </cell>
          <cell r="C42" t="str">
            <v>Según concentración eestándar</v>
          </cell>
          <cell r="D42">
            <v>0</v>
          </cell>
          <cell r="E42">
            <v>3060</v>
          </cell>
        </row>
        <row r="43">
          <cell r="A43" t="str">
            <v>A-11-09</v>
          </cell>
          <cell r="B43" t="str">
            <v>MULTIVITAMINAS</v>
          </cell>
          <cell r="C43" t="str">
            <v>Según concentración estándar</v>
          </cell>
          <cell r="D43">
            <v>0</v>
          </cell>
          <cell r="E43">
            <v>13855</v>
          </cell>
        </row>
        <row r="44">
          <cell r="A44" t="str">
            <v>A-11-10</v>
          </cell>
          <cell r="B44" t="str">
            <v>MULTIVITAMINAS</v>
          </cell>
          <cell r="C44" t="str">
            <v>Según concentración estándar</v>
          </cell>
          <cell r="D44">
            <v>0</v>
          </cell>
          <cell r="E44">
            <v>61</v>
          </cell>
        </row>
        <row r="45">
          <cell r="A45" t="str">
            <v>A-11-11</v>
          </cell>
          <cell r="B45" t="str">
            <v>PIRIDOXINA CLORHIDRATO (VITAMINA B6)</v>
          </cell>
          <cell r="C45" t="str">
            <v>300 mg</v>
          </cell>
          <cell r="D45">
            <v>0</v>
          </cell>
          <cell r="E45">
            <v>140</v>
          </cell>
        </row>
        <row r="46">
          <cell r="A46" t="str">
            <v>A-11-13</v>
          </cell>
          <cell r="B46" t="str">
            <v>RETINOL (VITAMINA A)</v>
          </cell>
          <cell r="C46" t="str">
            <v>10.000 UI</v>
          </cell>
          <cell r="D46">
            <v>0</v>
          </cell>
          <cell r="E46">
            <v>351</v>
          </cell>
        </row>
        <row r="47">
          <cell r="A47" t="str">
            <v>A-11-17</v>
          </cell>
          <cell r="B47" t="str">
            <v>TIAMINA (VITAMINA B 1)</v>
          </cell>
          <cell r="C47" t="str">
            <v>300 mg</v>
          </cell>
          <cell r="D47">
            <v>0</v>
          </cell>
          <cell r="E47">
            <v>673</v>
          </cell>
        </row>
        <row r="48">
          <cell r="A48" t="str">
            <v>A-11-18</v>
          </cell>
          <cell r="B48" t="str">
            <v>TIAMINA (VITAMINA B 1)</v>
          </cell>
          <cell r="C48" t="str">
            <v>100 mg/ml</v>
          </cell>
          <cell r="D48">
            <v>0</v>
          </cell>
          <cell r="E48">
            <v>114</v>
          </cell>
        </row>
        <row r="49">
          <cell r="A49" t="str">
            <v>A-11-19</v>
          </cell>
          <cell r="B49" t="str">
            <v>TOCOFEROL (VITAMINA E)</v>
          </cell>
          <cell r="C49" t="str">
            <v>1.000 UI</v>
          </cell>
          <cell r="D49">
            <v>0</v>
          </cell>
          <cell r="E49">
            <v>16579</v>
          </cell>
        </row>
        <row r="50">
          <cell r="A50" t="str">
            <v>A-12-01</v>
          </cell>
          <cell r="B50" t="str">
            <v>CALCIO (CARBONATO O CITRATO)</v>
          </cell>
          <cell r="C50" t="str">
            <v>500 mg (ión calcio)</v>
          </cell>
          <cell r="D50">
            <v>0</v>
          </cell>
          <cell r="E50">
            <v>3850</v>
          </cell>
        </row>
        <row r="51">
          <cell r="A51" t="str">
            <v>A-12-02</v>
          </cell>
          <cell r="B51" t="str">
            <v>CALCIO + VITAMINA D</v>
          </cell>
          <cell r="C51" t="str">
            <v>500 mg (ión calcio); Según disponibilidad</v>
          </cell>
          <cell r="D51">
            <v>0</v>
          </cell>
          <cell r="E51">
            <v>18482</v>
          </cell>
        </row>
        <row r="52">
          <cell r="A52" t="str">
            <v>A-12-03</v>
          </cell>
          <cell r="B52" t="str">
            <v>CLORURO DE POTASIO</v>
          </cell>
          <cell r="C52" t="str">
            <v>1,3 mEq/ml</v>
          </cell>
          <cell r="D52">
            <v>0</v>
          </cell>
          <cell r="E52">
            <v>3</v>
          </cell>
        </row>
        <row r="53">
          <cell r="A53" t="str">
            <v>A-12-05</v>
          </cell>
          <cell r="B53" t="str">
            <v>ZINC</v>
          </cell>
          <cell r="C53" t="str">
            <v>20 mg/5 ml (Como zinc elemental)</v>
          </cell>
          <cell r="D53">
            <v>0</v>
          </cell>
          <cell r="E53">
            <v>55</v>
          </cell>
        </row>
        <row r="54">
          <cell r="A54" t="str">
            <v>A-12-06</v>
          </cell>
          <cell r="B54" t="str">
            <v>ZINC (COMO SULFATO)</v>
          </cell>
          <cell r="C54" t="str">
            <v>20 mg</v>
          </cell>
          <cell r="D54">
            <v>0</v>
          </cell>
          <cell r="E54">
            <v>1226</v>
          </cell>
        </row>
        <row r="55">
          <cell r="A55" t="str">
            <v>B-01-01</v>
          </cell>
          <cell r="B55" t="str">
            <v>ACIDO ACETIL SALICILICO</v>
          </cell>
          <cell r="C55" t="str">
            <v>100 mg</v>
          </cell>
          <cell r="D55">
            <v>0</v>
          </cell>
          <cell r="E55">
            <v>41192</v>
          </cell>
        </row>
        <row r="56">
          <cell r="A56" t="str">
            <v>B-01-03</v>
          </cell>
          <cell r="B56" t="str">
            <v>HEPARINA DE BAJO PESO MOLECULAR</v>
          </cell>
          <cell r="C56" t="str">
            <v>40 M.G.</v>
          </cell>
          <cell r="D56">
            <v>0</v>
          </cell>
          <cell r="E56">
            <v>364</v>
          </cell>
        </row>
        <row r="57">
          <cell r="A57" t="str">
            <v>B-01-031</v>
          </cell>
          <cell r="B57" t="str">
            <v>HEPARINA DE BAJO PESO MOLECULAR  60 MG</v>
          </cell>
          <cell r="C57" t="str">
            <v>60 MG</v>
          </cell>
          <cell r="D57">
            <v>0</v>
          </cell>
          <cell r="E57">
            <v>398</v>
          </cell>
        </row>
        <row r="58">
          <cell r="A58" t="str">
            <v>B-01-04</v>
          </cell>
          <cell r="B58" t="str">
            <v>HEPARINA SODICA</v>
          </cell>
          <cell r="C58" t="str">
            <v>5.000 UI/ml</v>
          </cell>
          <cell r="D58">
            <v>0</v>
          </cell>
          <cell r="E58">
            <v>36</v>
          </cell>
        </row>
        <row r="59">
          <cell r="A59" t="str">
            <v>B-01-05</v>
          </cell>
          <cell r="B59" t="str">
            <v>WARFARINA</v>
          </cell>
          <cell r="C59" t="str">
            <v>5 mg</v>
          </cell>
          <cell r="D59">
            <v>0</v>
          </cell>
          <cell r="E59">
            <v>2009</v>
          </cell>
        </row>
        <row r="60">
          <cell r="A60" t="str">
            <v>B-01-06</v>
          </cell>
          <cell r="B60" t="str">
            <v>CLOPIDOGREL</v>
          </cell>
          <cell r="C60" t="str">
            <v>75 mg</v>
          </cell>
          <cell r="D60">
            <v>0</v>
          </cell>
          <cell r="E60">
            <v>11196</v>
          </cell>
        </row>
        <row r="61">
          <cell r="A61" t="str">
            <v>B-01-07</v>
          </cell>
          <cell r="B61" t="str">
            <v xml:space="preserve">RIBAROXABAN </v>
          </cell>
          <cell r="C61" t="str">
            <v xml:space="preserve">10 MG </v>
          </cell>
          <cell r="D61">
            <v>0</v>
          </cell>
          <cell r="E61">
            <v>497</v>
          </cell>
        </row>
        <row r="62">
          <cell r="A62" t="str">
            <v>B-02-02</v>
          </cell>
          <cell r="B62" t="str">
            <v>FITOMENADIONA  (VITAMINA K1)</v>
          </cell>
          <cell r="C62" t="str">
            <v>10 mg/ml</v>
          </cell>
          <cell r="D62">
            <v>0</v>
          </cell>
          <cell r="E62">
            <v>226</v>
          </cell>
        </row>
        <row r="63">
          <cell r="A63" t="str">
            <v>B-02-06</v>
          </cell>
          <cell r="B63" t="str">
            <v>ACIDO TRANEXAMICO</v>
          </cell>
          <cell r="C63" t="str">
            <v>500 mg</v>
          </cell>
          <cell r="D63">
            <v>0</v>
          </cell>
          <cell r="E63">
            <v>100</v>
          </cell>
        </row>
        <row r="64">
          <cell r="A64" t="str">
            <v>B-03-01</v>
          </cell>
          <cell r="B64" t="str">
            <v>ACIDO FOLICO</v>
          </cell>
          <cell r="C64" t="str">
            <v>5 mg</v>
          </cell>
          <cell r="D64">
            <v>0</v>
          </cell>
          <cell r="E64">
            <v>4280</v>
          </cell>
        </row>
        <row r="65">
          <cell r="A65" t="str">
            <v>B-03-02</v>
          </cell>
          <cell r="B65" t="str">
            <v>ERITROPOYETINA</v>
          </cell>
          <cell r="C65" t="str">
            <v>10.000 UI</v>
          </cell>
          <cell r="D65">
            <v>0</v>
          </cell>
          <cell r="E65">
            <v>41</v>
          </cell>
        </row>
        <row r="66">
          <cell r="A66" t="str">
            <v>B-03-04</v>
          </cell>
          <cell r="B66" t="str">
            <v>HIERRO</v>
          </cell>
          <cell r="C66" t="str">
            <v>100 mg - IM o IV</v>
          </cell>
          <cell r="D66">
            <v>0</v>
          </cell>
          <cell r="E66">
            <v>104</v>
          </cell>
        </row>
        <row r="67">
          <cell r="A67" t="str">
            <v>B-03-05</v>
          </cell>
          <cell r="B67" t="str">
            <v>MICRONUTRIENTES (VIT. C + VIT A + FE + ZN + AC. FOLICO) (CHISPITAS NUTRICIONALES)</v>
          </cell>
          <cell r="C67" t="str">
            <v>Según concentración estándard</v>
          </cell>
          <cell r="D67">
            <v>0</v>
          </cell>
          <cell r="E67">
            <v>60</v>
          </cell>
        </row>
        <row r="68">
          <cell r="A68" t="str">
            <v>B-03-07</v>
          </cell>
          <cell r="B68" t="str">
            <v>SULFATO FERROSO</v>
          </cell>
          <cell r="C68" t="str">
            <v>125 mg/ml</v>
          </cell>
          <cell r="D68">
            <v>0</v>
          </cell>
          <cell r="E68">
            <v>17</v>
          </cell>
        </row>
        <row r="69">
          <cell r="A69" t="str">
            <v>B-03-08</v>
          </cell>
          <cell r="B69" t="str">
            <v>SULFATO FERROSO + AC. FOLICO + VITAMINA C</v>
          </cell>
          <cell r="C69" t="str">
            <v>200 mg + 0,5 mg + 150 mg</v>
          </cell>
          <cell r="D69">
            <v>0</v>
          </cell>
          <cell r="E69">
            <v>2024</v>
          </cell>
        </row>
        <row r="70">
          <cell r="A70" t="str">
            <v>B-03-09</v>
          </cell>
          <cell r="B70" t="str">
            <v>SULFATO FERROSO + AC. FOLICO + VITAMINA C</v>
          </cell>
          <cell r="C70" t="str">
            <v>125 mg + 0,25 mg + 30 mg</v>
          </cell>
          <cell r="D70">
            <v>0</v>
          </cell>
          <cell r="E70">
            <v>14</v>
          </cell>
        </row>
        <row r="71">
          <cell r="A71" t="str">
            <v>B-05-01</v>
          </cell>
          <cell r="B71" t="str">
            <v>AGUA PARA INYECCION</v>
          </cell>
          <cell r="C71" t="str">
            <v>5 ml</v>
          </cell>
          <cell r="D71">
            <v>0</v>
          </cell>
          <cell r="E71">
            <v>3038</v>
          </cell>
        </row>
        <row r="72">
          <cell r="A72" t="str">
            <v>B-05-02</v>
          </cell>
          <cell r="B72" t="str">
            <v>ALBUMINA HUMANA</v>
          </cell>
          <cell r="C72">
            <v>0.2</v>
          </cell>
          <cell r="D72">
            <v>0</v>
          </cell>
          <cell r="E72">
            <v>326</v>
          </cell>
        </row>
        <row r="73">
          <cell r="A73" t="str">
            <v>B-05-03</v>
          </cell>
          <cell r="B73" t="str">
            <v>AMINOACIDOS</v>
          </cell>
          <cell r="C73">
            <v>0.1</v>
          </cell>
          <cell r="D73">
            <v>0</v>
          </cell>
          <cell r="E73">
            <v>51</v>
          </cell>
        </row>
        <row r="74">
          <cell r="A74" t="str">
            <v>B-05-04</v>
          </cell>
          <cell r="B74" t="str">
            <v>BICARBONATO DE SODIO</v>
          </cell>
          <cell r="C74">
            <v>0.08</v>
          </cell>
          <cell r="D74">
            <v>0</v>
          </cell>
          <cell r="E74">
            <v>18</v>
          </cell>
        </row>
        <row r="75">
          <cell r="A75" t="str">
            <v>B-05-06</v>
          </cell>
          <cell r="B75" t="str">
            <v>CLORURO DE POTASIO</v>
          </cell>
          <cell r="C75">
            <v>0.2</v>
          </cell>
          <cell r="D75">
            <v>0</v>
          </cell>
          <cell r="E75">
            <v>606</v>
          </cell>
        </row>
        <row r="76">
          <cell r="A76" t="str">
            <v>B-05-07</v>
          </cell>
          <cell r="B76" t="str">
            <v>CLORURO DE SODIO</v>
          </cell>
          <cell r="C76">
            <v>0.2</v>
          </cell>
          <cell r="D76">
            <v>0</v>
          </cell>
          <cell r="E76">
            <v>82</v>
          </cell>
        </row>
        <row r="77">
          <cell r="A77" t="str">
            <v>B-05-09</v>
          </cell>
          <cell r="B77" t="str">
            <v>EMULSION DE LIPIDOS</v>
          </cell>
          <cell r="C77" t="str">
            <v>Según disponibilidad</v>
          </cell>
          <cell r="D77">
            <v>0</v>
          </cell>
          <cell r="E77">
            <v>14</v>
          </cell>
        </row>
        <row r="78">
          <cell r="A78" t="str">
            <v>B-05-10</v>
          </cell>
          <cell r="B78" t="str">
            <v>GLUCONATO CALCICO (CALCIO GLUCONATO)</v>
          </cell>
          <cell r="C78">
            <v>0.1</v>
          </cell>
          <cell r="D78">
            <v>0</v>
          </cell>
          <cell r="E78">
            <v>166</v>
          </cell>
        </row>
        <row r="79">
          <cell r="A79" t="str">
            <v>B-05-11</v>
          </cell>
          <cell r="B79" t="str">
            <v>OLIGOELEMENTOS PARA NUTRICION PARENTERAL</v>
          </cell>
          <cell r="C79" t="str">
            <v>Según disponibilidad</v>
          </cell>
          <cell r="D79">
            <v>0</v>
          </cell>
          <cell r="E79">
            <v>2</v>
          </cell>
        </row>
        <row r="80">
          <cell r="A80" t="str">
            <v>B-05-15</v>
          </cell>
          <cell r="B80" t="str">
            <v>SOLUCION DE GLUCOSA</v>
          </cell>
          <cell r="C80" t="str">
            <v>5% (500 ml)</v>
          </cell>
          <cell r="D80">
            <v>0</v>
          </cell>
          <cell r="E80">
            <v>190</v>
          </cell>
        </row>
        <row r="81">
          <cell r="A81" t="str">
            <v>B-05-16</v>
          </cell>
          <cell r="B81" t="str">
            <v>SOLUCION DE GLUCOSA</v>
          </cell>
          <cell r="C81" t="str">
            <v>5% (1.000 ml)</v>
          </cell>
          <cell r="D81">
            <v>0</v>
          </cell>
          <cell r="E81">
            <v>233</v>
          </cell>
        </row>
        <row r="82">
          <cell r="A82" t="str">
            <v>B-05-17</v>
          </cell>
          <cell r="B82" t="str">
            <v>SOLUCION DE GLUCOSA</v>
          </cell>
          <cell r="C82" t="str">
            <v>10% (500 ml)</v>
          </cell>
          <cell r="D82">
            <v>0</v>
          </cell>
          <cell r="E82">
            <v>75</v>
          </cell>
        </row>
        <row r="83">
          <cell r="A83" t="str">
            <v>B-05-18</v>
          </cell>
          <cell r="B83" t="str">
            <v>SOLUCION DE GLUCOSA</v>
          </cell>
          <cell r="C83" t="str">
            <v>10% (1.000 ml)</v>
          </cell>
          <cell r="D83">
            <v>0</v>
          </cell>
          <cell r="E83">
            <v>100</v>
          </cell>
        </row>
        <row r="84">
          <cell r="A84" t="str">
            <v>B-05-19</v>
          </cell>
          <cell r="B84" t="str">
            <v>SOLUCION DE GLUCOSA</v>
          </cell>
          <cell r="C84" t="str">
            <v>50% (500 ml)</v>
          </cell>
          <cell r="D84">
            <v>0</v>
          </cell>
          <cell r="E84">
            <v>34</v>
          </cell>
        </row>
        <row r="85">
          <cell r="A85" t="str">
            <v>B-05-20</v>
          </cell>
          <cell r="B85" t="str">
            <v>SOLUCION DE GLUCOSA</v>
          </cell>
          <cell r="C85" t="str">
            <v>50% (20 ml)</v>
          </cell>
          <cell r="D85">
            <v>0</v>
          </cell>
          <cell r="E85">
            <v>3</v>
          </cell>
        </row>
        <row r="86">
          <cell r="A86" t="str">
            <v>B-05-21</v>
          </cell>
          <cell r="B86" t="str">
            <v>SOLUCION DE MANITOL</v>
          </cell>
          <cell r="C86" t="str">
            <v>20% (500 ml)</v>
          </cell>
          <cell r="D86">
            <v>0</v>
          </cell>
          <cell r="E86">
            <v>55</v>
          </cell>
        </row>
        <row r="87">
          <cell r="A87" t="str">
            <v>B-05-22</v>
          </cell>
          <cell r="B87" t="str">
            <v>SOLUCION FISIOLOGICA</v>
          </cell>
          <cell r="C87" t="str">
            <v>0,9% (500 ml)</v>
          </cell>
          <cell r="D87">
            <v>0</v>
          </cell>
          <cell r="E87">
            <v>868</v>
          </cell>
        </row>
        <row r="88">
          <cell r="A88" t="str">
            <v>B-05-23</v>
          </cell>
          <cell r="B88" t="str">
            <v>SOLUCION FISIOLOGICA</v>
          </cell>
          <cell r="C88" t="str">
            <v>0,9% (1.000 ml)</v>
          </cell>
          <cell r="D88">
            <v>0</v>
          </cell>
          <cell r="E88">
            <v>1636</v>
          </cell>
        </row>
        <row r="89">
          <cell r="A89" t="str">
            <v>B-05-24</v>
          </cell>
          <cell r="B89" t="str">
            <v>SOLUCION GLUCOSADA CLORURADA</v>
          </cell>
          <cell r="C89" t="str">
            <v>500 ml</v>
          </cell>
          <cell r="D89">
            <v>0</v>
          </cell>
          <cell r="E89">
            <v>1</v>
          </cell>
        </row>
        <row r="90">
          <cell r="A90" t="str">
            <v>B-05-29</v>
          </cell>
          <cell r="B90" t="str">
            <v>SOLUCION RINGER LACTATO</v>
          </cell>
          <cell r="C90" t="str">
            <v>500 ml</v>
          </cell>
          <cell r="D90">
            <v>0</v>
          </cell>
          <cell r="E90">
            <v>10</v>
          </cell>
        </row>
        <row r="91">
          <cell r="A91" t="str">
            <v>B-05-30</v>
          </cell>
          <cell r="B91" t="str">
            <v>SOLUCION RINGER LACTATO</v>
          </cell>
          <cell r="C91" t="str">
            <v>1.000 ml</v>
          </cell>
          <cell r="D91">
            <v>0</v>
          </cell>
          <cell r="E91">
            <v>90</v>
          </cell>
        </row>
        <row r="92">
          <cell r="A92" t="str">
            <v>B-05-31</v>
          </cell>
          <cell r="B92" t="str">
            <v>SOLUCION RINGER NORMAL</v>
          </cell>
          <cell r="C92" t="str">
            <v>500 ml</v>
          </cell>
          <cell r="D92">
            <v>0</v>
          </cell>
          <cell r="E92">
            <v>105</v>
          </cell>
        </row>
        <row r="93">
          <cell r="A93" t="str">
            <v>B-05-32</v>
          </cell>
          <cell r="B93" t="str">
            <v>SOLUCION RINGER NORMAL</v>
          </cell>
          <cell r="C93" t="str">
            <v>1.000 ml</v>
          </cell>
          <cell r="D93">
            <v>0</v>
          </cell>
          <cell r="E93">
            <v>1279</v>
          </cell>
        </row>
        <row r="94">
          <cell r="A94" t="str">
            <v>B-05-33</v>
          </cell>
          <cell r="B94" t="str">
            <v>SULFATO DE MAGNESIO</v>
          </cell>
          <cell r="C94">
            <v>0.1</v>
          </cell>
          <cell r="D94">
            <v>0</v>
          </cell>
          <cell r="E94">
            <v>421</v>
          </cell>
        </row>
        <row r="95">
          <cell r="A95" t="str">
            <v>B-05-34</v>
          </cell>
          <cell r="B95" t="str">
            <v>SOLUCION FISIOLOGICA</v>
          </cell>
          <cell r="C95">
            <v>8.9999999999999993E-3</v>
          </cell>
          <cell r="D95">
            <v>0</v>
          </cell>
          <cell r="E95">
            <v>54</v>
          </cell>
        </row>
        <row r="96">
          <cell r="A96" t="str">
            <v>C-01-02</v>
          </cell>
          <cell r="B96" t="str">
            <v>AMIODARONA (CLORHIDRATO)</v>
          </cell>
          <cell r="C96" t="str">
            <v>200 mg</v>
          </cell>
          <cell r="D96">
            <v>0</v>
          </cell>
          <cell r="E96">
            <v>5309</v>
          </cell>
        </row>
        <row r="97">
          <cell r="A97" t="str">
            <v>C-01-03</v>
          </cell>
          <cell r="B97" t="str">
            <v>AMIODARONA (CLORHIDRATO)</v>
          </cell>
          <cell r="C97" t="str">
            <v>50 mg/ml</v>
          </cell>
          <cell r="D97">
            <v>0</v>
          </cell>
          <cell r="E97">
            <v>158</v>
          </cell>
        </row>
        <row r="98">
          <cell r="A98" t="str">
            <v>C-01-04</v>
          </cell>
          <cell r="B98" t="str">
            <v>DIGOXINA</v>
          </cell>
          <cell r="C98" t="str">
            <v>0,75 mg/ml</v>
          </cell>
          <cell r="D98">
            <v>0</v>
          </cell>
          <cell r="E98">
            <v>2</v>
          </cell>
        </row>
        <row r="99">
          <cell r="A99" t="str">
            <v>C-01-06</v>
          </cell>
          <cell r="B99" t="str">
            <v>DIGOXINA</v>
          </cell>
          <cell r="C99" t="str">
            <v>0,25 mg</v>
          </cell>
          <cell r="D99">
            <v>0</v>
          </cell>
          <cell r="E99">
            <v>492</v>
          </cell>
        </row>
        <row r="100">
          <cell r="A100" t="str">
            <v>C-01-10</v>
          </cell>
          <cell r="B100" t="str">
            <v>EPINEFRINA (ADRENALINA)</v>
          </cell>
          <cell r="C100" t="str">
            <v>1 mg/ml</v>
          </cell>
          <cell r="D100">
            <v>0</v>
          </cell>
          <cell r="E100">
            <v>68</v>
          </cell>
        </row>
        <row r="101">
          <cell r="A101" t="str">
            <v>C-01-11</v>
          </cell>
          <cell r="B101" t="str">
            <v>ISOSORBIDA MONONITRATO</v>
          </cell>
          <cell r="C101" t="str">
            <v>20 mg</v>
          </cell>
          <cell r="D101">
            <v>0</v>
          </cell>
          <cell r="E101">
            <v>570</v>
          </cell>
        </row>
        <row r="102">
          <cell r="A102" t="str">
            <v>C-01-13</v>
          </cell>
          <cell r="B102" t="str">
            <v>ETILEFRINA</v>
          </cell>
          <cell r="C102" t="str">
            <v>10 mg/ml</v>
          </cell>
          <cell r="D102">
            <v>0</v>
          </cell>
          <cell r="E102">
            <v>12</v>
          </cell>
        </row>
        <row r="103">
          <cell r="A103" t="str">
            <v>C-01-15</v>
          </cell>
          <cell r="B103" t="str">
            <v>NORADRENALINA</v>
          </cell>
          <cell r="C103" t="str">
            <v>1 mg/ml</v>
          </cell>
          <cell r="D103">
            <v>0</v>
          </cell>
          <cell r="E103">
            <v>208</v>
          </cell>
        </row>
        <row r="104">
          <cell r="A104" t="str">
            <v>C-02-04</v>
          </cell>
          <cell r="B104" t="str">
            <v>METILDOPA (ALFAMETILDOPA)</v>
          </cell>
          <cell r="C104" t="str">
            <v>500 mg</v>
          </cell>
          <cell r="D104">
            <v>0</v>
          </cell>
          <cell r="E104">
            <v>5</v>
          </cell>
        </row>
        <row r="105">
          <cell r="A105" t="str">
            <v>C-02-08</v>
          </cell>
          <cell r="B105" t="str">
            <v>SILDENAFILO</v>
          </cell>
          <cell r="C105" t="str">
            <v>50 mg</v>
          </cell>
          <cell r="D105">
            <v>0</v>
          </cell>
          <cell r="E105">
            <v>240</v>
          </cell>
        </row>
        <row r="106">
          <cell r="A106" t="str">
            <v>C-03-01</v>
          </cell>
          <cell r="B106" t="str">
            <v>ACETAZOLAMIDA</v>
          </cell>
          <cell r="C106" t="str">
            <v>250 mg</v>
          </cell>
          <cell r="D106">
            <v>0</v>
          </cell>
          <cell r="E106">
            <v>262</v>
          </cell>
        </row>
        <row r="107">
          <cell r="A107" t="str">
            <v>C-03-02</v>
          </cell>
          <cell r="B107" t="str">
            <v>ESPIRONOLACTONA</v>
          </cell>
          <cell r="C107" t="str">
            <v>100 mg</v>
          </cell>
          <cell r="D107">
            <v>0</v>
          </cell>
          <cell r="E107">
            <v>2315</v>
          </cell>
        </row>
        <row r="108">
          <cell r="A108" t="str">
            <v>C-03-04</v>
          </cell>
          <cell r="B108" t="str">
            <v>FUROSEMIDA</v>
          </cell>
          <cell r="C108" t="str">
            <v>40 mg</v>
          </cell>
          <cell r="D108">
            <v>0</v>
          </cell>
          <cell r="E108">
            <v>4301</v>
          </cell>
        </row>
        <row r="109">
          <cell r="A109" t="str">
            <v>C-03-05</v>
          </cell>
          <cell r="B109" t="str">
            <v>FUROSEMIDA</v>
          </cell>
          <cell r="C109" t="str">
            <v>10 mg/ml</v>
          </cell>
          <cell r="D109">
            <v>0</v>
          </cell>
          <cell r="E109">
            <v>893</v>
          </cell>
        </row>
        <row r="110">
          <cell r="A110" t="str">
            <v>C-03-06</v>
          </cell>
          <cell r="B110" t="str">
            <v>HIDROCLOROTIAZIDA</v>
          </cell>
          <cell r="C110" t="str">
            <v>50 mg</v>
          </cell>
          <cell r="D110">
            <v>0</v>
          </cell>
          <cell r="E110">
            <v>5393</v>
          </cell>
        </row>
        <row r="111">
          <cell r="A111" t="str">
            <v>C-03-07</v>
          </cell>
          <cell r="B111" t="str">
            <v>HIDROCLOROTIAZIDA + AMILORIDA</v>
          </cell>
          <cell r="C111" t="str">
            <v>50 mg + 5 mg</v>
          </cell>
          <cell r="D111">
            <v>0</v>
          </cell>
          <cell r="E111">
            <v>282</v>
          </cell>
        </row>
        <row r="112">
          <cell r="A112" t="str">
            <v>C-05-01</v>
          </cell>
          <cell r="B112" t="str">
            <v>CORTICOIDE + ANESTESICO</v>
          </cell>
          <cell r="C112" t="str">
            <v>Según disponibilidad</v>
          </cell>
          <cell r="D112">
            <v>0</v>
          </cell>
          <cell r="E112">
            <v>863</v>
          </cell>
        </row>
        <row r="113">
          <cell r="A113" t="str">
            <v>C-05-02</v>
          </cell>
          <cell r="B113" t="str">
            <v>CORTICOIDE + ANESTESICO</v>
          </cell>
          <cell r="C113" t="str">
            <v>Según disponibilidad</v>
          </cell>
          <cell r="D113">
            <v>0</v>
          </cell>
          <cell r="E113">
            <v>48</v>
          </cell>
        </row>
        <row r="114">
          <cell r="A114" t="str">
            <v>C-07-01</v>
          </cell>
          <cell r="B114" t="str">
            <v>ATENOLOL</v>
          </cell>
          <cell r="C114" t="str">
            <v>100 mg</v>
          </cell>
          <cell r="D114">
            <v>0</v>
          </cell>
          <cell r="E114">
            <v>831</v>
          </cell>
        </row>
        <row r="115">
          <cell r="A115" t="str">
            <v>C-07-02</v>
          </cell>
          <cell r="B115" t="str">
            <v>PROPRANOLOL</v>
          </cell>
          <cell r="C115" t="str">
            <v>40 mg</v>
          </cell>
          <cell r="D115">
            <v>0</v>
          </cell>
          <cell r="E115">
            <v>886</v>
          </cell>
        </row>
        <row r="116">
          <cell r="A116" t="str">
            <v>C-07-04</v>
          </cell>
          <cell r="B116" t="str">
            <v>CARVEDILOL</v>
          </cell>
          <cell r="C116" t="str">
            <v>6,25 mg</v>
          </cell>
          <cell r="D116">
            <v>0</v>
          </cell>
          <cell r="E116">
            <v>23735</v>
          </cell>
        </row>
        <row r="117">
          <cell r="A117" t="str">
            <v>C-07-05</v>
          </cell>
          <cell r="B117" t="str">
            <v>CARVEDILOL</v>
          </cell>
          <cell r="C117" t="str">
            <v>12,5 mg</v>
          </cell>
          <cell r="D117">
            <v>0</v>
          </cell>
          <cell r="E117">
            <v>10909</v>
          </cell>
        </row>
        <row r="118">
          <cell r="A118" t="str">
            <v>C-07-06</v>
          </cell>
          <cell r="B118" t="str">
            <v>BISOPROLOL</v>
          </cell>
          <cell r="C118" t="str">
            <v>5 mg</v>
          </cell>
          <cell r="D118">
            <v>0</v>
          </cell>
          <cell r="E118">
            <v>4507</v>
          </cell>
        </row>
        <row r="119">
          <cell r="A119" t="str">
            <v>C-08-02</v>
          </cell>
          <cell r="B119" t="str">
            <v>NIMODIPINA</v>
          </cell>
          <cell r="C119" t="str">
            <v>30 mg</v>
          </cell>
          <cell r="D119">
            <v>0</v>
          </cell>
          <cell r="E119">
            <v>10756</v>
          </cell>
        </row>
        <row r="120">
          <cell r="A120" t="str">
            <v>C-08-07</v>
          </cell>
          <cell r="B120" t="str">
            <v>AMLODIPINA</v>
          </cell>
          <cell r="C120" t="str">
            <v>10 mg</v>
          </cell>
          <cell r="D120">
            <v>0</v>
          </cell>
          <cell r="E120">
            <v>16184</v>
          </cell>
        </row>
        <row r="121">
          <cell r="A121" t="str">
            <v>C-09-01</v>
          </cell>
          <cell r="B121" t="str">
            <v>ENALAPRIL MALEATO</v>
          </cell>
          <cell r="C121" t="str">
            <v>10 mg</v>
          </cell>
          <cell r="D121">
            <v>0</v>
          </cell>
          <cell r="E121">
            <v>4676</v>
          </cell>
        </row>
        <row r="122">
          <cell r="A122" t="str">
            <v>C-09-02</v>
          </cell>
          <cell r="B122" t="str">
            <v>LOSARTAN</v>
          </cell>
          <cell r="C122" t="str">
            <v>50 mg</v>
          </cell>
          <cell r="D122">
            <v>0</v>
          </cell>
          <cell r="E122">
            <v>122049</v>
          </cell>
        </row>
        <row r="123">
          <cell r="A123" t="str">
            <v>C-10-01</v>
          </cell>
          <cell r="B123" t="str">
            <v>ATORVASTATINA</v>
          </cell>
          <cell r="C123" t="str">
            <v>10 mg</v>
          </cell>
          <cell r="D123">
            <v>0</v>
          </cell>
          <cell r="E123">
            <v>9802</v>
          </cell>
        </row>
        <row r="124">
          <cell r="A124" t="str">
            <v>C-10-02</v>
          </cell>
          <cell r="B124" t="str">
            <v>GENFIBROZILO</v>
          </cell>
          <cell r="C124" t="str">
            <v>600 mg</v>
          </cell>
          <cell r="D124">
            <v>0</v>
          </cell>
          <cell r="E124">
            <v>7320</v>
          </cell>
        </row>
        <row r="125">
          <cell r="A125" t="str">
            <v>C-10-03</v>
          </cell>
          <cell r="B125" t="str">
            <v>ROSUVASTATINA</v>
          </cell>
          <cell r="C125" t="str">
            <v>20 mg</v>
          </cell>
          <cell r="D125">
            <v>0</v>
          </cell>
          <cell r="E125">
            <v>300</v>
          </cell>
        </row>
        <row r="126">
          <cell r="A126" t="str">
            <v>C-10-04</v>
          </cell>
          <cell r="B126" t="str">
            <v>FENOFIBRATO</v>
          </cell>
          <cell r="C126" t="str">
            <v>200 mg</v>
          </cell>
          <cell r="D126">
            <v>0</v>
          </cell>
          <cell r="E126">
            <v>5680</v>
          </cell>
        </row>
        <row r="127">
          <cell r="A127" t="str">
            <v>C-10-05</v>
          </cell>
          <cell r="B127" t="str">
            <v>ATORVASTATINA</v>
          </cell>
          <cell r="C127" t="str">
            <v>20 mg.</v>
          </cell>
          <cell r="D127">
            <v>0</v>
          </cell>
          <cell r="E127">
            <v>47525</v>
          </cell>
        </row>
        <row r="128">
          <cell r="A128" t="str">
            <v>D-01-02</v>
          </cell>
          <cell r="B128" t="str">
            <v>BACITRACINA + NEOMICINA SULFATO</v>
          </cell>
          <cell r="C128" t="str">
            <v>500 UI + 5 mg/g</v>
          </cell>
          <cell r="D128">
            <v>0</v>
          </cell>
          <cell r="E128">
            <v>90</v>
          </cell>
        </row>
        <row r="129">
          <cell r="A129" t="str">
            <v>D-01-03</v>
          </cell>
          <cell r="B129" t="str">
            <v>CLOTRIMAZOL</v>
          </cell>
          <cell r="C129">
            <v>0.01</v>
          </cell>
          <cell r="D129">
            <v>0</v>
          </cell>
          <cell r="E129">
            <v>312</v>
          </cell>
        </row>
        <row r="130">
          <cell r="A130" t="str">
            <v>D-01-04</v>
          </cell>
          <cell r="B130" t="str">
            <v>NISTATINA</v>
          </cell>
          <cell r="C130" t="str">
            <v>100.000 UI/g</v>
          </cell>
          <cell r="D130">
            <v>0</v>
          </cell>
          <cell r="E130">
            <v>7</v>
          </cell>
        </row>
        <row r="131">
          <cell r="A131" t="str">
            <v>D-01-06</v>
          </cell>
          <cell r="B131" t="str">
            <v>TOLNAFTATO</v>
          </cell>
          <cell r="C131">
            <v>0.01</v>
          </cell>
          <cell r="D131">
            <v>0</v>
          </cell>
          <cell r="E131">
            <v>27</v>
          </cell>
        </row>
        <row r="132">
          <cell r="A132" t="str">
            <v>D-01-07</v>
          </cell>
          <cell r="B132" t="str">
            <v>VIOLETA DE GENCIANA (CLORURO DE METILROSANILINA)</v>
          </cell>
          <cell r="C132">
            <v>0.01</v>
          </cell>
          <cell r="D132">
            <v>0</v>
          </cell>
          <cell r="E132">
            <v>15</v>
          </cell>
        </row>
        <row r="133">
          <cell r="A133" t="str">
            <v>D-02-02</v>
          </cell>
          <cell r="B133" t="str">
            <v>OXIDO DE ZINC CON O SIN ACEITE</v>
          </cell>
          <cell r="C133" t="str">
            <v>Según disponibilidad</v>
          </cell>
          <cell r="D133">
            <v>0</v>
          </cell>
          <cell r="E133">
            <v>12</v>
          </cell>
        </row>
        <row r="134">
          <cell r="A134" t="str">
            <v>D-02-04</v>
          </cell>
          <cell r="B134" t="str">
            <v>VASELINA LIQUIDA</v>
          </cell>
          <cell r="C134" t="str">
            <v>Según disponibilidad</v>
          </cell>
          <cell r="D134">
            <v>0</v>
          </cell>
          <cell r="E134">
            <v>17</v>
          </cell>
        </row>
        <row r="135">
          <cell r="A135" t="str">
            <v>D-04-01</v>
          </cell>
          <cell r="B135" t="str">
            <v>LIDOCAINA</v>
          </cell>
          <cell r="C135">
            <v>0.02</v>
          </cell>
          <cell r="D135">
            <v>0</v>
          </cell>
          <cell r="E135">
            <v>32</v>
          </cell>
        </row>
        <row r="136">
          <cell r="A136" t="str">
            <v>D-06-02</v>
          </cell>
          <cell r="B136" t="str">
            <v>SULFADIAZINA DE PLATA</v>
          </cell>
          <cell r="C136">
            <v>0.01</v>
          </cell>
          <cell r="D136">
            <v>0</v>
          </cell>
          <cell r="E136">
            <v>15</v>
          </cell>
        </row>
        <row r="137">
          <cell r="A137" t="str">
            <v>D-06-03</v>
          </cell>
          <cell r="B137" t="str">
            <v>ACICLOVIR</v>
          </cell>
          <cell r="C137">
            <v>0.05</v>
          </cell>
          <cell r="D137">
            <v>0</v>
          </cell>
          <cell r="E137">
            <v>79</v>
          </cell>
        </row>
        <row r="138">
          <cell r="A138" t="str">
            <v>D-07-01</v>
          </cell>
          <cell r="B138" t="str">
            <v>BETAMETASONA (VALERATO)</v>
          </cell>
          <cell r="C138" t="str">
            <v>0,1%</v>
          </cell>
          <cell r="D138">
            <v>0</v>
          </cell>
          <cell r="E138">
            <v>106</v>
          </cell>
        </row>
        <row r="139">
          <cell r="A139" t="str">
            <v>D-07-02</v>
          </cell>
          <cell r="B139" t="str">
            <v>CLOBETASOL</v>
          </cell>
          <cell r="C139" t="str">
            <v>0,05%</v>
          </cell>
          <cell r="D139">
            <v>0</v>
          </cell>
          <cell r="E139">
            <v>109</v>
          </cell>
        </row>
        <row r="140">
          <cell r="A140" t="str">
            <v>D-07-03</v>
          </cell>
          <cell r="B140" t="str">
            <v>CLOBETASOL</v>
          </cell>
          <cell r="C140" t="str">
            <v>0,05%</v>
          </cell>
          <cell r="D140">
            <v>0</v>
          </cell>
          <cell r="E140">
            <v>31</v>
          </cell>
        </row>
        <row r="141">
          <cell r="A141" t="str">
            <v>D-07-04</v>
          </cell>
          <cell r="B141" t="str">
            <v>HIDROCORTISONA ACETATO</v>
          </cell>
          <cell r="C141">
            <v>0.01</v>
          </cell>
          <cell r="D141">
            <v>0</v>
          </cell>
          <cell r="E141">
            <v>124</v>
          </cell>
        </row>
        <row r="142">
          <cell r="A142" t="str">
            <v>D-10-01</v>
          </cell>
          <cell r="B142" t="str">
            <v>ERITROMICINA</v>
          </cell>
          <cell r="C142" t="str">
            <v>2% a 4%</v>
          </cell>
          <cell r="D142">
            <v>0</v>
          </cell>
          <cell r="E142">
            <v>50</v>
          </cell>
        </row>
        <row r="143">
          <cell r="A143" t="str">
            <v>D-10-03</v>
          </cell>
          <cell r="B143" t="str">
            <v>PEROXIDO DE BENZOILO</v>
          </cell>
          <cell r="C143">
            <v>0.05</v>
          </cell>
          <cell r="D143">
            <v>0</v>
          </cell>
          <cell r="E143">
            <v>34</v>
          </cell>
        </row>
        <row r="144">
          <cell r="A144" t="str">
            <v>D-10-04</v>
          </cell>
          <cell r="B144" t="str">
            <v>RESORCINOL</v>
          </cell>
          <cell r="C144">
            <v>0.1</v>
          </cell>
          <cell r="D144">
            <v>0</v>
          </cell>
          <cell r="E144">
            <v>3</v>
          </cell>
        </row>
        <row r="145">
          <cell r="A145" t="str">
            <v>DAC001</v>
          </cell>
          <cell r="B145" t="str">
            <v>AGUJA DESCARTABLE</v>
          </cell>
          <cell r="C145" t="str">
            <v>18 * 1 1/2 "</v>
          </cell>
          <cell r="D145">
            <v>0</v>
          </cell>
          <cell r="E145">
            <v>142</v>
          </cell>
        </row>
        <row r="146">
          <cell r="A146" t="str">
            <v>DAC007</v>
          </cell>
          <cell r="B146" t="str">
            <v>AGUJA DESCARTABLE</v>
          </cell>
          <cell r="C146" t="str">
            <v>N° 25 * 5/8"</v>
          </cell>
          <cell r="D146">
            <v>0</v>
          </cell>
          <cell r="E146">
            <v>18</v>
          </cell>
        </row>
        <row r="147">
          <cell r="A147" t="str">
            <v>DAC008</v>
          </cell>
          <cell r="B147" t="str">
            <v>AGUJA DESCARTABLE</v>
          </cell>
          <cell r="C147" t="str">
            <v>N° 21 * 1 1/2"</v>
          </cell>
          <cell r="D147">
            <v>0</v>
          </cell>
          <cell r="E147">
            <v>3</v>
          </cell>
        </row>
        <row r="148">
          <cell r="A148" t="str">
            <v>DAC010</v>
          </cell>
          <cell r="B148" t="str">
            <v>AGUJA DESCARTABLE</v>
          </cell>
          <cell r="C148" t="str">
            <v>N° 23 * 1 1/2"</v>
          </cell>
          <cell r="D148">
            <v>0</v>
          </cell>
          <cell r="E148">
            <v>8</v>
          </cell>
        </row>
        <row r="149">
          <cell r="A149" t="str">
            <v>DAC013</v>
          </cell>
          <cell r="B149" t="str">
            <v>AGUJA PARA ANESTESIA RAQUIDEA</v>
          </cell>
          <cell r="C149" t="str">
            <v>N° 25 PUNTA DE LAPIZ</v>
          </cell>
          <cell r="D149">
            <v>0</v>
          </cell>
          <cell r="E149">
            <v>40</v>
          </cell>
        </row>
        <row r="150">
          <cell r="A150" t="str">
            <v>DAC014</v>
          </cell>
          <cell r="B150" t="str">
            <v>AGUJA PARA ANESTESIA RAQUIDEA</v>
          </cell>
          <cell r="C150" t="str">
            <v>N° 27 PUNTA DE LAPIZ</v>
          </cell>
          <cell r="D150">
            <v>0</v>
          </cell>
          <cell r="E150">
            <v>70</v>
          </cell>
        </row>
        <row r="151">
          <cell r="A151" t="str">
            <v>DAC060</v>
          </cell>
          <cell r="B151" t="str">
            <v>CATETER VENOSO CENTRAL</v>
          </cell>
          <cell r="C151" t="str">
            <v>TRIPLE LUMEN SET 7F X 12" (30CM)</v>
          </cell>
          <cell r="D151">
            <v>0</v>
          </cell>
          <cell r="E151">
            <v>21</v>
          </cell>
        </row>
        <row r="152">
          <cell r="A152" t="str">
            <v>DAC065</v>
          </cell>
          <cell r="B152" t="str">
            <v>CATETER VENOSO PERIFERICO</v>
          </cell>
          <cell r="C152" t="str">
            <v>Nº  18  CON ALETAS DE FIJACION</v>
          </cell>
          <cell r="D152">
            <v>0</v>
          </cell>
          <cell r="E152">
            <v>154</v>
          </cell>
        </row>
        <row r="153">
          <cell r="A153" t="str">
            <v>DAC066</v>
          </cell>
          <cell r="B153" t="str">
            <v>CATETER VENOSO PERIFERICO</v>
          </cell>
          <cell r="C153" t="str">
            <v>Nº 20 CON ALETAS DE FIJACION</v>
          </cell>
          <cell r="D153">
            <v>0</v>
          </cell>
          <cell r="E153">
            <v>519</v>
          </cell>
        </row>
        <row r="154">
          <cell r="A154" t="str">
            <v>DAC067</v>
          </cell>
          <cell r="B154" t="str">
            <v>CATETER VENOSO PERIFERICO</v>
          </cell>
          <cell r="C154" t="str">
            <v>Nº  22 CON ALETAS DE FIJACION</v>
          </cell>
          <cell r="D154">
            <v>0</v>
          </cell>
          <cell r="E154">
            <v>962</v>
          </cell>
        </row>
        <row r="155">
          <cell r="A155" t="str">
            <v>DAC068</v>
          </cell>
          <cell r="B155" t="str">
            <v>CATETER VENOSO PERIFERICO</v>
          </cell>
          <cell r="C155" t="str">
            <v>Nº  24 CON ALETAS DE FIJACION</v>
          </cell>
          <cell r="D155">
            <v>0</v>
          </cell>
          <cell r="E155">
            <v>68</v>
          </cell>
        </row>
        <row r="156">
          <cell r="A156" t="str">
            <v>DAC074</v>
          </cell>
          <cell r="B156" t="str">
            <v>EQUIPO DE VENOCLISIS</v>
          </cell>
          <cell r="C156" t="str">
            <v>CON AGUJA Nº 21</v>
          </cell>
          <cell r="D156">
            <v>0</v>
          </cell>
          <cell r="E156">
            <v>1652</v>
          </cell>
        </row>
        <row r="157">
          <cell r="A157" t="str">
            <v>DAC076</v>
          </cell>
          <cell r="B157" t="str">
            <v>EQUIPO VENOCLISIS</v>
          </cell>
          <cell r="C157" t="str">
            <v>COLOR AMBAR</v>
          </cell>
          <cell r="D157">
            <v>0</v>
          </cell>
          <cell r="E157">
            <v>14</v>
          </cell>
        </row>
        <row r="158">
          <cell r="A158" t="str">
            <v>DAC078</v>
          </cell>
          <cell r="B158" t="str">
            <v>EXTENSOR DE VIA</v>
          </cell>
          <cell r="C158" t="str">
            <v>DE 120 CM</v>
          </cell>
          <cell r="D158">
            <v>0</v>
          </cell>
          <cell r="E158">
            <v>7</v>
          </cell>
        </row>
        <row r="159">
          <cell r="A159" t="str">
            <v>DAC088</v>
          </cell>
          <cell r="B159" t="str">
            <v>LLAVE DE 3 VIAS</v>
          </cell>
          <cell r="C159" t="str">
            <v>CON ALARGADOR 50 CM - 10CM</v>
          </cell>
          <cell r="D159">
            <v>0</v>
          </cell>
          <cell r="E159">
            <v>205</v>
          </cell>
        </row>
        <row r="160">
          <cell r="A160" t="str">
            <v>DAC089</v>
          </cell>
          <cell r="B160" t="str">
            <v>LLAVE DE 3 VIAS</v>
          </cell>
          <cell r="C160" t="str">
            <v>SIN ALARGADOR</v>
          </cell>
          <cell r="D160">
            <v>0</v>
          </cell>
          <cell r="E160">
            <v>108</v>
          </cell>
        </row>
        <row r="161">
          <cell r="A161" t="str">
            <v>DAC091</v>
          </cell>
          <cell r="B161" t="str">
            <v>MICROGOTERO</v>
          </cell>
          <cell r="C161" t="str">
            <v>CON DEPOSITO RIGIDO 100 ML - 150ML</v>
          </cell>
          <cell r="D161">
            <v>0</v>
          </cell>
          <cell r="E161">
            <v>173</v>
          </cell>
        </row>
        <row r="162">
          <cell r="A162" t="str">
            <v>DAC093</v>
          </cell>
          <cell r="B162" t="str">
            <v>TAPON HEPARINIZADO</v>
          </cell>
          <cell r="C162" t="str">
            <v>PIEZA</v>
          </cell>
          <cell r="D162">
            <v>0</v>
          </cell>
          <cell r="E162">
            <v>216</v>
          </cell>
        </row>
        <row r="163">
          <cell r="A163" t="str">
            <v>DB002</v>
          </cell>
          <cell r="B163" t="str">
            <v>BOLSA COLECTORA DE ORINA</v>
          </cell>
          <cell r="C163" t="str">
            <v>2000 ML. CON VALVULA ANTIRREFLUJO</v>
          </cell>
          <cell r="D163">
            <v>0</v>
          </cell>
          <cell r="E163">
            <v>101</v>
          </cell>
        </row>
        <row r="164">
          <cell r="A164" t="str">
            <v>DI-01-01</v>
          </cell>
          <cell r="B164" t="str">
            <v>GENERADOR DE  MARCAPASO  CARDIACO DOBLE CAMARA (DDDR)</v>
          </cell>
          <cell r="C164" t="str">
            <v>s/d</v>
          </cell>
          <cell r="D164">
            <v>0</v>
          </cell>
          <cell r="E164">
            <v>6</v>
          </cell>
        </row>
        <row r="165">
          <cell r="A165" t="str">
            <v>DJ003</v>
          </cell>
          <cell r="B165" t="str">
            <v>JERINGA DESCARTABLE</v>
          </cell>
          <cell r="C165" t="str">
            <v>3 ML CON AGUJA 21 X 1 1/2" C/ROSCA</v>
          </cell>
          <cell r="D165">
            <v>0</v>
          </cell>
          <cell r="E165">
            <v>57</v>
          </cell>
        </row>
        <row r="166">
          <cell r="A166" t="str">
            <v>DJ004</v>
          </cell>
          <cell r="B166" t="str">
            <v>JERINGA DESCARTABLE</v>
          </cell>
          <cell r="C166" t="str">
            <v>5 ML CON AGUJA 21 X 1 1/2" C/ROSCA</v>
          </cell>
          <cell r="D166">
            <v>0</v>
          </cell>
          <cell r="E166">
            <v>627</v>
          </cell>
        </row>
        <row r="167">
          <cell r="A167" t="str">
            <v>DJ005</v>
          </cell>
          <cell r="B167" t="str">
            <v>JERINGA DESCARTABLE</v>
          </cell>
          <cell r="C167" t="str">
            <v>10 ML CON AGUJA 21 X 1 1/2" C/ROSCA</v>
          </cell>
          <cell r="D167">
            <v>0</v>
          </cell>
          <cell r="E167">
            <v>7380</v>
          </cell>
        </row>
        <row r="168">
          <cell r="A168" t="str">
            <v>DJ006</v>
          </cell>
          <cell r="B168" t="str">
            <v>JERINGA DESCARTABLE</v>
          </cell>
          <cell r="C168" t="str">
            <v>20 ML CON AGUJA 21X 1 1/2" C/ ROSCA</v>
          </cell>
          <cell r="D168">
            <v>0</v>
          </cell>
          <cell r="E168">
            <v>2975</v>
          </cell>
        </row>
        <row r="169">
          <cell r="A169" t="str">
            <v>DJ007</v>
          </cell>
          <cell r="B169" t="str">
            <v>JERINGA DESCARTABLE 50 ML LUER</v>
          </cell>
          <cell r="C169" t="str">
            <v>50 ML LUER</v>
          </cell>
          <cell r="D169">
            <v>0</v>
          </cell>
          <cell r="E169">
            <v>141</v>
          </cell>
        </row>
        <row r="170">
          <cell r="A170" t="str">
            <v>DJ009</v>
          </cell>
          <cell r="B170" t="str">
            <v>JERINGA INSULINA DESCARTABLE</v>
          </cell>
          <cell r="C170" t="str">
            <v>1 ML C/AGUJA DESMONTABLE N° 28</v>
          </cell>
          <cell r="D170">
            <v>0</v>
          </cell>
          <cell r="E170">
            <v>607</v>
          </cell>
        </row>
        <row r="171">
          <cell r="A171" t="str">
            <v>DL3661</v>
          </cell>
          <cell r="B171" t="str">
            <v>TIRAS REACTIVAS PARA GLUCOMETRO</v>
          </cell>
          <cell r="C171" t="str">
            <v>TIRAS DE BUENA REPRODUCIBILIDAD REPETITIVIDAD TENGA ESTABILIDAD EXACTITUD APTA PARA USO A DIFERENTES ALTURAS, HASTA 4000 M. DE ALTURA SOBRE EL NIVEL DE MAR (PRESENTAR CERTIFICADO DE CALIBRACION DE ALTURA DE LA FABRICA DE ORIGEN).</v>
          </cell>
          <cell r="D171">
            <v>0</v>
          </cell>
          <cell r="E171">
            <v>371</v>
          </cell>
        </row>
        <row r="172">
          <cell r="A172" t="str">
            <v>DMQ012</v>
          </cell>
          <cell r="B172" t="str">
            <v>ELECTRODOS</v>
          </cell>
          <cell r="C172" t="str">
            <v>DE ESPUMA PARA ADULTO</v>
          </cell>
          <cell r="D172">
            <v>0</v>
          </cell>
          <cell r="E172">
            <v>935</v>
          </cell>
        </row>
        <row r="173">
          <cell r="A173" t="str">
            <v>DMQ019</v>
          </cell>
          <cell r="B173" t="str">
            <v>GUANTES QUIRURGICOS</v>
          </cell>
          <cell r="C173" t="str">
            <v>N° 6  PUNO LARGO</v>
          </cell>
          <cell r="D173">
            <v>0</v>
          </cell>
          <cell r="E173">
            <v>4</v>
          </cell>
        </row>
        <row r="174">
          <cell r="A174" t="str">
            <v>DMQ020</v>
          </cell>
          <cell r="B174" t="str">
            <v>GUANTES QUIRURGICOS ESTERIL</v>
          </cell>
          <cell r="C174" t="str">
            <v>N° 6 1/2 PUNO LARGO</v>
          </cell>
          <cell r="D174">
            <v>0</v>
          </cell>
          <cell r="E174">
            <v>161</v>
          </cell>
        </row>
        <row r="175">
          <cell r="A175" t="str">
            <v>DMQ021</v>
          </cell>
          <cell r="B175" t="str">
            <v>GUANTES QUIRURGICOS ESTERIL</v>
          </cell>
          <cell r="C175" t="str">
            <v>N° 7 PUNO LARGO</v>
          </cell>
          <cell r="D175">
            <v>0</v>
          </cell>
          <cell r="E175">
            <v>350</v>
          </cell>
        </row>
        <row r="176">
          <cell r="A176" t="str">
            <v>DMQ022</v>
          </cell>
          <cell r="B176" t="str">
            <v>GUANTES QUIRURGICOS ESTERIL</v>
          </cell>
          <cell r="C176" t="str">
            <v>N° 7 1/2 PUNO LARGO</v>
          </cell>
          <cell r="D176">
            <v>0</v>
          </cell>
          <cell r="E176">
            <v>512</v>
          </cell>
        </row>
        <row r="177">
          <cell r="A177" t="str">
            <v>DMQ023</v>
          </cell>
          <cell r="B177" t="str">
            <v>GUANTES QUIRURGICOS ESTERIL</v>
          </cell>
          <cell r="C177" t="str">
            <v>N° 8 PUNO LARGO</v>
          </cell>
          <cell r="D177">
            <v>0</v>
          </cell>
          <cell r="E177">
            <v>47</v>
          </cell>
        </row>
        <row r="178">
          <cell r="A178" t="str">
            <v>DMQ028</v>
          </cell>
          <cell r="B178" t="str">
            <v>HOJAS DE BISTURI</v>
          </cell>
          <cell r="C178" t="str">
            <v>N° 11</v>
          </cell>
          <cell r="D178">
            <v>0</v>
          </cell>
          <cell r="E178">
            <v>50</v>
          </cell>
        </row>
        <row r="179">
          <cell r="A179" t="str">
            <v>DMQ030</v>
          </cell>
          <cell r="B179" t="str">
            <v>HOJAS DE BISTURI N° 15</v>
          </cell>
          <cell r="C179" t="str">
            <v>N° 15</v>
          </cell>
          <cell r="D179">
            <v>0</v>
          </cell>
          <cell r="E179">
            <v>41</v>
          </cell>
        </row>
        <row r="180">
          <cell r="A180" t="str">
            <v>DMQ034</v>
          </cell>
          <cell r="B180" t="str">
            <v>MALLA DE POLIPROPILENO</v>
          </cell>
          <cell r="C180" t="str">
            <v>15 X 15 CM</v>
          </cell>
          <cell r="D180">
            <v>0</v>
          </cell>
          <cell r="E180">
            <v>3</v>
          </cell>
        </row>
        <row r="181">
          <cell r="A181" t="str">
            <v>DOT005</v>
          </cell>
          <cell r="B181" t="str">
            <v>ALGODON</v>
          </cell>
          <cell r="C181" t="str">
            <v>100 GRS.</v>
          </cell>
          <cell r="D181">
            <v>0</v>
          </cell>
          <cell r="E181">
            <v>32</v>
          </cell>
        </row>
        <row r="182">
          <cell r="A182" t="str">
            <v>DOT035</v>
          </cell>
          <cell r="B182" t="str">
            <v>FILTRO ANTIMICROBIANO</v>
          </cell>
          <cell r="C182" t="str">
            <v>PARA RESPIRADORES PARA OXIGENO</v>
          </cell>
          <cell r="D182">
            <v>0</v>
          </cell>
          <cell r="E182">
            <v>11</v>
          </cell>
        </row>
        <row r="183">
          <cell r="A183" t="str">
            <v>DOT070</v>
          </cell>
          <cell r="B183" t="str">
            <v>VENDA DE GASA</v>
          </cell>
          <cell r="C183" t="str">
            <v>3" (7.5 CENTIMETROS)</v>
          </cell>
          <cell r="D183">
            <v>0</v>
          </cell>
          <cell r="E183">
            <v>22</v>
          </cell>
        </row>
        <row r="184">
          <cell r="A184" t="str">
            <v>DOT071</v>
          </cell>
          <cell r="B184" t="str">
            <v>VENDA DE GASA</v>
          </cell>
          <cell r="C184" t="str">
            <v>4" (10 CENTIMETROS)</v>
          </cell>
          <cell r="D184">
            <v>0</v>
          </cell>
          <cell r="E184">
            <v>149</v>
          </cell>
        </row>
        <row r="185">
          <cell r="A185" t="str">
            <v>DOT072</v>
          </cell>
          <cell r="B185" t="str">
            <v>VENDA DE GASA</v>
          </cell>
          <cell r="C185" t="str">
            <v>1.5"</v>
          </cell>
          <cell r="D185">
            <v>0</v>
          </cell>
          <cell r="E185">
            <v>13</v>
          </cell>
        </row>
        <row r="186">
          <cell r="A186" t="str">
            <v>DOT073</v>
          </cell>
          <cell r="B186" t="str">
            <v>VENDA DE GASA</v>
          </cell>
          <cell r="C186" t="str">
            <v>6"</v>
          </cell>
          <cell r="D186">
            <v>0</v>
          </cell>
          <cell r="E186">
            <v>24</v>
          </cell>
        </row>
        <row r="187">
          <cell r="A187" t="str">
            <v>DOT074</v>
          </cell>
          <cell r="B187" t="str">
            <v>VENDA DE YESO</v>
          </cell>
          <cell r="C187" t="str">
            <v>6" (15 CENTIMETROS)</v>
          </cell>
          <cell r="D187">
            <v>0</v>
          </cell>
          <cell r="E187">
            <v>27</v>
          </cell>
        </row>
        <row r="188">
          <cell r="A188" t="str">
            <v>DOT075</v>
          </cell>
          <cell r="B188" t="str">
            <v>VENDA DE YESO</v>
          </cell>
          <cell r="C188" t="str">
            <v>4" (10 CM)</v>
          </cell>
          <cell r="D188">
            <v>0</v>
          </cell>
          <cell r="E188">
            <v>42</v>
          </cell>
        </row>
        <row r="189">
          <cell r="A189" t="str">
            <v>DOT076</v>
          </cell>
          <cell r="B189" t="str">
            <v>VENDA DE YESO</v>
          </cell>
          <cell r="C189" t="str">
            <v>8" ( 20 CM)</v>
          </cell>
          <cell r="D189">
            <v>0</v>
          </cell>
          <cell r="E189">
            <v>33</v>
          </cell>
        </row>
        <row r="190">
          <cell r="A190" t="str">
            <v>DOT081</v>
          </cell>
          <cell r="B190" t="str">
            <v>VENDA ELASTICA</v>
          </cell>
          <cell r="C190" t="str">
            <v>10 CM</v>
          </cell>
          <cell r="D190">
            <v>0</v>
          </cell>
          <cell r="E190">
            <v>44</v>
          </cell>
        </row>
        <row r="191">
          <cell r="A191" t="str">
            <v>DOT082</v>
          </cell>
          <cell r="B191" t="str">
            <v>VENDA ELASTICA</v>
          </cell>
          <cell r="C191" t="str">
            <v>15 CM</v>
          </cell>
          <cell r="D191">
            <v>0</v>
          </cell>
          <cell r="E191">
            <v>25</v>
          </cell>
        </row>
        <row r="192">
          <cell r="A192" t="str">
            <v>DPF003</v>
          </cell>
          <cell r="B192" t="str">
            <v>CONDON MASCULINO</v>
          </cell>
          <cell r="C192" t="str">
            <v>PIEZA</v>
          </cell>
          <cell r="D192">
            <v>0</v>
          </cell>
          <cell r="E192">
            <v>12</v>
          </cell>
        </row>
        <row r="193">
          <cell r="A193" t="str">
            <v>DSC012</v>
          </cell>
          <cell r="B193" t="str">
            <v>SUTURA  CAT GUT CROMADO</v>
          </cell>
          <cell r="C193" t="str">
            <v>N° 0 C/AGUJA  4 CM. 1/2 CIRC.</v>
          </cell>
          <cell r="D193">
            <v>0</v>
          </cell>
          <cell r="E193">
            <v>6</v>
          </cell>
        </row>
        <row r="194">
          <cell r="A194" t="str">
            <v>DSC013</v>
          </cell>
          <cell r="B194" t="str">
            <v>SUTURA  CAT GUT CROMADO</v>
          </cell>
          <cell r="C194" t="str">
            <v>N° 1 C/AGUJA  4.8 CM 1/2 CIRC.</v>
          </cell>
          <cell r="D194">
            <v>0</v>
          </cell>
          <cell r="E194">
            <v>16</v>
          </cell>
        </row>
        <row r="195">
          <cell r="A195" t="str">
            <v>DSC020</v>
          </cell>
          <cell r="B195" t="str">
            <v>SUTURA CAT GUT SIMPLE</v>
          </cell>
          <cell r="C195" t="str">
            <v>N° 1C/AGUJA  4.8 CM. 1/2 CIRC.</v>
          </cell>
          <cell r="D195">
            <v>0</v>
          </cell>
          <cell r="E195">
            <v>35</v>
          </cell>
        </row>
        <row r="196">
          <cell r="A196" t="str">
            <v>DSC021</v>
          </cell>
          <cell r="B196" t="str">
            <v>SUTURA CAT GUT SIMPLE</v>
          </cell>
          <cell r="C196" t="str">
            <v>N° 2/0 C/AGUJA 1.7 CM. 3/8 DE CIRC.</v>
          </cell>
          <cell r="D196">
            <v>0</v>
          </cell>
          <cell r="E196">
            <v>3</v>
          </cell>
        </row>
        <row r="197">
          <cell r="A197" t="str">
            <v>DSC023</v>
          </cell>
          <cell r="B197" t="str">
            <v>SUTURA CAT GUT SIMPLE</v>
          </cell>
          <cell r="C197" t="str">
            <v>N° 3/0 C/AGUJA 2.5 CM. 1/2 CIRC.</v>
          </cell>
          <cell r="D197">
            <v>0</v>
          </cell>
          <cell r="E197">
            <v>4</v>
          </cell>
        </row>
        <row r="198">
          <cell r="A198" t="str">
            <v>DSC024</v>
          </cell>
          <cell r="B198" t="str">
            <v>SUTURA CAT GUT SIMPLE</v>
          </cell>
          <cell r="C198" t="str">
            <v>N° 4/0 C/AGUJA 2.0 CM. 1/2 CIRC.</v>
          </cell>
          <cell r="D198">
            <v>0</v>
          </cell>
          <cell r="E198">
            <v>4</v>
          </cell>
        </row>
        <row r="199">
          <cell r="A199" t="str">
            <v>DSC041</v>
          </cell>
          <cell r="B199" t="str">
            <v>SUTURA NYLON</v>
          </cell>
          <cell r="C199" t="str">
            <v>N° 1 C/AGUJA 4.0 CM. CUTICULAR</v>
          </cell>
          <cell r="D199">
            <v>0</v>
          </cell>
          <cell r="E199">
            <v>7</v>
          </cell>
        </row>
        <row r="200">
          <cell r="A200" t="str">
            <v>DSC042</v>
          </cell>
          <cell r="B200" t="str">
            <v>SUTURA NYLON</v>
          </cell>
          <cell r="C200" t="str">
            <v>N° 2/0 C/AGUJA 3 CM. CUTICULAR</v>
          </cell>
          <cell r="D200">
            <v>0</v>
          </cell>
          <cell r="E200">
            <v>38</v>
          </cell>
        </row>
        <row r="201">
          <cell r="A201" t="str">
            <v>DSC043</v>
          </cell>
          <cell r="B201" t="str">
            <v>SUTURA NYLON</v>
          </cell>
          <cell r="C201" t="str">
            <v>N° 3/0 C/AGUJA 2.5 CM CUTICULAR</v>
          </cell>
          <cell r="D201">
            <v>0</v>
          </cell>
          <cell r="E201">
            <v>187</v>
          </cell>
        </row>
        <row r="202">
          <cell r="A202" t="str">
            <v>DSC045</v>
          </cell>
          <cell r="B202" t="str">
            <v>SUTURA NYLON</v>
          </cell>
          <cell r="C202" t="str">
            <v>N° 5/0 C/AGUJA 1.5 CM CUTICULAR</v>
          </cell>
          <cell r="D202">
            <v>0</v>
          </cell>
          <cell r="E202">
            <v>15</v>
          </cell>
        </row>
        <row r="203">
          <cell r="A203" t="str">
            <v>DSC054</v>
          </cell>
          <cell r="B203" t="str">
            <v>SUTURA POLIGLACTINA 910</v>
          </cell>
          <cell r="C203" t="str">
            <v>RECUBIERTA CON ESTEARATO DE CALCIO  N°1 C/AGUJA 4 CM. 1/2 CIRC.</v>
          </cell>
          <cell r="D203">
            <v>0</v>
          </cell>
          <cell r="E203">
            <v>66</v>
          </cell>
        </row>
        <row r="204">
          <cell r="A204" t="str">
            <v>DSC056</v>
          </cell>
          <cell r="B204" t="str">
            <v>SUTURA POLIGLACTINA 910</v>
          </cell>
          <cell r="C204" t="str">
            <v>RECUBIERTA CON ESTEARATO DE CALCIO  N°3/ 0 C/AGUJA 2.5 CM. 1/2 CIRC.</v>
          </cell>
          <cell r="D204">
            <v>0</v>
          </cell>
          <cell r="E204">
            <v>52</v>
          </cell>
        </row>
        <row r="205">
          <cell r="A205" t="str">
            <v>DSC057</v>
          </cell>
          <cell r="B205" t="str">
            <v>SUTURA POLIGLACTINA 910</v>
          </cell>
          <cell r="C205" t="str">
            <v>RECUBIERTA CON ESTEARATO DE CALCIO  N° 4/0 C/AGUJA 1.5 CM. 1/2 CIRC.</v>
          </cell>
          <cell r="D205">
            <v>0</v>
          </cell>
          <cell r="E205">
            <v>20</v>
          </cell>
        </row>
        <row r="206">
          <cell r="A206" t="str">
            <v>DSD015</v>
          </cell>
          <cell r="B206" t="str">
            <v>SONDA DE ASPIRACION</v>
          </cell>
          <cell r="C206" t="str">
            <v>CON SISTEMA DE CONTROL DE FLUJO N°14</v>
          </cell>
          <cell r="D206">
            <v>0</v>
          </cell>
          <cell r="E206">
            <v>27</v>
          </cell>
        </row>
        <row r="207">
          <cell r="A207" t="str">
            <v>DSD016</v>
          </cell>
          <cell r="B207" t="str">
            <v>SONDA DE ASPIRACION</v>
          </cell>
          <cell r="C207" t="str">
            <v>CON SISTEMA DE CONTROL DE FLUJO N°16</v>
          </cell>
          <cell r="D207">
            <v>0</v>
          </cell>
          <cell r="E207">
            <v>30</v>
          </cell>
        </row>
        <row r="208">
          <cell r="A208" t="str">
            <v>DSD025</v>
          </cell>
          <cell r="B208" t="str">
            <v>SONDA FOLEY</v>
          </cell>
          <cell r="C208" t="str">
            <v>SILICONIZADA 2 VIAS N° 14 CON PICO LUER</v>
          </cell>
          <cell r="D208">
            <v>0</v>
          </cell>
          <cell r="E208">
            <v>9</v>
          </cell>
        </row>
        <row r="209">
          <cell r="A209" t="str">
            <v>DSD026</v>
          </cell>
          <cell r="B209" t="str">
            <v>SONDA FOLEY</v>
          </cell>
          <cell r="C209" t="str">
            <v>SILICONIZADA 2 VÍAS N° 16 CON PICO LUER</v>
          </cell>
          <cell r="D209">
            <v>0</v>
          </cell>
          <cell r="E209">
            <v>57</v>
          </cell>
        </row>
        <row r="210">
          <cell r="A210" t="str">
            <v>DSD027</v>
          </cell>
          <cell r="B210" t="str">
            <v>SONDA FOLEY</v>
          </cell>
          <cell r="C210" t="str">
            <v>SILICONIZADA 2 VIAS N° 18 CON PICO LUER</v>
          </cell>
          <cell r="D210">
            <v>0</v>
          </cell>
          <cell r="E210">
            <v>11</v>
          </cell>
        </row>
        <row r="211">
          <cell r="A211" t="str">
            <v>DSD041</v>
          </cell>
          <cell r="B211" t="str">
            <v>SONDA NASOGASTRICA</v>
          </cell>
          <cell r="C211" t="str">
            <v>N°16</v>
          </cell>
          <cell r="D211">
            <v>0</v>
          </cell>
          <cell r="E211">
            <v>55</v>
          </cell>
        </row>
        <row r="212">
          <cell r="A212" t="str">
            <v>DTO006</v>
          </cell>
          <cell r="B212" t="str">
            <v>CANULA DE GUEDELL</v>
          </cell>
          <cell r="C212" t="str">
            <v>ADULTO</v>
          </cell>
          <cell r="D212">
            <v>0</v>
          </cell>
          <cell r="E212">
            <v>1</v>
          </cell>
        </row>
        <row r="213">
          <cell r="A213" t="str">
            <v>DTO030</v>
          </cell>
          <cell r="B213" t="str">
            <v>MASCARILLA</v>
          </cell>
          <cell r="C213" t="str">
            <v>PARA ADULTO CON RESERVORIO</v>
          </cell>
          <cell r="D213">
            <v>0</v>
          </cell>
          <cell r="E213">
            <v>9</v>
          </cell>
        </row>
        <row r="214">
          <cell r="A214" t="str">
            <v>DTO039</v>
          </cell>
          <cell r="B214" t="str">
            <v>SISTEMA CERRADO DE ASPIRACION TRAQUEAL</v>
          </cell>
          <cell r="C214" t="str">
            <v>NO. 16</v>
          </cell>
          <cell r="D214">
            <v>0</v>
          </cell>
          <cell r="E214">
            <v>7</v>
          </cell>
        </row>
        <row r="215">
          <cell r="A215" t="str">
            <v>DTO044</v>
          </cell>
          <cell r="B215" t="str">
            <v>TUBO CORRUGADO</v>
          </cell>
          <cell r="C215" t="str">
            <v>ADULTO PARA MAQUINA DE ANESTESIA</v>
          </cell>
          <cell r="D215">
            <v>0</v>
          </cell>
          <cell r="E215">
            <v>1</v>
          </cell>
        </row>
        <row r="216">
          <cell r="A216" t="str">
            <v>DTO051</v>
          </cell>
          <cell r="B216" t="str">
            <v>TUBO ENDOTRAQUEAL</v>
          </cell>
          <cell r="C216" t="str">
            <v>PREFORMADO ORAL N°6.5 C/BALON</v>
          </cell>
          <cell r="D216">
            <v>0</v>
          </cell>
          <cell r="E216">
            <v>8</v>
          </cell>
        </row>
        <row r="217">
          <cell r="A217" t="str">
            <v>DTO052</v>
          </cell>
          <cell r="B217" t="str">
            <v>TUBO ENDOTRAQUEAL</v>
          </cell>
          <cell r="C217" t="str">
            <v>PREFORMADO ORAL N° 7 C/BALON</v>
          </cell>
          <cell r="D217">
            <v>0</v>
          </cell>
          <cell r="E217">
            <v>28</v>
          </cell>
        </row>
        <row r="218">
          <cell r="A218" t="str">
            <v>DTO053</v>
          </cell>
          <cell r="B218" t="str">
            <v>TUBO ENDOTRAQUEAL</v>
          </cell>
          <cell r="C218" t="str">
            <v>PREFORMADO ORAL N° 7.5 C/BALON</v>
          </cell>
          <cell r="D218">
            <v>0</v>
          </cell>
          <cell r="E218">
            <v>11</v>
          </cell>
        </row>
        <row r="219">
          <cell r="A219" t="str">
            <v>DTO054</v>
          </cell>
          <cell r="B219" t="str">
            <v>TUBO ENDOTRAQUEAL</v>
          </cell>
          <cell r="C219" t="str">
            <v>PREFORMADO ORAL N° 8 C/BALON</v>
          </cell>
          <cell r="D219">
            <v>0</v>
          </cell>
          <cell r="E219">
            <v>8</v>
          </cell>
        </row>
        <row r="220">
          <cell r="A220" t="str">
            <v>DUTI 1208</v>
          </cell>
          <cell r="B220" t="str">
            <v>REGULADOR DE PRECISION PARA INFUSION VENOSA POR GRAVEDAD UTI</v>
          </cell>
          <cell r="C220" t="str">
            <v>REGULADOR DE PRECISION PARA INFUSION VENOSA POR GRAVEDAD UTI</v>
          </cell>
          <cell r="D220">
            <v>0</v>
          </cell>
          <cell r="E220">
            <v>5</v>
          </cell>
        </row>
        <row r="221">
          <cell r="A221" t="str">
            <v>EX-01-021</v>
          </cell>
          <cell r="B221" t="str">
            <v>DILTIAZEN   DILTIAZEN*   60 MG</v>
          </cell>
          <cell r="C221" t="str">
            <v>60 MG</v>
          </cell>
          <cell r="D221">
            <v>0</v>
          </cell>
          <cell r="E221">
            <v>540</v>
          </cell>
        </row>
        <row r="222">
          <cell r="A222" t="str">
            <v>EX-01-04</v>
          </cell>
          <cell r="B222" t="str">
            <v>TELMISARTAN + HIDROCLOROTIAZIDA TELMISARTAN + HIDROCLOROTIAZIDA 40/12.5 MG</v>
          </cell>
          <cell r="C222" t="str">
            <v>40/12.5 MG</v>
          </cell>
          <cell r="D222">
            <v>0</v>
          </cell>
          <cell r="E222">
            <v>120</v>
          </cell>
        </row>
        <row r="223">
          <cell r="A223" t="str">
            <v>EX-01-042</v>
          </cell>
          <cell r="B223" t="str">
            <v>TELMISARTAN TELMISARTAN 80MG</v>
          </cell>
          <cell r="C223" t="str">
            <v>80MG</v>
          </cell>
          <cell r="D223">
            <v>0</v>
          </cell>
          <cell r="E223">
            <v>300</v>
          </cell>
        </row>
        <row r="224">
          <cell r="A224" t="str">
            <v>EX-01-11</v>
          </cell>
          <cell r="B224" t="str">
            <v>RIBAROXABAN/XARELTO RIBAROXABAN/XARELTO 10 MG</v>
          </cell>
          <cell r="C224" t="str">
            <v>10 MG</v>
          </cell>
          <cell r="D224">
            <v>0</v>
          </cell>
          <cell r="E224">
            <v>270</v>
          </cell>
        </row>
        <row r="225">
          <cell r="A225" t="str">
            <v>EX-01-15</v>
          </cell>
          <cell r="B225" t="str">
            <v>RIBAROXABAN RIBAROXABAN 15 MG</v>
          </cell>
          <cell r="C225" t="str">
            <v>15 MG</v>
          </cell>
          <cell r="D225">
            <v>0</v>
          </cell>
          <cell r="E225">
            <v>517</v>
          </cell>
        </row>
        <row r="226">
          <cell r="A226" t="str">
            <v>EX-01-19</v>
          </cell>
          <cell r="B226" t="str">
            <v>IVABRADINA</v>
          </cell>
          <cell r="C226" t="str">
            <v>7.5 MG</v>
          </cell>
          <cell r="D226">
            <v>0</v>
          </cell>
          <cell r="E226">
            <v>240</v>
          </cell>
        </row>
        <row r="227">
          <cell r="A227" t="str">
            <v>G-01-02</v>
          </cell>
          <cell r="B227" t="str">
            <v>CLOTRIMAZOL</v>
          </cell>
          <cell r="C227" t="str">
            <v>100 mg</v>
          </cell>
          <cell r="D227">
            <v>0</v>
          </cell>
          <cell r="E227">
            <v>569</v>
          </cell>
        </row>
        <row r="228">
          <cell r="A228" t="str">
            <v>G-01-03</v>
          </cell>
          <cell r="B228" t="str">
            <v>CLOTRIMAZOL</v>
          </cell>
          <cell r="C228">
            <v>0.01</v>
          </cell>
          <cell r="D228">
            <v>0</v>
          </cell>
          <cell r="E228">
            <v>65</v>
          </cell>
        </row>
        <row r="229">
          <cell r="A229" t="str">
            <v>G-01-04</v>
          </cell>
          <cell r="B229" t="str">
            <v>METRONIDAZOL</v>
          </cell>
          <cell r="C229" t="str">
            <v>500 mg</v>
          </cell>
          <cell r="D229">
            <v>0</v>
          </cell>
          <cell r="E229">
            <v>1234</v>
          </cell>
        </row>
        <row r="230">
          <cell r="A230" t="str">
            <v>G-02-03</v>
          </cell>
          <cell r="B230" t="str">
            <v>ERGOMETRINA MALEATO</v>
          </cell>
          <cell r="C230" t="str">
            <v>0,2 mg</v>
          </cell>
          <cell r="D230">
            <v>0</v>
          </cell>
          <cell r="E230">
            <v>33</v>
          </cell>
        </row>
        <row r="231">
          <cell r="A231" t="str">
            <v>G-02-04</v>
          </cell>
          <cell r="B231" t="str">
            <v>ERGOMETRINA MALEATO</v>
          </cell>
          <cell r="C231" t="str">
            <v>0,2 mg/ml</v>
          </cell>
          <cell r="D231">
            <v>0</v>
          </cell>
          <cell r="E231">
            <v>10</v>
          </cell>
        </row>
        <row r="232">
          <cell r="A232" t="str">
            <v>G-02-09</v>
          </cell>
          <cell r="B232" t="str">
            <v>OXITOCINA</v>
          </cell>
          <cell r="C232" t="str">
            <v>5UI/ml a 10 UI/ml</v>
          </cell>
          <cell r="D232">
            <v>0</v>
          </cell>
          <cell r="E232">
            <v>22</v>
          </cell>
        </row>
        <row r="233">
          <cell r="A233" t="str">
            <v>G-03-02</v>
          </cell>
          <cell r="B233" t="str">
            <v>CIPROTERONA ACETATO + ESTRADIOL VALERATO</v>
          </cell>
          <cell r="C233" t="str">
            <v>2 mg + 0,035 mg</v>
          </cell>
          <cell r="D233">
            <v>0</v>
          </cell>
          <cell r="E233">
            <v>22</v>
          </cell>
        </row>
        <row r="234">
          <cell r="A234" t="str">
            <v>G-03-09</v>
          </cell>
          <cell r="B234" t="str">
            <v>ESTROGENOS CONJUGADOS</v>
          </cell>
          <cell r="C234" t="str">
            <v>0,625 mg</v>
          </cell>
          <cell r="D234">
            <v>0</v>
          </cell>
          <cell r="E234">
            <v>2</v>
          </cell>
        </row>
        <row r="235">
          <cell r="A235" t="str">
            <v>G-03-12</v>
          </cell>
          <cell r="B235" t="str">
            <v>LEVONORGESTREL + ETINILESTRADIOL</v>
          </cell>
          <cell r="C235" t="str">
            <v>0,150 mg + 0,03 mg</v>
          </cell>
          <cell r="D235">
            <v>0</v>
          </cell>
          <cell r="E235">
            <v>50</v>
          </cell>
        </row>
        <row r="236">
          <cell r="A236" t="str">
            <v>G-03-13</v>
          </cell>
          <cell r="B236" t="str">
            <v>MEDROXIPROGESTERONA ACETATO</v>
          </cell>
          <cell r="C236" t="str">
            <v>150 mg/ml</v>
          </cell>
          <cell r="D236">
            <v>0</v>
          </cell>
          <cell r="E236">
            <v>6</v>
          </cell>
        </row>
        <row r="237">
          <cell r="A237" t="str">
            <v>G-03-18</v>
          </cell>
          <cell r="B237" t="str">
            <v>TESTOSTERONA UNDECANOATO</v>
          </cell>
          <cell r="C237" t="str">
            <v>1000 mg</v>
          </cell>
          <cell r="D237">
            <v>0</v>
          </cell>
          <cell r="E237">
            <v>23</v>
          </cell>
        </row>
        <row r="238">
          <cell r="A238" t="str">
            <v>G-04-01</v>
          </cell>
          <cell r="B238" t="str">
            <v>FINASTERIDA</v>
          </cell>
          <cell r="C238" t="str">
            <v>5 mg</v>
          </cell>
          <cell r="D238">
            <v>0</v>
          </cell>
          <cell r="E238">
            <v>7740</v>
          </cell>
        </row>
        <row r="239">
          <cell r="A239" t="str">
            <v>H-02-01</v>
          </cell>
          <cell r="B239" t="str">
            <v>BETAMETASONA (FOSFATO)</v>
          </cell>
          <cell r="C239" t="str">
            <v>4 mg</v>
          </cell>
          <cell r="D239">
            <v>0</v>
          </cell>
          <cell r="E239">
            <v>321</v>
          </cell>
        </row>
        <row r="240">
          <cell r="A240" t="str">
            <v>H-02-03</v>
          </cell>
          <cell r="B240" t="str">
            <v>DEXAMETASONA</v>
          </cell>
          <cell r="C240" t="str">
            <v>0,5 mg</v>
          </cell>
          <cell r="D240">
            <v>0</v>
          </cell>
          <cell r="E240">
            <v>255</v>
          </cell>
        </row>
        <row r="241">
          <cell r="A241" t="str">
            <v>H-02-04</v>
          </cell>
          <cell r="B241" t="str">
            <v>DEXAMETASONA</v>
          </cell>
          <cell r="C241" t="str">
            <v>4 mg/ml</v>
          </cell>
          <cell r="D241">
            <v>0</v>
          </cell>
          <cell r="E241">
            <v>6626</v>
          </cell>
        </row>
        <row r="242">
          <cell r="A242" t="str">
            <v>H-02-05</v>
          </cell>
          <cell r="B242" t="str">
            <v>HIDROCORTISONA SUCCINATO SODICO</v>
          </cell>
          <cell r="C242" t="str">
            <v>100 mg</v>
          </cell>
          <cell r="D242">
            <v>0</v>
          </cell>
          <cell r="E242">
            <v>302</v>
          </cell>
        </row>
        <row r="243">
          <cell r="A243" t="str">
            <v>H-02-06</v>
          </cell>
          <cell r="B243" t="str">
            <v>HIDROCORTISONA SUCCINATO SODICO</v>
          </cell>
          <cell r="C243" t="str">
            <v>250 mg</v>
          </cell>
          <cell r="D243">
            <v>0</v>
          </cell>
          <cell r="E243">
            <v>196</v>
          </cell>
        </row>
        <row r="244">
          <cell r="A244" t="str">
            <v>H-02-07</v>
          </cell>
          <cell r="B244" t="str">
            <v>METILPREDNISOLONA SUCCINATO SODICO</v>
          </cell>
          <cell r="C244" t="str">
            <v>500 mg</v>
          </cell>
          <cell r="D244">
            <v>0</v>
          </cell>
          <cell r="E244">
            <v>23</v>
          </cell>
        </row>
        <row r="245">
          <cell r="A245" t="str">
            <v>H-02-08</v>
          </cell>
          <cell r="B245" t="str">
            <v>PREDNISONA</v>
          </cell>
          <cell r="C245" t="str">
            <v>5 mg</v>
          </cell>
          <cell r="D245">
            <v>0</v>
          </cell>
          <cell r="E245">
            <v>8737</v>
          </cell>
        </row>
        <row r="246">
          <cell r="A246" t="str">
            <v>H-02-09</v>
          </cell>
          <cell r="B246" t="str">
            <v>PREDNISONA</v>
          </cell>
          <cell r="C246" t="str">
            <v>20 mg</v>
          </cell>
          <cell r="D246">
            <v>0</v>
          </cell>
          <cell r="E246">
            <v>3169</v>
          </cell>
        </row>
        <row r="247">
          <cell r="A247" t="str">
            <v>H-03-01</v>
          </cell>
          <cell r="B247" t="str">
            <v>LEVOTIROXINA SODICA</v>
          </cell>
          <cell r="C247" t="str">
            <v>0,1 mg</v>
          </cell>
          <cell r="D247">
            <v>0</v>
          </cell>
          <cell r="E247">
            <v>33780</v>
          </cell>
        </row>
        <row r="248">
          <cell r="A248" t="str">
            <v>J-01-02</v>
          </cell>
          <cell r="B248" t="str">
            <v>ACIDO NALIDIXICO</v>
          </cell>
          <cell r="C248" t="str">
            <v>250 mg/5 ml</v>
          </cell>
          <cell r="D248">
            <v>0</v>
          </cell>
          <cell r="E248">
            <v>7</v>
          </cell>
        </row>
        <row r="249">
          <cell r="A249" t="str">
            <v>J-01-04</v>
          </cell>
          <cell r="B249" t="str">
            <v>AMIKACINA</v>
          </cell>
          <cell r="C249" t="str">
            <v>500 mg/ 2ml</v>
          </cell>
          <cell r="D249">
            <v>0</v>
          </cell>
          <cell r="E249">
            <v>289</v>
          </cell>
        </row>
        <row r="250">
          <cell r="A250" t="str">
            <v>J-01-05</v>
          </cell>
          <cell r="B250" t="str">
            <v>AMOXICILINA</v>
          </cell>
          <cell r="C250" t="str">
            <v>1 g</v>
          </cell>
          <cell r="D250">
            <v>0</v>
          </cell>
          <cell r="E250">
            <v>5008</v>
          </cell>
        </row>
        <row r="251">
          <cell r="A251" t="str">
            <v>J-01-06</v>
          </cell>
          <cell r="B251" t="str">
            <v>AMOXICILINA</v>
          </cell>
          <cell r="C251" t="str">
            <v>500 mg</v>
          </cell>
          <cell r="D251">
            <v>0</v>
          </cell>
          <cell r="E251">
            <v>1031</v>
          </cell>
        </row>
        <row r="252">
          <cell r="A252" t="str">
            <v>J-01-09</v>
          </cell>
          <cell r="B252" t="str">
            <v>AMOXICILINA + INHIBIDOR BETALACTAMASA</v>
          </cell>
          <cell r="C252" t="str">
            <v>500 mg + Según disponibilidad</v>
          </cell>
          <cell r="D252">
            <v>0</v>
          </cell>
          <cell r="E252">
            <v>1542</v>
          </cell>
        </row>
        <row r="253">
          <cell r="A253" t="str">
            <v>J-01-10</v>
          </cell>
          <cell r="B253" t="str">
            <v>AMOXICILINA + INHIBIDOR BETALACTAMASA</v>
          </cell>
          <cell r="C253" t="str">
            <v>250 mg + Según disponibilidad</v>
          </cell>
          <cell r="D253">
            <v>0</v>
          </cell>
          <cell r="E253">
            <v>80</v>
          </cell>
        </row>
        <row r="254">
          <cell r="A254" t="str">
            <v>J-01-13</v>
          </cell>
          <cell r="B254" t="str">
            <v>AZITROMICINA</v>
          </cell>
          <cell r="C254" t="str">
            <v>500 mg</v>
          </cell>
          <cell r="D254">
            <v>0</v>
          </cell>
          <cell r="E254">
            <v>3011</v>
          </cell>
        </row>
        <row r="255">
          <cell r="A255" t="str">
            <v>J-01-15</v>
          </cell>
          <cell r="B255" t="str">
            <v>BENCILPENICILINA BENZATINICA</v>
          </cell>
          <cell r="C255" t="str">
            <v>1.200.000 UI</v>
          </cell>
          <cell r="D255">
            <v>0</v>
          </cell>
          <cell r="E255">
            <v>297</v>
          </cell>
        </row>
        <row r="256">
          <cell r="A256" t="str">
            <v>J-01-16</v>
          </cell>
          <cell r="B256" t="str">
            <v>BENCILPENICILINA BENZATINICA</v>
          </cell>
          <cell r="C256" t="str">
            <v>2.400.000 UI</v>
          </cell>
          <cell r="D256">
            <v>0</v>
          </cell>
          <cell r="E256">
            <v>243</v>
          </cell>
        </row>
        <row r="257">
          <cell r="A257" t="str">
            <v>J-01-18</v>
          </cell>
          <cell r="B257" t="str">
            <v>BENCILPENICILINA PROCAINICA</v>
          </cell>
          <cell r="C257" t="str">
            <v>800.000 UI</v>
          </cell>
          <cell r="D257">
            <v>0</v>
          </cell>
          <cell r="E257">
            <v>24</v>
          </cell>
        </row>
        <row r="258">
          <cell r="A258" t="str">
            <v>J-01-21</v>
          </cell>
          <cell r="B258" t="str">
            <v>CEFAZOLINA</v>
          </cell>
          <cell r="C258" t="str">
            <v>1 g</v>
          </cell>
          <cell r="D258">
            <v>0</v>
          </cell>
          <cell r="E258">
            <v>300</v>
          </cell>
        </row>
        <row r="259">
          <cell r="A259" t="str">
            <v>J-01-22</v>
          </cell>
          <cell r="B259" t="str">
            <v>CEFOTAXIMA</v>
          </cell>
          <cell r="C259" t="str">
            <v>1 g</v>
          </cell>
          <cell r="D259">
            <v>0</v>
          </cell>
          <cell r="E259">
            <v>645</v>
          </cell>
        </row>
        <row r="260">
          <cell r="A260" t="str">
            <v>J-01-23</v>
          </cell>
          <cell r="B260" t="str">
            <v>CEFRADINA</v>
          </cell>
          <cell r="C260" t="str">
            <v>500 mg</v>
          </cell>
          <cell r="D260">
            <v>0</v>
          </cell>
          <cell r="E260">
            <v>659</v>
          </cell>
        </row>
        <row r="261">
          <cell r="A261" t="str">
            <v>J-01-25</v>
          </cell>
          <cell r="B261" t="str">
            <v>CEFTAZIDIMA</v>
          </cell>
          <cell r="C261" t="str">
            <v>1 g</v>
          </cell>
          <cell r="D261">
            <v>0</v>
          </cell>
          <cell r="E261">
            <v>4</v>
          </cell>
        </row>
        <row r="262">
          <cell r="A262" t="str">
            <v>J-01-26</v>
          </cell>
          <cell r="B262" t="str">
            <v>CEFTRIAXONA</v>
          </cell>
          <cell r="C262" t="str">
            <v>1 g</v>
          </cell>
          <cell r="D262">
            <v>0</v>
          </cell>
          <cell r="E262">
            <v>1453</v>
          </cell>
        </row>
        <row r="263">
          <cell r="A263" t="str">
            <v>J-01-27</v>
          </cell>
          <cell r="B263" t="str">
            <v>CIPROFLOXACINA</v>
          </cell>
          <cell r="C263" t="str">
            <v>500 mg</v>
          </cell>
          <cell r="D263">
            <v>0</v>
          </cell>
          <cell r="E263">
            <v>4513</v>
          </cell>
        </row>
        <row r="264">
          <cell r="A264" t="str">
            <v>J-01-28</v>
          </cell>
          <cell r="B264" t="str">
            <v>CIPROFLOXACINA</v>
          </cell>
          <cell r="C264" t="str">
            <v>200 mg</v>
          </cell>
          <cell r="D264">
            <v>0</v>
          </cell>
          <cell r="E264">
            <v>422</v>
          </cell>
        </row>
        <row r="265">
          <cell r="A265" t="str">
            <v>J-01-29</v>
          </cell>
          <cell r="B265" t="str">
            <v>CLARITROMICINA</v>
          </cell>
          <cell r="C265" t="str">
            <v>500 mg</v>
          </cell>
          <cell r="D265">
            <v>0</v>
          </cell>
          <cell r="E265">
            <v>1484</v>
          </cell>
        </row>
        <row r="266">
          <cell r="A266" t="str">
            <v>J-01-30</v>
          </cell>
          <cell r="B266" t="str">
            <v>CLARITROMICINA</v>
          </cell>
          <cell r="C266" t="str">
            <v>250 mg/5 ml</v>
          </cell>
          <cell r="D266">
            <v>0</v>
          </cell>
          <cell r="E266">
            <v>13</v>
          </cell>
        </row>
        <row r="267">
          <cell r="A267" t="str">
            <v>J-01-36</v>
          </cell>
          <cell r="B267" t="str">
            <v>CLOXACILINA</v>
          </cell>
          <cell r="C267" t="str">
            <v>1 g</v>
          </cell>
          <cell r="D267">
            <v>0</v>
          </cell>
          <cell r="E267">
            <v>22</v>
          </cell>
        </row>
        <row r="268">
          <cell r="A268" t="str">
            <v>J-01-37</v>
          </cell>
          <cell r="B268" t="str">
            <v>COTRIMOXAZOL (SULFAMETOXAZOL + TRIMETOPRIMA)</v>
          </cell>
          <cell r="C268" t="str">
            <v>800 mg + 160 mg</v>
          </cell>
          <cell r="D268">
            <v>0</v>
          </cell>
          <cell r="E268">
            <v>1899</v>
          </cell>
        </row>
        <row r="269">
          <cell r="A269" t="str">
            <v>J-01-38</v>
          </cell>
          <cell r="B269" t="str">
            <v>COTRIMOXAZOL (SULFAMETOXAZOL + TRIMETOPRIMA)</v>
          </cell>
          <cell r="C269" t="str">
            <v>200 mg + 40 mg/5 ml</v>
          </cell>
          <cell r="D269">
            <v>0</v>
          </cell>
          <cell r="E269">
            <v>37</v>
          </cell>
        </row>
        <row r="270">
          <cell r="A270" t="str">
            <v>J-01-41</v>
          </cell>
          <cell r="B270" t="str">
            <v>DICLOXACILINA SODICA</v>
          </cell>
          <cell r="C270" t="str">
            <v>500 mg</v>
          </cell>
          <cell r="D270">
            <v>0</v>
          </cell>
          <cell r="E270">
            <v>785</v>
          </cell>
        </row>
        <row r="271">
          <cell r="A271" t="str">
            <v>J-01-42</v>
          </cell>
          <cell r="B271" t="str">
            <v>DICLOXACILINA SODICA</v>
          </cell>
          <cell r="C271" t="str">
            <v>250 mg/5 ml</v>
          </cell>
          <cell r="D271">
            <v>0</v>
          </cell>
          <cell r="E271">
            <v>1</v>
          </cell>
        </row>
        <row r="272">
          <cell r="A272" t="str">
            <v>J-01-44</v>
          </cell>
          <cell r="B272" t="str">
            <v>DOXICICLINA</v>
          </cell>
          <cell r="C272" t="str">
            <v>100 mg</v>
          </cell>
          <cell r="D272">
            <v>0</v>
          </cell>
          <cell r="E272">
            <v>838</v>
          </cell>
        </row>
        <row r="273">
          <cell r="A273" t="str">
            <v>J-01-45</v>
          </cell>
          <cell r="B273" t="str">
            <v>ERITROMICINA ESTEARATO</v>
          </cell>
          <cell r="C273" t="str">
            <v>500 mg</v>
          </cell>
          <cell r="D273">
            <v>0</v>
          </cell>
          <cell r="E273">
            <v>275</v>
          </cell>
        </row>
        <row r="274">
          <cell r="A274" t="str">
            <v>J-01-46</v>
          </cell>
          <cell r="B274" t="str">
            <v>ERITROMICINA ETILSUCCINATO</v>
          </cell>
          <cell r="C274" t="str">
            <v>250 mg/5 ml</v>
          </cell>
          <cell r="D274">
            <v>0</v>
          </cell>
          <cell r="E274">
            <v>5</v>
          </cell>
        </row>
        <row r="275">
          <cell r="A275" t="str">
            <v>J-01-50</v>
          </cell>
          <cell r="B275" t="str">
            <v>IMIPENEM + CILASTATINA</v>
          </cell>
          <cell r="C275" t="str">
            <v>500 mg + 500 mg</v>
          </cell>
          <cell r="D275">
            <v>0</v>
          </cell>
          <cell r="E275">
            <v>515</v>
          </cell>
        </row>
        <row r="276">
          <cell r="A276" t="str">
            <v>J-01-51</v>
          </cell>
          <cell r="B276" t="str">
            <v>NITROFURANTOINA</v>
          </cell>
          <cell r="C276" t="str">
            <v>100 mg</v>
          </cell>
          <cell r="D276">
            <v>0</v>
          </cell>
          <cell r="E276">
            <v>915</v>
          </cell>
        </row>
        <row r="277">
          <cell r="A277" t="str">
            <v>J-01-54</v>
          </cell>
          <cell r="B277" t="str">
            <v>TETRACICLINA</v>
          </cell>
          <cell r="C277" t="str">
            <v>500 mg</v>
          </cell>
          <cell r="D277">
            <v>0</v>
          </cell>
          <cell r="E277">
            <v>226</v>
          </cell>
        </row>
        <row r="278">
          <cell r="A278" t="str">
            <v>J-01-55</v>
          </cell>
          <cell r="B278" t="str">
            <v>VANCOMICINA</v>
          </cell>
          <cell r="C278" t="str">
            <v>500 mg</v>
          </cell>
          <cell r="D278">
            <v>0</v>
          </cell>
          <cell r="E278">
            <v>175</v>
          </cell>
        </row>
        <row r="279">
          <cell r="A279" t="str">
            <v>J-01-57</v>
          </cell>
          <cell r="B279" t="str">
            <v>AMOXICILINA</v>
          </cell>
          <cell r="C279" t="str">
            <v>500 mg/5 ml</v>
          </cell>
          <cell r="D279">
            <v>0</v>
          </cell>
          <cell r="E279">
            <v>304</v>
          </cell>
        </row>
        <row r="280">
          <cell r="A280" t="str">
            <v>J-01-58</v>
          </cell>
          <cell r="B280" t="str">
            <v>CEFIXIMA</v>
          </cell>
          <cell r="C280" t="str">
            <v>400 mg</v>
          </cell>
          <cell r="D280">
            <v>0</v>
          </cell>
          <cell r="E280">
            <v>1504</v>
          </cell>
        </row>
        <row r="281">
          <cell r="A281" t="str">
            <v>J-01-62</v>
          </cell>
          <cell r="B281" t="str">
            <v>AZITROMICINA</v>
          </cell>
          <cell r="C281" t="str">
            <v>200 mg/5 ml</v>
          </cell>
          <cell r="D281">
            <v>0</v>
          </cell>
          <cell r="E281">
            <v>36</v>
          </cell>
        </row>
        <row r="282">
          <cell r="A282" t="str">
            <v>J-01-63</v>
          </cell>
          <cell r="B282" t="str">
            <v>CEFIXIMA</v>
          </cell>
          <cell r="C282" t="str">
            <v>100 mg/5 ml</v>
          </cell>
          <cell r="D282">
            <v>0</v>
          </cell>
          <cell r="E282">
            <v>35</v>
          </cell>
        </row>
        <row r="283">
          <cell r="A283" t="str">
            <v>J-01-64</v>
          </cell>
          <cell r="B283" t="str">
            <v>CLINDAMICINA</v>
          </cell>
          <cell r="C283" t="str">
            <v>600 mg</v>
          </cell>
          <cell r="D283">
            <v>0</v>
          </cell>
          <cell r="E283">
            <v>184</v>
          </cell>
        </row>
        <row r="284">
          <cell r="A284" t="str">
            <v>J-01-66</v>
          </cell>
          <cell r="B284" t="str">
            <v>LEVOFLOXACINA</v>
          </cell>
          <cell r="C284" t="str">
            <v>500 mg</v>
          </cell>
          <cell r="D284">
            <v>0</v>
          </cell>
          <cell r="E284">
            <v>1175</v>
          </cell>
        </row>
        <row r="285">
          <cell r="A285" t="str">
            <v>J-01-67</v>
          </cell>
          <cell r="B285" t="str">
            <v>COLISTINA</v>
          </cell>
          <cell r="C285" t="str">
            <v>100 mg</v>
          </cell>
          <cell r="D285">
            <v>0</v>
          </cell>
          <cell r="E285">
            <v>28</v>
          </cell>
        </row>
        <row r="286">
          <cell r="A286" t="str">
            <v>J-01-68</v>
          </cell>
          <cell r="B286" t="str">
            <v>LEVOFLOXACINA</v>
          </cell>
          <cell r="C286" t="str">
            <v>500mg</v>
          </cell>
          <cell r="D286">
            <v>0</v>
          </cell>
          <cell r="E286">
            <v>215</v>
          </cell>
        </row>
        <row r="287">
          <cell r="A287" t="str">
            <v>J-01-69</v>
          </cell>
          <cell r="B287" t="str">
            <v>MEROPENEM</v>
          </cell>
          <cell r="C287" t="str">
            <v>500 mg</v>
          </cell>
          <cell r="D287">
            <v>0</v>
          </cell>
          <cell r="E287">
            <v>143</v>
          </cell>
        </row>
        <row r="288">
          <cell r="A288" t="str">
            <v>J-01-71</v>
          </cell>
          <cell r="B288" t="str">
            <v>AMOXICILINA + INHIBIDOR BETALACTAMASA</v>
          </cell>
          <cell r="C288" t="str">
            <v>875 mg + Según disponibilidad</v>
          </cell>
          <cell r="D288">
            <v>0</v>
          </cell>
          <cell r="E288">
            <v>4096</v>
          </cell>
        </row>
        <row r="289">
          <cell r="A289" t="str">
            <v>J-01-75</v>
          </cell>
          <cell r="B289" t="str">
            <v>PIPERACILINA + TAZOBACTAM</v>
          </cell>
          <cell r="C289" t="str">
            <v>4 G/500 MG</v>
          </cell>
          <cell r="D289">
            <v>0</v>
          </cell>
          <cell r="E289">
            <v>24</v>
          </cell>
        </row>
        <row r="290">
          <cell r="A290" t="str">
            <v>J-02-02</v>
          </cell>
          <cell r="B290" t="str">
            <v>FLUCONAZOL</v>
          </cell>
          <cell r="C290" t="str">
            <v>200 mg</v>
          </cell>
          <cell r="D290">
            <v>0</v>
          </cell>
          <cell r="E290">
            <v>60</v>
          </cell>
        </row>
        <row r="291">
          <cell r="A291" t="str">
            <v>J-02-08</v>
          </cell>
          <cell r="B291" t="str">
            <v>FLUCONAZOL</v>
          </cell>
          <cell r="C291" t="str">
            <v>150 mg</v>
          </cell>
          <cell r="D291">
            <v>0</v>
          </cell>
          <cell r="E291">
            <v>641</v>
          </cell>
        </row>
        <row r="292">
          <cell r="A292" t="str">
            <v>J-05-04</v>
          </cell>
          <cell r="B292" t="str">
            <v>ACICLOVIR</v>
          </cell>
          <cell r="C292" t="str">
            <v>400 mg</v>
          </cell>
          <cell r="D292">
            <v>0</v>
          </cell>
          <cell r="E292">
            <v>1912</v>
          </cell>
        </row>
        <row r="293">
          <cell r="A293" t="str">
            <v>J-05-36</v>
          </cell>
          <cell r="B293" t="str">
            <v>OSELTAMIVIR</v>
          </cell>
          <cell r="C293" t="str">
            <v>75 mg</v>
          </cell>
          <cell r="D293">
            <v>0</v>
          </cell>
          <cell r="E293">
            <v>10</v>
          </cell>
        </row>
        <row r="294">
          <cell r="A294" t="str">
            <v>J-05-43</v>
          </cell>
          <cell r="B294" t="str">
            <v>ACICLOVIR</v>
          </cell>
          <cell r="C294" t="str">
            <v>800 mg</v>
          </cell>
          <cell r="D294">
            <v>0</v>
          </cell>
          <cell r="E294">
            <v>325</v>
          </cell>
        </row>
        <row r="295">
          <cell r="A295" t="str">
            <v>J-06-02</v>
          </cell>
          <cell r="B295" t="str">
            <v>INMUNOGLOBULINA ANTI D (RH +)</v>
          </cell>
          <cell r="C295" t="str">
            <v>0,1 mg/ml o 0,2 mg/ml</v>
          </cell>
          <cell r="D295">
            <v>0</v>
          </cell>
          <cell r="E295">
            <v>1</v>
          </cell>
        </row>
        <row r="296">
          <cell r="A296" t="str">
            <v>L-01-03</v>
          </cell>
          <cell r="B296" t="str">
            <v>CAPECITABINE</v>
          </cell>
          <cell r="C296" t="str">
            <v>500 mg</v>
          </cell>
          <cell r="D296">
            <v>0</v>
          </cell>
          <cell r="E296">
            <v>340</v>
          </cell>
        </row>
        <row r="297">
          <cell r="A297" t="str">
            <v>L-01-04</v>
          </cell>
          <cell r="B297" t="str">
            <v>CARBOPLATINO</v>
          </cell>
          <cell r="C297" t="str">
            <v>450 mg</v>
          </cell>
          <cell r="D297">
            <v>0</v>
          </cell>
          <cell r="E297">
            <v>20</v>
          </cell>
        </row>
        <row r="298">
          <cell r="A298" t="str">
            <v>L-01-06</v>
          </cell>
          <cell r="B298" t="str">
            <v>CICLOFOSFAMIDA</v>
          </cell>
          <cell r="C298" t="str">
            <v>1 g</v>
          </cell>
          <cell r="D298">
            <v>0</v>
          </cell>
          <cell r="E298">
            <v>2</v>
          </cell>
        </row>
        <row r="299">
          <cell r="A299" t="str">
            <v>L-01-17</v>
          </cell>
          <cell r="B299" t="str">
            <v>FLUOROURACILO</v>
          </cell>
          <cell r="C299" t="str">
            <v>500 mg/10 ml</v>
          </cell>
          <cell r="D299">
            <v>0</v>
          </cell>
          <cell r="E299">
            <v>77</v>
          </cell>
        </row>
        <row r="300">
          <cell r="A300" t="str">
            <v>L-01-18</v>
          </cell>
          <cell r="B300" t="str">
            <v>GEMCITABINA</v>
          </cell>
          <cell r="C300" t="str">
            <v>1 g</v>
          </cell>
          <cell r="D300">
            <v>0</v>
          </cell>
          <cell r="E300">
            <v>16</v>
          </cell>
        </row>
        <row r="301">
          <cell r="A301" t="str">
            <v>L-01-21</v>
          </cell>
          <cell r="B301" t="str">
            <v>ASPARAGINASA</v>
          </cell>
          <cell r="C301" t="str">
            <v>10.000 UI</v>
          </cell>
          <cell r="D301">
            <v>0</v>
          </cell>
          <cell r="E301">
            <v>8</v>
          </cell>
        </row>
        <row r="302">
          <cell r="A302" t="str">
            <v>L-01-24</v>
          </cell>
          <cell r="B302" t="str">
            <v>METOTREXATO</v>
          </cell>
          <cell r="C302" t="str">
            <v>50 mg</v>
          </cell>
          <cell r="D302">
            <v>0</v>
          </cell>
          <cell r="E302">
            <v>45</v>
          </cell>
        </row>
        <row r="303">
          <cell r="A303" t="str">
            <v>L-01-26</v>
          </cell>
          <cell r="B303" t="str">
            <v>METOTREXATO</v>
          </cell>
          <cell r="C303" t="str">
            <v>2,5 mg</v>
          </cell>
          <cell r="D303">
            <v>0</v>
          </cell>
          <cell r="E303">
            <v>2695</v>
          </cell>
        </row>
        <row r="304">
          <cell r="A304" t="str">
            <v>L-01-28</v>
          </cell>
          <cell r="B304" t="str">
            <v>PACLITAXEL</v>
          </cell>
          <cell r="C304" t="str">
            <v>30 mg/5 ml</v>
          </cell>
          <cell r="D304">
            <v>0</v>
          </cell>
          <cell r="E304">
            <v>26</v>
          </cell>
        </row>
        <row r="305">
          <cell r="A305" t="str">
            <v>L-01-30</v>
          </cell>
          <cell r="B305" t="str">
            <v>VINCRISTINA</v>
          </cell>
          <cell r="C305" t="str">
            <v>1 mg/ml</v>
          </cell>
          <cell r="D305">
            <v>0</v>
          </cell>
          <cell r="E305">
            <v>8</v>
          </cell>
        </row>
        <row r="306">
          <cell r="A306" t="str">
            <v>L-01-34</v>
          </cell>
          <cell r="B306" t="str">
            <v>OXALIPLATINO</v>
          </cell>
          <cell r="C306" t="str">
            <v>50 mg</v>
          </cell>
          <cell r="D306">
            <v>0</v>
          </cell>
          <cell r="E306">
            <v>3</v>
          </cell>
        </row>
        <row r="307">
          <cell r="A307" t="str">
            <v>L-01-35</v>
          </cell>
          <cell r="B307" t="str">
            <v>OXALIPLATINO</v>
          </cell>
          <cell r="C307" t="str">
            <v>100 mg</v>
          </cell>
          <cell r="D307">
            <v>0</v>
          </cell>
          <cell r="E307">
            <v>12</v>
          </cell>
        </row>
        <row r="308">
          <cell r="A308" t="str">
            <v>L-01-36</v>
          </cell>
          <cell r="B308" t="str">
            <v>BEVACIZUMAB</v>
          </cell>
          <cell r="C308" t="str">
            <v>25 mg/ML</v>
          </cell>
          <cell r="D308">
            <v>0</v>
          </cell>
          <cell r="E308">
            <v>20</v>
          </cell>
        </row>
        <row r="309">
          <cell r="A309" t="str">
            <v>L-01-38</v>
          </cell>
          <cell r="B309" t="str">
            <v>DOCETAXEL</v>
          </cell>
          <cell r="C309" t="str">
            <v>40 mg/ml  (2ml)</v>
          </cell>
          <cell r="D309">
            <v>0</v>
          </cell>
          <cell r="E309">
            <v>28</v>
          </cell>
        </row>
        <row r="310">
          <cell r="A310" t="str">
            <v>L-01-48</v>
          </cell>
          <cell r="B310" t="str">
            <v>DOXORRUBICINA LIPOSOMAL PEGILADA</v>
          </cell>
          <cell r="C310" t="str">
            <v>20mg/10ml</v>
          </cell>
          <cell r="D310">
            <v>0</v>
          </cell>
          <cell r="E310">
            <v>18</v>
          </cell>
        </row>
        <row r="311">
          <cell r="A311" t="str">
            <v>L-01-52</v>
          </cell>
          <cell r="B311" t="str">
            <v>TEMOZOLOMIDA</v>
          </cell>
          <cell r="C311" t="str">
            <v>100 mg</v>
          </cell>
          <cell r="D311">
            <v>0</v>
          </cell>
          <cell r="E311">
            <v>40</v>
          </cell>
        </row>
        <row r="312">
          <cell r="A312" t="str">
            <v>L-01-60</v>
          </cell>
          <cell r="B312" t="str">
            <v>PACLITAXEL</v>
          </cell>
          <cell r="C312" t="str">
            <v>300 MG/50 ML</v>
          </cell>
          <cell r="D312">
            <v>0</v>
          </cell>
          <cell r="E312">
            <v>4</v>
          </cell>
        </row>
        <row r="313">
          <cell r="A313" t="str">
            <v>L-02-01</v>
          </cell>
          <cell r="B313" t="str">
            <v>ANASTROZOL</v>
          </cell>
          <cell r="C313" t="str">
            <v>1 mg</v>
          </cell>
          <cell r="D313">
            <v>0</v>
          </cell>
          <cell r="E313">
            <v>320</v>
          </cell>
        </row>
        <row r="314">
          <cell r="A314" t="str">
            <v>L-02-03</v>
          </cell>
          <cell r="B314" t="str">
            <v>FLUTAMIDA</v>
          </cell>
          <cell r="C314" t="str">
            <v>250 mg</v>
          </cell>
          <cell r="D314">
            <v>0</v>
          </cell>
          <cell r="E314">
            <v>1350</v>
          </cell>
        </row>
        <row r="315">
          <cell r="A315" t="str">
            <v>L-02-05</v>
          </cell>
          <cell r="B315" t="str">
            <v>TAMOXIFENO</v>
          </cell>
          <cell r="C315" t="str">
            <v>20 mg</v>
          </cell>
          <cell r="D315">
            <v>0</v>
          </cell>
          <cell r="E315">
            <v>480</v>
          </cell>
        </row>
        <row r="316">
          <cell r="A316" t="str">
            <v>L-02-07</v>
          </cell>
          <cell r="B316" t="str">
            <v>TRIPTORELINA</v>
          </cell>
          <cell r="C316" t="str">
            <v>11,25 mg</v>
          </cell>
          <cell r="D316">
            <v>0</v>
          </cell>
          <cell r="E316">
            <v>3</v>
          </cell>
        </row>
        <row r="317">
          <cell r="A317" t="str">
            <v>L-02-08</v>
          </cell>
          <cell r="B317" t="str">
            <v>TRIPTORELINA</v>
          </cell>
          <cell r="C317" t="str">
            <v>22.5 mg</v>
          </cell>
          <cell r="D317">
            <v>0</v>
          </cell>
          <cell r="E317">
            <v>3</v>
          </cell>
        </row>
        <row r="318">
          <cell r="A318" t="str">
            <v>L-02-11</v>
          </cell>
          <cell r="B318" t="str">
            <v>ENZALUTAMIDA</v>
          </cell>
          <cell r="C318" t="str">
            <v>40 mg</v>
          </cell>
          <cell r="D318">
            <v>0</v>
          </cell>
          <cell r="E318">
            <v>1680</v>
          </cell>
        </row>
        <row r="319">
          <cell r="A319" t="str">
            <v>L-03-01</v>
          </cell>
          <cell r="B319" t="str">
            <v>FILGASTRIM</v>
          </cell>
          <cell r="C319" t="str">
            <v>300 mcg/ml</v>
          </cell>
          <cell r="D319">
            <v>0</v>
          </cell>
          <cell r="E319">
            <v>8</v>
          </cell>
        </row>
        <row r="320">
          <cell r="A320" t="str">
            <v>L-04-01</v>
          </cell>
          <cell r="B320" t="str">
            <v>AZATIOPRINA</v>
          </cell>
          <cell r="C320" t="str">
            <v>50 mg</v>
          </cell>
          <cell r="D320">
            <v>0</v>
          </cell>
          <cell r="E320">
            <v>1345</v>
          </cell>
        </row>
        <row r="321">
          <cell r="A321" t="str">
            <v>L-04-07</v>
          </cell>
          <cell r="B321" t="str">
            <v>MICOFENOLATO DE MOFETILO</v>
          </cell>
          <cell r="C321" t="str">
            <v>500 mg</v>
          </cell>
          <cell r="D321">
            <v>0</v>
          </cell>
          <cell r="E321">
            <v>2896</v>
          </cell>
        </row>
        <row r="322">
          <cell r="A322" t="str">
            <v>L-04-10</v>
          </cell>
          <cell r="B322" t="str">
            <v>TACROLIMUS</v>
          </cell>
          <cell r="C322" t="str">
            <v>1 mg</v>
          </cell>
          <cell r="D322">
            <v>0</v>
          </cell>
          <cell r="E322">
            <v>1230</v>
          </cell>
        </row>
        <row r="323">
          <cell r="A323" t="str">
            <v>L-04-12</v>
          </cell>
          <cell r="B323" t="str">
            <v>LEFLUNOMIDA</v>
          </cell>
          <cell r="C323" t="str">
            <v>20 mg</v>
          </cell>
          <cell r="D323">
            <v>0</v>
          </cell>
          <cell r="E323">
            <v>1305</v>
          </cell>
        </row>
        <row r="324">
          <cell r="A324" t="str">
            <v>M-01-01</v>
          </cell>
          <cell r="B324" t="str">
            <v>DICLOFENACO SODICO</v>
          </cell>
          <cell r="C324">
            <v>0.01</v>
          </cell>
          <cell r="D324">
            <v>0</v>
          </cell>
          <cell r="E324">
            <v>2401</v>
          </cell>
        </row>
        <row r="325">
          <cell r="A325" t="str">
            <v>M-01-02</v>
          </cell>
          <cell r="B325" t="str">
            <v>DICLOFENACO SODICO</v>
          </cell>
          <cell r="C325" t="str">
            <v>50 mg</v>
          </cell>
          <cell r="D325">
            <v>0</v>
          </cell>
          <cell r="E325">
            <v>10896</v>
          </cell>
        </row>
        <row r="326">
          <cell r="A326" t="str">
            <v>M-01-03</v>
          </cell>
          <cell r="B326" t="str">
            <v>DICLOFENACO SODICO</v>
          </cell>
          <cell r="C326" t="str">
            <v>75 mg</v>
          </cell>
          <cell r="D326">
            <v>0</v>
          </cell>
          <cell r="E326">
            <v>4111</v>
          </cell>
        </row>
        <row r="327">
          <cell r="A327" t="str">
            <v>M-01-04</v>
          </cell>
          <cell r="B327" t="str">
            <v>IBUPROFENO</v>
          </cell>
          <cell r="C327" t="str">
            <v>100 mg/5 ml</v>
          </cell>
          <cell r="D327">
            <v>0</v>
          </cell>
          <cell r="E327">
            <v>729</v>
          </cell>
        </row>
        <row r="328">
          <cell r="A328" t="str">
            <v>M-01-05</v>
          </cell>
          <cell r="B328" t="str">
            <v>IBUPROFENO</v>
          </cell>
          <cell r="C328" t="str">
            <v>400 mg</v>
          </cell>
          <cell r="D328">
            <v>0</v>
          </cell>
          <cell r="E328">
            <v>38208</v>
          </cell>
        </row>
        <row r="329">
          <cell r="A329" t="str">
            <v>M-01-06</v>
          </cell>
          <cell r="B329" t="str">
            <v>INDOMETACINA</v>
          </cell>
          <cell r="C329" t="str">
            <v>25 mg</v>
          </cell>
          <cell r="D329">
            <v>0</v>
          </cell>
          <cell r="E329">
            <v>643</v>
          </cell>
        </row>
        <row r="330">
          <cell r="A330" t="str">
            <v>M-01-07</v>
          </cell>
          <cell r="B330" t="str">
            <v>INDOMETACINA</v>
          </cell>
          <cell r="C330" t="str">
            <v>100 mg</v>
          </cell>
          <cell r="D330">
            <v>0</v>
          </cell>
          <cell r="E330">
            <v>1423</v>
          </cell>
        </row>
        <row r="331">
          <cell r="A331" t="str">
            <v>M-01-09</v>
          </cell>
          <cell r="B331" t="str">
            <v>KETOROLACO</v>
          </cell>
          <cell r="C331" t="str">
            <v>30 mg/ml</v>
          </cell>
          <cell r="D331">
            <v>0</v>
          </cell>
          <cell r="E331">
            <v>3983</v>
          </cell>
        </row>
        <row r="332">
          <cell r="A332" t="str">
            <v>M-01-10</v>
          </cell>
          <cell r="B332" t="str">
            <v>KETOPROFENO</v>
          </cell>
          <cell r="C332" t="str">
            <v>100 mg</v>
          </cell>
          <cell r="D332">
            <v>0</v>
          </cell>
          <cell r="E332">
            <v>361</v>
          </cell>
        </row>
        <row r="333">
          <cell r="A333" t="str">
            <v>M-01-11</v>
          </cell>
          <cell r="B333" t="str">
            <v>MELOXICAM</v>
          </cell>
          <cell r="C333" t="str">
            <v>15 mg</v>
          </cell>
          <cell r="D333">
            <v>0</v>
          </cell>
          <cell r="E333">
            <v>7813</v>
          </cell>
        </row>
        <row r="334">
          <cell r="A334" t="str">
            <v>M-03-01</v>
          </cell>
          <cell r="B334" t="str">
            <v>ATRACURIO BESILATO</v>
          </cell>
          <cell r="C334" t="str">
            <v>10 mg/ml</v>
          </cell>
          <cell r="D334">
            <v>0</v>
          </cell>
          <cell r="E334">
            <v>309</v>
          </cell>
        </row>
        <row r="335">
          <cell r="A335" t="str">
            <v>M-04-01</v>
          </cell>
          <cell r="B335" t="str">
            <v>ALOPURINOL</v>
          </cell>
          <cell r="C335" t="str">
            <v>300 mg</v>
          </cell>
          <cell r="D335">
            <v>0</v>
          </cell>
          <cell r="E335">
            <v>5537</v>
          </cell>
        </row>
        <row r="336">
          <cell r="A336" t="str">
            <v>M-04-02</v>
          </cell>
          <cell r="B336" t="str">
            <v>COLCHICINA</v>
          </cell>
          <cell r="C336" t="str">
            <v>0,5 mg</v>
          </cell>
          <cell r="D336">
            <v>0</v>
          </cell>
          <cell r="E336">
            <v>773</v>
          </cell>
        </row>
        <row r="337">
          <cell r="A337" t="str">
            <v>M-05-03</v>
          </cell>
          <cell r="B337" t="str">
            <v>ACIDO ALENDRONICO (ALENDRONATO)</v>
          </cell>
          <cell r="C337" t="str">
            <v>70 mg</v>
          </cell>
          <cell r="D337">
            <v>0</v>
          </cell>
          <cell r="E337">
            <v>1479</v>
          </cell>
        </row>
        <row r="338">
          <cell r="A338" t="str">
            <v>M-05-04</v>
          </cell>
          <cell r="B338" t="str">
            <v>ACIDO ZOLEDRONICO</v>
          </cell>
          <cell r="C338" t="str">
            <v>4mg</v>
          </cell>
          <cell r="D338">
            <v>0</v>
          </cell>
          <cell r="E338">
            <v>18</v>
          </cell>
        </row>
        <row r="339">
          <cell r="A339" t="str">
            <v>N-01-02</v>
          </cell>
          <cell r="B339" t="str">
            <v>BUPIVACAINA CLORHIDRATO (PESADA)</v>
          </cell>
          <cell r="C339" t="str">
            <v>0,5%</v>
          </cell>
          <cell r="D339">
            <v>0</v>
          </cell>
          <cell r="E339">
            <v>110</v>
          </cell>
        </row>
        <row r="340">
          <cell r="A340" t="str">
            <v>N-01-05</v>
          </cell>
          <cell r="B340" t="str">
            <v>FENTANILO CON CONSERVANTE (10 ML)</v>
          </cell>
          <cell r="C340" t="str">
            <v>0,05 mg/ml</v>
          </cell>
          <cell r="D340">
            <v>0</v>
          </cell>
          <cell r="E340">
            <v>246</v>
          </cell>
        </row>
        <row r="341">
          <cell r="A341" t="str">
            <v>N-01-12</v>
          </cell>
          <cell r="B341" t="str">
            <v>LIDOCAINA CLORHIDRATO SIN CONSERVANTE</v>
          </cell>
          <cell r="C341">
            <v>0.02</v>
          </cell>
          <cell r="D341">
            <v>0</v>
          </cell>
          <cell r="E341">
            <v>207</v>
          </cell>
        </row>
        <row r="342">
          <cell r="A342" t="str">
            <v>N-01-13</v>
          </cell>
          <cell r="B342" t="str">
            <v>PROPOFOL</v>
          </cell>
          <cell r="C342" t="str">
            <v>10 mg/ml</v>
          </cell>
          <cell r="D342">
            <v>0</v>
          </cell>
          <cell r="E342">
            <v>374</v>
          </cell>
        </row>
        <row r="343">
          <cell r="A343" t="str">
            <v>N-01-16</v>
          </cell>
          <cell r="B343" t="str">
            <v>REMIFENTANILO</v>
          </cell>
          <cell r="C343" t="str">
            <v>5 mg</v>
          </cell>
          <cell r="D343">
            <v>0</v>
          </cell>
          <cell r="E343">
            <v>19</v>
          </cell>
        </row>
        <row r="344">
          <cell r="A344" t="str">
            <v>N-02-03</v>
          </cell>
          <cell r="B344" t="str">
            <v>ERGOTAMINA TARTRATO + CAFEINA</v>
          </cell>
          <cell r="C344" t="str">
            <v>1 mg + 100 mg</v>
          </cell>
          <cell r="D344">
            <v>0</v>
          </cell>
          <cell r="E344">
            <v>2071</v>
          </cell>
        </row>
        <row r="345">
          <cell r="A345" t="str">
            <v>N-02-05</v>
          </cell>
          <cell r="B345" t="str">
            <v>METAMIZOL (DIPIRONA)</v>
          </cell>
          <cell r="C345" t="str">
            <v>1 g</v>
          </cell>
          <cell r="D345">
            <v>0</v>
          </cell>
          <cell r="E345">
            <v>4613</v>
          </cell>
        </row>
        <row r="346">
          <cell r="A346" t="str">
            <v>N-02-07</v>
          </cell>
          <cell r="B346" t="str">
            <v>MORFINA (CON Y SIN CONSERVANTE)</v>
          </cell>
          <cell r="C346" t="str">
            <v>10 mg/ml</v>
          </cell>
          <cell r="D346">
            <v>0</v>
          </cell>
          <cell r="E346">
            <v>143</v>
          </cell>
        </row>
        <row r="347">
          <cell r="A347" t="str">
            <v>N-02-08</v>
          </cell>
          <cell r="B347" t="str">
            <v>PARACETAMOL (ACETAMINOFENO)</v>
          </cell>
          <cell r="C347" t="str">
            <v>500 mg</v>
          </cell>
          <cell r="D347">
            <v>0</v>
          </cell>
          <cell r="E347">
            <v>13758</v>
          </cell>
        </row>
        <row r="348">
          <cell r="A348" t="str">
            <v>N-02-09</v>
          </cell>
          <cell r="B348" t="str">
            <v>PARACETAMOL (ACETAMINOFENO)</v>
          </cell>
          <cell r="C348" t="str">
            <v>125 mg/5 ml o 120 mg/5 ml</v>
          </cell>
          <cell r="D348">
            <v>0</v>
          </cell>
          <cell r="E348">
            <v>127</v>
          </cell>
        </row>
        <row r="349">
          <cell r="A349" t="str">
            <v>N-02-10</v>
          </cell>
          <cell r="B349" t="str">
            <v>PARACETAMOL (ACETAMINOFENO)</v>
          </cell>
          <cell r="C349" t="str">
            <v>100 mg/ml</v>
          </cell>
          <cell r="D349">
            <v>0</v>
          </cell>
          <cell r="E349">
            <v>47</v>
          </cell>
        </row>
        <row r="350">
          <cell r="A350" t="str">
            <v>N-02-11</v>
          </cell>
          <cell r="B350" t="str">
            <v>PARACETAMOL (ACETAMINOFENO)</v>
          </cell>
          <cell r="C350" t="str">
            <v>100 mg</v>
          </cell>
          <cell r="D350">
            <v>0</v>
          </cell>
          <cell r="E350">
            <v>26</v>
          </cell>
        </row>
        <row r="351">
          <cell r="A351" t="str">
            <v>N-02-14</v>
          </cell>
          <cell r="B351" t="str">
            <v>TRAMADOL</v>
          </cell>
          <cell r="C351" t="str">
            <v>100 mg/2 ml</v>
          </cell>
          <cell r="D351">
            <v>0</v>
          </cell>
          <cell r="E351">
            <v>697</v>
          </cell>
        </row>
        <row r="352">
          <cell r="A352" t="str">
            <v>N-02-15</v>
          </cell>
          <cell r="B352" t="str">
            <v>TRAMADOL</v>
          </cell>
          <cell r="C352" t="str">
            <v>50 mg</v>
          </cell>
          <cell r="D352">
            <v>0</v>
          </cell>
          <cell r="E352">
            <v>3748</v>
          </cell>
        </row>
        <row r="353">
          <cell r="A353" t="str">
            <v>N-02-17</v>
          </cell>
          <cell r="B353" t="str">
            <v>TRAMADOL</v>
          </cell>
          <cell r="C353" t="str">
            <v>100 mg/ml</v>
          </cell>
          <cell r="D353">
            <v>0</v>
          </cell>
          <cell r="E353">
            <v>143</v>
          </cell>
        </row>
        <row r="354">
          <cell r="A354" t="str">
            <v>N-03-03</v>
          </cell>
          <cell r="B354" t="str">
            <v>ACIDO VALPROICO O VALPROATO SODICO</v>
          </cell>
          <cell r="C354" t="str">
            <v>500 mg</v>
          </cell>
          <cell r="D354">
            <v>0</v>
          </cell>
          <cell r="E354">
            <v>7730</v>
          </cell>
        </row>
        <row r="355">
          <cell r="A355" t="str">
            <v>N-03-04</v>
          </cell>
          <cell r="B355" t="str">
            <v>CARBAMAZEPINA</v>
          </cell>
          <cell r="C355" t="str">
            <v>200 mg</v>
          </cell>
          <cell r="D355">
            <v>0</v>
          </cell>
          <cell r="E355">
            <v>2924</v>
          </cell>
        </row>
        <row r="356">
          <cell r="A356" t="str">
            <v>N-03-06</v>
          </cell>
          <cell r="B356" t="str">
            <v>CLONAZEPAM</v>
          </cell>
          <cell r="C356" t="str">
            <v>2 mg</v>
          </cell>
          <cell r="D356">
            <v>0</v>
          </cell>
          <cell r="E356">
            <v>6561</v>
          </cell>
        </row>
        <row r="357">
          <cell r="A357" t="str">
            <v>N-03-07</v>
          </cell>
          <cell r="B357" t="str">
            <v>FENITOINA</v>
          </cell>
          <cell r="C357" t="str">
            <v>50 mg/ml</v>
          </cell>
          <cell r="D357">
            <v>0</v>
          </cell>
          <cell r="E357">
            <v>60</v>
          </cell>
        </row>
        <row r="358">
          <cell r="A358" t="str">
            <v>N-03-08</v>
          </cell>
          <cell r="B358" t="str">
            <v>FENITOINA</v>
          </cell>
          <cell r="C358" t="str">
            <v>100 mg</v>
          </cell>
          <cell r="D358">
            <v>0</v>
          </cell>
          <cell r="E358">
            <v>3702</v>
          </cell>
        </row>
        <row r="359">
          <cell r="A359" t="str">
            <v>N-03-12</v>
          </cell>
          <cell r="B359" t="str">
            <v>CLONAZEPAM</v>
          </cell>
          <cell r="C359" t="str">
            <v>2,5 mg/ml</v>
          </cell>
          <cell r="D359">
            <v>0</v>
          </cell>
          <cell r="E359">
            <v>225</v>
          </cell>
        </row>
        <row r="360">
          <cell r="A360" t="str">
            <v>N-03-17</v>
          </cell>
          <cell r="B360" t="str">
            <v>LAMOTRIGINA</v>
          </cell>
          <cell r="C360" t="str">
            <v>100 mg</v>
          </cell>
          <cell r="D360">
            <v>0</v>
          </cell>
          <cell r="E360">
            <v>800</v>
          </cell>
        </row>
        <row r="361">
          <cell r="A361" t="str">
            <v>N-03-20</v>
          </cell>
          <cell r="B361" t="str">
            <v>PREGABALINA 75 MG</v>
          </cell>
          <cell r="C361" t="str">
            <v>75 MG</v>
          </cell>
          <cell r="D361">
            <v>0</v>
          </cell>
          <cell r="E361">
            <v>4840</v>
          </cell>
        </row>
        <row r="362">
          <cell r="A362" t="str">
            <v>N-03-21</v>
          </cell>
          <cell r="B362" t="str">
            <v>PREGABALINA</v>
          </cell>
          <cell r="C362" t="str">
            <v>150 MG.</v>
          </cell>
          <cell r="D362">
            <v>0</v>
          </cell>
          <cell r="E362">
            <v>9062</v>
          </cell>
        </row>
        <row r="363">
          <cell r="A363" t="str">
            <v>N-03-22</v>
          </cell>
          <cell r="B363" t="str">
            <v>ACIDO VALPROICO Ò VALPROATO SODICO</v>
          </cell>
          <cell r="C363" t="str">
            <v>200/MG/ML</v>
          </cell>
          <cell r="D363">
            <v>0</v>
          </cell>
          <cell r="E363">
            <v>50</v>
          </cell>
        </row>
        <row r="364">
          <cell r="A364" t="str">
            <v>N-04-01</v>
          </cell>
          <cell r="B364" t="str">
            <v>BIPERIDENO CLORHIDRATO</v>
          </cell>
          <cell r="C364" t="str">
            <v>4 mg</v>
          </cell>
          <cell r="D364">
            <v>0</v>
          </cell>
          <cell r="E364">
            <v>1615</v>
          </cell>
        </row>
        <row r="365">
          <cell r="A365" t="str">
            <v>N-04-02</v>
          </cell>
          <cell r="B365" t="str">
            <v>LEVODOPA + CARBIDOPA</v>
          </cell>
          <cell r="C365" t="str">
            <v>250 mg + 25 mg</v>
          </cell>
          <cell r="D365">
            <v>0</v>
          </cell>
          <cell r="E365">
            <v>3775</v>
          </cell>
        </row>
        <row r="366">
          <cell r="A366" t="str">
            <v>N-05-01</v>
          </cell>
          <cell r="B366" t="str">
            <v>ALPRAZOLAM</v>
          </cell>
          <cell r="C366" t="str">
            <v>0,5 mg</v>
          </cell>
          <cell r="D366">
            <v>0</v>
          </cell>
          <cell r="E366">
            <v>18956</v>
          </cell>
        </row>
        <row r="367">
          <cell r="A367" t="str">
            <v>N-05-05</v>
          </cell>
          <cell r="B367" t="str">
            <v>DIAZEPAM</v>
          </cell>
          <cell r="C367" t="str">
            <v>10 mg</v>
          </cell>
          <cell r="D367">
            <v>0</v>
          </cell>
          <cell r="E367">
            <v>57</v>
          </cell>
        </row>
        <row r="368">
          <cell r="A368" t="str">
            <v>N-05-11</v>
          </cell>
          <cell r="B368" t="str">
            <v>MIDAZOLAM</v>
          </cell>
          <cell r="C368" t="str">
            <v>15 mg/3 ml</v>
          </cell>
          <cell r="D368">
            <v>0</v>
          </cell>
          <cell r="E368">
            <v>382</v>
          </cell>
        </row>
        <row r="369">
          <cell r="A369" t="str">
            <v>N-05-18</v>
          </cell>
          <cell r="B369" t="str">
            <v>QUETIAPINA</v>
          </cell>
          <cell r="C369" t="str">
            <v>100 mg</v>
          </cell>
          <cell r="D369">
            <v>0</v>
          </cell>
          <cell r="E369">
            <v>499</v>
          </cell>
        </row>
        <row r="370">
          <cell r="A370" t="str">
            <v>N-06-01</v>
          </cell>
          <cell r="B370" t="str">
            <v>AMITRIPTILINA</v>
          </cell>
          <cell r="C370" t="str">
            <v>25 mg</v>
          </cell>
          <cell r="D370">
            <v>0</v>
          </cell>
          <cell r="E370">
            <v>2594</v>
          </cell>
        </row>
        <row r="371">
          <cell r="A371" t="str">
            <v>N-06-04</v>
          </cell>
          <cell r="B371" t="str">
            <v>FLUOXETINA</v>
          </cell>
          <cell r="C371" t="str">
            <v>20 mg</v>
          </cell>
          <cell r="D371">
            <v>0</v>
          </cell>
          <cell r="E371">
            <v>9727</v>
          </cell>
        </row>
        <row r="372">
          <cell r="A372" t="str">
            <v>N-06-08</v>
          </cell>
          <cell r="B372" t="str">
            <v>DULOXETINA</v>
          </cell>
          <cell r="C372" t="str">
            <v>30mg</v>
          </cell>
          <cell r="D372">
            <v>0</v>
          </cell>
          <cell r="E372">
            <v>1975</v>
          </cell>
        </row>
        <row r="373">
          <cell r="A373" t="str">
            <v>N-07-01</v>
          </cell>
          <cell r="B373" t="str">
            <v>DIMENHIDRINATO</v>
          </cell>
          <cell r="C373" t="str">
            <v>50 mg</v>
          </cell>
          <cell r="D373">
            <v>0</v>
          </cell>
          <cell r="E373">
            <v>1657</v>
          </cell>
        </row>
        <row r="374">
          <cell r="A374" t="str">
            <v>N-07-05</v>
          </cell>
          <cell r="B374" t="str">
            <v>NEOSTIGMINA</v>
          </cell>
          <cell r="C374" t="str">
            <v>0,5 mg/ml</v>
          </cell>
          <cell r="D374">
            <v>0</v>
          </cell>
          <cell r="E374">
            <v>89</v>
          </cell>
        </row>
        <row r="375">
          <cell r="A375" t="str">
            <v>N-07-06</v>
          </cell>
          <cell r="B375" t="str">
            <v>PIRIDOSTIGMINA</v>
          </cell>
          <cell r="C375" t="str">
            <v>60 mg</v>
          </cell>
          <cell r="D375">
            <v>0</v>
          </cell>
          <cell r="E375">
            <v>1500</v>
          </cell>
        </row>
        <row r="376">
          <cell r="A376" t="str">
            <v>N-07-08</v>
          </cell>
          <cell r="B376" t="str">
            <v>FLUNARIZINA</v>
          </cell>
          <cell r="C376" t="str">
            <v>10 mg</v>
          </cell>
          <cell r="D376">
            <v>0</v>
          </cell>
          <cell r="E376">
            <v>4844</v>
          </cell>
        </row>
        <row r="377">
          <cell r="A377" t="str">
            <v>P-01-06</v>
          </cell>
          <cell r="B377" t="str">
            <v>METRONIDAZOL</v>
          </cell>
          <cell r="C377" t="str">
            <v>250 mg/5 ml</v>
          </cell>
          <cell r="D377">
            <v>0</v>
          </cell>
          <cell r="E377">
            <v>2</v>
          </cell>
        </row>
        <row r="378">
          <cell r="A378" t="str">
            <v>P-01-07</v>
          </cell>
          <cell r="B378" t="str">
            <v>METRONIDAZOL</v>
          </cell>
          <cell r="C378" t="str">
            <v>500 mg</v>
          </cell>
          <cell r="D378">
            <v>0</v>
          </cell>
          <cell r="E378">
            <v>448</v>
          </cell>
        </row>
        <row r="379">
          <cell r="A379" t="str">
            <v>P-01-09</v>
          </cell>
          <cell r="B379" t="str">
            <v>METRONIDAZOL</v>
          </cell>
          <cell r="C379" t="str">
            <v>500 mg</v>
          </cell>
          <cell r="D379">
            <v>0</v>
          </cell>
          <cell r="E379">
            <v>1275</v>
          </cell>
        </row>
        <row r="380">
          <cell r="A380" t="str">
            <v>P-01-11</v>
          </cell>
          <cell r="B380" t="str">
            <v>NITAZOXANIDA</v>
          </cell>
          <cell r="C380" t="str">
            <v>500 mg</v>
          </cell>
          <cell r="D380">
            <v>0</v>
          </cell>
          <cell r="E380">
            <v>212</v>
          </cell>
        </row>
        <row r="381">
          <cell r="A381" t="str">
            <v>P-01-27</v>
          </cell>
          <cell r="B381" t="str">
            <v>HIDROXICLOROQUINA SULFATO</v>
          </cell>
          <cell r="C381" t="str">
            <v>200 mg</v>
          </cell>
          <cell r="D381">
            <v>0</v>
          </cell>
          <cell r="E381">
            <v>1215</v>
          </cell>
        </row>
        <row r="382">
          <cell r="A382" t="str">
            <v>P-02-01</v>
          </cell>
          <cell r="B382" t="str">
            <v>ALBENDAZOL</v>
          </cell>
          <cell r="C382" t="str">
            <v>200 mg</v>
          </cell>
          <cell r="D382">
            <v>0</v>
          </cell>
          <cell r="E382">
            <v>126</v>
          </cell>
        </row>
        <row r="383">
          <cell r="A383" t="str">
            <v>P-02-02</v>
          </cell>
          <cell r="B383" t="str">
            <v>ALBENDAZOL</v>
          </cell>
          <cell r="C383" t="str">
            <v>200 mg/5 ml</v>
          </cell>
          <cell r="D383">
            <v>0</v>
          </cell>
          <cell r="E383">
            <v>16</v>
          </cell>
        </row>
        <row r="384">
          <cell r="A384" t="str">
            <v>P-02-03</v>
          </cell>
          <cell r="B384" t="str">
            <v>MEBENDAZOL</v>
          </cell>
          <cell r="C384" t="str">
            <v>100 mg</v>
          </cell>
          <cell r="D384">
            <v>0</v>
          </cell>
          <cell r="E384">
            <v>36</v>
          </cell>
        </row>
        <row r="385">
          <cell r="A385" t="str">
            <v>P-02-05</v>
          </cell>
          <cell r="B385" t="str">
            <v>MEBENDAZOL</v>
          </cell>
          <cell r="C385" t="str">
            <v>500 mg</v>
          </cell>
          <cell r="D385">
            <v>0</v>
          </cell>
          <cell r="E385">
            <v>2</v>
          </cell>
        </row>
        <row r="386">
          <cell r="A386" t="str">
            <v>P-02-08</v>
          </cell>
          <cell r="B386" t="str">
            <v>PIRANTEL PAMOATO</v>
          </cell>
          <cell r="C386" t="str">
            <v>250 mg/5 ml</v>
          </cell>
          <cell r="D386">
            <v>0</v>
          </cell>
          <cell r="E386">
            <v>3</v>
          </cell>
        </row>
        <row r="387">
          <cell r="A387" t="str">
            <v>P-02-14</v>
          </cell>
          <cell r="B387" t="str">
            <v>IVERMECTINA</v>
          </cell>
          <cell r="C387" t="str">
            <v>6 MG</v>
          </cell>
          <cell r="D387">
            <v>0</v>
          </cell>
          <cell r="E387">
            <v>497</v>
          </cell>
        </row>
        <row r="388">
          <cell r="A388" t="str">
            <v>P-03-01</v>
          </cell>
          <cell r="B388" t="str">
            <v>BENZOATO DE BENCILO</v>
          </cell>
          <cell r="C388" t="str">
            <v>20% o 25%</v>
          </cell>
          <cell r="D388">
            <v>0</v>
          </cell>
          <cell r="E388">
            <v>11</v>
          </cell>
        </row>
        <row r="389">
          <cell r="A389" t="str">
            <v>QU-01-27</v>
          </cell>
          <cell r="B389" t="str">
            <v xml:space="preserve">MALLA SUB-URETRAL DE POLIPROPILENO TOT 1,70X30 MALLA SUB-URETRAL DE POLIPROPILENO TOT 1,70X30 </v>
          </cell>
          <cell r="C389" t="str">
            <v>s/d</v>
          </cell>
          <cell r="D389">
            <v>0</v>
          </cell>
          <cell r="E389">
            <v>1</v>
          </cell>
        </row>
        <row r="390">
          <cell r="A390" t="str">
            <v>R-03-03</v>
          </cell>
          <cell r="B390" t="str">
            <v>BECLOMETASONA DIPROPIONATO</v>
          </cell>
          <cell r="C390" t="str">
            <v>50 mcg/inhalación</v>
          </cell>
          <cell r="D390">
            <v>0</v>
          </cell>
          <cell r="E390">
            <v>54</v>
          </cell>
        </row>
        <row r="391">
          <cell r="A391" t="str">
            <v>R-03-04</v>
          </cell>
          <cell r="B391" t="str">
            <v>SALBUTAMOL</v>
          </cell>
          <cell r="C391" t="str">
            <v>5 mg/ml</v>
          </cell>
          <cell r="D391">
            <v>0</v>
          </cell>
          <cell r="E391">
            <v>10</v>
          </cell>
        </row>
        <row r="392">
          <cell r="A392" t="str">
            <v>R-03-06</v>
          </cell>
          <cell r="B392" t="str">
            <v>SALBUTAMOL</v>
          </cell>
          <cell r="C392" t="str">
            <v>0,1 mg/inhalación</v>
          </cell>
          <cell r="D392">
            <v>0</v>
          </cell>
          <cell r="E392">
            <v>153</v>
          </cell>
        </row>
        <row r="393">
          <cell r="A393" t="str">
            <v>R-03-11</v>
          </cell>
          <cell r="B393" t="str">
            <v>SALMETEROL + FLUTICASONA</v>
          </cell>
          <cell r="C393" t="str">
            <v>25 mcg + 125 mcg</v>
          </cell>
          <cell r="D393">
            <v>0</v>
          </cell>
          <cell r="E393">
            <v>225</v>
          </cell>
        </row>
        <row r="394">
          <cell r="A394" t="str">
            <v>R-03-13</v>
          </cell>
          <cell r="B394" t="str">
            <v>MONTELUKAST</v>
          </cell>
          <cell r="C394" t="str">
            <v>10mg</v>
          </cell>
          <cell r="D394">
            <v>0</v>
          </cell>
          <cell r="E394">
            <v>975</v>
          </cell>
        </row>
        <row r="395">
          <cell r="A395" t="str">
            <v>R-05-01</v>
          </cell>
          <cell r="B395" t="str">
            <v>ANTIGRIPAL (PARACETAMOL + ANTIHISTAMINICO + VASOCONSTRICTOR CON O SIN CAFEINA)</v>
          </cell>
          <cell r="C395" t="str">
            <v>Según disponibilidad</v>
          </cell>
          <cell r="D395">
            <v>0</v>
          </cell>
          <cell r="E395">
            <v>15397</v>
          </cell>
        </row>
        <row r="396">
          <cell r="A396" t="str">
            <v>R-05-02</v>
          </cell>
          <cell r="B396" t="str">
            <v>CODEINA</v>
          </cell>
          <cell r="C396" t="str">
            <v>10 mg/5 ml</v>
          </cell>
          <cell r="D396">
            <v>0</v>
          </cell>
          <cell r="E396">
            <v>474</v>
          </cell>
        </row>
        <row r="397">
          <cell r="A397" t="str">
            <v>R-05-03</v>
          </cell>
          <cell r="B397" t="str">
            <v>DEXTROMETORFANO BROMHIDRATO</v>
          </cell>
          <cell r="C397" t="str">
            <v>10 mg/5 ml</v>
          </cell>
          <cell r="D397">
            <v>0</v>
          </cell>
          <cell r="E397">
            <v>1434</v>
          </cell>
        </row>
        <row r="398">
          <cell r="A398" t="str">
            <v>R-06-01</v>
          </cell>
          <cell r="B398" t="str">
            <v>CLORFENAMINA (CLORFENIRAMINA)</v>
          </cell>
          <cell r="C398" t="str">
            <v>4 mg</v>
          </cell>
          <cell r="D398">
            <v>0</v>
          </cell>
          <cell r="E398">
            <v>906</v>
          </cell>
        </row>
        <row r="399">
          <cell r="A399" t="str">
            <v>R-06-02</v>
          </cell>
          <cell r="B399" t="str">
            <v>CLORFENAMINA (CLORFENIRAMINA)</v>
          </cell>
          <cell r="C399" t="str">
            <v>2 mg/5 ml</v>
          </cell>
          <cell r="D399">
            <v>0</v>
          </cell>
          <cell r="E399">
            <v>44</v>
          </cell>
        </row>
        <row r="400">
          <cell r="A400" t="str">
            <v>R-06-03</v>
          </cell>
          <cell r="B400" t="str">
            <v>CLORFENAMINA (CLORFENIRAMINA)</v>
          </cell>
          <cell r="C400" t="str">
            <v>10 mg/ml</v>
          </cell>
          <cell r="D400">
            <v>0</v>
          </cell>
          <cell r="E400">
            <v>426</v>
          </cell>
        </row>
        <row r="401">
          <cell r="A401" t="str">
            <v>R-06-04</v>
          </cell>
          <cell r="B401" t="str">
            <v>KETOTIFENO</v>
          </cell>
          <cell r="C401" t="str">
            <v>1 mg</v>
          </cell>
          <cell r="D401">
            <v>0</v>
          </cell>
          <cell r="E401">
            <v>160</v>
          </cell>
        </row>
        <row r="402">
          <cell r="A402" t="str">
            <v>R-06-07</v>
          </cell>
          <cell r="B402" t="str">
            <v>CETIRIZINA</v>
          </cell>
          <cell r="C402" t="str">
            <v>10 mg</v>
          </cell>
          <cell r="D402">
            <v>0</v>
          </cell>
          <cell r="E402">
            <v>5573</v>
          </cell>
        </row>
        <row r="403">
          <cell r="A403" t="str">
            <v>R-06-08</v>
          </cell>
          <cell r="B403" t="str">
            <v>CETIRIZINA</v>
          </cell>
          <cell r="C403" t="str">
            <v>5 mg/5 ml</v>
          </cell>
          <cell r="D403">
            <v>0</v>
          </cell>
          <cell r="E403">
            <v>55</v>
          </cell>
        </row>
        <row r="404">
          <cell r="A404" t="str">
            <v>S-01-04</v>
          </cell>
          <cell r="B404" t="str">
            <v>CIPROFLOXACINA</v>
          </cell>
          <cell r="C404" t="str">
            <v>0,3%</v>
          </cell>
          <cell r="D404">
            <v>0</v>
          </cell>
          <cell r="E404">
            <v>30</v>
          </cell>
        </row>
        <row r="405">
          <cell r="A405" t="str">
            <v>S-01-05</v>
          </cell>
          <cell r="B405" t="str">
            <v>CLORANFENICOL</v>
          </cell>
          <cell r="C405" t="str">
            <v>0,5%</v>
          </cell>
          <cell r="D405">
            <v>0</v>
          </cell>
          <cell r="E405">
            <v>10</v>
          </cell>
        </row>
        <row r="406">
          <cell r="A406" t="str">
            <v>S-01-06</v>
          </cell>
          <cell r="B406" t="str">
            <v>CLORANFENICOL</v>
          </cell>
          <cell r="C406">
            <v>0.01</v>
          </cell>
          <cell r="D406">
            <v>0</v>
          </cell>
          <cell r="E406">
            <v>5</v>
          </cell>
        </row>
        <row r="407">
          <cell r="A407" t="str">
            <v>S-01-09</v>
          </cell>
          <cell r="B407" t="str">
            <v>DEXAMETASONA</v>
          </cell>
          <cell r="C407" t="str">
            <v>0,1%</v>
          </cell>
          <cell r="D407">
            <v>0</v>
          </cell>
          <cell r="E407">
            <v>186</v>
          </cell>
        </row>
        <row r="408">
          <cell r="A408" t="str">
            <v>S-01-12</v>
          </cell>
          <cell r="B408" t="str">
            <v>DORZOLAMIDA</v>
          </cell>
          <cell r="C408">
            <v>0.02</v>
          </cell>
          <cell r="D408">
            <v>0</v>
          </cell>
          <cell r="E408">
            <v>134</v>
          </cell>
        </row>
        <row r="409">
          <cell r="A409" t="str">
            <v>S-01-15</v>
          </cell>
          <cell r="B409" t="str">
            <v>GENTAMICINA</v>
          </cell>
          <cell r="C409" t="str">
            <v>0,3%</v>
          </cell>
          <cell r="D409">
            <v>0</v>
          </cell>
          <cell r="E409">
            <v>7</v>
          </cell>
        </row>
        <row r="410">
          <cell r="A410" t="str">
            <v>S-01-16</v>
          </cell>
          <cell r="B410" t="str">
            <v>GENTAMICINA</v>
          </cell>
          <cell r="C410" t="str">
            <v>0,3%</v>
          </cell>
          <cell r="D410">
            <v>0</v>
          </cell>
          <cell r="E410">
            <v>133</v>
          </cell>
        </row>
        <row r="411">
          <cell r="A411" t="str">
            <v>S-01-18</v>
          </cell>
          <cell r="B411" t="str">
            <v>LAGRIMAS ARTIFICIALES</v>
          </cell>
          <cell r="C411" t="str">
            <v>0,3% o 1%</v>
          </cell>
          <cell r="D411">
            <v>0</v>
          </cell>
          <cell r="E411">
            <v>1055</v>
          </cell>
        </row>
        <row r="412">
          <cell r="A412" t="str">
            <v>S-01-19</v>
          </cell>
          <cell r="B412" t="str">
            <v>NAFAZOLINA CLORHIDRATO</v>
          </cell>
          <cell r="C412" t="str">
            <v>0,1%</v>
          </cell>
          <cell r="D412">
            <v>0</v>
          </cell>
          <cell r="E412">
            <v>50</v>
          </cell>
        </row>
        <row r="413">
          <cell r="A413" t="str">
            <v>S-01-22</v>
          </cell>
          <cell r="B413" t="str">
            <v>TIMOLOL MALEATO</v>
          </cell>
          <cell r="C413" t="str">
            <v>0,5%</v>
          </cell>
          <cell r="D413">
            <v>0</v>
          </cell>
          <cell r="E413">
            <v>349</v>
          </cell>
        </row>
        <row r="414">
          <cell r="A414" t="str">
            <v>S-01-24</v>
          </cell>
          <cell r="B414" t="str">
            <v>CORTICOIDE  (DEXAMETASONA) + ANTIINFECCIOSO (CIPROFLOXACINO) DE ACCION TOPICA</v>
          </cell>
          <cell r="C414" t="str">
            <v>Según disponibilidad</v>
          </cell>
          <cell r="D414">
            <v>0</v>
          </cell>
          <cell r="E414">
            <v>48</v>
          </cell>
        </row>
        <row r="415">
          <cell r="A415" t="str">
            <v>S-01-25</v>
          </cell>
          <cell r="B415" t="str">
            <v>CORTICOIDE + ANTIINFECCIOSO DE ACCION TOPICA</v>
          </cell>
          <cell r="C415" t="str">
            <v>Según disponibilidad</v>
          </cell>
          <cell r="D415">
            <v>0</v>
          </cell>
          <cell r="E415">
            <v>15</v>
          </cell>
        </row>
        <row r="416">
          <cell r="A416" t="str">
            <v>S-01-26</v>
          </cell>
          <cell r="B416" t="str">
            <v>LAGRIMAS ARTIFICIALES</v>
          </cell>
          <cell r="C416" t="str">
            <v>0,3% o 1%</v>
          </cell>
          <cell r="D416">
            <v>0</v>
          </cell>
          <cell r="E416">
            <v>18</v>
          </cell>
        </row>
        <row r="417">
          <cell r="A417" t="str">
            <v>S-01-27</v>
          </cell>
          <cell r="B417" t="str">
            <v>LATANOPROST</v>
          </cell>
          <cell r="C417" t="str">
            <v>50 mcg/ml</v>
          </cell>
          <cell r="D417">
            <v>0</v>
          </cell>
          <cell r="E417">
            <v>198</v>
          </cell>
        </row>
        <row r="418">
          <cell r="A418" t="str">
            <v>S-02-01</v>
          </cell>
          <cell r="B418" t="str">
            <v>GLICERINA + CARBONATO DE SODIO</v>
          </cell>
          <cell r="C418" t="str">
            <v>Según disponibilidad</v>
          </cell>
          <cell r="D418">
            <v>0</v>
          </cell>
          <cell r="E418">
            <v>24</v>
          </cell>
        </row>
        <row r="419">
          <cell r="A419" t="str">
            <v>V-03-01</v>
          </cell>
          <cell r="B419" t="str">
            <v>ACETIL CISTEINA</v>
          </cell>
          <cell r="C419">
            <v>0.1</v>
          </cell>
          <cell r="D419">
            <v>0</v>
          </cell>
          <cell r="E419">
            <v>3388</v>
          </cell>
        </row>
        <row r="420">
          <cell r="A420" t="str">
            <v>V-03-07</v>
          </cell>
          <cell r="B420" t="str">
            <v>LEUCOVORINA</v>
          </cell>
          <cell r="C420" t="str">
            <v>50 mg</v>
          </cell>
          <cell r="D420">
            <v>0</v>
          </cell>
          <cell r="E420">
            <v>105</v>
          </cell>
        </row>
        <row r="421">
          <cell r="A421" t="str">
            <v>V-06-01</v>
          </cell>
          <cell r="B421" t="str">
            <v>PROTEINAS PARA ALIMENTACION ENTERAL (ALIMENTO)</v>
          </cell>
          <cell r="C421" t="str">
            <v>Según disponibilidad</v>
          </cell>
          <cell r="D421">
            <v>0</v>
          </cell>
          <cell r="E421">
            <v>39</v>
          </cell>
        </row>
        <row r="422">
          <cell r="A422" t="str">
            <v>V-06-04</v>
          </cell>
          <cell r="B422" t="str">
            <v>COMPLEMENTO NUTRICIONAL (CARMELO)</v>
          </cell>
          <cell r="C422" t="str">
            <v>Según concentración</v>
          </cell>
          <cell r="D422">
            <v>0</v>
          </cell>
          <cell r="E422">
            <v>323</v>
          </cell>
        </row>
        <row r="423">
          <cell r="A423" t="str">
            <v>V-06-05</v>
          </cell>
          <cell r="B423" t="str">
            <v>COMPLEMENTO NUTRICIONAL</v>
          </cell>
          <cell r="C423" t="str">
            <v>Según concentración</v>
          </cell>
          <cell r="D423">
            <v>0</v>
          </cell>
          <cell r="E423">
            <v>121</v>
          </cell>
        </row>
        <row r="424">
          <cell r="A424" t="str">
            <v>V-06-06</v>
          </cell>
          <cell r="B424" t="str">
            <v>COMPLEMENTO NUTRICIONAL (DIABETICO)</v>
          </cell>
          <cell r="C424" t="str">
            <v>Según concentración</v>
          </cell>
          <cell r="D424">
            <v>0</v>
          </cell>
          <cell r="E424">
            <v>43</v>
          </cell>
        </row>
        <row r="425">
          <cell r="A425" t="str">
            <v>V-08-02</v>
          </cell>
          <cell r="B425" t="str">
            <v>CONTRASTE IODADO</v>
          </cell>
          <cell r="C425" t="str">
            <v>Según disponibilidad (50 ml)</v>
          </cell>
          <cell r="D425">
            <v>0</v>
          </cell>
          <cell r="E425">
            <v>25</v>
          </cell>
        </row>
        <row r="426">
          <cell r="A426" t="str">
            <v>V-08-03</v>
          </cell>
          <cell r="B426" t="str">
            <v>CONTRASTE IODADO</v>
          </cell>
          <cell r="C426" t="str">
            <v>Según disponibilidad (100 ml o 200 ml)</v>
          </cell>
          <cell r="D426">
            <v>0</v>
          </cell>
          <cell r="E426">
            <v>19</v>
          </cell>
        </row>
        <row r="427">
          <cell r="A427" t="str">
            <v>V-08-05</v>
          </cell>
          <cell r="B427" t="str">
            <v>GADOPENTATO DE DIMEGLUMINA</v>
          </cell>
          <cell r="C427" t="str">
            <v>469 mg/ml</v>
          </cell>
          <cell r="D427">
            <v>0</v>
          </cell>
          <cell r="E427">
            <v>24</v>
          </cell>
        </row>
        <row r="428">
          <cell r="A428" t="str">
            <v>V-08-06</v>
          </cell>
          <cell r="B428" t="str">
            <v>MEGLUMINA DIATRIZOATO</v>
          </cell>
          <cell r="C428" t="str">
            <v>70% o 76% (20 ml)</v>
          </cell>
          <cell r="D428">
            <v>0</v>
          </cell>
          <cell r="E428">
            <v>8</v>
          </cell>
        </row>
        <row r="429">
          <cell r="A429" t="str">
            <v>V-08-07</v>
          </cell>
          <cell r="B429" t="str">
            <v>MEGLUMINA DIATRIZOATO</v>
          </cell>
          <cell r="C429" t="str">
            <v>70% o 76% (50 ml)</v>
          </cell>
          <cell r="D429">
            <v>0</v>
          </cell>
          <cell r="E429">
            <v>59</v>
          </cell>
        </row>
        <row r="430">
          <cell r="A430" t="str">
            <v>V-08-08</v>
          </cell>
          <cell r="B430" t="str">
            <v>SULFATO DE BARIO</v>
          </cell>
          <cell r="C430" t="str">
            <v>Según disponibilidad</v>
          </cell>
          <cell r="D430">
            <v>0</v>
          </cell>
          <cell r="E430">
            <v>8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</sheetNames>
    <sheetDataSet>
      <sheetData sheetId="0">
        <row r="1">
          <cell r="A1" t="str">
            <v>Codigo</v>
          </cell>
          <cell r="B1" t="str">
            <v>Descripción</v>
          </cell>
          <cell r="C1" t="str">
            <v>Concentración</v>
          </cell>
          <cell r="D1" t="str">
            <v>Precio</v>
          </cell>
          <cell r="E1" t="str">
            <v>Suma de Cantidad</v>
          </cell>
        </row>
        <row r="2">
          <cell r="A2" t="str">
            <v>A-02-01</v>
          </cell>
          <cell r="B2" t="str">
            <v>HIDROXIDO DE ALUMINIO Y MAGNESIO</v>
          </cell>
          <cell r="C2">
            <v>4.2361111111111113E-2</v>
          </cell>
          <cell r="D2">
            <v>8</v>
          </cell>
          <cell r="E2">
            <v>980</v>
          </cell>
        </row>
        <row r="3">
          <cell r="A3" t="str">
            <v>A-02-02</v>
          </cell>
          <cell r="B3" t="str">
            <v>OMEPRAZOL</v>
          </cell>
          <cell r="C3" t="str">
            <v>20 mg</v>
          </cell>
          <cell r="D3">
            <v>0.271812</v>
          </cell>
          <cell r="E3">
            <v>52020</v>
          </cell>
        </row>
        <row r="4">
          <cell r="A4" t="str">
            <v>A-02-03</v>
          </cell>
          <cell r="B4" t="str">
            <v>RANITIDINA</v>
          </cell>
          <cell r="C4" t="str">
            <v>150 mg</v>
          </cell>
          <cell r="D4">
            <v>0.366504</v>
          </cell>
          <cell r="E4">
            <v>1577</v>
          </cell>
        </row>
        <row r="5">
          <cell r="A5" t="str">
            <v>A-02-04</v>
          </cell>
          <cell r="B5" t="str">
            <v>RANITIDINA</v>
          </cell>
          <cell r="C5" t="str">
            <v>50 mg</v>
          </cell>
          <cell r="D5">
            <v>1.1975199999999999</v>
          </cell>
          <cell r="E5">
            <v>372</v>
          </cell>
        </row>
        <row r="6">
          <cell r="A6" t="str">
            <v>A-02-05</v>
          </cell>
          <cell r="B6" t="str">
            <v>OMEPRAZOL</v>
          </cell>
          <cell r="C6" t="str">
            <v>40 mg/ml</v>
          </cell>
          <cell r="D6">
            <v>6.9073289999999998</v>
          </cell>
          <cell r="E6">
            <v>2807</v>
          </cell>
        </row>
        <row r="7">
          <cell r="A7" t="str">
            <v>A-03-01</v>
          </cell>
          <cell r="B7" t="str">
            <v>ATROPINA SULFATO</v>
          </cell>
          <cell r="C7" t="str">
            <v>1 mg/ml</v>
          </cell>
          <cell r="D7">
            <v>2.3800840000000001</v>
          </cell>
          <cell r="E7">
            <v>49</v>
          </cell>
        </row>
        <row r="8">
          <cell r="A8" t="str">
            <v>A-03-02</v>
          </cell>
          <cell r="B8" t="str">
            <v>BUTILBROMURO DE HIOSCINA (BUTILESCOPOLAMINA)</v>
          </cell>
          <cell r="C8" t="str">
            <v>10 mg</v>
          </cell>
          <cell r="D8">
            <v>1.2938240000000001</v>
          </cell>
          <cell r="E8">
            <v>584</v>
          </cell>
        </row>
        <row r="9">
          <cell r="A9" t="str">
            <v>A-03-04</v>
          </cell>
          <cell r="B9" t="str">
            <v>BUTILBROMURO DE HIOSCINA (BUTILESCOPOLAMINA)</v>
          </cell>
          <cell r="C9" t="str">
            <v>20 mg/ml</v>
          </cell>
          <cell r="D9">
            <v>4.201562</v>
          </cell>
          <cell r="E9">
            <v>478</v>
          </cell>
        </row>
        <row r="10">
          <cell r="A10" t="str">
            <v>A-03-06</v>
          </cell>
          <cell r="B10" t="str">
            <v>DOMPERIDONA</v>
          </cell>
          <cell r="C10" t="str">
            <v>10 mg</v>
          </cell>
          <cell r="D10">
            <v>0.34</v>
          </cell>
          <cell r="E10">
            <v>25638</v>
          </cell>
        </row>
        <row r="11">
          <cell r="A11" t="str">
            <v>A-03-07</v>
          </cell>
          <cell r="B11" t="str">
            <v>METOCLOPRAMIDA</v>
          </cell>
          <cell r="C11" t="str">
            <v>10 mg</v>
          </cell>
          <cell r="D11">
            <v>0.23580599999999999</v>
          </cell>
          <cell r="E11">
            <v>1297</v>
          </cell>
        </row>
        <row r="12">
          <cell r="A12" t="str">
            <v>A-03-08</v>
          </cell>
          <cell r="B12" t="str">
            <v>METOCLOPRAMIDA</v>
          </cell>
          <cell r="C12" t="str">
            <v>10 mg/2ml</v>
          </cell>
          <cell r="D12">
            <v>0.96376499999999998</v>
          </cell>
          <cell r="E12">
            <v>1670</v>
          </cell>
        </row>
        <row r="13">
          <cell r="A13" t="str">
            <v>A-03-09</v>
          </cell>
          <cell r="B13" t="str">
            <v>METOCLOPRAMIDA</v>
          </cell>
          <cell r="C13" t="str">
            <v>0,35% o 0,5%</v>
          </cell>
          <cell r="D13">
            <v>6</v>
          </cell>
          <cell r="E13">
            <v>62</v>
          </cell>
        </row>
        <row r="14">
          <cell r="A14" t="str">
            <v>A-03-10</v>
          </cell>
          <cell r="B14" t="str">
            <v>PROPINOXATO</v>
          </cell>
          <cell r="C14" t="str">
            <v>10 mg</v>
          </cell>
          <cell r="D14">
            <v>1.5110490000000001</v>
          </cell>
          <cell r="E14">
            <v>1700</v>
          </cell>
        </row>
        <row r="15">
          <cell r="A15" t="str">
            <v>A-03-11</v>
          </cell>
          <cell r="B15" t="str">
            <v>PROPINOXATO</v>
          </cell>
          <cell r="C15" t="str">
            <v>5 mg/ml</v>
          </cell>
          <cell r="D15">
            <v>4.8999769999999998</v>
          </cell>
          <cell r="E15">
            <v>476</v>
          </cell>
        </row>
        <row r="16">
          <cell r="A16" t="str">
            <v>A-03-12</v>
          </cell>
          <cell r="B16" t="str">
            <v>SIMETICONA</v>
          </cell>
          <cell r="C16" t="str">
            <v>3% o 4%</v>
          </cell>
          <cell r="D16">
            <v>16</v>
          </cell>
          <cell r="E16">
            <v>136</v>
          </cell>
        </row>
        <row r="17">
          <cell r="A17" t="str">
            <v>A-03-13</v>
          </cell>
          <cell r="B17" t="str">
            <v>SIMETICONA</v>
          </cell>
          <cell r="C17" t="str">
            <v>100 mg</v>
          </cell>
          <cell r="D17">
            <v>1.1449020000000001</v>
          </cell>
          <cell r="E17">
            <v>19552</v>
          </cell>
        </row>
        <row r="18">
          <cell r="A18" t="str">
            <v>A-04-01</v>
          </cell>
          <cell r="B18" t="str">
            <v>ONDANSETRON</v>
          </cell>
          <cell r="C18" t="str">
            <v>8 mg</v>
          </cell>
          <cell r="D18">
            <v>4</v>
          </cell>
          <cell r="E18">
            <v>571</v>
          </cell>
        </row>
        <row r="19">
          <cell r="A19" t="str">
            <v>A-04-02</v>
          </cell>
          <cell r="B19" t="str">
            <v>ONDANSETRON</v>
          </cell>
          <cell r="C19" t="str">
            <v>8 mg</v>
          </cell>
          <cell r="D19">
            <v>6.9</v>
          </cell>
          <cell r="E19">
            <v>157</v>
          </cell>
        </row>
        <row r="20">
          <cell r="A20" t="str">
            <v>A-05-01</v>
          </cell>
          <cell r="B20" t="str">
            <v>ACIDO URSODEOXICOLICO  250 MG</v>
          </cell>
          <cell r="C20" t="str">
            <v xml:space="preserve">250 MG. </v>
          </cell>
          <cell r="D20">
            <v>8.4</v>
          </cell>
          <cell r="E20">
            <v>3185</v>
          </cell>
        </row>
        <row r="21">
          <cell r="A21" t="str">
            <v>A-06-01</v>
          </cell>
          <cell r="B21" t="str">
            <v>ACEITE MINERAL</v>
          </cell>
          <cell r="C21">
            <v>0.4</v>
          </cell>
          <cell r="D21">
            <v>13.5</v>
          </cell>
          <cell r="E21">
            <v>162</v>
          </cell>
        </row>
        <row r="22">
          <cell r="A22" t="str">
            <v>A-06-02</v>
          </cell>
          <cell r="B22" t="str">
            <v>BISACODILO</v>
          </cell>
          <cell r="C22" t="str">
            <v>5 mg</v>
          </cell>
          <cell r="D22">
            <v>0.35</v>
          </cell>
          <cell r="E22">
            <v>276</v>
          </cell>
        </row>
        <row r="23">
          <cell r="A23" t="str">
            <v>A-06-04</v>
          </cell>
          <cell r="B23" t="str">
            <v>FIBRA NATURAL</v>
          </cell>
          <cell r="C23" t="str">
            <v>Según disponibilidad</v>
          </cell>
          <cell r="D23">
            <v>3.3</v>
          </cell>
          <cell r="E23">
            <v>5913</v>
          </cell>
        </row>
        <row r="24">
          <cell r="A24" t="str">
            <v>A-06-05</v>
          </cell>
          <cell r="B24" t="str">
            <v>GLICEROL (GLICERINA)</v>
          </cell>
          <cell r="C24" t="str">
            <v>2 g a 4 g (adulto)</v>
          </cell>
          <cell r="D24">
            <v>2.088816</v>
          </cell>
          <cell r="E24">
            <v>55</v>
          </cell>
        </row>
        <row r="25">
          <cell r="A25" t="str">
            <v>A-06-06</v>
          </cell>
          <cell r="B25" t="str">
            <v>GLICEROL (GLICERINA)</v>
          </cell>
          <cell r="C25" t="str">
            <v>1 g a 1,80 g (infantil)</v>
          </cell>
          <cell r="D25">
            <v>1.54375</v>
          </cell>
          <cell r="E25">
            <v>9</v>
          </cell>
        </row>
        <row r="26">
          <cell r="A26" t="str">
            <v>A-06-07</v>
          </cell>
          <cell r="B26" t="str">
            <v>LACTULOSA</v>
          </cell>
          <cell r="C26" t="str">
            <v>65% hasta 66.7%</v>
          </cell>
          <cell r="D26">
            <v>38.637180000000001</v>
          </cell>
          <cell r="E26">
            <v>375</v>
          </cell>
        </row>
        <row r="27">
          <cell r="A27" t="str">
            <v>A-07-02</v>
          </cell>
          <cell r="B27" t="str">
            <v>LOPERAMIDA</v>
          </cell>
          <cell r="C27" t="str">
            <v>2 mg</v>
          </cell>
          <cell r="D27">
            <v>0.4</v>
          </cell>
          <cell r="E27">
            <v>495</v>
          </cell>
        </row>
        <row r="28">
          <cell r="A28" t="str">
            <v>A-07-04</v>
          </cell>
          <cell r="B28" t="str">
            <v>NISTATINA</v>
          </cell>
          <cell r="C28" t="str">
            <v>500.000 UI/5 ml</v>
          </cell>
          <cell r="D28">
            <v>12</v>
          </cell>
          <cell r="E28">
            <v>77</v>
          </cell>
        </row>
        <row r="29">
          <cell r="A29" t="str">
            <v>A-07-06</v>
          </cell>
          <cell r="B29" t="str">
            <v>SALES DE REHIDRATACION ORAL (SRO) BAJA OSMOLARIDAD</v>
          </cell>
          <cell r="C29" t="str">
            <v>Según concentración eestándar</v>
          </cell>
          <cell r="D29">
            <v>1.0158370000000001</v>
          </cell>
          <cell r="E29">
            <v>826</v>
          </cell>
        </row>
        <row r="30">
          <cell r="A30" t="str">
            <v>A-07-07</v>
          </cell>
          <cell r="B30" t="str">
            <v>MESALAZINA</v>
          </cell>
          <cell r="C30" t="str">
            <v>500 mg</v>
          </cell>
          <cell r="D30">
            <v>5.6</v>
          </cell>
          <cell r="E30">
            <v>2259</v>
          </cell>
        </row>
        <row r="31">
          <cell r="A31" t="str">
            <v>A-09-01</v>
          </cell>
          <cell r="B31" t="str">
            <v>ENZIMAS PANCREATICAS (LIPASA, PROTEASA Y AMILASA EN COMBINACION)</v>
          </cell>
          <cell r="C31" t="str">
            <v>Según disponibilidad</v>
          </cell>
          <cell r="D31">
            <v>0.85</v>
          </cell>
          <cell r="E31">
            <v>7654</v>
          </cell>
        </row>
        <row r="32">
          <cell r="A32" t="str">
            <v>A-10-01</v>
          </cell>
          <cell r="B32" t="str">
            <v>GLIBENCLAMIDA</v>
          </cell>
          <cell r="C32" t="str">
            <v>5 mg</v>
          </cell>
          <cell r="D32">
            <v>9.6096000000000001E-2</v>
          </cell>
          <cell r="E32">
            <v>15931</v>
          </cell>
        </row>
        <row r="33">
          <cell r="A33" t="str">
            <v>A-10-02</v>
          </cell>
          <cell r="B33" t="str">
            <v>INSULINA RECOMBINANTE HUMANA NPH</v>
          </cell>
          <cell r="C33" t="str">
            <v>100 UI/ml</v>
          </cell>
          <cell r="D33">
            <v>51.381307999999997</v>
          </cell>
          <cell r="E33">
            <v>295</v>
          </cell>
        </row>
        <row r="34">
          <cell r="A34" t="str">
            <v>A-10-03</v>
          </cell>
          <cell r="B34" t="str">
            <v>INSULINA ZINC CRISTALINA  RECOMBINANTE HUMANA</v>
          </cell>
          <cell r="C34" t="str">
            <v>100 UI/ml</v>
          </cell>
          <cell r="D34">
            <v>70.14</v>
          </cell>
          <cell r="E34">
            <v>69</v>
          </cell>
        </row>
        <row r="35">
          <cell r="A35" t="str">
            <v>A-10-04</v>
          </cell>
          <cell r="B35" t="str">
            <v>METFORMINA</v>
          </cell>
          <cell r="C35" t="str">
            <v>850 mg</v>
          </cell>
          <cell r="D35">
            <v>0.30682599999999999</v>
          </cell>
          <cell r="E35">
            <v>83532</v>
          </cell>
        </row>
        <row r="36">
          <cell r="A36" t="str">
            <v>A-10-05</v>
          </cell>
          <cell r="B36" t="str">
            <v>INSULINA GLARGINA</v>
          </cell>
          <cell r="C36" t="str">
            <v>100 U.I / ml</v>
          </cell>
          <cell r="D36">
            <v>239.98</v>
          </cell>
          <cell r="E36">
            <v>145</v>
          </cell>
        </row>
        <row r="37">
          <cell r="A37" t="str">
            <v>A-10-07</v>
          </cell>
          <cell r="B37" t="str">
            <v>METFORMINA</v>
          </cell>
          <cell r="C37" t="str">
            <v>500 mg</v>
          </cell>
          <cell r="D37">
            <v>0.68</v>
          </cell>
          <cell r="E37">
            <v>2710</v>
          </cell>
        </row>
        <row r="38">
          <cell r="A38" t="str">
            <v>A-11-02</v>
          </cell>
          <cell r="B38" t="str">
            <v>ACIDO ASCORBICO (VITAMINA C)</v>
          </cell>
          <cell r="C38" t="str">
            <v>500 mg/ml (2 ml)</v>
          </cell>
          <cell r="D38">
            <v>2.4819960000000001</v>
          </cell>
          <cell r="E38">
            <v>1514</v>
          </cell>
        </row>
        <row r="39">
          <cell r="A39" t="str">
            <v>A-11-03</v>
          </cell>
          <cell r="B39" t="str">
            <v>ACIDO ASCORBICO (VITAMINA C)</v>
          </cell>
          <cell r="C39" t="str">
            <v>Según disponibilidad</v>
          </cell>
          <cell r="D39">
            <v>14.765217</v>
          </cell>
          <cell r="E39">
            <v>22</v>
          </cell>
        </row>
        <row r="40">
          <cell r="A40" t="str">
            <v>A-11-04</v>
          </cell>
          <cell r="B40" t="str">
            <v>CIANOCOBALAMINA (VITAMINA B12)</v>
          </cell>
          <cell r="C40" t="str">
            <v>1 mg/ml</v>
          </cell>
          <cell r="D40">
            <v>4.8114319999999999</v>
          </cell>
          <cell r="E40">
            <v>1132</v>
          </cell>
        </row>
        <row r="41">
          <cell r="A41" t="str">
            <v>A-11-06</v>
          </cell>
          <cell r="B41" t="str">
            <v>COMPLEJO  B (B1 + B6 + B12)</v>
          </cell>
          <cell r="C41" t="str">
            <v>Según concentración eestándar</v>
          </cell>
          <cell r="D41">
            <v>0.14687</v>
          </cell>
          <cell r="E41">
            <v>14399</v>
          </cell>
        </row>
        <row r="42">
          <cell r="A42" t="str">
            <v>A-11-07</v>
          </cell>
          <cell r="B42" t="str">
            <v>COMPLEJO  B (B1 + B6 + B12)</v>
          </cell>
          <cell r="C42" t="str">
            <v>Según concentración eestándar</v>
          </cell>
          <cell r="D42">
            <v>1.297574</v>
          </cell>
          <cell r="E42">
            <v>2591</v>
          </cell>
        </row>
        <row r="43">
          <cell r="A43" t="str">
            <v>A-11-09</v>
          </cell>
          <cell r="B43" t="str">
            <v>MULTIVITAMINAS</v>
          </cell>
          <cell r="C43" t="str">
            <v>Según concentración estándar</v>
          </cell>
          <cell r="D43">
            <v>0.32682</v>
          </cell>
          <cell r="E43">
            <v>14046</v>
          </cell>
        </row>
        <row r="44">
          <cell r="A44" t="str">
            <v>A-11-10</v>
          </cell>
          <cell r="B44" t="str">
            <v>MULTIVITAMINAS</v>
          </cell>
          <cell r="C44" t="str">
            <v>Según concentración estándar</v>
          </cell>
          <cell r="D44">
            <v>20.43</v>
          </cell>
          <cell r="E44">
            <v>23</v>
          </cell>
        </row>
        <row r="45">
          <cell r="A45" t="str">
            <v>A-11-13</v>
          </cell>
          <cell r="B45" t="str">
            <v>RETINOL (VITAMINA A)</v>
          </cell>
          <cell r="C45" t="str">
            <v>10.000 UI</v>
          </cell>
          <cell r="D45">
            <v>0.55995799999999996</v>
          </cell>
          <cell r="E45">
            <v>317</v>
          </cell>
        </row>
        <row r="46">
          <cell r="A46" t="str">
            <v>A-11-17</v>
          </cell>
          <cell r="B46" t="str">
            <v>TIAMINA (VITAMINA B 1)</v>
          </cell>
          <cell r="C46" t="str">
            <v>300 mg</v>
          </cell>
          <cell r="D46">
            <v>1.0900000000000001</v>
          </cell>
          <cell r="E46">
            <v>589</v>
          </cell>
        </row>
        <row r="47">
          <cell r="A47" t="str">
            <v>A-11-18</v>
          </cell>
          <cell r="B47" t="str">
            <v>TIAMINA (VITAMINA B 1)</v>
          </cell>
          <cell r="C47" t="str">
            <v>100 mg/ml</v>
          </cell>
          <cell r="D47">
            <v>3.04</v>
          </cell>
          <cell r="E47">
            <v>172</v>
          </cell>
        </row>
        <row r="48">
          <cell r="A48" t="str">
            <v>A-11-19</v>
          </cell>
          <cell r="B48" t="str">
            <v>TOCOFEROL (VITAMINA E)</v>
          </cell>
          <cell r="C48" t="str">
            <v>1.000 UI</v>
          </cell>
          <cell r="D48">
            <v>1.4504630000000001</v>
          </cell>
          <cell r="E48">
            <v>19937</v>
          </cell>
        </row>
        <row r="49">
          <cell r="A49" t="str">
            <v>A-12-01</v>
          </cell>
          <cell r="B49" t="str">
            <v>CALCIO (CARBONATO O CITRATO)</v>
          </cell>
          <cell r="C49" t="str">
            <v>500 mg (ión calcio)</v>
          </cell>
          <cell r="D49">
            <v>0.89</v>
          </cell>
          <cell r="E49">
            <v>3421</v>
          </cell>
        </row>
        <row r="50">
          <cell r="A50" t="str">
            <v>A-12-02</v>
          </cell>
          <cell r="B50" t="str">
            <v>CALCIO + VITAMINA D</v>
          </cell>
          <cell r="C50" t="str">
            <v>500 mg (ión calcio); Según disponibilidad</v>
          </cell>
          <cell r="D50">
            <v>0.54</v>
          </cell>
          <cell r="E50">
            <v>26631</v>
          </cell>
        </row>
        <row r="51">
          <cell r="A51" t="str">
            <v>A-12-05</v>
          </cell>
          <cell r="B51" t="str">
            <v>ZINC</v>
          </cell>
          <cell r="C51" t="str">
            <v>20 mg/5 ml (Como zinc elemental)</v>
          </cell>
          <cell r="D51">
            <v>6.93</v>
          </cell>
          <cell r="E51">
            <v>67</v>
          </cell>
        </row>
        <row r="52">
          <cell r="A52" t="str">
            <v>A-12-06</v>
          </cell>
          <cell r="B52" t="str">
            <v>ZINC (COMO SULFATO)</v>
          </cell>
          <cell r="C52" t="str">
            <v>20 mg</v>
          </cell>
          <cell r="D52">
            <v>0.28355399999999997</v>
          </cell>
          <cell r="E52">
            <v>4881</v>
          </cell>
        </row>
        <row r="53">
          <cell r="A53" t="str">
            <v>B-01-01</v>
          </cell>
          <cell r="B53" t="str">
            <v>ACIDO ACETIL SALICILICO</v>
          </cell>
          <cell r="C53" t="str">
            <v>100 mg</v>
          </cell>
          <cell r="D53">
            <v>0.16752</v>
          </cell>
          <cell r="E53">
            <v>38064</v>
          </cell>
        </row>
        <row r="54">
          <cell r="A54" t="str">
            <v>B-01-03</v>
          </cell>
          <cell r="B54" t="str">
            <v>HEPARINA DE BAJO PESO MOLECULAR</v>
          </cell>
          <cell r="C54" t="str">
            <v>40 M.G.</v>
          </cell>
          <cell r="D54">
            <v>37.129381000000002</v>
          </cell>
          <cell r="E54">
            <v>408</v>
          </cell>
        </row>
        <row r="55">
          <cell r="A55" t="str">
            <v>B-01-031</v>
          </cell>
          <cell r="B55" t="str">
            <v>HEPARINA DE BAJO PESO MOLECULAR  60 MG</v>
          </cell>
          <cell r="C55" t="str">
            <v>60 MG</v>
          </cell>
          <cell r="D55">
            <v>58.242645000000003</v>
          </cell>
          <cell r="E55">
            <v>138</v>
          </cell>
        </row>
        <row r="56">
          <cell r="A56" t="str">
            <v>B-01-04</v>
          </cell>
          <cell r="B56" t="str">
            <v>HEPARINA SODICA</v>
          </cell>
          <cell r="C56" t="str">
            <v>5.000 UI/ml</v>
          </cell>
          <cell r="D56">
            <v>36</v>
          </cell>
          <cell r="E56">
            <v>20</v>
          </cell>
        </row>
        <row r="57">
          <cell r="A57" t="str">
            <v>B-01-05</v>
          </cell>
          <cell r="B57" t="str">
            <v>WARFARINA</v>
          </cell>
          <cell r="C57" t="str">
            <v>5 mg</v>
          </cell>
          <cell r="D57">
            <v>0.51785199999999998</v>
          </cell>
          <cell r="E57">
            <v>1585</v>
          </cell>
        </row>
        <row r="58">
          <cell r="A58" t="str">
            <v>B-01-06</v>
          </cell>
          <cell r="B58" t="str">
            <v>CLOPIDOGREL</v>
          </cell>
          <cell r="C58" t="str">
            <v>75 mg</v>
          </cell>
          <cell r="D58">
            <v>1.693573</v>
          </cell>
          <cell r="E58">
            <v>11148</v>
          </cell>
        </row>
        <row r="59">
          <cell r="A59" t="str">
            <v>B-01-07</v>
          </cell>
          <cell r="B59" t="str">
            <v xml:space="preserve">RIBAROXABAN </v>
          </cell>
          <cell r="C59" t="str">
            <v xml:space="preserve">10 MG </v>
          </cell>
          <cell r="D59">
            <v>7</v>
          </cell>
          <cell r="E59">
            <v>2369</v>
          </cell>
        </row>
        <row r="60">
          <cell r="A60" t="str">
            <v>B-02-02</v>
          </cell>
          <cell r="B60" t="str">
            <v>FITOMENADIONA  (VITAMINA K1)</v>
          </cell>
          <cell r="C60" t="str">
            <v>10 mg/ml</v>
          </cell>
          <cell r="D60">
            <v>2.3975219999999999</v>
          </cell>
          <cell r="E60">
            <v>192</v>
          </cell>
        </row>
        <row r="61">
          <cell r="A61" t="str">
            <v>B-02-06</v>
          </cell>
          <cell r="B61" t="str">
            <v>ACIDO TRANEXAMICO</v>
          </cell>
          <cell r="C61" t="str">
            <v>500 mg</v>
          </cell>
          <cell r="D61">
            <v>25.819672000000001</v>
          </cell>
          <cell r="E61">
            <v>172</v>
          </cell>
        </row>
        <row r="62">
          <cell r="A62" t="str">
            <v>B-03-01</v>
          </cell>
          <cell r="B62" t="str">
            <v>ACIDO FOLICO</v>
          </cell>
          <cell r="C62" t="str">
            <v>5 mg</v>
          </cell>
          <cell r="D62">
            <v>0.27</v>
          </cell>
          <cell r="E62">
            <v>5683</v>
          </cell>
        </row>
        <row r="63">
          <cell r="A63" t="str">
            <v>B-03-02</v>
          </cell>
          <cell r="B63" t="str">
            <v>ERITROPOYETINA</v>
          </cell>
          <cell r="C63" t="str">
            <v>10.000 UI</v>
          </cell>
          <cell r="D63">
            <v>56.3</v>
          </cell>
          <cell r="E63">
            <v>96</v>
          </cell>
        </row>
        <row r="64">
          <cell r="A64" t="str">
            <v>B-03-04</v>
          </cell>
          <cell r="B64" t="str">
            <v>HIERRO</v>
          </cell>
          <cell r="C64" t="str">
            <v>100 mg - IM o IV</v>
          </cell>
          <cell r="D64">
            <v>22.109048000000001</v>
          </cell>
          <cell r="E64">
            <v>135</v>
          </cell>
        </row>
        <row r="65">
          <cell r="A65" t="str">
            <v>B-03-05</v>
          </cell>
          <cell r="B65" t="str">
            <v>MICRONUTRIENTES (VIT. C + VIT A + FE + ZN + AC. FOLICO) (CHISPITAS NUTRICIONALES)</v>
          </cell>
          <cell r="C65" t="str">
            <v>Según concentración estándard</v>
          </cell>
          <cell r="D65">
            <v>0.38</v>
          </cell>
          <cell r="E65">
            <v>300</v>
          </cell>
        </row>
        <row r="66">
          <cell r="A66" t="str">
            <v>B-03-07</v>
          </cell>
          <cell r="B66" t="str">
            <v>SULFATO FERROSO</v>
          </cell>
          <cell r="C66" t="str">
            <v>125 mg/ml</v>
          </cell>
          <cell r="D66">
            <v>12.86</v>
          </cell>
          <cell r="E66">
            <v>2</v>
          </cell>
        </row>
        <row r="67">
          <cell r="A67" t="str">
            <v>B-03-08</v>
          </cell>
          <cell r="B67" t="str">
            <v>SULFATO FERROSO + AC. FOLICO + VITAMINA C</v>
          </cell>
          <cell r="C67" t="str">
            <v>200 mg + 0,5 mg + 150 mg</v>
          </cell>
          <cell r="D67">
            <v>0.17130899999999999</v>
          </cell>
          <cell r="E67">
            <v>2857</v>
          </cell>
        </row>
        <row r="68">
          <cell r="A68" t="str">
            <v>B-03-09</v>
          </cell>
          <cell r="B68" t="str">
            <v>SULFATO FERROSO + AC. FOLICO + VITAMINA C</v>
          </cell>
          <cell r="C68" t="str">
            <v>125 mg + 0,25 mg + 30 mg</v>
          </cell>
          <cell r="D68">
            <v>5.98</v>
          </cell>
          <cell r="E68">
            <v>20</v>
          </cell>
        </row>
        <row r="69">
          <cell r="A69" t="str">
            <v>B-05-01</v>
          </cell>
          <cell r="B69" t="str">
            <v>AGUA PARA INYECCION</v>
          </cell>
          <cell r="C69" t="str">
            <v>5 ml</v>
          </cell>
          <cell r="D69">
            <v>0.78922499999999995</v>
          </cell>
          <cell r="E69">
            <v>3462</v>
          </cell>
        </row>
        <row r="70">
          <cell r="A70" t="str">
            <v>B-05-02</v>
          </cell>
          <cell r="B70" t="str">
            <v>ALBUMINA HUMANA</v>
          </cell>
          <cell r="C70">
            <v>0.2</v>
          </cell>
          <cell r="D70">
            <v>270</v>
          </cell>
          <cell r="E70">
            <v>249</v>
          </cell>
        </row>
        <row r="71">
          <cell r="A71" t="str">
            <v>B-05-03</v>
          </cell>
          <cell r="B71" t="str">
            <v>AMINOACIDOS</v>
          </cell>
          <cell r="C71">
            <v>0.1</v>
          </cell>
          <cell r="D71">
            <v>118.23611099999999</v>
          </cell>
          <cell r="E71">
            <v>52</v>
          </cell>
        </row>
        <row r="72">
          <cell r="A72" t="str">
            <v>B-05-04</v>
          </cell>
          <cell r="B72" t="str">
            <v>BICARBONATO DE SODIO</v>
          </cell>
          <cell r="C72">
            <v>0.08</v>
          </cell>
          <cell r="D72">
            <v>8</v>
          </cell>
          <cell r="E72">
            <v>85</v>
          </cell>
        </row>
        <row r="73">
          <cell r="A73" t="str">
            <v>B-05-06</v>
          </cell>
          <cell r="B73" t="str">
            <v>CLORURO DE POTASIO</v>
          </cell>
          <cell r="C73">
            <v>0.2</v>
          </cell>
          <cell r="D73">
            <v>2.5176989999999999</v>
          </cell>
          <cell r="E73">
            <v>642</v>
          </cell>
        </row>
        <row r="74">
          <cell r="A74" t="str">
            <v>B-05-07</v>
          </cell>
          <cell r="B74" t="str">
            <v>CLORURO DE SODIO</v>
          </cell>
          <cell r="C74">
            <v>0.2</v>
          </cell>
          <cell r="D74">
            <v>3.4004470000000002</v>
          </cell>
          <cell r="E74">
            <v>97</v>
          </cell>
        </row>
        <row r="75">
          <cell r="A75" t="str">
            <v>B-05-09</v>
          </cell>
          <cell r="B75" t="str">
            <v>EMULSION DE LIPIDOS</v>
          </cell>
          <cell r="C75" t="str">
            <v>Según disponibilidad</v>
          </cell>
          <cell r="D75">
            <v>140</v>
          </cell>
          <cell r="E75">
            <v>18</v>
          </cell>
        </row>
        <row r="76">
          <cell r="A76" t="str">
            <v>B-05-10</v>
          </cell>
          <cell r="B76" t="str">
            <v>GLUCONATO CALCICO (CALCIO GLUCONATO)</v>
          </cell>
          <cell r="C76">
            <v>0.1</v>
          </cell>
          <cell r="D76">
            <v>3</v>
          </cell>
          <cell r="E76">
            <v>177</v>
          </cell>
        </row>
        <row r="77">
          <cell r="A77" t="str">
            <v>B-05-11</v>
          </cell>
          <cell r="B77" t="str">
            <v>OLIGOELEMENTOS PARA NUTRICION PARENTERAL</v>
          </cell>
          <cell r="C77" t="str">
            <v>Según disponibilidad</v>
          </cell>
          <cell r="D77">
            <v>49.94</v>
          </cell>
          <cell r="E77">
            <v>13</v>
          </cell>
        </row>
        <row r="78">
          <cell r="A78" t="str">
            <v>B-05-15</v>
          </cell>
          <cell r="B78" t="str">
            <v>SOLUCION DE GLUCOSA</v>
          </cell>
          <cell r="C78" t="str">
            <v>5% (500 ml)</v>
          </cell>
          <cell r="D78">
            <v>8.6078030000000005</v>
          </cell>
          <cell r="E78">
            <v>251</v>
          </cell>
        </row>
        <row r="79">
          <cell r="A79" t="str">
            <v>B-05-16</v>
          </cell>
          <cell r="B79" t="str">
            <v>SOLUCION DE GLUCOSA</v>
          </cell>
          <cell r="C79" t="str">
            <v>5% (1.000 ml)</v>
          </cell>
          <cell r="D79">
            <v>11.612144000000001</v>
          </cell>
          <cell r="E79">
            <v>181</v>
          </cell>
        </row>
        <row r="80">
          <cell r="A80" t="str">
            <v>B-05-17</v>
          </cell>
          <cell r="B80" t="str">
            <v>SOLUCION DE GLUCOSA</v>
          </cell>
          <cell r="C80" t="str">
            <v>10% (500 ml)</v>
          </cell>
          <cell r="D80">
            <v>8.8199670000000001</v>
          </cell>
          <cell r="E80">
            <v>47</v>
          </cell>
        </row>
        <row r="81">
          <cell r="A81" t="str">
            <v>B-05-18</v>
          </cell>
          <cell r="B81" t="str">
            <v>SOLUCION DE GLUCOSA</v>
          </cell>
          <cell r="C81" t="str">
            <v>10% (1.000 ml)</v>
          </cell>
          <cell r="D81">
            <v>12.50155</v>
          </cell>
          <cell r="E81">
            <v>48</v>
          </cell>
        </row>
        <row r="82">
          <cell r="A82" t="str">
            <v>B-05-19</v>
          </cell>
          <cell r="B82" t="str">
            <v>SOLUCION DE GLUCOSA</v>
          </cell>
          <cell r="C82" t="str">
            <v>50% (500 ml)</v>
          </cell>
          <cell r="D82">
            <v>19.399999999999999</v>
          </cell>
          <cell r="E82">
            <v>53</v>
          </cell>
        </row>
        <row r="83">
          <cell r="A83" t="str">
            <v>B-05-21</v>
          </cell>
          <cell r="B83" t="str">
            <v>SOLUCION DE MANITOL</v>
          </cell>
          <cell r="C83" t="str">
            <v>20% (500 ml)</v>
          </cell>
          <cell r="D83">
            <v>23.893103</v>
          </cell>
          <cell r="E83">
            <v>45</v>
          </cell>
        </row>
        <row r="84">
          <cell r="A84" t="str">
            <v>B-05-22</v>
          </cell>
          <cell r="B84" t="str">
            <v>SOLUCION FISIOLOGICA</v>
          </cell>
          <cell r="C84" t="str">
            <v>0,9% (500 ml)</v>
          </cell>
          <cell r="D84">
            <v>7.8356339999999998</v>
          </cell>
          <cell r="E84">
            <v>846</v>
          </cell>
        </row>
        <row r="85">
          <cell r="A85" t="str">
            <v>B-05-23</v>
          </cell>
          <cell r="B85" t="str">
            <v>SOLUCION FISIOLOGICA</v>
          </cell>
          <cell r="C85" t="str">
            <v>0,9% (1.000 ml)</v>
          </cell>
          <cell r="D85">
            <v>9.0450820000000007</v>
          </cell>
          <cell r="E85">
            <v>1488</v>
          </cell>
        </row>
        <row r="86">
          <cell r="A86" t="str">
            <v>B-05-24</v>
          </cell>
          <cell r="B86" t="str">
            <v>SOLUCION GLUCOSADA CLORURADA</v>
          </cell>
          <cell r="C86" t="str">
            <v>500 ml</v>
          </cell>
          <cell r="D86">
            <v>6.88</v>
          </cell>
          <cell r="E86">
            <v>2</v>
          </cell>
        </row>
        <row r="87">
          <cell r="A87" t="str">
            <v>B-05-25</v>
          </cell>
          <cell r="B87" t="str">
            <v>SOLUCION GLUCOSADA CLORURADA</v>
          </cell>
          <cell r="C87" t="str">
            <v>1.000 ml</v>
          </cell>
          <cell r="D87">
            <v>9.048</v>
          </cell>
          <cell r="E87">
            <v>2</v>
          </cell>
        </row>
        <row r="88">
          <cell r="A88" t="str">
            <v>B-05-29</v>
          </cell>
          <cell r="B88" t="str">
            <v>SOLUCION RINGER LACTATO</v>
          </cell>
          <cell r="C88" t="str">
            <v>500 ml</v>
          </cell>
          <cell r="D88">
            <v>8.01</v>
          </cell>
          <cell r="E88">
            <v>27</v>
          </cell>
        </row>
        <row r="89">
          <cell r="A89" t="str">
            <v>B-05-30</v>
          </cell>
          <cell r="B89" t="str">
            <v>SOLUCION RINGER LACTATO</v>
          </cell>
          <cell r="C89" t="str">
            <v>1.000 ml</v>
          </cell>
          <cell r="D89">
            <v>10.89007</v>
          </cell>
          <cell r="E89">
            <v>178</v>
          </cell>
        </row>
        <row r="90">
          <cell r="A90" t="str">
            <v>B-05-31</v>
          </cell>
          <cell r="B90" t="str">
            <v>SOLUCION RINGER NORMAL</v>
          </cell>
          <cell r="C90" t="str">
            <v>500 ml</v>
          </cell>
          <cell r="D90">
            <v>8.8000000000000007</v>
          </cell>
          <cell r="E90">
            <v>131</v>
          </cell>
        </row>
        <row r="91">
          <cell r="A91" t="str">
            <v>B-05-32</v>
          </cell>
          <cell r="B91" t="str">
            <v>SOLUCION RINGER NORMAL</v>
          </cell>
          <cell r="C91" t="str">
            <v>1.000 ml</v>
          </cell>
          <cell r="D91">
            <v>10.696752</v>
          </cell>
          <cell r="E91">
            <v>1417</v>
          </cell>
        </row>
        <row r="92">
          <cell r="A92" t="str">
            <v>B-05-33</v>
          </cell>
          <cell r="B92" t="str">
            <v>SULFATO DE MAGNESIO</v>
          </cell>
          <cell r="C92">
            <v>0.1</v>
          </cell>
          <cell r="D92">
            <v>4.9885840000000004</v>
          </cell>
          <cell r="E92">
            <v>423</v>
          </cell>
        </row>
        <row r="93">
          <cell r="A93" t="str">
            <v>B-05-34</v>
          </cell>
          <cell r="B93" t="str">
            <v>SOLUCION FISIOLOGICA</v>
          </cell>
          <cell r="C93">
            <v>8.9999999999999993E-3</v>
          </cell>
          <cell r="D93">
            <v>7.3</v>
          </cell>
          <cell r="E93">
            <v>97</v>
          </cell>
        </row>
        <row r="94">
          <cell r="A94" t="str">
            <v>C-01-02</v>
          </cell>
          <cell r="B94" t="str">
            <v>AMIODARONA (CLORHIDRATO)</v>
          </cell>
          <cell r="C94" t="str">
            <v>200 mg</v>
          </cell>
          <cell r="D94">
            <v>1.176461</v>
          </cell>
          <cell r="E94">
            <v>5521</v>
          </cell>
        </row>
        <row r="95">
          <cell r="A95" t="str">
            <v>C-01-03</v>
          </cell>
          <cell r="B95" t="str">
            <v>AMIODARONA (CLORHIDRATO)</v>
          </cell>
          <cell r="C95" t="str">
            <v>50 mg/ml</v>
          </cell>
          <cell r="D95">
            <v>6.9</v>
          </cell>
          <cell r="E95">
            <v>102</v>
          </cell>
        </row>
        <row r="96">
          <cell r="A96" t="str">
            <v>C-01-06</v>
          </cell>
          <cell r="B96" t="str">
            <v>DIGOXINA</v>
          </cell>
          <cell r="C96" t="str">
            <v>0,25 mg</v>
          </cell>
          <cell r="D96">
            <v>0.52</v>
          </cell>
          <cell r="E96">
            <v>531</v>
          </cell>
        </row>
        <row r="97">
          <cell r="A97" t="str">
            <v>C-01-10</v>
          </cell>
          <cell r="B97" t="str">
            <v>EPINEFRINA (ADRENALINA)</v>
          </cell>
          <cell r="C97" t="str">
            <v>1 mg/ml</v>
          </cell>
          <cell r="D97">
            <v>6</v>
          </cell>
          <cell r="E97">
            <v>116</v>
          </cell>
        </row>
        <row r="98">
          <cell r="A98" t="str">
            <v>C-01-11</v>
          </cell>
          <cell r="B98" t="str">
            <v>ISOSORBIDA MONONITRATO</v>
          </cell>
          <cell r="C98" t="str">
            <v>20 mg</v>
          </cell>
          <cell r="D98">
            <v>1.9</v>
          </cell>
          <cell r="E98">
            <v>440</v>
          </cell>
        </row>
        <row r="99">
          <cell r="A99" t="str">
            <v>C-01-13</v>
          </cell>
          <cell r="B99" t="str">
            <v>ETILEFRINA</v>
          </cell>
          <cell r="C99" t="str">
            <v>10 mg/ml</v>
          </cell>
          <cell r="D99">
            <v>13.8</v>
          </cell>
          <cell r="E99">
            <v>30</v>
          </cell>
        </row>
        <row r="100">
          <cell r="A100" t="str">
            <v>C-01-15</v>
          </cell>
          <cell r="B100" t="str">
            <v>NORADRENALINA</v>
          </cell>
          <cell r="C100" t="str">
            <v>1 mg/ml</v>
          </cell>
          <cell r="D100">
            <v>10</v>
          </cell>
          <cell r="E100">
            <v>261</v>
          </cell>
        </row>
        <row r="101">
          <cell r="A101" t="str">
            <v>C-02-08</v>
          </cell>
          <cell r="B101" t="str">
            <v>SILDENAFILO</v>
          </cell>
          <cell r="C101" t="str">
            <v>50 mg</v>
          </cell>
          <cell r="D101">
            <v>1.25</v>
          </cell>
          <cell r="E101">
            <v>30</v>
          </cell>
        </row>
        <row r="102">
          <cell r="A102" t="str">
            <v>C-03-01</v>
          </cell>
          <cell r="B102" t="str">
            <v>ACETAZOLAMIDA</v>
          </cell>
          <cell r="C102" t="str">
            <v>250 mg</v>
          </cell>
          <cell r="D102">
            <v>1.204642</v>
          </cell>
          <cell r="E102">
            <v>260</v>
          </cell>
        </row>
        <row r="103">
          <cell r="A103" t="str">
            <v>C-03-02</v>
          </cell>
          <cell r="B103" t="str">
            <v>ESPIRONOLACTONA</v>
          </cell>
          <cell r="C103" t="str">
            <v>100 mg</v>
          </cell>
          <cell r="D103">
            <v>1.183894</v>
          </cell>
          <cell r="E103">
            <v>2193</v>
          </cell>
        </row>
        <row r="104">
          <cell r="A104" t="str">
            <v>C-03-03</v>
          </cell>
          <cell r="B104" t="str">
            <v>ESPIRONOLACTONA</v>
          </cell>
          <cell r="C104" t="str">
            <v>25 mg</v>
          </cell>
          <cell r="D104">
            <v>0.78</v>
          </cell>
          <cell r="E104">
            <v>1128</v>
          </cell>
        </row>
        <row r="105">
          <cell r="A105" t="str">
            <v>C-03-04</v>
          </cell>
          <cell r="B105" t="str">
            <v>FUROSEMIDA</v>
          </cell>
          <cell r="C105" t="str">
            <v>40 mg</v>
          </cell>
          <cell r="D105">
            <v>0.17199</v>
          </cell>
          <cell r="E105">
            <v>3276</v>
          </cell>
        </row>
        <row r="106">
          <cell r="A106" t="str">
            <v>C-03-05</v>
          </cell>
          <cell r="B106" t="str">
            <v>FUROSEMIDA</v>
          </cell>
          <cell r="C106" t="str">
            <v>10 mg/ml</v>
          </cell>
          <cell r="D106">
            <v>1.787857</v>
          </cell>
          <cell r="E106">
            <v>521</v>
          </cell>
        </row>
        <row r="107">
          <cell r="A107" t="str">
            <v>C-03-06</v>
          </cell>
          <cell r="B107" t="str">
            <v>HIDROCLOROTIAZIDA</v>
          </cell>
          <cell r="C107" t="str">
            <v>50 mg</v>
          </cell>
          <cell r="D107">
            <v>0.15606900000000001</v>
          </cell>
          <cell r="E107">
            <v>5702</v>
          </cell>
        </row>
        <row r="108">
          <cell r="A108" t="str">
            <v>C-03-07</v>
          </cell>
          <cell r="B108" t="str">
            <v>HIDROCLOROTIAZIDA + AMILORIDA</v>
          </cell>
          <cell r="C108" t="str">
            <v>50 mg + 5 mg</v>
          </cell>
          <cell r="D108">
            <v>0.74930600000000003</v>
          </cell>
          <cell r="E108">
            <v>259</v>
          </cell>
        </row>
        <row r="109">
          <cell r="A109" t="str">
            <v>C-05-01</v>
          </cell>
          <cell r="B109" t="str">
            <v>CORTICOIDE + ANESTESICO</v>
          </cell>
          <cell r="C109" t="str">
            <v>Según disponibilidad</v>
          </cell>
          <cell r="D109">
            <v>3.0077159999999998</v>
          </cell>
          <cell r="E109">
            <v>578</v>
          </cell>
        </row>
        <row r="110">
          <cell r="A110" t="str">
            <v>C-05-02</v>
          </cell>
          <cell r="B110" t="str">
            <v>CORTICOIDE + ANESTESICO</v>
          </cell>
          <cell r="C110" t="str">
            <v>Según disponibilidad</v>
          </cell>
          <cell r="D110">
            <v>42.04</v>
          </cell>
          <cell r="E110">
            <v>71</v>
          </cell>
        </row>
        <row r="111">
          <cell r="A111" t="str">
            <v>C-07-01</v>
          </cell>
          <cell r="B111" t="str">
            <v>ATENOLOL</v>
          </cell>
          <cell r="C111" t="str">
            <v>100 mg</v>
          </cell>
          <cell r="D111">
            <v>0.269376</v>
          </cell>
          <cell r="E111">
            <v>853</v>
          </cell>
        </row>
        <row r="112">
          <cell r="A112" t="str">
            <v>C-07-02</v>
          </cell>
          <cell r="B112" t="str">
            <v>PROPRANOLOL</v>
          </cell>
          <cell r="C112" t="str">
            <v>40 mg</v>
          </cell>
          <cell r="D112">
            <v>0.3</v>
          </cell>
          <cell r="E112">
            <v>1081</v>
          </cell>
        </row>
        <row r="113">
          <cell r="A113" t="str">
            <v>C-07-04</v>
          </cell>
          <cell r="B113" t="str">
            <v>CARVEDILOL</v>
          </cell>
          <cell r="C113" t="str">
            <v>6,25 mg</v>
          </cell>
          <cell r="D113">
            <v>0.45024700000000001</v>
          </cell>
          <cell r="E113">
            <v>23270</v>
          </cell>
        </row>
        <row r="114">
          <cell r="A114" t="str">
            <v>C-07-05</v>
          </cell>
          <cell r="B114" t="str">
            <v>CARVEDILOL</v>
          </cell>
          <cell r="C114" t="str">
            <v>12,5 mg</v>
          </cell>
          <cell r="D114">
            <v>0.97602500000000003</v>
          </cell>
          <cell r="E114">
            <v>17605</v>
          </cell>
        </row>
        <row r="115">
          <cell r="A115" t="str">
            <v>C-07-06</v>
          </cell>
          <cell r="B115" t="str">
            <v>BISOPROLOL</v>
          </cell>
          <cell r="C115" t="str">
            <v>5 mg</v>
          </cell>
          <cell r="D115">
            <v>2.2210100000000002</v>
          </cell>
          <cell r="E115">
            <v>7286</v>
          </cell>
        </row>
        <row r="116">
          <cell r="A116" t="str">
            <v>C-08-02</v>
          </cell>
          <cell r="B116" t="str">
            <v>NIMODIPINA</v>
          </cell>
          <cell r="C116" t="str">
            <v>30 mg</v>
          </cell>
          <cell r="D116">
            <v>0.389434</v>
          </cell>
          <cell r="E116">
            <v>9759</v>
          </cell>
        </row>
        <row r="117">
          <cell r="A117" t="str">
            <v>C-08-07</v>
          </cell>
          <cell r="B117" t="str">
            <v>AMLODIPINA</v>
          </cell>
          <cell r="C117" t="str">
            <v>10 mg</v>
          </cell>
          <cell r="D117">
            <v>0.13</v>
          </cell>
          <cell r="E117">
            <v>20076</v>
          </cell>
        </row>
        <row r="118">
          <cell r="A118" t="str">
            <v>C-09-01</v>
          </cell>
          <cell r="B118" t="str">
            <v>ENALAPRIL MALEATO</v>
          </cell>
          <cell r="C118" t="str">
            <v>10 mg</v>
          </cell>
          <cell r="D118">
            <v>0.2</v>
          </cell>
          <cell r="E118">
            <v>6704</v>
          </cell>
        </row>
        <row r="119">
          <cell r="A119" t="str">
            <v>C-09-02</v>
          </cell>
          <cell r="B119" t="str">
            <v>LOSARTAN</v>
          </cell>
          <cell r="C119" t="str">
            <v>50 mg</v>
          </cell>
          <cell r="D119">
            <v>0.562917</v>
          </cell>
          <cell r="E119">
            <v>139493</v>
          </cell>
        </row>
        <row r="120">
          <cell r="A120" t="str">
            <v>C-10-01</v>
          </cell>
          <cell r="B120" t="str">
            <v>ATORVASTATINA</v>
          </cell>
          <cell r="C120" t="str">
            <v>10 mg</v>
          </cell>
          <cell r="D120">
            <v>0.17930499999999999</v>
          </cell>
          <cell r="E120">
            <v>13503</v>
          </cell>
        </row>
        <row r="121">
          <cell r="A121" t="str">
            <v>C-10-02</v>
          </cell>
          <cell r="B121" t="str">
            <v>GENFIBROZILO</v>
          </cell>
          <cell r="C121" t="str">
            <v>600 mg</v>
          </cell>
          <cell r="D121">
            <v>0.93758699999999995</v>
          </cell>
          <cell r="E121">
            <v>8155</v>
          </cell>
        </row>
        <row r="122">
          <cell r="A122" t="str">
            <v>C-10-03</v>
          </cell>
          <cell r="B122" t="str">
            <v>ROSUVASTATINA</v>
          </cell>
          <cell r="C122" t="str">
            <v>20 mg</v>
          </cell>
          <cell r="D122">
            <v>1.79</v>
          </cell>
          <cell r="E122">
            <v>4355</v>
          </cell>
        </row>
        <row r="123">
          <cell r="A123" t="str">
            <v>C-10-04</v>
          </cell>
          <cell r="B123" t="str">
            <v>FENOFIBRATO</v>
          </cell>
          <cell r="C123" t="str">
            <v>200 mg</v>
          </cell>
          <cell r="D123">
            <v>3.9857800000000001</v>
          </cell>
          <cell r="E123">
            <v>6583</v>
          </cell>
        </row>
        <row r="124">
          <cell r="A124" t="str">
            <v>C-10-05</v>
          </cell>
          <cell r="B124" t="str">
            <v>ATORVASTATINA</v>
          </cell>
          <cell r="C124" t="str">
            <v>20 mg.</v>
          </cell>
          <cell r="D124">
            <v>0.43075400000000003</v>
          </cell>
          <cell r="E124">
            <v>48347</v>
          </cell>
        </row>
        <row r="125">
          <cell r="A125" t="str">
            <v>D-01-02</v>
          </cell>
          <cell r="B125" t="str">
            <v>BACITRACINA + NEOMICINA SULFATO</v>
          </cell>
          <cell r="C125" t="str">
            <v>500 UI + 5 mg/g</v>
          </cell>
          <cell r="D125">
            <v>6.7</v>
          </cell>
          <cell r="E125">
            <v>54</v>
          </cell>
        </row>
        <row r="126">
          <cell r="A126" t="str">
            <v>D-01-03</v>
          </cell>
          <cell r="B126" t="str">
            <v>CLOTRIMAZOL</v>
          </cell>
          <cell r="C126">
            <v>0.01</v>
          </cell>
          <cell r="D126">
            <v>3.5</v>
          </cell>
          <cell r="E126">
            <v>300</v>
          </cell>
        </row>
        <row r="127">
          <cell r="A127" t="str">
            <v>D-01-06</v>
          </cell>
          <cell r="B127" t="str">
            <v>TOLNAFTATO</v>
          </cell>
          <cell r="C127">
            <v>0.01</v>
          </cell>
          <cell r="D127">
            <v>22.9</v>
          </cell>
          <cell r="E127">
            <v>42</v>
          </cell>
        </row>
        <row r="128">
          <cell r="A128" t="str">
            <v>D-01-07</v>
          </cell>
          <cell r="B128" t="str">
            <v>VIOLETA DE GENCIANA (CLORURO DE METILROSANILINA)</v>
          </cell>
          <cell r="C128">
            <v>0.01</v>
          </cell>
          <cell r="D128">
            <v>2.8</v>
          </cell>
          <cell r="E128">
            <v>14</v>
          </cell>
        </row>
        <row r="129">
          <cell r="A129" t="str">
            <v>D-02-02</v>
          </cell>
          <cell r="B129" t="str">
            <v>OXIDO DE ZINC CON O SIN ACEITE</v>
          </cell>
          <cell r="C129" t="str">
            <v>Según disponibilidad</v>
          </cell>
          <cell r="D129">
            <v>16.25</v>
          </cell>
          <cell r="E129">
            <v>36</v>
          </cell>
        </row>
        <row r="130">
          <cell r="A130" t="str">
            <v>D-02-04</v>
          </cell>
          <cell r="B130" t="str">
            <v>VASELINA LIQUIDA</v>
          </cell>
          <cell r="C130" t="str">
            <v>Según disponibilidad</v>
          </cell>
          <cell r="D130">
            <v>36</v>
          </cell>
          <cell r="E130">
            <v>29</v>
          </cell>
        </row>
        <row r="131">
          <cell r="A131" t="str">
            <v>D-04-01</v>
          </cell>
          <cell r="B131" t="str">
            <v>LIDOCAINA</v>
          </cell>
          <cell r="C131">
            <v>0.02</v>
          </cell>
          <cell r="D131">
            <v>14.9</v>
          </cell>
          <cell r="E131">
            <v>9</v>
          </cell>
        </row>
        <row r="132">
          <cell r="A132" t="str">
            <v>D-06-02</v>
          </cell>
          <cell r="B132" t="str">
            <v>SULFADIAZINA DE PLATA</v>
          </cell>
          <cell r="C132">
            <v>0.01</v>
          </cell>
          <cell r="D132">
            <v>38.551322999999996</v>
          </cell>
          <cell r="E132">
            <v>5</v>
          </cell>
        </row>
        <row r="133">
          <cell r="A133" t="str">
            <v>D-06-03</v>
          </cell>
          <cell r="B133" t="str">
            <v>ACICLOVIR</v>
          </cell>
          <cell r="C133">
            <v>0.05</v>
          </cell>
          <cell r="D133">
            <v>8.8847310000000004</v>
          </cell>
          <cell r="E133">
            <v>88</v>
          </cell>
        </row>
        <row r="134">
          <cell r="A134" t="str">
            <v>D-07-01</v>
          </cell>
          <cell r="B134" t="str">
            <v>BETAMETASONA (VALERATO)</v>
          </cell>
          <cell r="C134" t="str">
            <v>0,1%</v>
          </cell>
          <cell r="D134">
            <v>7.0905570000000004</v>
          </cell>
          <cell r="E134">
            <v>129</v>
          </cell>
        </row>
        <row r="135">
          <cell r="A135" t="str">
            <v>D-07-02</v>
          </cell>
          <cell r="B135" t="str">
            <v>CLOBETASOL</v>
          </cell>
          <cell r="C135" t="str">
            <v>0,05%</v>
          </cell>
          <cell r="D135">
            <v>12</v>
          </cell>
          <cell r="E135">
            <v>115</v>
          </cell>
        </row>
        <row r="136">
          <cell r="A136" t="str">
            <v>D-07-03</v>
          </cell>
          <cell r="B136" t="str">
            <v>CLOBETASOL</v>
          </cell>
          <cell r="C136" t="str">
            <v>0,05%</v>
          </cell>
          <cell r="D136">
            <v>55</v>
          </cell>
          <cell r="E136">
            <v>34</v>
          </cell>
        </row>
        <row r="137">
          <cell r="A137" t="str">
            <v>D-07-04</v>
          </cell>
          <cell r="B137" t="str">
            <v>HIDROCORTISONA ACETATO</v>
          </cell>
          <cell r="C137">
            <v>0.01</v>
          </cell>
          <cell r="D137">
            <v>7.5</v>
          </cell>
          <cell r="E137">
            <v>124</v>
          </cell>
        </row>
        <row r="138">
          <cell r="A138" t="str">
            <v>D-10-01</v>
          </cell>
          <cell r="B138" t="str">
            <v>ERITROMICINA</v>
          </cell>
          <cell r="C138" t="str">
            <v>2% a 4%</v>
          </cell>
          <cell r="D138">
            <v>56.6</v>
          </cell>
          <cell r="E138">
            <v>51</v>
          </cell>
        </row>
        <row r="139">
          <cell r="A139" t="str">
            <v>D-10-03</v>
          </cell>
          <cell r="B139" t="str">
            <v>PEROXIDO DE BENZOILO</v>
          </cell>
          <cell r="C139">
            <v>0.05</v>
          </cell>
          <cell r="D139">
            <v>64.5</v>
          </cell>
          <cell r="E139">
            <v>21</v>
          </cell>
        </row>
        <row r="140">
          <cell r="A140" t="str">
            <v>D-10-04</v>
          </cell>
          <cell r="B140" t="str">
            <v>RESORCINOL</v>
          </cell>
          <cell r="C140">
            <v>0.1</v>
          </cell>
          <cell r="D140">
            <v>21.376666</v>
          </cell>
          <cell r="E140">
            <v>1</v>
          </cell>
        </row>
        <row r="141">
          <cell r="A141" t="str">
            <v>DAC001</v>
          </cell>
          <cell r="B141" t="str">
            <v>AGUJA DESCARTABLE</v>
          </cell>
          <cell r="C141" t="str">
            <v>18 * 1 1/2 "</v>
          </cell>
          <cell r="D141">
            <v>0.18</v>
          </cell>
          <cell r="E141">
            <v>111</v>
          </cell>
        </row>
        <row r="142">
          <cell r="A142" t="str">
            <v>DAC007</v>
          </cell>
          <cell r="B142" t="str">
            <v>AGUJA DESCARTABLE</v>
          </cell>
          <cell r="C142" t="str">
            <v>N° 25 * 5/8"</v>
          </cell>
          <cell r="D142">
            <v>0.19</v>
          </cell>
          <cell r="E142">
            <v>3</v>
          </cell>
        </row>
        <row r="143">
          <cell r="A143" t="str">
            <v>DAC008</v>
          </cell>
          <cell r="B143" t="str">
            <v>AGUJA DESCARTABLE</v>
          </cell>
          <cell r="C143" t="str">
            <v>N° 21 * 1 1/2"</v>
          </cell>
          <cell r="D143">
            <v>0.21226200000000001</v>
          </cell>
          <cell r="E143">
            <v>6</v>
          </cell>
        </row>
        <row r="144">
          <cell r="A144" t="str">
            <v>DAC010</v>
          </cell>
          <cell r="B144" t="str">
            <v>AGUJA DESCARTABLE</v>
          </cell>
          <cell r="C144" t="str">
            <v>N° 23 * 1 1/2"</v>
          </cell>
          <cell r="D144">
            <v>0.21129700000000001</v>
          </cell>
          <cell r="E144">
            <v>22</v>
          </cell>
        </row>
        <row r="145">
          <cell r="A145" t="str">
            <v>DAC013</v>
          </cell>
          <cell r="B145" t="str">
            <v>AGUJA PARA ANESTESIA RAQUIDEA</v>
          </cell>
          <cell r="C145" t="str">
            <v>N° 25 PUNTA DE LAPIZ</v>
          </cell>
          <cell r="D145">
            <v>38.253779000000002</v>
          </cell>
          <cell r="E145">
            <v>14</v>
          </cell>
        </row>
        <row r="146">
          <cell r="A146" t="str">
            <v>DAC014</v>
          </cell>
          <cell r="B146" t="str">
            <v>AGUJA PARA ANESTESIA RAQUIDEA</v>
          </cell>
          <cell r="C146" t="str">
            <v>N° 27 PUNTA DE LAPIZ</v>
          </cell>
          <cell r="D146">
            <v>40</v>
          </cell>
          <cell r="E146">
            <v>83</v>
          </cell>
        </row>
        <row r="147">
          <cell r="A147" t="str">
            <v>DAC060</v>
          </cell>
          <cell r="B147" t="str">
            <v>CATETER VENOSO CENTRAL</v>
          </cell>
          <cell r="C147" t="str">
            <v>TRIPLE LUMEN SET 7F X 12" (30CM)</v>
          </cell>
          <cell r="D147">
            <v>253.076987</v>
          </cell>
          <cell r="E147">
            <v>27</v>
          </cell>
        </row>
        <row r="148">
          <cell r="A148" t="str">
            <v>DAC065</v>
          </cell>
          <cell r="B148" t="str">
            <v>CATETER VENOSO PERIFERICO</v>
          </cell>
          <cell r="C148" t="str">
            <v>Nº  18  CON ALETAS DE FIJACION</v>
          </cell>
          <cell r="D148">
            <v>3.90429</v>
          </cell>
          <cell r="E148">
            <v>127</v>
          </cell>
        </row>
        <row r="149">
          <cell r="A149" t="str">
            <v>DAC066</v>
          </cell>
          <cell r="B149" t="str">
            <v>CATETER VENOSO PERIFERICO</v>
          </cell>
          <cell r="C149" t="str">
            <v>Nº 20 CON ALETAS DE FIJACION</v>
          </cell>
          <cell r="D149">
            <v>3.8788</v>
          </cell>
          <cell r="E149">
            <v>478</v>
          </cell>
        </row>
        <row r="150">
          <cell r="A150" t="str">
            <v>DAC067</v>
          </cell>
          <cell r="B150" t="str">
            <v>CATETER VENOSO PERIFERICO</v>
          </cell>
          <cell r="C150" t="str">
            <v>Nº  22 CON ALETAS DE FIJACION</v>
          </cell>
          <cell r="D150">
            <v>3.8492069999999998</v>
          </cell>
          <cell r="E150">
            <v>1058</v>
          </cell>
        </row>
        <row r="151">
          <cell r="A151" t="str">
            <v>DAC068</v>
          </cell>
          <cell r="B151" t="str">
            <v>CATETER VENOSO PERIFERICO</v>
          </cell>
          <cell r="C151" t="str">
            <v>Nº  24 CON ALETAS DE FIJACION</v>
          </cell>
          <cell r="D151">
            <v>3.6924839999999999</v>
          </cell>
          <cell r="E151">
            <v>124</v>
          </cell>
        </row>
        <row r="152">
          <cell r="A152" t="str">
            <v>DAC074</v>
          </cell>
          <cell r="B152" t="str">
            <v>EQUIPO DE VENOCLISIS</v>
          </cell>
          <cell r="C152" t="str">
            <v>CON AGUJA Nº 21</v>
          </cell>
          <cell r="D152">
            <v>2.7274060000000002</v>
          </cell>
          <cell r="E152">
            <v>1694</v>
          </cell>
        </row>
        <row r="153">
          <cell r="A153" t="str">
            <v>DAC076</v>
          </cell>
          <cell r="B153" t="str">
            <v>EQUIPO VENOCLISIS</v>
          </cell>
          <cell r="C153" t="str">
            <v>COLOR AMBAR</v>
          </cell>
          <cell r="D153">
            <v>22.9</v>
          </cell>
          <cell r="E153">
            <v>4</v>
          </cell>
        </row>
        <row r="154">
          <cell r="A154" t="str">
            <v>DAC088</v>
          </cell>
          <cell r="B154" t="str">
            <v>LLAVE DE 3 VIAS</v>
          </cell>
          <cell r="C154" t="str">
            <v>CON ALARGADOR 50 CM - 10CM</v>
          </cell>
          <cell r="D154">
            <v>4.05</v>
          </cell>
          <cell r="E154">
            <v>247</v>
          </cell>
        </row>
        <row r="155">
          <cell r="A155" t="str">
            <v>DAC089</v>
          </cell>
          <cell r="B155" t="str">
            <v>LLAVE DE 3 VIAS</v>
          </cell>
          <cell r="C155" t="str">
            <v>SIN ALARGADOR</v>
          </cell>
          <cell r="D155">
            <v>3.5</v>
          </cell>
          <cell r="E155">
            <v>75</v>
          </cell>
        </row>
        <row r="156">
          <cell r="A156" t="str">
            <v>DAC091</v>
          </cell>
          <cell r="B156" t="str">
            <v>MICROGOTERO</v>
          </cell>
          <cell r="C156" t="str">
            <v>CON DEPOSITO RIGIDO 100 ML - 150ML</v>
          </cell>
          <cell r="D156">
            <v>9.8808629999999997</v>
          </cell>
          <cell r="E156">
            <v>204</v>
          </cell>
        </row>
        <row r="157">
          <cell r="A157" t="str">
            <v>DAC093</v>
          </cell>
          <cell r="B157" t="str">
            <v>TAPON HEPARINIZADO</v>
          </cell>
          <cell r="C157" t="str">
            <v>PIEZA</v>
          </cell>
          <cell r="D157">
            <v>1.926582</v>
          </cell>
          <cell r="E157">
            <v>233</v>
          </cell>
        </row>
        <row r="158">
          <cell r="A158" t="str">
            <v>DB002</v>
          </cell>
          <cell r="B158" t="str">
            <v>BOLSA COLECTORA DE ORINA</v>
          </cell>
          <cell r="C158" t="str">
            <v>2000 ML. CON VALVULA ANTIRREFLUJO</v>
          </cell>
          <cell r="D158">
            <v>4.7</v>
          </cell>
          <cell r="E158">
            <v>112</v>
          </cell>
        </row>
        <row r="159">
          <cell r="A159" t="str">
            <v>DI-01-00</v>
          </cell>
          <cell r="B159" t="str">
            <v>MARCAPASO CARDIACO DEFINITIVO DOBLE CAMARA DDDR</v>
          </cell>
          <cell r="C159" t="str">
            <v>PIEZAS</v>
          </cell>
          <cell r="D159">
            <v>19500</v>
          </cell>
          <cell r="E159">
            <v>4</v>
          </cell>
        </row>
        <row r="160">
          <cell r="A160" t="str">
            <v>DI-01-01</v>
          </cell>
          <cell r="B160" t="str">
            <v>GENERADOR DE  MARCAPASO  CARDIACO DOBLE CAMARA (DDDR)</v>
          </cell>
          <cell r="C160" t="str">
            <v>s/d</v>
          </cell>
          <cell r="D160">
            <v>8500</v>
          </cell>
          <cell r="E160">
            <v>3</v>
          </cell>
        </row>
        <row r="161">
          <cell r="A161" t="str">
            <v>DI-01-02</v>
          </cell>
          <cell r="B161" t="str">
            <v>VALVULA PERIFERICA MECANICA MITRAL</v>
          </cell>
          <cell r="C161" t="str">
            <v>PIEZA</v>
          </cell>
          <cell r="D161">
            <v>10475</v>
          </cell>
          <cell r="E161">
            <v>1</v>
          </cell>
        </row>
        <row r="162">
          <cell r="A162" t="str">
            <v>DJ003</v>
          </cell>
          <cell r="B162" t="str">
            <v>JERINGA DESCARTABLE</v>
          </cell>
          <cell r="C162" t="str">
            <v>3 ML CON AGUJA 21 X 1 1/2" C/ROSCA</v>
          </cell>
          <cell r="D162">
            <v>0.36</v>
          </cell>
          <cell r="E162">
            <v>61</v>
          </cell>
        </row>
        <row r="163">
          <cell r="A163" t="str">
            <v>DJ004</v>
          </cell>
          <cell r="B163" t="str">
            <v>JERINGA DESCARTABLE</v>
          </cell>
          <cell r="C163" t="str">
            <v>5 ML CON AGUJA 21 X 1 1/2" C/ROSCA</v>
          </cell>
          <cell r="D163">
            <v>0.36560399999999998</v>
          </cell>
          <cell r="E163">
            <v>581</v>
          </cell>
        </row>
        <row r="164">
          <cell r="A164" t="str">
            <v>DJ005</v>
          </cell>
          <cell r="B164" t="str">
            <v>JERINGA DESCARTABLE</v>
          </cell>
          <cell r="C164" t="str">
            <v>10 ML CON AGUJA 21 X 1 1/2" C/ROSCA</v>
          </cell>
          <cell r="D164">
            <v>0.48002600000000001</v>
          </cell>
          <cell r="E164">
            <v>7840</v>
          </cell>
        </row>
        <row r="165">
          <cell r="A165" t="str">
            <v>DJ006</v>
          </cell>
          <cell r="B165" t="str">
            <v>JERINGA DESCARTABLE</v>
          </cell>
          <cell r="C165" t="str">
            <v>20 ML CON AGUJA 21X 1 1/2" C/ ROSCA</v>
          </cell>
          <cell r="D165">
            <v>0.80018599999999995</v>
          </cell>
          <cell r="E165">
            <v>2906</v>
          </cell>
        </row>
        <row r="166">
          <cell r="A166" t="str">
            <v>DJ007</v>
          </cell>
          <cell r="B166" t="str">
            <v>JERINGA DESCARTABLE 50 ML LUER</v>
          </cell>
          <cell r="C166" t="str">
            <v>50 ML LUER</v>
          </cell>
          <cell r="D166">
            <v>2.5034230000000002</v>
          </cell>
          <cell r="E166">
            <v>167</v>
          </cell>
        </row>
        <row r="167">
          <cell r="A167" t="str">
            <v>DJ009</v>
          </cell>
          <cell r="B167" t="str">
            <v>JERINGA INSULINA DESCARTABLE</v>
          </cell>
          <cell r="C167" t="str">
            <v>1 ML C/AGUJA DESMONTABLE N° 28</v>
          </cell>
          <cell r="D167">
            <v>0.49670799999999998</v>
          </cell>
          <cell r="E167">
            <v>503</v>
          </cell>
        </row>
        <row r="168">
          <cell r="A168" t="str">
            <v>DL3661</v>
          </cell>
          <cell r="B168" t="str">
            <v>TIRAS REACTIVAS PARA GLUCOMETRO</v>
          </cell>
          <cell r="C168" t="str">
            <v>TIRAS DE BUENA REPRODUCIBILIDAD REPETITIVIDAD TENGA ESTABILIDAD EXACTITUD APTA PARA USO A DIFERENTES ALTURAS, HASTA 4000 M. DE ALTURA SOBRE EL NIVEL DE MAR (PRESENTAR CERTIFICADO DE CALIBRACION DE ALTURA DE LA FABRICA DE ORIGEN).</v>
          </cell>
          <cell r="D168">
            <v>5.8323720000000003</v>
          </cell>
          <cell r="E168">
            <v>435</v>
          </cell>
        </row>
        <row r="169">
          <cell r="A169" t="str">
            <v>DMQ012</v>
          </cell>
          <cell r="B169" t="str">
            <v>ELECTRODOS</v>
          </cell>
          <cell r="C169" t="str">
            <v>DE ESPUMA PARA ADULTO</v>
          </cell>
          <cell r="D169">
            <v>1.4199029999999999</v>
          </cell>
          <cell r="E169">
            <v>892</v>
          </cell>
        </row>
        <row r="170">
          <cell r="A170" t="str">
            <v>DMQ019</v>
          </cell>
          <cell r="B170" t="str">
            <v>GUANTES QUIRURGICOS</v>
          </cell>
          <cell r="C170" t="str">
            <v>N° 6  PUNO LARGO</v>
          </cell>
          <cell r="D170">
            <v>1.805555</v>
          </cell>
          <cell r="E170">
            <v>10</v>
          </cell>
        </row>
        <row r="171">
          <cell r="A171" t="str">
            <v>DMQ020</v>
          </cell>
          <cell r="B171" t="str">
            <v>GUANTES QUIRURGICOS ESTERIL</v>
          </cell>
          <cell r="C171" t="str">
            <v>N° 6 1/2 PUNO LARGO</v>
          </cell>
          <cell r="D171">
            <v>2.3851230000000001</v>
          </cell>
          <cell r="E171">
            <v>178</v>
          </cell>
        </row>
        <row r="172">
          <cell r="A172" t="str">
            <v>DMQ021</v>
          </cell>
          <cell r="B172" t="str">
            <v>GUANTES QUIRURGICOS ESTERIL</v>
          </cell>
          <cell r="C172" t="str">
            <v>N° 7 PUNO LARGO</v>
          </cell>
          <cell r="D172">
            <v>2.4015520000000001</v>
          </cell>
          <cell r="E172">
            <v>231</v>
          </cell>
        </row>
        <row r="173">
          <cell r="A173" t="str">
            <v>DMQ022</v>
          </cell>
          <cell r="B173" t="str">
            <v>GUANTES QUIRURGICOS ESTERIL</v>
          </cell>
          <cell r="C173" t="str">
            <v>N° 7 1/2 PUNO LARGO</v>
          </cell>
          <cell r="D173">
            <v>2.4065979999999998</v>
          </cell>
          <cell r="E173">
            <v>402</v>
          </cell>
        </row>
        <row r="174">
          <cell r="A174" t="str">
            <v>DMQ023</v>
          </cell>
          <cell r="B174" t="str">
            <v>GUANTES QUIRURGICOS ESTERIL</v>
          </cell>
          <cell r="C174" t="str">
            <v>N° 8 PUNO LARGO</v>
          </cell>
          <cell r="D174">
            <v>2.403842</v>
          </cell>
          <cell r="E174">
            <v>58</v>
          </cell>
        </row>
        <row r="175">
          <cell r="A175" t="str">
            <v>DMQ028</v>
          </cell>
          <cell r="B175" t="str">
            <v>HOJAS DE BISTURI</v>
          </cell>
          <cell r="C175" t="str">
            <v>N° 11</v>
          </cell>
          <cell r="D175">
            <v>0.62</v>
          </cell>
          <cell r="E175">
            <v>59</v>
          </cell>
        </row>
        <row r="176">
          <cell r="A176" t="str">
            <v>DMQ030</v>
          </cell>
          <cell r="B176" t="str">
            <v>HOJAS DE BISTURI N° 15</v>
          </cell>
          <cell r="C176" t="str">
            <v>N° 15</v>
          </cell>
          <cell r="D176">
            <v>0.57999999999999996</v>
          </cell>
          <cell r="E176">
            <v>18</v>
          </cell>
        </row>
        <row r="177">
          <cell r="A177" t="str">
            <v>DMQ034</v>
          </cell>
          <cell r="B177" t="str">
            <v>MALLA DE POLIPROPILENO</v>
          </cell>
          <cell r="C177" t="str">
            <v>15 X 15 CM</v>
          </cell>
          <cell r="D177">
            <v>460</v>
          </cell>
          <cell r="E177">
            <v>5</v>
          </cell>
        </row>
        <row r="178">
          <cell r="A178" t="str">
            <v>DOT005</v>
          </cell>
          <cell r="B178" t="str">
            <v>ALGODON</v>
          </cell>
          <cell r="C178" t="str">
            <v>100 GRS.</v>
          </cell>
          <cell r="D178">
            <v>6.90909</v>
          </cell>
          <cell r="E178">
            <v>24</v>
          </cell>
        </row>
        <row r="179">
          <cell r="A179" t="str">
            <v>DOT006</v>
          </cell>
          <cell r="B179" t="str">
            <v>ALGODON</v>
          </cell>
          <cell r="C179" t="str">
            <v>400 GRS.</v>
          </cell>
          <cell r="D179">
            <v>27</v>
          </cell>
          <cell r="E179">
            <v>5</v>
          </cell>
        </row>
        <row r="180">
          <cell r="A180" t="str">
            <v>DOT035</v>
          </cell>
          <cell r="B180" t="str">
            <v>FILTRO ANTIMICROBIANO</v>
          </cell>
          <cell r="C180" t="str">
            <v>PARA RESPIRADORES PARA OXIGENO</v>
          </cell>
          <cell r="D180">
            <v>42</v>
          </cell>
          <cell r="E180">
            <v>3</v>
          </cell>
        </row>
        <row r="181">
          <cell r="A181" t="str">
            <v>DOT070</v>
          </cell>
          <cell r="B181" t="str">
            <v>VENDA DE GASA</v>
          </cell>
          <cell r="C181" t="str">
            <v>3" (7.5 CENTIMETROS)</v>
          </cell>
          <cell r="D181">
            <v>5</v>
          </cell>
          <cell r="E181">
            <v>13</v>
          </cell>
        </row>
        <row r="182">
          <cell r="A182" t="str">
            <v>DOT071</v>
          </cell>
          <cell r="B182" t="str">
            <v>VENDA DE GASA</v>
          </cell>
          <cell r="C182" t="str">
            <v>4" (10 CENTIMETROS)</v>
          </cell>
          <cell r="D182">
            <v>5.5</v>
          </cell>
          <cell r="E182">
            <v>132</v>
          </cell>
        </row>
        <row r="183">
          <cell r="A183" t="str">
            <v>DOT073</v>
          </cell>
          <cell r="B183" t="str">
            <v>VENDA DE GASA</v>
          </cell>
          <cell r="C183" t="str">
            <v>6"</v>
          </cell>
          <cell r="D183">
            <v>8.0031370000000006</v>
          </cell>
          <cell r="E183">
            <v>32</v>
          </cell>
        </row>
        <row r="184">
          <cell r="A184" t="str">
            <v>DOT074</v>
          </cell>
          <cell r="B184" t="str">
            <v>VENDA DE YESO</v>
          </cell>
          <cell r="C184" t="str">
            <v>6" (15 CENTIMETROS)</v>
          </cell>
          <cell r="D184">
            <v>12.99</v>
          </cell>
          <cell r="E184">
            <v>24</v>
          </cell>
        </row>
        <row r="185">
          <cell r="A185" t="str">
            <v>DOT075</v>
          </cell>
          <cell r="B185" t="str">
            <v>VENDA DE YESO</v>
          </cell>
          <cell r="C185" t="str">
            <v>4" (10 CM)</v>
          </cell>
          <cell r="D185">
            <v>9.49</v>
          </cell>
          <cell r="E185">
            <v>37</v>
          </cell>
        </row>
        <row r="186">
          <cell r="A186" t="str">
            <v>DOT076</v>
          </cell>
          <cell r="B186" t="str">
            <v>VENDA DE YESO</v>
          </cell>
          <cell r="C186" t="str">
            <v>8" ( 20 CM)</v>
          </cell>
          <cell r="D186">
            <v>21.99</v>
          </cell>
          <cell r="E186">
            <v>29</v>
          </cell>
        </row>
        <row r="187">
          <cell r="A187" t="str">
            <v>DOT081</v>
          </cell>
          <cell r="B187" t="str">
            <v>VENDA ELASTICA</v>
          </cell>
          <cell r="C187" t="str">
            <v>10 CM</v>
          </cell>
          <cell r="D187">
            <v>6</v>
          </cell>
          <cell r="E187">
            <v>35</v>
          </cell>
        </row>
        <row r="188">
          <cell r="A188" t="str">
            <v>DOT082</v>
          </cell>
          <cell r="B188" t="str">
            <v>VENDA ELASTICA</v>
          </cell>
          <cell r="C188" t="str">
            <v>15 CM</v>
          </cell>
          <cell r="D188">
            <v>8</v>
          </cell>
          <cell r="E188">
            <v>30</v>
          </cell>
        </row>
        <row r="189">
          <cell r="A189" t="str">
            <v>DPF003</v>
          </cell>
          <cell r="B189" t="str">
            <v>CONDON MASCULINO</v>
          </cell>
          <cell r="C189" t="str">
            <v>PIEZA</v>
          </cell>
          <cell r="D189">
            <v>0.31365448499999998</v>
          </cell>
          <cell r="E189">
            <v>4</v>
          </cell>
        </row>
        <row r="190">
          <cell r="A190" t="str">
            <v>DSC012</v>
          </cell>
          <cell r="B190" t="str">
            <v>SUTURA  CAT GUT CROMADO</v>
          </cell>
          <cell r="C190" t="str">
            <v>N° 0 C/AGUJA  4 CM. 1/2 CIRC.</v>
          </cell>
          <cell r="D190">
            <v>13.956723999999999</v>
          </cell>
          <cell r="E190">
            <v>11</v>
          </cell>
        </row>
        <row r="191">
          <cell r="A191" t="str">
            <v>DSC013</v>
          </cell>
          <cell r="B191" t="str">
            <v>SUTURA  CAT GUT CROMADO</v>
          </cell>
          <cell r="C191" t="str">
            <v>N° 1 C/AGUJA  4.8 CM 1/2 CIRC.</v>
          </cell>
          <cell r="D191">
            <v>10.119999999999999</v>
          </cell>
          <cell r="E191">
            <v>21</v>
          </cell>
        </row>
        <row r="192">
          <cell r="A192" t="str">
            <v>DSC020</v>
          </cell>
          <cell r="B192" t="str">
            <v>SUTURA CAT GUT SIMPLE</v>
          </cell>
          <cell r="C192" t="str">
            <v>N° 1C/AGUJA  4.8 CM. 1/2 CIRC.</v>
          </cell>
          <cell r="D192">
            <v>15.909711</v>
          </cell>
          <cell r="E192">
            <v>53</v>
          </cell>
        </row>
        <row r="193">
          <cell r="A193" t="str">
            <v>DSC021</v>
          </cell>
          <cell r="B193" t="str">
            <v>SUTURA CAT GUT SIMPLE</v>
          </cell>
          <cell r="C193" t="str">
            <v>N° 2/0 C/AGUJA 1.7 CM. 3/8 DE CIRC.</v>
          </cell>
          <cell r="D193">
            <v>17.839175999999998</v>
          </cell>
          <cell r="E193">
            <v>10</v>
          </cell>
        </row>
        <row r="194">
          <cell r="A194" t="str">
            <v>DSC023</v>
          </cell>
          <cell r="B194" t="str">
            <v>SUTURA CAT GUT SIMPLE</v>
          </cell>
          <cell r="C194" t="str">
            <v>N° 3/0 C/AGUJA 2.5 CM. 1/2 CIRC.</v>
          </cell>
          <cell r="D194">
            <v>15.4125</v>
          </cell>
          <cell r="E194">
            <v>4</v>
          </cell>
        </row>
        <row r="195">
          <cell r="A195" t="str">
            <v>DSC041</v>
          </cell>
          <cell r="B195" t="str">
            <v>SUTURA NYLON</v>
          </cell>
          <cell r="C195" t="str">
            <v>N° 1 C/AGUJA 4.0 CM. CUTICULAR</v>
          </cell>
          <cell r="D195">
            <v>9.3262920000000005</v>
          </cell>
          <cell r="E195">
            <v>26</v>
          </cell>
        </row>
        <row r="196">
          <cell r="A196" t="str">
            <v>DSC042</v>
          </cell>
          <cell r="B196" t="str">
            <v>SUTURA NYLON</v>
          </cell>
          <cell r="C196" t="str">
            <v>N° 2/0 C/AGUJA 3 CM. CUTICULAR</v>
          </cell>
          <cell r="D196">
            <v>8.4919229999999999</v>
          </cell>
          <cell r="E196">
            <v>31</v>
          </cell>
        </row>
        <row r="197">
          <cell r="A197" t="str">
            <v>DSC043</v>
          </cell>
          <cell r="B197" t="str">
            <v>SUTURA NYLON</v>
          </cell>
          <cell r="C197" t="str">
            <v>N° 3/0 C/AGUJA 2.5 CM CUTICULAR</v>
          </cell>
          <cell r="D197">
            <v>8</v>
          </cell>
          <cell r="E197">
            <v>202</v>
          </cell>
        </row>
        <row r="198">
          <cell r="A198" t="str">
            <v>DSC045</v>
          </cell>
          <cell r="B198" t="str">
            <v>SUTURA NYLON</v>
          </cell>
          <cell r="C198" t="str">
            <v>N° 5/0 C/AGUJA 1.5 CM CUTICULAR</v>
          </cell>
          <cell r="D198">
            <v>12.982856999999999</v>
          </cell>
          <cell r="E198">
            <v>12</v>
          </cell>
        </row>
        <row r="199">
          <cell r="A199" t="str">
            <v>DSC054</v>
          </cell>
          <cell r="B199" t="str">
            <v>SUTURA POLIGLACTINA 910</v>
          </cell>
          <cell r="C199" t="str">
            <v>RECUBIERTA CON ESTEARATO DE CALCIO  N°1 C/AGUJA 4 CM. 1/2 CIRC.</v>
          </cell>
          <cell r="D199">
            <v>15.4</v>
          </cell>
          <cell r="E199">
            <v>175</v>
          </cell>
        </row>
        <row r="200">
          <cell r="A200" t="str">
            <v>DSC056</v>
          </cell>
          <cell r="B200" t="str">
            <v>SUTURA POLIGLACTINA 910</v>
          </cell>
          <cell r="C200" t="str">
            <v>RECUBIERTA CON ESTEARATO DE CALCIO  N°3/ 0 C/AGUJA 2.5 CM. 1/2 CIRC.</v>
          </cell>
          <cell r="D200">
            <v>15.4</v>
          </cell>
          <cell r="E200">
            <v>54</v>
          </cell>
        </row>
        <row r="201">
          <cell r="A201" t="str">
            <v>DSD015</v>
          </cell>
          <cell r="B201" t="str">
            <v>SONDA DE ASPIRACION</v>
          </cell>
          <cell r="C201" t="str">
            <v>CON SISTEMA DE CONTROL DE FLUJO N°14</v>
          </cell>
          <cell r="D201">
            <v>3.5</v>
          </cell>
          <cell r="E201">
            <v>29</v>
          </cell>
        </row>
        <row r="202">
          <cell r="A202" t="str">
            <v>DSD016</v>
          </cell>
          <cell r="B202" t="str">
            <v>SONDA DE ASPIRACION</v>
          </cell>
          <cell r="C202" t="str">
            <v>CON SISTEMA DE CONTROL DE FLUJO N°16</v>
          </cell>
          <cell r="D202">
            <v>2.1</v>
          </cell>
          <cell r="E202">
            <v>47</v>
          </cell>
        </row>
        <row r="203">
          <cell r="A203" t="str">
            <v>DSD026</v>
          </cell>
          <cell r="B203" t="str">
            <v>SONDA FOLEY</v>
          </cell>
          <cell r="C203" t="str">
            <v>SILICONIZADA 2 VÍAS N° 16 CON PICO LUER</v>
          </cell>
          <cell r="D203">
            <v>6.849259</v>
          </cell>
          <cell r="E203">
            <v>66</v>
          </cell>
        </row>
        <row r="204">
          <cell r="A204" t="str">
            <v>DSD027</v>
          </cell>
          <cell r="B204" t="str">
            <v>SONDA FOLEY</v>
          </cell>
          <cell r="C204" t="str">
            <v>SILICONIZADA 2 VIAS N° 18 CON PICO LUER</v>
          </cell>
          <cell r="D204">
            <v>7.2010860000000001</v>
          </cell>
          <cell r="E204">
            <v>21</v>
          </cell>
        </row>
        <row r="205">
          <cell r="A205" t="str">
            <v>DSD041</v>
          </cell>
          <cell r="B205" t="str">
            <v>SONDA NASOGASTRICA</v>
          </cell>
          <cell r="C205" t="str">
            <v>N°16</v>
          </cell>
          <cell r="D205">
            <v>3.5</v>
          </cell>
          <cell r="E205">
            <v>20</v>
          </cell>
        </row>
        <row r="206">
          <cell r="A206" t="str">
            <v>DTO039</v>
          </cell>
          <cell r="B206" t="str">
            <v>SISTEMA CERRADO DE ASPIRACION TRAQUEAL</v>
          </cell>
          <cell r="C206" t="str">
            <v>NO. 16</v>
          </cell>
          <cell r="D206">
            <v>141.11111099999999</v>
          </cell>
          <cell r="E206">
            <v>1</v>
          </cell>
        </row>
        <row r="207">
          <cell r="A207" t="str">
            <v>DTO044</v>
          </cell>
          <cell r="B207" t="str">
            <v>TUBO CORRUGADO</v>
          </cell>
          <cell r="C207" t="str">
            <v>ADULTO PARA MAQUINA DE ANESTESIA</v>
          </cell>
          <cell r="D207">
            <v>250</v>
          </cell>
          <cell r="E207">
            <v>1</v>
          </cell>
        </row>
        <row r="208">
          <cell r="A208" t="str">
            <v>DTO051</v>
          </cell>
          <cell r="B208" t="str">
            <v>TUBO ENDOTRAQUEAL</v>
          </cell>
          <cell r="C208" t="str">
            <v>PREFORMADO ORAL N°6.5 C/BALON</v>
          </cell>
          <cell r="D208">
            <v>10</v>
          </cell>
          <cell r="E208">
            <v>20</v>
          </cell>
        </row>
        <row r="209">
          <cell r="A209" t="str">
            <v>DTO052</v>
          </cell>
          <cell r="B209" t="str">
            <v>TUBO ENDOTRAQUEAL</v>
          </cell>
          <cell r="C209" t="str">
            <v>PREFORMADO ORAL N° 7 C/BALON</v>
          </cell>
          <cell r="D209">
            <v>7</v>
          </cell>
          <cell r="E209">
            <v>28</v>
          </cell>
        </row>
        <row r="210">
          <cell r="A210" t="str">
            <v>DTO054</v>
          </cell>
          <cell r="B210" t="str">
            <v>TUBO ENDOTRAQUEAL</v>
          </cell>
          <cell r="C210" t="str">
            <v>PREFORMADO ORAL N° 8 C/BALON</v>
          </cell>
          <cell r="D210">
            <v>7.99</v>
          </cell>
          <cell r="E210">
            <v>4</v>
          </cell>
        </row>
        <row r="211">
          <cell r="A211" t="str">
            <v>EX-01-021</v>
          </cell>
          <cell r="B211" t="str">
            <v>DILTIAZEN   DILTIAZEN*   60 MG</v>
          </cell>
          <cell r="C211" t="str">
            <v>60 MG</v>
          </cell>
          <cell r="D211">
            <v>2.2000000000000002</v>
          </cell>
          <cell r="E211">
            <v>600</v>
          </cell>
        </row>
        <row r="212">
          <cell r="A212" t="str">
            <v>EX-01-04</v>
          </cell>
          <cell r="B212" t="str">
            <v>TELMISARTAN + HIDROCLOROTIAZIDA TELMISARTAN + HIDROCLOROTIAZIDA 40/12.5 MG</v>
          </cell>
          <cell r="C212" t="str">
            <v>40/12.5 MG</v>
          </cell>
          <cell r="D212">
            <v>6.3</v>
          </cell>
          <cell r="E212">
            <v>90</v>
          </cell>
        </row>
        <row r="213">
          <cell r="A213" t="str">
            <v>EX-01-042</v>
          </cell>
          <cell r="B213" t="str">
            <v>TELMISARTAN TELMISARTAN 80MG</v>
          </cell>
          <cell r="C213" t="str">
            <v>80MG</v>
          </cell>
          <cell r="D213">
            <v>5.3</v>
          </cell>
          <cell r="E213">
            <v>240</v>
          </cell>
        </row>
        <row r="214">
          <cell r="A214" t="str">
            <v>EX-01-15</v>
          </cell>
          <cell r="B214" t="str">
            <v>RIBAROXABAN RIBAROXABAN 15 MG</v>
          </cell>
          <cell r="C214" t="str">
            <v>15 MG</v>
          </cell>
          <cell r="D214">
            <v>11</v>
          </cell>
          <cell r="E214">
            <v>210</v>
          </cell>
        </row>
        <row r="215">
          <cell r="A215" t="str">
            <v>EX-01-19</v>
          </cell>
          <cell r="B215" t="str">
            <v>IVABRADINA</v>
          </cell>
          <cell r="C215" t="str">
            <v>7.5 MG</v>
          </cell>
          <cell r="D215">
            <v>8</v>
          </cell>
          <cell r="E215">
            <v>180</v>
          </cell>
        </row>
        <row r="216">
          <cell r="A216" t="str">
            <v>EXDMQ1</v>
          </cell>
          <cell r="B216" t="str">
            <v xml:space="preserve">CUPULA CEMENTADA </v>
          </cell>
          <cell r="C216" t="str">
            <v xml:space="preserve">VARIABLE </v>
          </cell>
          <cell r="D216">
            <v>11900</v>
          </cell>
          <cell r="E216">
            <v>1</v>
          </cell>
        </row>
        <row r="217">
          <cell r="A217" t="str">
            <v>G-01-01</v>
          </cell>
          <cell r="B217" t="str">
            <v>ACIDO ACETICO (ACIDO TRICLOROACETICO)</v>
          </cell>
          <cell r="C217">
            <v>0.5</v>
          </cell>
          <cell r="D217">
            <v>64.323333000000005</v>
          </cell>
          <cell r="E217">
            <v>1</v>
          </cell>
        </row>
        <row r="218">
          <cell r="A218" t="str">
            <v>G-01-02</v>
          </cell>
          <cell r="B218" t="str">
            <v>CLOTRIMAZOL</v>
          </cell>
          <cell r="C218" t="str">
            <v>100 mg</v>
          </cell>
          <cell r="D218">
            <v>1.56</v>
          </cell>
          <cell r="E218">
            <v>524</v>
          </cell>
        </row>
        <row r="219">
          <cell r="A219" t="str">
            <v>G-01-03</v>
          </cell>
          <cell r="B219" t="str">
            <v>CLOTRIMAZOL</v>
          </cell>
          <cell r="C219">
            <v>0.01</v>
          </cell>
          <cell r="D219">
            <v>10.074698</v>
          </cell>
          <cell r="E219">
            <v>80</v>
          </cell>
        </row>
        <row r="220">
          <cell r="A220" t="str">
            <v>G-01-04</v>
          </cell>
          <cell r="B220" t="str">
            <v>METRONIDAZOL</v>
          </cell>
          <cell r="C220" t="str">
            <v>500 mg</v>
          </cell>
          <cell r="D220">
            <v>1.07</v>
          </cell>
          <cell r="E220">
            <v>1600</v>
          </cell>
        </row>
        <row r="221">
          <cell r="A221" t="str">
            <v>G-01-05</v>
          </cell>
          <cell r="B221" t="str">
            <v>NISTATINA</v>
          </cell>
          <cell r="C221" t="str">
            <v>100.000 UI</v>
          </cell>
          <cell r="D221">
            <v>1.913333</v>
          </cell>
          <cell r="E221">
            <v>3</v>
          </cell>
        </row>
        <row r="222">
          <cell r="A222" t="str">
            <v>G-02-03</v>
          </cell>
          <cell r="B222" t="str">
            <v>ERGOMETRINA MALEATO</v>
          </cell>
          <cell r="C222" t="str">
            <v>0,2 mg</v>
          </cell>
          <cell r="D222">
            <v>1.7203170000000001</v>
          </cell>
          <cell r="E222">
            <v>30</v>
          </cell>
        </row>
        <row r="223">
          <cell r="A223" t="str">
            <v>G-02-04</v>
          </cell>
          <cell r="B223" t="str">
            <v>ERGOMETRINA MALEATO</v>
          </cell>
          <cell r="C223" t="str">
            <v>0,2 mg/ml</v>
          </cell>
          <cell r="D223">
            <v>6.9</v>
          </cell>
          <cell r="E223">
            <v>53</v>
          </cell>
        </row>
        <row r="224">
          <cell r="A224" t="str">
            <v>G-02-09</v>
          </cell>
          <cell r="B224" t="str">
            <v>OXITOCINA</v>
          </cell>
          <cell r="C224" t="str">
            <v>5UI/ml a 10 UI/ml</v>
          </cell>
          <cell r="D224">
            <v>2.65</v>
          </cell>
          <cell r="E224">
            <v>44</v>
          </cell>
        </row>
        <row r="225">
          <cell r="A225" t="str">
            <v>G-03-02</v>
          </cell>
          <cell r="B225" t="str">
            <v>CIPROTERONA ACETATO + ESTRADIOL VALERATO</v>
          </cell>
          <cell r="C225" t="str">
            <v>2 mg + 0,035 mg</v>
          </cell>
          <cell r="D225">
            <v>40</v>
          </cell>
          <cell r="E225">
            <v>53</v>
          </cell>
        </row>
        <row r="226">
          <cell r="A226" t="str">
            <v>G-03-03</v>
          </cell>
          <cell r="B226" t="str">
            <v>CLOMIFENO CITRATO</v>
          </cell>
          <cell r="C226" t="str">
            <v>50 mg</v>
          </cell>
          <cell r="D226">
            <v>2.3963000000000001</v>
          </cell>
          <cell r="E226">
            <v>10</v>
          </cell>
        </row>
        <row r="227">
          <cell r="A227" t="str">
            <v>G-03-09</v>
          </cell>
          <cell r="B227" t="str">
            <v>ESTROGENOS CONJUGADOS</v>
          </cell>
          <cell r="C227" t="str">
            <v>0,625 mg</v>
          </cell>
          <cell r="D227">
            <v>116.21</v>
          </cell>
          <cell r="E227">
            <v>20</v>
          </cell>
        </row>
        <row r="228">
          <cell r="A228" t="str">
            <v>G-03-12</v>
          </cell>
          <cell r="B228" t="str">
            <v>LEVONORGESTREL + ETINILESTRADIOL</v>
          </cell>
          <cell r="C228" t="str">
            <v>0,150 mg + 0,03 mg</v>
          </cell>
          <cell r="D228">
            <v>6</v>
          </cell>
          <cell r="E228">
            <v>35</v>
          </cell>
        </row>
        <row r="229">
          <cell r="A229" t="str">
            <v>G-03-13</v>
          </cell>
          <cell r="B229" t="str">
            <v>MEDROXIPROGESTERONA ACETATO</v>
          </cell>
          <cell r="C229" t="str">
            <v>150 mg/ml</v>
          </cell>
          <cell r="D229">
            <v>11.948333</v>
          </cell>
          <cell r="E229">
            <v>5</v>
          </cell>
        </row>
        <row r="230">
          <cell r="A230" t="str">
            <v>G-03-18</v>
          </cell>
          <cell r="B230" t="str">
            <v>TESTOSTERONA UNDECANOATO</v>
          </cell>
          <cell r="C230" t="str">
            <v>1000 mg</v>
          </cell>
          <cell r="D230">
            <v>1220</v>
          </cell>
          <cell r="E230">
            <v>17</v>
          </cell>
        </row>
        <row r="231">
          <cell r="A231" t="str">
            <v>G-04-01</v>
          </cell>
          <cell r="B231" t="str">
            <v>FINASTERIDA</v>
          </cell>
          <cell r="C231" t="str">
            <v>5 mg</v>
          </cell>
          <cell r="D231">
            <v>1.6723699999999999</v>
          </cell>
          <cell r="E231">
            <v>7530</v>
          </cell>
        </row>
        <row r="232">
          <cell r="A232" t="str">
            <v>H-02-01</v>
          </cell>
          <cell r="B232" t="str">
            <v>BETAMETASONA (FOSFATO)</v>
          </cell>
          <cell r="C232" t="str">
            <v>4 mg</v>
          </cell>
          <cell r="D232">
            <v>5.3895580000000001</v>
          </cell>
          <cell r="E232">
            <v>158</v>
          </cell>
        </row>
        <row r="233">
          <cell r="A233" t="str">
            <v>H-02-03</v>
          </cell>
          <cell r="B233" t="str">
            <v>DEXAMETASONA</v>
          </cell>
          <cell r="C233" t="str">
            <v>0,5 mg</v>
          </cell>
          <cell r="D233">
            <v>0.42293199999999997</v>
          </cell>
          <cell r="E233">
            <v>20</v>
          </cell>
        </row>
        <row r="234">
          <cell r="A234" t="str">
            <v>H-02-04</v>
          </cell>
          <cell r="B234" t="str">
            <v>DEXAMETASONA</v>
          </cell>
          <cell r="C234" t="str">
            <v>4 mg/ml</v>
          </cell>
          <cell r="D234">
            <v>0.85902500000000004</v>
          </cell>
          <cell r="E234">
            <v>6197</v>
          </cell>
        </row>
        <row r="235">
          <cell r="A235" t="str">
            <v>H-02-05</v>
          </cell>
          <cell r="B235" t="str">
            <v>HIDROCORTISONA SUCCINATO SODICO</v>
          </cell>
          <cell r="C235" t="str">
            <v>100 mg</v>
          </cell>
          <cell r="D235">
            <v>5.7016359999999997</v>
          </cell>
          <cell r="E235">
            <v>384</v>
          </cell>
        </row>
        <row r="236">
          <cell r="A236" t="str">
            <v>H-02-06</v>
          </cell>
          <cell r="B236" t="str">
            <v>HIDROCORTISONA SUCCINATO SODICO</v>
          </cell>
          <cell r="C236" t="str">
            <v>250 mg</v>
          </cell>
          <cell r="D236">
            <v>21.982634999999998</v>
          </cell>
          <cell r="E236">
            <v>113</v>
          </cell>
        </row>
        <row r="237">
          <cell r="A237" t="str">
            <v>H-02-07</v>
          </cell>
          <cell r="B237" t="str">
            <v>METILPREDNISOLONA SUCCINATO SODICO</v>
          </cell>
          <cell r="C237" t="str">
            <v>500 mg</v>
          </cell>
          <cell r="D237">
            <v>73.892857000000006</v>
          </cell>
          <cell r="E237">
            <v>29</v>
          </cell>
        </row>
        <row r="238">
          <cell r="A238" t="str">
            <v>H-02-08</v>
          </cell>
          <cell r="B238" t="str">
            <v>PREDNISONA</v>
          </cell>
          <cell r="C238" t="str">
            <v>5 mg</v>
          </cell>
          <cell r="D238">
            <v>0.30044399999999999</v>
          </cell>
          <cell r="E238">
            <v>8897</v>
          </cell>
        </row>
        <row r="239">
          <cell r="A239" t="str">
            <v>H-02-09</v>
          </cell>
          <cell r="B239" t="str">
            <v>PREDNISONA</v>
          </cell>
          <cell r="C239" t="str">
            <v>20 mg</v>
          </cell>
          <cell r="D239">
            <v>0.5</v>
          </cell>
          <cell r="E239">
            <v>2735</v>
          </cell>
        </row>
        <row r="240">
          <cell r="A240" t="str">
            <v>H-03-01</v>
          </cell>
          <cell r="B240" t="str">
            <v>LEVOTIROXINA SODICA</v>
          </cell>
          <cell r="C240" t="str">
            <v>0,1 mg</v>
          </cell>
          <cell r="D240">
            <v>0.51147500000000001</v>
          </cell>
          <cell r="E240">
            <v>39437</v>
          </cell>
        </row>
        <row r="241">
          <cell r="A241" t="str">
            <v>H-03-02</v>
          </cell>
          <cell r="B241" t="str">
            <v>PROPILTIOURACILO</v>
          </cell>
          <cell r="C241" t="str">
            <v>50 mg</v>
          </cell>
          <cell r="D241">
            <v>1.2623070000000001</v>
          </cell>
          <cell r="E241">
            <v>10</v>
          </cell>
        </row>
        <row r="242">
          <cell r="A242" t="str">
            <v>J-01-02</v>
          </cell>
          <cell r="B242" t="str">
            <v>ACIDO NALIDIXICO</v>
          </cell>
          <cell r="C242" t="str">
            <v>250 mg/5 ml</v>
          </cell>
          <cell r="D242">
            <v>19.536999999999999</v>
          </cell>
          <cell r="E242">
            <v>1</v>
          </cell>
        </row>
        <row r="243">
          <cell r="A243" t="str">
            <v>J-01-04</v>
          </cell>
          <cell r="B243" t="str">
            <v>AMIKACINA</v>
          </cell>
          <cell r="C243" t="str">
            <v>500 mg/ 2ml</v>
          </cell>
          <cell r="D243">
            <v>5.9061219999999999</v>
          </cell>
          <cell r="E243">
            <v>497</v>
          </cell>
        </row>
        <row r="244">
          <cell r="A244" t="str">
            <v>J-01-05</v>
          </cell>
          <cell r="B244" t="str">
            <v>AMOXICILINA</v>
          </cell>
          <cell r="C244" t="str">
            <v>1 g</v>
          </cell>
          <cell r="D244">
            <v>0.92223200000000005</v>
          </cell>
          <cell r="E244">
            <v>2426</v>
          </cell>
        </row>
        <row r="245">
          <cell r="A245" t="str">
            <v>J-01-06</v>
          </cell>
          <cell r="B245" t="str">
            <v>AMOXICILINA</v>
          </cell>
          <cell r="C245" t="str">
            <v>500 mg</v>
          </cell>
          <cell r="D245">
            <v>0.49933300000000003</v>
          </cell>
          <cell r="E245">
            <v>442</v>
          </cell>
        </row>
        <row r="246">
          <cell r="A246" t="str">
            <v>J-01-09</v>
          </cell>
          <cell r="B246" t="str">
            <v>AMOXICILINA + INHIBIDOR BETALACTAMASA</v>
          </cell>
          <cell r="C246" t="str">
            <v>500 mg + Según disponibilidad</v>
          </cell>
          <cell r="D246">
            <v>2.3131159999999999</v>
          </cell>
          <cell r="E246">
            <v>1034</v>
          </cell>
        </row>
        <row r="247">
          <cell r="A247" t="str">
            <v>J-01-10</v>
          </cell>
          <cell r="B247" t="str">
            <v>AMOXICILINA + INHIBIDOR BETALACTAMASA</v>
          </cell>
          <cell r="C247" t="str">
            <v>250 mg + Según disponibilidad</v>
          </cell>
          <cell r="D247">
            <v>48.226044999999999</v>
          </cell>
          <cell r="E247">
            <v>57</v>
          </cell>
        </row>
        <row r="248">
          <cell r="A248" t="str">
            <v>J-01-13</v>
          </cell>
          <cell r="B248" t="str">
            <v>AZITROMICINA</v>
          </cell>
          <cell r="C248" t="str">
            <v>500 mg</v>
          </cell>
          <cell r="D248">
            <v>1.898245</v>
          </cell>
          <cell r="E248">
            <v>1858</v>
          </cell>
        </row>
        <row r="249">
          <cell r="A249" t="str">
            <v>J-01-15</v>
          </cell>
          <cell r="B249" t="str">
            <v>BENCILPENICILINA BENZATINICA</v>
          </cell>
          <cell r="C249" t="str">
            <v>1.200.000 UI</v>
          </cell>
          <cell r="D249">
            <v>4.5</v>
          </cell>
          <cell r="E249">
            <v>227</v>
          </cell>
        </row>
        <row r="250">
          <cell r="A250" t="str">
            <v>J-01-16</v>
          </cell>
          <cell r="B250" t="str">
            <v>BENCILPENICILINA BENZATINICA</v>
          </cell>
          <cell r="C250" t="str">
            <v>2.400.000 UI</v>
          </cell>
          <cell r="D250">
            <v>5.4069149999999997</v>
          </cell>
          <cell r="E250">
            <v>389</v>
          </cell>
        </row>
        <row r="251">
          <cell r="A251" t="str">
            <v>J-01-18</v>
          </cell>
          <cell r="B251" t="str">
            <v>BENCILPENICILINA PROCAINICA</v>
          </cell>
          <cell r="C251" t="str">
            <v>800.000 UI</v>
          </cell>
          <cell r="D251">
            <v>4.3201020000000003</v>
          </cell>
          <cell r="E251">
            <v>36</v>
          </cell>
        </row>
        <row r="252">
          <cell r="A252" t="str">
            <v>J-01-21</v>
          </cell>
          <cell r="B252" t="str">
            <v>CEFAZOLINA</v>
          </cell>
          <cell r="C252" t="str">
            <v>1 g</v>
          </cell>
          <cell r="D252">
            <v>6.0199009999999999</v>
          </cell>
          <cell r="E252">
            <v>316</v>
          </cell>
        </row>
        <row r="253">
          <cell r="A253" t="str">
            <v>J-01-22</v>
          </cell>
          <cell r="B253" t="str">
            <v>CEFOTAXIMA</v>
          </cell>
          <cell r="C253" t="str">
            <v>1 g</v>
          </cell>
          <cell r="D253">
            <v>4.0762400000000003</v>
          </cell>
          <cell r="E253">
            <v>717</v>
          </cell>
        </row>
        <row r="254">
          <cell r="A254" t="str">
            <v>J-01-23</v>
          </cell>
          <cell r="B254" t="str">
            <v>CEFRADINA</v>
          </cell>
          <cell r="C254" t="str">
            <v>500 mg</v>
          </cell>
          <cell r="D254">
            <v>1.3991690000000001</v>
          </cell>
          <cell r="E254">
            <v>350</v>
          </cell>
        </row>
        <row r="255">
          <cell r="A255" t="str">
            <v>J-01-24</v>
          </cell>
          <cell r="B255" t="str">
            <v>CEFRADINA</v>
          </cell>
          <cell r="C255" t="str">
            <v>250 mg/5 ml</v>
          </cell>
          <cell r="D255">
            <v>21.084</v>
          </cell>
          <cell r="E255">
            <v>2</v>
          </cell>
        </row>
        <row r="256">
          <cell r="A256" t="str">
            <v>J-01-25</v>
          </cell>
          <cell r="B256" t="str">
            <v>CEFTAZIDIMA</v>
          </cell>
          <cell r="C256" t="str">
            <v>1 g</v>
          </cell>
          <cell r="D256">
            <v>23.573333333299999</v>
          </cell>
          <cell r="E256">
            <v>2</v>
          </cell>
        </row>
        <row r="257">
          <cell r="A257" t="str">
            <v>J-01-26</v>
          </cell>
          <cell r="B257" t="str">
            <v>CEFTRIAXONA</v>
          </cell>
          <cell r="C257" t="str">
            <v>1 g</v>
          </cell>
          <cell r="D257">
            <v>4.0353440000000003</v>
          </cell>
          <cell r="E257">
            <v>1387</v>
          </cell>
        </row>
        <row r="258">
          <cell r="A258" t="str">
            <v>J-01-27</v>
          </cell>
          <cell r="B258" t="str">
            <v>CIPROFLOXACINA</v>
          </cell>
          <cell r="C258" t="str">
            <v>500 mg</v>
          </cell>
          <cell r="D258">
            <v>0.41221999999999998</v>
          </cell>
          <cell r="E258">
            <v>5227</v>
          </cell>
        </row>
        <row r="259">
          <cell r="A259" t="str">
            <v>J-01-28</v>
          </cell>
          <cell r="B259" t="str">
            <v>CIPROFLOXACINA</v>
          </cell>
          <cell r="C259" t="str">
            <v>200 mg</v>
          </cell>
          <cell r="D259">
            <v>8</v>
          </cell>
          <cell r="E259">
            <v>430</v>
          </cell>
        </row>
        <row r="260">
          <cell r="A260" t="str">
            <v>J-01-29</v>
          </cell>
          <cell r="B260" t="str">
            <v>CLARITROMICINA</v>
          </cell>
          <cell r="C260" t="str">
            <v>500 mg</v>
          </cell>
          <cell r="D260">
            <v>3.065283</v>
          </cell>
          <cell r="E260">
            <v>1936</v>
          </cell>
        </row>
        <row r="261">
          <cell r="A261" t="str">
            <v>J-01-30</v>
          </cell>
          <cell r="B261" t="str">
            <v>CLARITROMICINA</v>
          </cell>
          <cell r="C261" t="str">
            <v>250 mg/5 ml</v>
          </cell>
          <cell r="D261">
            <v>50</v>
          </cell>
          <cell r="E261">
            <v>12</v>
          </cell>
        </row>
        <row r="262">
          <cell r="A262" t="str">
            <v>J-01-36</v>
          </cell>
          <cell r="B262" t="str">
            <v>CLOXACILINA</v>
          </cell>
          <cell r="C262" t="str">
            <v>1 g</v>
          </cell>
          <cell r="D262">
            <v>7.5925930435</v>
          </cell>
          <cell r="E262">
            <v>47</v>
          </cell>
        </row>
        <row r="263">
          <cell r="A263" t="str">
            <v>J-01-37</v>
          </cell>
          <cell r="B263" t="str">
            <v>COTRIMOXAZOL (SULFAMETOXAZOL + TRIMETOPRIMA)</v>
          </cell>
          <cell r="C263" t="str">
            <v>800 mg + 160 mg</v>
          </cell>
          <cell r="D263">
            <v>0.50913200000000003</v>
          </cell>
          <cell r="E263">
            <v>2302</v>
          </cell>
        </row>
        <row r="264">
          <cell r="A264" t="str">
            <v>J-01-38</v>
          </cell>
          <cell r="B264" t="str">
            <v>COTRIMOXAZOL (SULFAMETOXAZOL + TRIMETOPRIMA)</v>
          </cell>
          <cell r="C264" t="str">
            <v>200 mg + 40 mg/5 ml</v>
          </cell>
          <cell r="D264">
            <v>8</v>
          </cell>
          <cell r="E264">
            <v>51</v>
          </cell>
        </row>
        <row r="265">
          <cell r="A265" t="str">
            <v>J-01-41</v>
          </cell>
          <cell r="B265" t="str">
            <v>DICLOXACILINA SODICA</v>
          </cell>
          <cell r="C265" t="str">
            <v>500 mg</v>
          </cell>
          <cell r="D265">
            <v>0.9</v>
          </cell>
          <cell r="E265">
            <v>1056</v>
          </cell>
        </row>
        <row r="266">
          <cell r="A266" t="str">
            <v>J-01-44</v>
          </cell>
          <cell r="B266" t="str">
            <v>DOXICICLINA</v>
          </cell>
          <cell r="C266" t="str">
            <v>100 mg</v>
          </cell>
          <cell r="D266">
            <v>0.44434699999999999</v>
          </cell>
          <cell r="E266">
            <v>681</v>
          </cell>
        </row>
        <row r="267">
          <cell r="A267" t="str">
            <v>J-01-45</v>
          </cell>
          <cell r="B267" t="str">
            <v>ERITROMICINA ESTEARATO</v>
          </cell>
          <cell r="C267" t="str">
            <v>500 mg</v>
          </cell>
          <cell r="D267">
            <v>0.97916300000000001</v>
          </cell>
          <cell r="E267">
            <v>64</v>
          </cell>
        </row>
        <row r="268">
          <cell r="A268" t="str">
            <v>J-01-46</v>
          </cell>
          <cell r="B268" t="str">
            <v>ERITROMICINA ETILSUCCINATO</v>
          </cell>
          <cell r="C268" t="str">
            <v>250 mg/5 ml</v>
          </cell>
          <cell r="D268">
            <v>14.362857</v>
          </cell>
          <cell r="E268">
            <v>2</v>
          </cell>
        </row>
        <row r="269">
          <cell r="A269" t="str">
            <v>J-01-50</v>
          </cell>
          <cell r="B269" t="str">
            <v>IMIPENEM + CILASTATINA</v>
          </cell>
          <cell r="C269" t="str">
            <v>500 mg + 500 mg</v>
          </cell>
          <cell r="D269">
            <v>48.641812999999999</v>
          </cell>
          <cell r="E269">
            <v>474</v>
          </cell>
        </row>
        <row r="270">
          <cell r="A270" t="str">
            <v>J-01-51</v>
          </cell>
          <cell r="B270" t="str">
            <v>NITROFURANTOINA</v>
          </cell>
          <cell r="C270" t="str">
            <v>100 mg</v>
          </cell>
          <cell r="D270">
            <v>0.89704200000000001</v>
          </cell>
          <cell r="E270">
            <v>1117</v>
          </cell>
        </row>
        <row r="271">
          <cell r="A271" t="str">
            <v>J-01-54</v>
          </cell>
          <cell r="B271" t="str">
            <v>TETRACICLINA</v>
          </cell>
          <cell r="C271" t="str">
            <v>500 mg</v>
          </cell>
          <cell r="D271">
            <v>0.45132800000000001</v>
          </cell>
          <cell r="E271">
            <v>15</v>
          </cell>
        </row>
        <row r="272">
          <cell r="A272" t="str">
            <v>J-01-55</v>
          </cell>
          <cell r="B272" t="str">
            <v>VANCOMICINA</v>
          </cell>
          <cell r="C272" t="str">
            <v>500 mg</v>
          </cell>
          <cell r="D272">
            <v>15.540509999999999</v>
          </cell>
          <cell r="E272">
            <v>332</v>
          </cell>
        </row>
        <row r="273">
          <cell r="A273" t="str">
            <v>J-01-57</v>
          </cell>
          <cell r="B273" t="str">
            <v>AMOXICILINA</v>
          </cell>
          <cell r="C273" t="str">
            <v>500 mg/5 ml</v>
          </cell>
          <cell r="D273">
            <v>11.621620999999999</v>
          </cell>
          <cell r="E273">
            <v>206</v>
          </cell>
        </row>
        <row r="274">
          <cell r="A274" t="str">
            <v>J-01-58</v>
          </cell>
          <cell r="B274" t="str">
            <v>CEFIXIMA</v>
          </cell>
          <cell r="C274" t="str">
            <v>400 mg</v>
          </cell>
          <cell r="D274">
            <v>2.0030060000000001</v>
          </cell>
          <cell r="E274">
            <v>1353</v>
          </cell>
        </row>
        <row r="275">
          <cell r="A275" t="str">
            <v>J-01-62</v>
          </cell>
          <cell r="B275" t="str">
            <v>AZITROMICINA</v>
          </cell>
          <cell r="C275" t="str">
            <v>200 mg/5 ml</v>
          </cell>
          <cell r="D275">
            <v>32.11</v>
          </cell>
          <cell r="E275">
            <v>36</v>
          </cell>
        </row>
        <row r="276">
          <cell r="A276" t="str">
            <v>J-01-63</v>
          </cell>
          <cell r="B276" t="str">
            <v>CEFIXIMA</v>
          </cell>
          <cell r="C276" t="str">
            <v>100 mg/5 ml</v>
          </cell>
          <cell r="D276">
            <v>25</v>
          </cell>
          <cell r="E276">
            <v>26</v>
          </cell>
        </row>
        <row r="277">
          <cell r="A277" t="str">
            <v>J-01-64</v>
          </cell>
          <cell r="B277" t="str">
            <v>CLINDAMICINA</v>
          </cell>
          <cell r="C277" t="str">
            <v>600 mg</v>
          </cell>
          <cell r="D277">
            <v>16.8</v>
          </cell>
          <cell r="E277">
            <v>119</v>
          </cell>
        </row>
        <row r="278">
          <cell r="A278" t="str">
            <v>J-01-66</v>
          </cell>
          <cell r="B278" t="str">
            <v>LEVOFLOXACINA</v>
          </cell>
          <cell r="C278" t="str">
            <v>500 mg</v>
          </cell>
          <cell r="D278">
            <v>1.1887179999999999</v>
          </cell>
          <cell r="E278">
            <v>1139</v>
          </cell>
        </row>
        <row r="279">
          <cell r="A279" t="str">
            <v>J-01-68</v>
          </cell>
          <cell r="B279" t="str">
            <v>LEVOFLOXACINA</v>
          </cell>
          <cell r="C279" t="str">
            <v>500mg</v>
          </cell>
          <cell r="D279">
            <v>42.159807000000001</v>
          </cell>
          <cell r="E279">
            <v>234</v>
          </cell>
        </row>
        <row r="280">
          <cell r="A280" t="str">
            <v>J-01-69</v>
          </cell>
          <cell r="B280" t="str">
            <v>MEROPENEM</v>
          </cell>
          <cell r="C280" t="str">
            <v>500 mg</v>
          </cell>
          <cell r="D280">
            <v>52</v>
          </cell>
          <cell r="E280">
            <v>336</v>
          </cell>
        </row>
        <row r="281">
          <cell r="A281" t="str">
            <v>J-01-71</v>
          </cell>
          <cell r="B281" t="str">
            <v>AMOXICILINA + INHIBIDOR BETALACTAMASA</v>
          </cell>
          <cell r="C281" t="str">
            <v>875 mg + Según disponibilidad</v>
          </cell>
          <cell r="D281">
            <v>3.458021</v>
          </cell>
          <cell r="E281">
            <v>3394</v>
          </cell>
        </row>
        <row r="282">
          <cell r="A282" t="str">
            <v>J-01-75</v>
          </cell>
          <cell r="B282" t="str">
            <v>PIPERACILINA + TAZOBACTAM</v>
          </cell>
          <cell r="C282" t="str">
            <v>4 G/500 MG</v>
          </cell>
          <cell r="D282">
            <v>99</v>
          </cell>
          <cell r="E282">
            <v>60</v>
          </cell>
        </row>
        <row r="283">
          <cell r="A283" t="str">
            <v>J-02-02</v>
          </cell>
          <cell r="B283" t="str">
            <v>FLUCONAZOL</v>
          </cell>
          <cell r="C283" t="str">
            <v>200 mg</v>
          </cell>
          <cell r="D283">
            <v>27.995778999999999</v>
          </cell>
          <cell r="E283">
            <v>42</v>
          </cell>
        </row>
        <row r="284">
          <cell r="A284" t="str">
            <v>J-02-08</v>
          </cell>
          <cell r="B284" t="str">
            <v>FLUCONAZOL</v>
          </cell>
          <cell r="C284" t="str">
            <v>150 mg</v>
          </cell>
          <cell r="D284">
            <v>1.7821709999999999</v>
          </cell>
          <cell r="E284">
            <v>497</v>
          </cell>
        </row>
        <row r="285">
          <cell r="A285" t="str">
            <v>J-05-04</v>
          </cell>
          <cell r="B285" t="str">
            <v>ACICLOVIR</v>
          </cell>
          <cell r="C285" t="str">
            <v>400 mg</v>
          </cell>
          <cell r="D285">
            <v>1</v>
          </cell>
          <cell r="E285">
            <v>730</v>
          </cell>
        </row>
        <row r="286">
          <cell r="A286" t="str">
            <v>J-05-30</v>
          </cell>
          <cell r="B286" t="str">
            <v>ACICLOVIR</v>
          </cell>
          <cell r="C286" t="str">
            <v>200 mg/5 ml</v>
          </cell>
          <cell r="D286">
            <v>59</v>
          </cell>
          <cell r="E286">
            <v>18</v>
          </cell>
        </row>
        <row r="287">
          <cell r="A287" t="str">
            <v>J-05-36</v>
          </cell>
          <cell r="B287" t="str">
            <v>OSELTAMIVIR</v>
          </cell>
          <cell r="C287" t="str">
            <v>75 mg</v>
          </cell>
          <cell r="D287">
            <v>23.839074</v>
          </cell>
          <cell r="E287">
            <v>60</v>
          </cell>
        </row>
        <row r="288">
          <cell r="A288" t="str">
            <v>J-05-43</v>
          </cell>
          <cell r="B288" t="str">
            <v>ACICLOVIR</v>
          </cell>
          <cell r="C288" t="str">
            <v>800 mg</v>
          </cell>
          <cell r="D288">
            <v>2.9</v>
          </cell>
          <cell r="E288">
            <v>694</v>
          </cell>
        </row>
        <row r="289">
          <cell r="A289" t="str">
            <v>L-01-03</v>
          </cell>
          <cell r="B289" t="str">
            <v>CAPECITABINE</v>
          </cell>
          <cell r="C289" t="str">
            <v>500 mg</v>
          </cell>
          <cell r="D289">
            <v>13.3</v>
          </cell>
          <cell r="E289">
            <v>504</v>
          </cell>
        </row>
        <row r="290">
          <cell r="A290" t="str">
            <v>L-01-06</v>
          </cell>
          <cell r="B290" t="str">
            <v>CICLOFOSFAMIDA</v>
          </cell>
          <cell r="C290" t="str">
            <v>1 g</v>
          </cell>
          <cell r="D290">
            <v>216.9</v>
          </cell>
          <cell r="E290">
            <v>1</v>
          </cell>
        </row>
        <row r="291">
          <cell r="A291" t="str">
            <v>L-01-09</v>
          </cell>
          <cell r="B291" t="str">
            <v>CISPLATINO</v>
          </cell>
          <cell r="C291" t="str">
            <v>50 mg</v>
          </cell>
          <cell r="D291">
            <v>119</v>
          </cell>
          <cell r="E291">
            <v>10</v>
          </cell>
        </row>
        <row r="292">
          <cell r="A292" t="str">
            <v>L-01-17</v>
          </cell>
          <cell r="B292" t="str">
            <v>FLUOROURACILO</v>
          </cell>
          <cell r="C292" t="str">
            <v>500 mg/10 ml</v>
          </cell>
          <cell r="D292">
            <v>41</v>
          </cell>
          <cell r="E292">
            <v>240</v>
          </cell>
        </row>
        <row r="293">
          <cell r="A293" t="str">
            <v>L-01-18</v>
          </cell>
          <cell r="B293" t="str">
            <v>GEMCITABINA</v>
          </cell>
          <cell r="C293" t="str">
            <v>1 g</v>
          </cell>
          <cell r="D293">
            <v>418</v>
          </cell>
          <cell r="E293">
            <v>26</v>
          </cell>
        </row>
        <row r="294">
          <cell r="A294" t="str">
            <v>L-01-19</v>
          </cell>
          <cell r="B294" t="str">
            <v>HIDROXIUREA</v>
          </cell>
          <cell r="C294" t="str">
            <v>500 mg</v>
          </cell>
          <cell r="D294">
            <v>3.34</v>
          </cell>
          <cell r="E294">
            <v>200</v>
          </cell>
        </row>
        <row r="295">
          <cell r="A295" t="str">
            <v>L-01-24</v>
          </cell>
          <cell r="B295" t="str">
            <v>METOTREXATO</v>
          </cell>
          <cell r="C295" t="str">
            <v>50 mg</v>
          </cell>
          <cell r="D295">
            <v>55.639949999999999</v>
          </cell>
          <cell r="E295">
            <v>60</v>
          </cell>
        </row>
        <row r="296">
          <cell r="A296" t="str">
            <v>L-01-26</v>
          </cell>
          <cell r="B296" t="str">
            <v>METOTREXATO</v>
          </cell>
          <cell r="C296" t="str">
            <v>2,5 mg</v>
          </cell>
          <cell r="D296">
            <v>1.9034150000000001</v>
          </cell>
          <cell r="E296">
            <v>4844</v>
          </cell>
        </row>
        <row r="297">
          <cell r="A297" t="str">
            <v>L-01-34</v>
          </cell>
          <cell r="B297" t="str">
            <v>OXALIPLATINO</v>
          </cell>
          <cell r="C297" t="str">
            <v>50 mg</v>
          </cell>
          <cell r="D297">
            <v>200</v>
          </cell>
          <cell r="E297">
            <v>84</v>
          </cell>
        </row>
        <row r="298">
          <cell r="A298" t="str">
            <v>L-01-35</v>
          </cell>
          <cell r="B298" t="str">
            <v>OXALIPLATINO</v>
          </cell>
          <cell r="C298" t="str">
            <v>100 mg</v>
          </cell>
          <cell r="D298">
            <v>301.72000000000003</v>
          </cell>
          <cell r="E298">
            <v>2</v>
          </cell>
        </row>
        <row r="299">
          <cell r="A299" t="str">
            <v>L-01-36</v>
          </cell>
          <cell r="B299" t="str">
            <v>BEVACIZUMAB</v>
          </cell>
          <cell r="C299" t="str">
            <v>25 mg/ML</v>
          </cell>
          <cell r="D299">
            <v>1180</v>
          </cell>
          <cell r="E299">
            <v>40</v>
          </cell>
        </row>
        <row r="300">
          <cell r="A300" t="str">
            <v>L-01-52</v>
          </cell>
          <cell r="B300" t="str">
            <v>TEMOZOLOMIDA</v>
          </cell>
          <cell r="C300" t="str">
            <v>100 mg</v>
          </cell>
          <cell r="D300">
            <v>222.27</v>
          </cell>
          <cell r="E300">
            <v>80</v>
          </cell>
        </row>
        <row r="301">
          <cell r="A301" t="str">
            <v>L-02-01</v>
          </cell>
          <cell r="B301" t="str">
            <v>ANASTROZOL</v>
          </cell>
          <cell r="C301" t="str">
            <v>1 mg</v>
          </cell>
          <cell r="D301">
            <v>6.83</v>
          </cell>
          <cell r="E301">
            <v>330</v>
          </cell>
        </row>
        <row r="302">
          <cell r="A302" t="str">
            <v>L-02-03</v>
          </cell>
          <cell r="B302" t="str">
            <v>FLUTAMIDA</v>
          </cell>
          <cell r="C302" t="str">
            <v>250 mg</v>
          </cell>
          <cell r="D302">
            <v>3</v>
          </cell>
          <cell r="E302">
            <v>175</v>
          </cell>
        </row>
        <row r="303">
          <cell r="A303" t="str">
            <v>L-02-04</v>
          </cell>
          <cell r="B303" t="str">
            <v>LETROZOL</v>
          </cell>
          <cell r="C303" t="str">
            <v>2,5 mg</v>
          </cell>
          <cell r="D303">
            <v>6.38</v>
          </cell>
          <cell r="E303">
            <v>300</v>
          </cell>
        </row>
        <row r="304">
          <cell r="A304" t="str">
            <v>L-02-05</v>
          </cell>
          <cell r="B304" t="str">
            <v>TAMOXIFENO</v>
          </cell>
          <cell r="C304" t="str">
            <v>20 mg</v>
          </cell>
          <cell r="D304">
            <v>2</v>
          </cell>
          <cell r="E304">
            <v>464</v>
          </cell>
        </row>
        <row r="305">
          <cell r="A305" t="str">
            <v>L-02-08</v>
          </cell>
          <cell r="B305" t="str">
            <v>TRIPTORELINA</v>
          </cell>
          <cell r="C305" t="str">
            <v>22.5 mg</v>
          </cell>
          <cell r="D305">
            <v>9380.2000000000007</v>
          </cell>
          <cell r="E305">
            <v>6</v>
          </cell>
        </row>
        <row r="306">
          <cell r="A306" t="str">
            <v>L-02-11</v>
          </cell>
          <cell r="B306" t="str">
            <v>ENZALUTAMIDA</v>
          </cell>
          <cell r="C306" t="str">
            <v>40 mg</v>
          </cell>
          <cell r="D306">
            <v>120</v>
          </cell>
          <cell r="E306">
            <v>1920</v>
          </cell>
        </row>
        <row r="307">
          <cell r="A307" t="str">
            <v>L-02-12</v>
          </cell>
          <cell r="B307" t="str">
            <v xml:space="preserve">BICALUTAMIDA </v>
          </cell>
          <cell r="C307" t="str">
            <v>50 MG</v>
          </cell>
          <cell r="D307">
            <v>8.33</v>
          </cell>
          <cell r="E307">
            <v>524</v>
          </cell>
        </row>
        <row r="308">
          <cell r="A308" t="str">
            <v>L-03-01</v>
          </cell>
          <cell r="B308" t="str">
            <v>FILGASTRIM</v>
          </cell>
          <cell r="C308" t="str">
            <v>300 mcg/ml</v>
          </cell>
          <cell r="D308">
            <v>103</v>
          </cell>
          <cell r="E308">
            <v>30</v>
          </cell>
        </row>
        <row r="309">
          <cell r="A309" t="str">
            <v>L-04-01</v>
          </cell>
          <cell r="B309" t="str">
            <v>AZATIOPRINA</v>
          </cell>
          <cell r="C309" t="str">
            <v>50 mg</v>
          </cell>
          <cell r="D309">
            <v>2.900763</v>
          </cell>
          <cell r="E309">
            <v>1765</v>
          </cell>
        </row>
        <row r="310">
          <cell r="A310" t="str">
            <v>L-04-07</v>
          </cell>
          <cell r="B310" t="str">
            <v>MICOFENOLATO DE MOFETILO</v>
          </cell>
          <cell r="C310" t="str">
            <v>500 mg</v>
          </cell>
          <cell r="D310">
            <v>3.0074441613</v>
          </cell>
          <cell r="E310">
            <v>4431</v>
          </cell>
        </row>
        <row r="311">
          <cell r="A311" t="str">
            <v>L-04-10</v>
          </cell>
          <cell r="B311" t="str">
            <v>TACROLIMUS</v>
          </cell>
          <cell r="C311" t="str">
            <v>1 mg</v>
          </cell>
          <cell r="D311">
            <v>8.0132138421000008</v>
          </cell>
          <cell r="E311">
            <v>1080</v>
          </cell>
        </row>
        <row r="312">
          <cell r="A312" t="str">
            <v>L-04-12</v>
          </cell>
          <cell r="B312" t="str">
            <v>LEFLUNOMIDA</v>
          </cell>
          <cell r="C312" t="str">
            <v>20 mg</v>
          </cell>
          <cell r="D312">
            <v>3.15</v>
          </cell>
          <cell r="E312">
            <v>2583</v>
          </cell>
        </row>
        <row r="313">
          <cell r="A313" t="str">
            <v>M-01-01</v>
          </cell>
          <cell r="B313" t="str">
            <v>DICLOFENACO SODICO</v>
          </cell>
          <cell r="C313">
            <v>0.01</v>
          </cell>
          <cell r="D313">
            <v>10.458128</v>
          </cell>
          <cell r="E313">
            <v>2157</v>
          </cell>
        </row>
        <row r="314">
          <cell r="A314" t="str">
            <v>M-01-02</v>
          </cell>
          <cell r="B314" t="str">
            <v>DICLOFENACO SODICO</v>
          </cell>
          <cell r="C314" t="str">
            <v>50 mg</v>
          </cell>
          <cell r="D314">
            <v>0.13839000000000001</v>
          </cell>
          <cell r="E314">
            <v>9920</v>
          </cell>
        </row>
        <row r="315">
          <cell r="A315" t="str">
            <v>M-01-03</v>
          </cell>
          <cell r="B315" t="str">
            <v>DICLOFENACO SODICO</v>
          </cell>
          <cell r="C315" t="str">
            <v>75 mg</v>
          </cell>
          <cell r="D315">
            <v>0.98546500000000004</v>
          </cell>
          <cell r="E315">
            <v>3412</v>
          </cell>
        </row>
        <row r="316">
          <cell r="A316" t="str">
            <v>M-01-04</v>
          </cell>
          <cell r="B316" t="str">
            <v>IBUPROFENO</v>
          </cell>
          <cell r="C316" t="str">
            <v>100 mg/5 ml</v>
          </cell>
          <cell r="D316">
            <v>6.89</v>
          </cell>
          <cell r="E316">
            <v>746</v>
          </cell>
        </row>
        <row r="317">
          <cell r="A317" t="str">
            <v>M-01-05</v>
          </cell>
          <cell r="B317" t="str">
            <v>IBUPROFENO</v>
          </cell>
          <cell r="C317" t="str">
            <v>400 mg</v>
          </cell>
          <cell r="D317">
            <v>0.212338</v>
          </cell>
          <cell r="E317">
            <v>27652</v>
          </cell>
        </row>
        <row r="318">
          <cell r="A318" t="str">
            <v>M-01-07</v>
          </cell>
          <cell r="B318" t="str">
            <v>INDOMETACINA</v>
          </cell>
          <cell r="C318" t="str">
            <v>100 mg</v>
          </cell>
          <cell r="D318">
            <v>1.6685049999999999</v>
          </cell>
          <cell r="E318">
            <v>1328</v>
          </cell>
        </row>
        <row r="319">
          <cell r="A319" t="str">
            <v>M-01-09</v>
          </cell>
          <cell r="B319" t="str">
            <v>KETOROLACO</v>
          </cell>
          <cell r="C319" t="str">
            <v>30 mg/ml</v>
          </cell>
          <cell r="D319">
            <v>2.109515</v>
          </cell>
          <cell r="E319">
            <v>4671</v>
          </cell>
        </row>
        <row r="320">
          <cell r="A320" t="str">
            <v>M-01-10</v>
          </cell>
          <cell r="B320" t="str">
            <v>KETOPROFENO</v>
          </cell>
          <cell r="C320" t="str">
            <v>100 mg</v>
          </cell>
          <cell r="D320">
            <v>7.4</v>
          </cell>
          <cell r="E320">
            <v>280</v>
          </cell>
        </row>
        <row r="321">
          <cell r="A321" t="str">
            <v>M-01-11</v>
          </cell>
          <cell r="B321" t="str">
            <v>MELOXICAM</v>
          </cell>
          <cell r="C321" t="str">
            <v>15 mg</v>
          </cell>
          <cell r="D321">
            <v>0.5</v>
          </cell>
          <cell r="E321">
            <v>8250</v>
          </cell>
        </row>
        <row r="322">
          <cell r="A322" t="str">
            <v>M-03-01</v>
          </cell>
          <cell r="B322" t="str">
            <v>ATRACURIO BESILATO</v>
          </cell>
          <cell r="C322" t="str">
            <v>10 mg/ml</v>
          </cell>
          <cell r="D322">
            <v>28</v>
          </cell>
          <cell r="E322">
            <v>139</v>
          </cell>
        </row>
        <row r="323">
          <cell r="A323" t="str">
            <v>M-04-01</v>
          </cell>
          <cell r="B323" t="str">
            <v>ALOPURINOL</v>
          </cell>
          <cell r="C323" t="str">
            <v>300 mg</v>
          </cell>
          <cell r="D323">
            <v>0.49060700000000002</v>
          </cell>
          <cell r="E323">
            <v>3744</v>
          </cell>
        </row>
        <row r="324">
          <cell r="A324" t="str">
            <v>M-04-02</v>
          </cell>
          <cell r="B324" t="str">
            <v>COLCHICINA</v>
          </cell>
          <cell r="C324" t="str">
            <v>0,5 mg</v>
          </cell>
          <cell r="D324">
            <v>0.82805700000000004</v>
          </cell>
          <cell r="E324">
            <v>496</v>
          </cell>
        </row>
        <row r="325">
          <cell r="A325" t="str">
            <v>M-05-03</v>
          </cell>
          <cell r="B325" t="str">
            <v>ACIDO ALENDRONICO (ALENDRONATO)</v>
          </cell>
          <cell r="C325" t="str">
            <v>70 mg</v>
          </cell>
          <cell r="D325">
            <v>2</v>
          </cell>
          <cell r="E325">
            <v>1505</v>
          </cell>
        </row>
        <row r="326">
          <cell r="A326" t="str">
            <v>M-05-04</v>
          </cell>
          <cell r="B326" t="str">
            <v>ACIDO ZOLEDRONICO</v>
          </cell>
          <cell r="C326" t="str">
            <v>4mg</v>
          </cell>
          <cell r="D326">
            <v>402.13333299999999</v>
          </cell>
          <cell r="E326">
            <v>19</v>
          </cell>
        </row>
        <row r="327">
          <cell r="A327" t="str">
            <v>N-01-02</v>
          </cell>
          <cell r="B327" t="str">
            <v>BUPIVACAINA CLORHIDRATO (PESADA)</v>
          </cell>
          <cell r="C327" t="str">
            <v>0,5%</v>
          </cell>
          <cell r="D327">
            <v>11.285964</v>
          </cell>
          <cell r="E327">
            <v>107</v>
          </cell>
        </row>
        <row r="328">
          <cell r="A328" t="str">
            <v>N-01-05</v>
          </cell>
          <cell r="B328" t="str">
            <v>FENTANILO CON CONSERVANTE (10 ML)</v>
          </cell>
          <cell r="C328" t="str">
            <v>0,05 mg/ml</v>
          </cell>
          <cell r="D328">
            <v>33.668762000000001</v>
          </cell>
          <cell r="E328">
            <v>205</v>
          </cell>
        </row>
        <row r="329">
          <cell r="A329" t="str">
            <v>N-01-12</v>
          </cell>
          <cell r="B329" t="str">
            <v>LIDOCAINA CLORHIDRATO SIN CONSERVANTE</v>
          </cell>
          <cell r="C329">
            <v>0.02</v>
          </cell>
          <cell r="D329">
            <v>8.5</v>
          </cell>
          <cell r="E329">
            <v>198</v>
          </cell>
        </row>
        <row r="330">
          <cell r="A330" t="str">
            <v>N-01-13</v>
          </cell>
          <cell r="B330" t="str">
            <v>PROPOFOL</v>
          </cell>
          <cell r="C330" t="str">
            <v>10 mg/ml</v>
          </cell>
          <cell r="D330">
            <v>18.989999999999998</v>
          </cell>
          <cell r="E330">
            <v>360</v>
          </cell>
        </row>
        <row r="331">
          <cell r="A331" t="str">
            <v>N-01-16</v>
          </cell>
          <cell r="B331" t="str">
            <v>REMIFENTANILO</v>
          </cell>
          <cell r="C331" t="str">
            <v>5 mg</v>
          </cell>
          <cell r="D331">
            <v>125</v>
          </cell>
          <cell r="E331">
            <v>21</v>
          </cell>
        </row>
        <row r="332">
          <cell r="A332" t="str">
            <v>N-02-03</v>
          </cell>
          <cell r="B332" t="str">
            <v>ERGOTAMINA TARTRATO + CAFEINA</v>
          </cell>
          <cell r="C332" t="str">
            <v>1 mg + 100 mg</v>
          </cell>
          <cell r="D332">
            <v>1.5</v>
          </cell>
          <cell r="E332">
            <v>1489</v>
          </cell>
        </row>
        <row r="333">
          <cell r="A333" t="str">
            <v>N-02-05</v>
          </cell>
          <cell r="B333" t="str">
            <v>METAMIZOL (DIPIRONA)</v>
          </cell>
          <cell r="C333" t="str">
            <v>1 g</v>
          </cell>
          <cell r="D333">
            <v>1.796923</v>
          </cell>
          <cell r="E333">
            <v>4520</v>
          </cell>
        </row>
        <row r="334">
          <cell r="A334" t="str">
            <v>N-02-07</v>
          </cell>
          <cell r="B334" t="str">
            <v>MORFINA (CON Y SIN CONSERVANTE)</v>
          </cell>
          <cell r="C334" t="str">
            <v>10 mg/ml</v>
          </cell>
          <cell r="D334">
            <v>12</v>
          </cell>
          <cell r="E334">
            <v>96</v>
          </cell>
        </row>
        <row r="335">
          <cell r="A335" t="str">
            <v>N-02-08</v>
          </cell>
          <cell r="B335" t="str">
            <v>PARACETAMOL (ACETAMINOFENO)</v>
          </cell>
          <cell r="C335" t="str">
            <v>500 mg</v>
          </cell>
          <cell r="D335">
            <v>9.0514999999999998E-2</v>
          </cell>
          <cell r="E335">
            <v>11927</v>
          </cell>
        </row>
        <row r="336">
          <cell r="A336" t="str">
            <v>N-02-09</v>
          </cell>
          <cell r="B336" t="str">
            <v>PARACETAMOL (ACETAMINOFENO)</v>
          </cell>
          <cell r="C336" t="str">
            <v>125 mg/5 ml o 120 mg/5 ml</v>
          </cell>
          <cell r="D336">
            <v>6.5</v>
          </cell>
          <cell r="E336">
            <v>167</v>
          </cell>
        </row>
        <row r="337">
          <cell r="A337" t="str">
            <v>N-02-10</v>
          </cell>
          <cell r="B337" t="str">
            <v>PARACETAMOL (ACETAMINOFENO)</v>
          </cell>
          <cell r="C337" t="str">
            <v>100 mg/ml</v>
          </cell>
          <cell r="D337">
            <v>5.5</v>
          </cell>
          <cell r="E337">
            <v>127</v>
          </cell>
        </row>
        <row r="338">
          <cell r="A338" t="str">
            <v>N-02-11</v>
          </cell>
          <cell r="B338" t="str">
            <v>PARACETAMOL (ACETAMINOFENO)</v>
          </cell>
          <cell r="C338" t="str">
            <v>100 mg</v>
          </cell>
          <cell r="D338">
            <v>1.6383000000000001</v>
          </cell>
          <cell r="E338">
            <v>26</v>
          </cell>
        </row>
        <row r="339">
          <cell r="A339" t="str">
            <v>N-02-14</v>
          </cell>
          <cell r="B339" t="str">
            <v>TRAMADOL</v>
          </cell>
          <cell r="C339" t="str">
            <v>100 mg/2 ml</v>
          </cell>
          <cell r="D339">
            <v>4.99</v>
          </cell>
          <cell r="E339">
            <v>625</v>
          </cell>
        </row>
        <row r="340">
          <cell r="A340" t="str">
            <v>N-02-15</v>
          </cell>
          <cell r="B340" t="str">
            <v>TRAMADOL</v>
          </cell>
          <cell r="C340" t="str">
            <v>50 mg</v>
          </cell>
          <cell r="D340">
            <v>1.8011839999999999</v>
          </cell>
          <cell r="E340">
            <v>4945</v>
          </cell>
        </row>
        <row r="341">
          <cell r="A341" t="str">
            <v>N-02-17</v>
          </cell>
          <cell r="B341" t="str">
            <v>TRAMADOL</v>
          </cell>
          <cell r="C341" t="str">
            <v>100 mg/ml</v>
          </cell>
          <cell r="D341">
            <v>46.485177999999998</v>
          </cell>
          <cell r="E341">
            <v>143</v>
          </cell>
        </row>
        <row r="342">
          <cell r="A342" t="str">
            <v>N-03-03</v>
          </cell>
          <cell r="B342" t="str">
            <v>ACIDO VALPROICO O VALPROATO SODICO</v>
          </cell>
          <cell r="C342" t="str">
            <v>500 mg</v>
          </cell>
          <cell r="D342">
            <v>3.94</v>
          </cell>
          <cell r="E342">
            <v>10080</v>
          </cell>
        </row>
        <row r="343">
          <cell r="A343" t="str">
            <v>N-03-04</v>
          </cell>
          <cell r="B343" t="str">
            <v>CARBAMAZEPINA</v>
          </cell>
          <cell r="C343" t="str">
            <v>200 mg</v>
          </cell>
          <cell r="D343">
            <v>0.30100199999999999</v>
          </cell>
          <cell r="E343">
            <v>2284</v>
          </cell>
        </row>
        <row r="344">
          <cell r="A344" t="str">
            <v>N-03-06</v>
          </cell>
          <cell r="B344" t="str">
            <v>CLONAZEPAM</v>
          </cell>
          <cell r="C344" t="str">
            <v>2 mg</v>
          </cell>
          <cell r="D344">
            <v>0.61413899999999999</v>
          </cell>
          <cell r="E344">
            <v>6589</v>
          </cell>
        </row>
        <row r="345">
          <cell r="A345" t="str">
            <v>N-03-07</v>
          </cell>
          <cell r="B345" t="str">
            <v>FENITOINA</v>
          </cell>
          <cell r="C345" t="str">
            <v>50 mg/ml</v>
          </cell>
          <cell r="D345">
            <v>10.8</v>
          </cell>
          <cell r="E345">
            <v>102</v>
          </cell>
        </row>
        <row r="346">
          <cell r="A346" t="str">
            <v>N-03-08</v>
          </cell>
          <cell r="B346" t="str">
            <v>FENITOINA</v>
          </cell>
          <cell r="C346" t="str">
            <v>100 mg</v>
          </cell>
          <cell r="D346">
            <v>0.45121</v>
          </cell>
          <cell r="E346">
            <v>3121</v>
          </cell>
        </row>
        <row r="347">
          <cell r="A347" t="str">
            <v>N-03-12</v>
          </cell>
          <cell r="B347" t="str">
            <v>CLONAZEPAM</v>
          </cell>
          <cell r="C347" t="str">
            <v>2,5 mg/ml</v>
          </cell>
          <cell r="D347">
            <v>62</v>
          </cell>
          <cell r="E347">
            <v>255</v>
          </cell>
        </row>
        <row r="348">
          <cell r="A348" t="str">
            <v>N-03-18</v>
          </cell>
          <cell r="B348" t="str">
            <v>LAMOTRIGINA</v>
          </cell>
          <cell r="C348" t="str">
            <v>200mg</v>
          </cell>
          <cell r="D348">
            <v>11</v>
          </cell>
          <cell r="E348">
            <v>1975</v>
          </cell>
        </row>
        <row r="349">
          <cell r="A349" t="str">
            <v>N-03-20</v>
          </cell>
          <cell r="B349" t="str">
            <v>PREGABALINA 75 MG</v>
          </cell>
          <cell r="C349" t="str">
            <v>75 MG</v>
          </cell>
          <cell r="D349">
            <v>3.2</v>
          </cell>
          <cell r="E349">
            <v>14198</v>
          </cell>
        </row>
        <row r="350">
          <cell r="A350" t="str">
            <v>N-03-21</v>
          </cell>
          <cell r="B350" t="str">
            <v>PREGABALINA</v>
          </cell>
          <cell r="C350" t="str">
            <v>150 MG.</v>
          </cell>
          <cell r="D350">
            <v>3.6239629999999998</v>
          </cell>
          <cell r="E350">
            <v>5685</v>
          </cell>
        </row>
        <row r="351">
          <cell r="A351" t="str">
            <v>N-03-22</v>
          </cell>
          <cell r="B351" t="str">
            <v>ACIDO VALPROICO Ò VALPROATO SODICO</v>
          </cell>
          <cell r="C351" t="str">
            <v>200/MG/ML</v>
          </cell>
          <cell r="D351">
            <v>91.772120999999999</v>
          </cell>
          <cell r="E351">
            <v>47</v>
          </cell>
        </row>
        <row r="352">
          <cell r="A352" t="str">
            <v>N-04-01</v>
          </cell>
          <cell r="B352" t="str">
            <v>BIPERIDENO CLORHIDRATO</v>
          </cell>
          <cell r="C352" t="str">
            <v>4 mg</v>
          </cell>
          <cell r="D352">
            <v>3.654744</v>
          </cell>
          <cell r="E352">
            <v>1195</v>
          </cell>
        </row>
        <row r="353">
          <cell r="A353" t="str">
            <v>N-04-02</v>
          </cell>
          <cell r="B353" t="str">
            <v>LEVODOPA + CARBIDOPA</v>
          </cell>
          <cell r="C353" t="str">
            <v>250 mg + 25 mg</v>
          </cell>
          <cell r="D353">
            <v>3.3839999999999999</v>
          </cell>
          <cell r="E353">
            <v>3335</v>
          </cell>
        </row>
        <row r="354">
          <cell r="A354" t="str">
            <v>N-05-01</v>
          </cell>
          <cell r="B354" t="str">
            <v>ALPRAZOLAM</v>
          </cell>
          <cell r="C354" t="str">
            <v>0,5 mg</v>
          </cell>
          <cell r="D354">
            <v>0.48650500000000002</v>
          </cell>
          <cell r="E354">
            <v>18302</v>
          </cell>
        </row>
        <row r="355">
          <cell r="A355" t="str">
            <v>N-05-05</v>
          </cell>
          <cell r="B355" t="str">
            <v>DIAZEPAM</v>
          </cell>
          <cell r="C355" t="str">
            <v>10 mg</v>
          </cell>
          <cell r="D355">
            <v>4.5</v>
          </cell>
          <cell r="E355">
            <v>26</v>
          </cell>
        </row>
        <row r="356">
          <cell r="A356" t="str">
            <v>N-05-11</v>
          </cell>
          <cell r="B356" t="str">
            <v>MIDAZOLAM</v>
          </cell>
          <cell r="C356" t="str">
            <v>15 mg/3 ml</v>
          </cell>
          <cell r="D356">
            <v>18.218232</v>
          </cell>
          <cell r="E356">
            <v>335</v>
          </cell>
        </row>
        <row r="357">
          <cell r="A357" t="str">
            <v>N-05-18</v>
          </cell>
          <cell r="B357" t="str">
            <v>QUETIAPINA</v>
          </cell>
          <cell r="C357" t="str">
            <v>100 mg</v>
          </cell>
          <cell r="D357">
            <v>4.8</v>
          </cell>
          <cell r="E357">
            <v>1760</v>
          </cell>
        </row>
        <row r="358">
          <cell r="A358" t="str">
            <v>N-06-01</v>
          </cell>
          <cell r="B358" t="str">
            <v>AMITRIPTILINA</v>
          </cell>
          <cell r="C358" t="str">
            <v>25 mg</v>
          </cell>
          <cell r="D358">
            <v>0.4</v>
          </cell>
          <cell r="E358">
            <v>2091</v>
          </cell>
        </row>
        <row r="359">
          <cell r="A359" t="str">
            <v>N-06-04</v>
          </cell>
          <cell r="B359" t="str">
            <v>FLUOXETINA</v>
          </cell>
          <cell r="C359" t="str">
            <v>20 mg</v>
          </cell>
          <cell r="D359">
            <v>0.39987099999999998</v>
          </cell>
          <cell r="E359">
            <v>8908</v>
          </cell>
        </row>
        <row r="360">
          <cell r="A360" t="str">
            <v>N-06-08</v>
          </cell>
          <cell r="B360" t="str">
            <v>DULOXETINA</v>
          </cell>
          <cell r="C360" t="str">
            <v>30mg</v>
          </cell>
          <cell r="D360">
            <v>4.7519799999999996</v>
          </cell>
          <cell r="E360">
            <v>4278</v>
          </cell>
        </row>
        <row r="361">
          <cell r="A361" t="str">
            <v>N-07-01</v>
          </cell>
          <cell r="B361" t="str">
            <v>DIMENHIDRINATO</v>
          </cell>
          <cell r="C361" t="str">
            <v>50 mg</v>
          </cell>
          <cell r="D361">
            <v>0.41186</v>
          </cell>
          <cell r="E361">
            <v>1549</v>
          </cell>
        </row>
        <row r="362">
          <cell r="A362" t="str">
            <v>N-07-05</v>
          </cell>
          <cell r="B362" t="str">
            <v>NEOSTIGMINA</v>
          </cell>
          <cell r="C362" t="str">
            <v>0,5 mg/ml</v>
          </cell>
          <cell r="D362">
            <v>4.2759289999999996</v>
          </cell>
          <cell r="E362">
            <v>93</v>
          </cell>
        </row>
        <row r="363">
          <cell r="A363" t="str">
            <v>N-07-06</v>
          </cell>
          <cell r="B363" t="str">
            <v>PIRIDOSTIGMINA</v>
          </cell>
          <cell r="C363" t="str">
            <v>60 mg</v>
          </cell>
          <cell r="D363">
            <v>2.54</v>
          </cell>
          <cell r="E363">
            <v>1200</v>
          </cell>
        </row>
        <row r="364">
          <cell r="A364" t="str">
            <v>N-07-08</v>
          </cell>
          <cell r="B364" t="str">
            <v>FLUNARIZINA</v>
          </cell>
          <cell r="C364" t="str">
            <v>10 mg</v>
          </cell>
          <cell r="D364">
            <v>2.15</v>
          </cell>
          <cell r="E364">
            <v>3669</v>
          </cell>
        </row>
        <row r="365">
          <cell r="A365" t="str">
            <v>P-01-07</v>
          </cell>
          <cell r="B365" t="str">
            <v>METRONIDAZOL</v>
          </cell>
          <cell r="C365" t="str">
            <v>500 mg</v>
          </cell>
          <cell r="D365">
            <v>8.5</v>
          </cell>
          <cell r="E365">
            <v>568</v>
          </cell>
        </row>
        <row r="366">
          <cell r="A366" t="str">
            <v>P-01-09</v>
          </cell>
          <cell r="B366" t="str">
            <v>METRONIDAZOL</v>
          </cell>
          <cell r="C366" t="str">
            <v>500 mg</v>
          </cell>
          <cell r="D366">
            <v>0.30665700000000001</v>
          </cell>
          <cell r="E366">
            <v>996</v>
          </cell>
        </row>
        <row r="367">
          <cell r="A367" t="str">
            <v>P-01-11</v>
          </cell>
          <cell r="B367" t="str">
            <v>NITAZOXANIDA</v>
          </cell>
          <cell r="C367" t="str">
            <v>500 mg</v>
          </cell>
          <cell r="D367">
            <v>3</v>
          </cell>
          <cell r="E367">
            <v>239</v>
          </cell>
        </row>
        <row r="368">
          <cell r="A368" t="str">
            <v>P-01-27</v>
          </cell>
          <cell r="B368" t="str">
            <v>HIDROXICLOROQUINA SULFATO</v>
          </cell>
          <cell r="C368" t="str">
            <v>200 mg</v>
          </cell>
          <cell r="D368">
            <v>3.5</v>
          </cell>
          <cell r="E368">
            <v>2520</v>
          </cell>
        </row>
        <row r="369">
          <cell r="A369" t="str">
            <v>P-02-01</v>
          </cell>
          <cell r="B369" t="str">
            <v>ALBENDAZOL</v>
          </cell>
          <cell r="C369" t="str">
            <v>200 mg</v>
          </cell>
          <cell r="D369">
            <v>1.20109</v>
          </cell>
          <cell r="E369">
            <v>170</v>
          </cell>
        </row>
        <row r="370">
          <cell r="A370" t="str">
            <v>P-02-02</v>
          </cell>
          <cell r="B370" t="str">
            <v>ALBENDAZOL</v>
          </cell>
          <cell r="C370" t="str">
            <v>200 mg/5 ml</v>
          </cell>
          <cell r="D370">
            <v>9.8000000000000007</v>
          </cell>
          <cell r="E370">
            <v>5</v>
          </cell>
        </row>
        <row r="371">
          <cell r="A371" t="str">
            <v>P-02-05</v>
          </cell>
          <cell r="B371" t="str">
            <v>MEBENDAZOL</v>
          </cell>
          <cell r="C371" t="str">
            <v>500 mg</v>
          </cell>
          <cell r="D371">
            <v>1.961587</v>
          </cell>
          <cell r="E371">
            <v>33</v>
          </cell>
        </row>
        <row r="372">
          <cell r="A372" t="str">
            <v>P-03-01</v>
          </cell>
          <cell r="B372" t="str">
            <v>BENZOATO DE BENCILO</v>
          </cell>
          <cell r="C372" t="str">
            <v>20% o 25%</v>
          </cell>
          <cell r="D372">
            <v>9.35</v>
          </cell>
          <cell r="E372">
            <v>13</v>
          </cell>
        </row>
        <row r="373">
          <cell r="A373" t="str">
            <v>R-03-03</v>
          </cell>
          <cell r="B373" t="str">
            <v>BECLOMETASONA DIPROPIONATO</v>
          </cell>
          <cell r="C373" t="str">
            <v>50 mcg/inhalación</v>
          </cell>
          <cell r="D373">
            <v>41.09836</v>
          </cell>
          <cell r="E373">
            <v>19</v>
          </cell>
        </row>
        <row r="374">
          <cell r="A374" t="str">
            <v>R-03-06</v>
          </cell>
          <cell r="B374" t="str">
            <v>SALBUTAMOL</v>
          </cell>
          <cell r="C374" t="str">
            <v>0,1 mg/inhalación</v>
          </cell>
          <cell r="D374">
            <v>16</v>
          </cell>
          <cell r="E374">
            <v>128</v>
          </cell>
        </row>
        <row r="375">
          <cell r="A375" t="str">
            <v>R-03-11</v>
          </cell>
          <cell r="B375" t="str">
            <v>SALMETEROL + FLUTICASONA</v>
          </cell>
          <cell r="C375" t="str">
            <v>25 mcg + 125 mcg</v>
          </cell>
          <cell r="D375">
            <v>76.833133000000004</v>
          </cell>
          <cell r="E375">
            <v>257</v>
          </cell>
        </row>
        <row r="376">
          <cell r="A376" t="str">
            <v>R-03-13</v>
          </cell>
          <cell r="B376" t="str">
            <v>MONTELUKAST</v>
          </cell>
          <cell r="C376" t="str">
            <v>10mg</v>
          </cell>
          <cell r="D376">
            <v>2.5</v>
          </cell>
          <cell r="E376">
            <v>1609</v>
          </cell>
        </row>
        <row r="377">
          <cell r="A377" t="str">
            <v>R-05-01</v>
          </cell>
          <cell r="B377" t="str">
            <v>ANTIGRIPAL (PARACETAMOL + ANTIHISTAMINICO + VASOCONSTRICTOR CON O SIN CAFEINA)</v>
          </cell>
          <cell r="C377" t="str">
            <v>Según disponibilidad</v>
          </cell>
          <cell r="D377">
            <v>0.21498100000000001</v>
          </cell>
          <cell r="E377">
            <v>7732</v>
          </cell>
        </row>
        <row r="378">
          <cell r="A378" t="str">
            <v>R-05-02</v>
          </cell>
          <cell r="B378" t="str">
            <v>CODEINA</v>
          </cell>
          <cell r="C378" t="str">
            <v>10 mg/5 ml</v>
          </cell>
          <cell r="D378">
            <v>13.32361</v>
          </cell>
          <cell r="E378">
            <v>613</v>
          </cell>
        </row>
        <row r="379">
          <cell r="A379" t="str">
            <v>R-05-03</v>
          </cell>
          <cell r="B379" t="str">
            <v>DEXTROMETORFANO BROMHIDRATO</v>
          </cell>
          <cell r="C379" t="str">
            <v>10 mg/5 ml</v>
          </cell>
          <cell r="D379">
            <v>6.3075130000000001</v>
          </cell>
          <cell r="E379">
            <v>852</v>
          </cell>
        </row>
        <row r="380">
          <cell r="A380" t="str">
            <v>R-06-01</v>
          </cell>
          <cell r="B380" t="str">
            <v>CLORFENAMINA (CLORFENIRAMINA)</v>
          </cell>
          <cell r="C380" t="str">
            <v>4 mg</v>
          </cell>
          <cell r="D380">
            <v>0.24</v>
          </cell>
          <cell r="E380">
            <v>546</v>
          </cell>
        </row>
        <row r="381">
          <cell r="A381" t="str">
            <v>R-06-02</v>
          </cell>
          <cell r="B381" t="str">
            <v>CLORFENAMINA (CLORFENIRAMINA)</v>
          </cell>
          <cell r="C381" t="str">
            <v>2 mg/5 ml</v>
          </cell>
          <cell r="D381">
            <v>6.08</v>
          </cell>
          <cell r="E381">
            <v>29</v>
          </cell>
        </row>
        <row r="382">
          <cell r="A382" t="str">
            <v>R-06-03</v>
          </cell>
          <cell r="B382" t="str">
            <v>CLORFENAMINA (CLORFENIRAMINA)</v>
          </cell>
          <cell r="C382" t="str">
            <v>10 mg/ml</v>
          </cell>
          <cell r="D382">
            <v>1.9410620000000001</v>
          </cell>
          <cell r="E382">
            <v>496</v>
          </cell>
        </row>
        <row r="383">
          <cell r="A383" t="str">
            <v>R-06-04</v>
          </cell>
          <cell r="B383" t="str">
            <v>KETOTIFENO</v>
          </cell>
          <cell r="C383" t="str">
            <v>1 mg</v>
          </cell>
          <cell r="D383">
            <v>3</v>
          </cell>
          <cell r="E383">
            <v>65</v>
          </cell>
        </row>
        <row r="384">
          <cell r="A384" t="str">
            <v>R-06-07</v>
          </cell>
          <cell r="B384" t="str">
            <v>CETIRIZINA</v>
          </cell>
          <cell r="C384" t="str">
            <v>10 mg</v>
          </cell>
          <cell r="D384">
            <v>0.4</v>
          </cell>
          <cell r="E384">
            <v>5117</v>
          </cell>
        </row>
        <row r="385">
          <cell r="A385" t="str">
            <v>R-06-08</v>
          </cell>
          <cell r="B385" t="str">
            <v>CETIRIZINA</v>
          </cell>
          <cell r="C385" t="str">
            <v>5 mg/5 ml</v>
          </cell>
          <cell r="D385">
            <v>10.474285</v>
          </cell>
          <cell r="E385">
            <v>59</v>
          </cell>
        </row>
        <row r="386">
          <cell r="A386" t="str">
            <v>S-01-04</v>
          </cell>
          <cell r="B386" t="str">
            <v>CIPROFLOXACINA</v>
          </cell>
          <cell r="C386" t="str">
            <v>0,3%</v>
          </cell>
          <cell r="D386">
            <v>34</v>
          </cell>
          <cell r="E386">
            <v>20</v>
          </cell>
        </row>
        <row r="387">
          <cell r="A387" t="str">
            <v>S-01-06</v>
          </cell>
          <cell r="B387" t="str">
            <v>CLORANFENICOL</v>
          </cell>
          <cell r="C387">
            <v>0.01</v>
          </cell>
          <cell r="D387">
            <v>19.7</v>
          </cell>
          <cell r="E387">
            <v>4</v>
          </cell>
        </row>
        <row r="388">
          <cell r="A388" t="str">
            <v>S-01-09</v>
          </cell>
          <cell r="B388" t="str">
            <v>DEXAMETASONA</v>
          </cell>
          <cell r="C388" t="str">
            <v>0,1%</v>
          </cell>
          <cell r="D388">
            <v>7.8</v>
          </cell>
          <cell r="E388">
            <v>194</v>
          </cell>
        </row>
        <row r="389">
          <cell r="A389" t="str">
            <v>S-01-12</v>
          </cell>
          <cell r="B389" t="str">
            <v>DORZOLAMIDA</v>
          </cell>
          <cell r="C389">
            <v>0.02</v>
          </cell>
          <cell r="D389">
            <v>49.99</v>
          </cell>
          <cell r="E389">
            <v>138</v>
          </cell>
        </row>
        <row r="390">
          <cell r="A390" t="str">
            <v>S-01-15</v>
          </cell>
          <cell r="B390" t="str">
            <v>GENTAMICINA</v>
          </cell>
          <cell r="C390" t="str">
            <v>0,3%</v>
          </cell>
          <cell r="D390">
            <v>19</v>
          </cell>
          <cell r="E390">
            <v>2</v>
          </cell>
        </row>
        <row r="391">
          <cell r="A391" t="str">
            <v>S-01-16</v>
          </cell>
          <cell r="B391" t="str">
            <v>GENTAMICINA</v>
          </cell>
          <cell r="C391" t="str">
            <v>0,3%</v>
          </cell>
          <cell r="D391">
            <v>11</v>
          </cell>
          <cell r="E391">
            <v>179</v>
          </cell>
        </row>
        <row r="392">
          <cell r="A392" t="str">
            <v>S-01-18</v>
          </cell>
          <cell r="B392" t="str">
            <v>LAGRIMAS ARTIFICIALES</v>
          </cell>
          <cell r="C392" t="str">
            <v>0,3% o 1%</v>
          </cell>
          <cell r="D392">
            <v>15.630458000000001</v>
          </cell>
          <cell r="E392">
            <v>1117</v>
          </cell>
        </row>
        <row r="393">
          <cell r="A393" t="str">
            <v>S-01-19</v>
          </cell>
          <cell r="B393" t="str">
            <v>NAFAZOLINA CLORHIDRATO</v>
          </cell>
          <cell r="C393" t="str">
            <v>0,1%</v>
          </cell>
          <cell r="D393">
            <v>19.7</v>
          </cell>
          <cell r="E393">
            <v>79</v>
          </cell>
        </row>
        <row r="394">
          <cell r="A394" t="str">
            <v>S-01-22</v>
          </cell>
          <cell r="B394" t="str">
            <v>TIMOLOL MALEATO</v>
          </cell>
          <cell r="C394" t="str">
            <v>0,5%</v>
          </cell>
          <cell r="D394">
            <v>20.648191000000001</v>
          </cell>
          <cell r="E394">
            <v>355</v>
          </cell>
        </row>
        <row r="395">
          <cell r="A395" t="str">
            <v>S-01-24</v>
          </cell>
          <cell r="B395" t="str">
            <v>CORTICOIDE  (DEXAMETASONA) + ANTIINFECCIOSO (CIPROFLOXACINO) DE ACCION TOPICA</v>
          </cell>
          <cell r="C395" t="str">
            <v>Según disponibilidad</v>
          </cell>
          <cell r="D395">
            <v>22.51</v>
          </cell>
          <cell r="E395">
            <v>121</v>
          </cell>
        </row>
        <row r="396">
          <cell r="A396" t="str">
            <v>S-01-26</v>
          </cell>
          <cell r="B396" t="str">
            <v>LAGRIMAS ARTIFICIALES</v>
          </cell>
          <cell r="C396" t="str">
            <v>0,3% o 1%</v>
          </cell>
          <cell r="D396">
            <v>47.762307</v>
          </cell>
          <cell r="E396">
            <v>14</v>
          </cell>
        </row>
        <row r="397">
          <cell r="A397" t="str">
            <v>S-01-27</v>
          </cell>
          <cell r="B397" t="str">
            <v>LATANOPROST</v>
          </cell>
          <cell r="C397" t="str">
            <v>50 mcg/ml</v>
          </cell>
          <cell r="D397">
            <v>88.267857000000006</v>
          </cell>
          <cell r="E397">
            <v>259</v>
          </cell>
        </row>
        <row r="398">
          <cell r="A398" t="str">
            <v>S-02-01</v>
          </cell>
          <cell r="B398" t="str">
            <v>GLICERINA + CARBONATO DE SODIO</v>
          </cell>
          <cell r="C398" t="str">
            <v>Según disponibilidad</v>
          </cell>
          <cell r="D398">
            <v>24.9</v>
          </cell>
          <cell r="E398">
            <v>38</v>
          </cell>
        </row>
        <row r="399">
          <cell r="A399" t="str">
            <v>V-03-01</v>
          </cell>
          <cell r="B399" t="str">
            <v>ACETIL CISTEINA</v>
          </cell>
          <cell r="C399">
            <v>0.1</v>
          </cell>
          <cell r="D399">
            <v>9.9328830000000004</v>
          </cell>
          <cell r="E399">
            <v>3077</v>
          </cell>
        </row>
        <row r="400">
          <cell r="A400" t="str">
            <v>V-03-07</v>
          </cell>
          <cell r="B400" t="str">
            <v>LEUCOVORINA</v>
          </cell>
          <cell r="C400" t="str">
            <v>50 mg</v>
          </cell>
          <cell r="D400">
            <v>40</v>
          </cell>
          <cell r="E400">
            <v>328</v>
          </cell>
        </row>
        <row r="401">
          <cell r="A401" t="str">
            <v>V-03-08</v>
          </cell>
          <cell r="B401" t="str">
            <v>MESNA (MERCAPTO ETILSULFONATO SODICO)</v>
          </cell>
          <cell r="C401" t="str">
            <v>400 mg</v>
          </cell>
          <cell r="D401">
            <v>64.569999999999993</v>
          </cell>
          <cell r="E401">
            <v>2</v>
          </cell>
        </row>
        <row r="402">
          <cell r="A402" t="str">
            <v>V-06-01</v>
          </cell>
          <cell r="B402" t="str">
            <v>PROTEINAS PARA ALIMENTACION ENTERAL (ALIMENTO)</v>
          </cell>
          <cell r="C402" t="str">
            <v>Según disponibilidad</v>
          </cell>
          <cell r="D402">
            <v>99.75</v>
          </cell>
          <cell r="E402">
            <v>42</v>
          </cell>
        </row>
        <row r="403">
          <cell r="A403" t="str">
            <v>V-06-04</v>
          </cell>
          <cell r="B403" t="str">
            <v>COMPLEMENTO NUTRICIONAL (CARMELO)</v>
          </cell>
          <cell r="C403" t="str">
            <v>Según concentración</v>
          </cell>
          <cell r="D403">
            <v>53.988039000000001</v>
          </cell>
          <cell r="E403">
            <v>353</v>
          </cell>
        </row>
        <row r="404">
          <cell r="A404" t="str">
            <v>V-06-05</v>
          </cell>
          <cell r="B404" t="str">
            <v>COMPLEMENTO NUTRICIONAL</v>
          </cell>
          <cell r="C404" t="str">
            <v>Según concentración</v>
          </cell>
          <cell r="D404">
            <v>163.99</v>
          </cell>
          <cell r="E404">
            <v>72</v>
          </cell>
        </row>
        <row r="405">
          <cell r="A405" t="str">
            <v>V-06-06</v>
          </cell>
          <cell r="B405" t="str">
            <v>COMPLEMENTO NUTRICIONAL (DIABETICO)</v>
          </cell>
          <cell r="C405" t="str">
            <v>Según concentración</v>
          </cell>
          <cell r="D405">
            <v>57.13</v>
          </cell>
          <cell r="E405">
            <v>24</v>
          </cell>
        </row>
        <row r="406">
          <cell r="A406" t="str">
            <v>V-08-02</v>
          </cell>
          <cell r="B406" t="str">
            <v>CONTRASTE IODADO</v>
          </cell>
          <cell r="C406" t="str">
            <v>Según disponibilidad (50 ml)</v>
          </cell>
          <cell r="D406">
            <v>304.87</v>
          </cell>
          <cell r="E406">
            <v>70</v>
          </cell>
        </row>
        <row r="407">
          <cell r="A407" t="str">
            <v>V-08-05</v>
          </cell>
          <cell r="B407" t="str">
            <v>GADOPENTATO DE DIMEGLUMINA</v>
          </cell>
          <cell r="C407" t="str">
            <v>469 mg/ml</v>
          </cell>
          <cell r="D407">
            <v>449.99</v>
          </cell>
          <cell r="E407">
            <v>24</v>
          </cell>
        </row>
        <row r="408">
          <cell r="A408" t="str">
            <v>V-08-06</v>
          </cell>
          <cell r="B408" t="str">
            <v>MEGLUMINA DIATRIZOATO</v>
          </cell>
          <cell r="C408" t="str">
            <v>70% o 76% (20 ml)</v>
          </cell>
          <cell r="D408">
            <v>130.08066600000001</v>
          </cell>
          <cell r="E408">
            <v>9</v>
          </cell>
        </row>
        <row r="409">
          <cell r="A409" t="str">
            <v>V-08-07</v>
          </cell>
          <cell r="B409" t="str">
            <v>MEGLUMINA DIATRIZOATO</v>
          </cell>
          <cell r="C409" t="str">
            <v>70% o 76% (50 ml)</v>
          </cell>
          <cell r="D409">
            <v>156.80000000000001</v>
          </cell>
          <cell r="E409">
            <v>33</v>
          </cell>
        </row>
        <row r="410">
          <cell r="A410" t="str">
            <v>V-08-08</v>
          </cell>
          <cell r="B410" t="str">
            <v>SULFATO DE BARIO</v>
          </cell>
          <cell r="C410" t="str">
            <v>Según disponibilidad</v>
          </cell>
          <cell r="D410">
            <v>234.32727199999999</v>
          </cell>
          <cell r="E410">
            <v>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</sheetNames>
    <sheetDataSet>
      <sheetData sheetId="0">
        <row r="1">
          <cell r="A1" t="str">
            <v>Codigo</v>
          </cell>
          <cell r="B1" t="str">
            <v>Descripción</v>
          </cell>
          <cell r="C1" t="str">
            <v>Concentración</v>
          </cell>
          <cell r="D1" t="str">
            <v>Costo</v>
          </cell>
          <cell r="E1" t="str">
            <v>Cantidad</v>
          </cell>
        </row>
        <row r="2">
          <cell r="A2" t="str">
            <v>A-02-01</v>
          </cell>
          <cell r="B2" t="str">
            <v>HIDROXIDO DE ALUMINIO Y MAGNESIO</v>
          </cell>
          <cell r="C2">
            <v>4.2361111111111113E-2</v>
          </cell>
          <cell r="D2">
            <v>7.6167664670999997</v>
          </cell>
          <cell r="E2">
            <v>928</v>
          </cell>
        </row>
        <row r="3">
          <cell r="A3" t="str">
            <v>A-02-02</v>
          </cell>
          <cell r="B3" t="str">
            <v>OMEPRAZOL</v>
          </cell>
          <cell r="C3" t="str">
            <v>20 mg</v>
          </cell>
          <cell r="D3">
            <v>0.180169474</v>
          </cell>
          <cell r="E3">
            <v>52824</v>
          </cell>
        </row>
        <row r="4">
          <cell r="A4" t="str">
            <v>A-02-03</v>
          </cell>
          <cell r="B4" t="str">
            <v>RANITIDINA</v>
          </cell>
          <cell r="C4" t="str">
            <v>150 mg</v>
          </cell>
          <cell r="D4">
            <v>0.24540891379999999</v>
          </cell>
          <cell r="E4">
            <v>2246</v>
          </cell>
        </row>
        <row r="5">
          <cell r="A5" t="str">
            <v>A-02-04</v>
          </cell>
          <cell r="B5" t="str">
            <v>RANITIDINA</v>
          </cell>
          <cell r="C5" t="str">
            <v>50 mg</v>
          </cell>
          <cell r="D5">
            <v>0.96086332730000001</v>
          </cell>
          <cell r="E5">
            <v>267</v>
          </cell>
        </row>
        <row r="6">
          <cell r="A6" t="str">
            <v>A-02-05</v>
          </cell>
          <cell r="B6" t="str">
            <v>OMEPRAZOL</v>
          </cell>
          <cell r="C6" t="str">
            <v>40 mg/ml</v>
          </cell>
          <cell r="D6">
            <v>4.4081470825000002</v>
          </cell>
          <cell r="E6">
            <v>3244</v>
          </cell>
        </row>
        <row r="7">
          <cell r="A7" t="str">
            <v>A-03-01</v>
          </cell>
          <cell r="B7" t="str">
            <v>ATROPINA SULFATO</v>
          </cell>
          <cell r="C7" t="str">
            <v>1 mg/ml</v>
          </cell>
          <cell r="D7">
            <v>2.38</v>
          </cell>
          <cell r="E7">
            <v>70</v>
          </cell>
        </row>
        <row r="8">
          <cell r="A8" t="str">
            <v>A-03-02</v>
          </cell>
          <cell r="B8" t="str">
            <v>BUTILBROMURO DE HIOSCINA (BUTILESCOPOLAMINA)</v>
          </cell>
          <cell r="C8" t="str">
            <v>10 mg</v>
          </cell>
          <cell r="D8">
            <v>1.9</v>
          </cell>
          <cell r="E8">
            <v>683</v>
          </cell>
        </row>
        <row r="9">
          <cell r="A9" t="str">
            <v>A-03-04</v>
          </cell>
          <cell r="B9" t="str">
            <v>BUTILBROMURO DE HIOSCINA (BUTILESCOPOLAMINA)</v>
          </cell>
          <cell r="C9" t="str">
            <v>20 mg/ml</v>
          </cell>
          <cell r="D9">
            <v>3.6085936255000002</v>
          </cell>
          <cell r="E9">
            <v>459</v>
          </cell>
        </row>
        <row r="10">
          <cell r="A10" t="str">
            <v>A-03-06</v>
          </cell>
          <cell r="B10" t="str">
            <v>DOMPERIDONA</v>
          </cell>
          <cell r="C10" t="str">
            <v>10 mg</v>
          </cell>
          <cell r="D10">
            <v>0.16379573280000001</v>
          </cell>
          <cell r="E10">
            <v>22343</v>
          </cell>
        </row>
        <row r="11">
          <cell r="A11" t="str">
            <v>A-03-07</v>
          </cell>
          <cell r="B11" t="str">
            <v>METOCLOPRAMIDA</v>
          </cell>
          <cell r="C11" t="str">
            <v>10 mg</v>
          </cell>
          <cell r="D11">
            <v>0.18304312319999999</v>
          </cell>
          <cell r="E11">
            <v>1875</v>
          </cell>
        </row>
        <row r="12">
          <cell r="A12" t="str">
            <v>A-03-08</v>
          </cell>
          <cell r="B12" t="str">
            <v>METOCLOPRAMIDA</v>
          </cell>
          <cell r="C12" t="str">
            <v>10 mg/2ml</v>
          </cell>
          <cell r="D12">
            <v>1.5910550998999999</v>
          </cell>
          <cell r="E12">
            <v>1643</v>
          </cell>
        </row>
        <row r="13">
          <cell r="A13" t="str">
            <v>A-03-09</v>
          </cell>
          <cell r="B13" t="str">
            <v>METOCLOPRAMIDA</v>
          </cell>
          <cell r="C13" t="str">
            <v>0,35% o 0,5%</v>
          </cell>
          <cell r="D13">
            <v>7</v>
          </cell>
          <cell r="E13">
            <v>25</v>
          </cell>
        </row>
        <row r="14">
          <cell r="A14" t="str">
            <v>A-03-10</v>
          </cell>
          <cell r="B14" t="str">
            <v>PROPINOXATO</v>
          </cell>
          <cell r="C14" t="str">
            <v>10 mg</v>
          </cell>
          <cell r="D14">
            <v>1.9</v>
          </cell>
          <cell r="E14">
            <v>1478</v>
          </cell>
        </row>
        <row r="15">
          <cell r="A15" t="str">
            <v>A-03-11</v>
          </cell>
          <cell r="B15" t="str">
            <v>PROPINOXATO</v>
          </cell>
          <cell r="C15" t="str">
            <v>5 mg/ml</v>
          </cell>
          <cell r="D15">
            <v>6.1966386399999998</v>
          </cell>
          <cell r="E15">
            <v>487</v>
          </cell>
        </row>
        <row r="16">
          <cell r="A16" t="str">
            <v>A-03-12</v>
          </cell>
          <cell r="B16" t="str">
            <v>SIMETICONA</v>
          </cell>
          <cell r="C16" t="str">
            <v>3% o 4%</v>
          </cell>
          <cell r="D16">
            <v>16</v>
          </cell>
          <cell r="E16">
            <v>39</v>
          </cell>
        </row>
        <row r="17">
          <cell r="A17" t="str">
            <v>A-03-13</v>
          </cell>
          <cell r="B17" t="str">
            <v>SIMETICONA</v>
          </cell>
          <cell r="C17" t="str">
            <v>100 mg</v>
          </cell>
          <cell r="D17">
            <v>1.1499999999999999</v>
          </cell>
          <cell r="E17">
            <v>20533</v>
          </cell>
        </row>
        <row r="18">
          <cell r="A18" t="str">
            <v>A-04-01</v>
          </cell>
          <cell r="B18" t="str">
            <v>ONDANSETRON</v>
          </cell>
          <cell r="C18" t="str">
            <v>8 mg</v>
          </cell>
          <cell r="D18">
            <v>6.3894445444999999</v>
          </cell>
          <cell r="E18">
            <v>826</v>
          </cell>
        </row>
        <row r="19">
          <cell r="A19" t="str">
            <v>A-04-02</v>
          </cell>
          <cell r="B19" t="str">
            <v>ONDANSETRON</v>
          </cell>
          <cell r="C19" t="str">
            <v>8 mg</v>
          </cell>
          <cell r="D19">
            <v>6.9</v>
          </cell>
          <cell r="E19">
            <v>1118</v>
          </cell>
        </row>
        <row r="20">
          <cell r="A20" t="str">
            <v>A-05-01</v>
          </cell>
          <cell r="B20" t="str">
            <v>ACIDO URSODEOXICOLICO  250 MG</v>
          </cell>
          <cell r="C20" t="str">
            <v xml:space="preserve">250 MG. </v>
          </cell>
          <cell r="D20">
            <v>8.99</v>
          </cell>
          <cell r="E20">
            <v>2890</v>
          </cell>
        </row>
        <row r="21">
          <cell r="A21" t="str">
            <v>A-06-01</v>
          </cell>
          <cell r="B21" t="str">
            <v>ACEITE MINERAL</v>
          </cell>
          <cell r="C21">
            <v>0.4</v>
          </cell>
          <cell r="D21">
            <v>13.0010869565</v>
          </cell>
          <cell r="E21">
            <v>224</v>
          </cell>
        </row>
        <row r="22">
          <cell r="A22" t="str">
            <v>A-06-02</v>
          </cell>
          <cell r="B22" t="str">
            <v>BISACODILO</v>
          </cell>
          <cell r="C22" t="str">
            <v>5 mg</v>
          </cell>
          <cell r="D22">
            <v>0.97</v>
          </cell>
          <cell r="E22">
            <v>467</v>
          </cell>
        </row>
        <row r="23">
          <cell r="A23" t="str">
            <v>A-06-04</v>
          </cell>
          <cell r="B23" t="str">
            <v>FIBRA NATURAL</v>
          </cell>
          <cell r="C23" t="str">
            <v>Según disponibilidad</v>
          </cell>
          <cell r="D23">
            <v>2.9681599469000002</v>
          </cell>
          <cell r="E23">
            <v>6287</v>
          </cell>
        </row>
        <row r="24">
          <cell r="A24" t="str">
            <v>A-06-05</v>
          </cell>
          <cell r="B24" t="str">
            <v>GLICEROL (GLICERINA)</v>
          </cell>
          <cell r="C24" t="str">
            <v>2 g a 4 g (adulto)</v>
          </cell>
          <cell r="D24">
            <v>2.0887886791999999</v>
          </cell>
          <cell r="E24">
            <v>82</v>
          </cell>
        </row>
        <row r="25">
          <cell r="A25" t="str">
            <v>A-06-06</v>
          </cell>
          <cell r="B25" t="str">
            <v>GLICEROL (GLICERINA)</v>
          </cell>
          <cell r="C25" t="str">
            <v>1 g a 1,80 g (infantil)</v>
          </cell>
          <cell r="D25">
            <v>1.54375</v>
          </cell>
          <cell r="E25">
            <v>5</v>
          </cell>
        </row>
        <row r="26">
          <cell r="A26" t="str">
            <v>A-06-07</v>
          </cell>
          <cell r="B26" t="str">
            <v>LACTULOSA</v>
          </cell>
          <cell r="C26" t="str">
            <v>65% hasta 66.7%</v>
          </cell>
          <cell r="D26">
            <v>39.990909090899997</v>
          </cell>
          <cell r="E26">
            <v>306</v>
          </cell>
        </row>
        <row r="27">
          <cell r="A27" t="str">
            <v>A-07-02</v>
          </cell>
          <cell r="B27" t="str">
            <v>LOPERAMIDA</v>
          </cell>
          <cell r="C27" t="str">
            <v>2 mg</v>
          </cell>
          <cell r="D27">
            <v>0.2</v>
          </cell>
          <cell r="E27">
            <v>570</v>
          </cell>
        </row>
        <row r="28">
          <cell r="A28" t="str">
            <v>A-07-04</v>
          </cell>
          <cell r="B28" t="str">
            <v>NISTATINA</v>
          </cell>
          <cell r="C28" t="str">
            <v>500.000 UI/5 ml</v>
          </cell>
          <cell r="D28">
            <v>13.232394361000001</v>
          </cell>
          <cell r="E28">
            <v>90</v>
          </cell>
        </row>
        <row r="29">
          <cell r="A29" t="str">
            <v>A-07-06</v>
          </cell>
          <cell r="B29" t="str">
            <v>SALES DE REHIDRATACION ORAL (SRO) BAJA OSMOLARIDAD</v>
          </cell>
          <cell r="C29" t="str">
            <v>Según concentración eestándar</v>
          </cell>
          <cell r="D29">
            <v>1.19</v>
          </cell>
          <cell r="E29">
            <v>744</v>
          </cell>
        </row>
        <row r="30">
          <cell r="A30" t="str">
            <v>A-07-07</v>
          </cell>
          <cell r="B30" t="str">
            <v>MESALAZINA</v>
          </cell>
          <cell r="C30" t="str">
            <v>500 mg</v>
          </cell>
          <cell r="D30">
            <v>8</v>
          </cell>
          <cell r="E30">
            <v>2073</v>
          </cell>
        </row>
        <row r="31">
          <cell r="A31" t="str">
            <v>A-09-01</v>
          </cell>
          <cell r="B31" t="str">
            <v>ENZIMAS PANCREATICAS (LIPASA, PROTEASA Y AMILASA EN COMBINACION)</v>
          </cell>
          <cell r="C31" t="str">
            <v>Según disponibilidad</v>
          </cell>
          <cell r="D31">
            <v>0.93228980319999999</v>
          </cell>
          <cell r="E31">
            <v>8113</v>
          </cell>
        </row>
        <row r="32">
          <cell r="A32" t="str">
            <v>A-10-01</v>
          </cell>
          <cell r="B32" t="str">
            <v>GLIBENCLAMIDA</v>
          </cell>
          <cell r="C32" t="str">
            <v>5 mg</v>
          </cell>
          <cell r="D32">
            <v>5.1822166599999997E-2</v>
          </cell>
          <cell r="E32">
            <v>14797</v>
          </cell>
        </row>
        <row r="33">
          <cell r="A33" t="str">
            <v>A-10-02</v>
          </cell>
          <cell r="B33" t="str">
            <v>INSULINA RECOMBINANTE HUMANA NPH</v>
          </cell>
          <cell r="C33" t="str">
            <v>100 UI/ml</v>
          </cell>
          <cell r="D33">
            <v>61</v>
          </cell>
          <cell r="E33">
            <v>334</v>
          </cell>
        </row>
        <row r="34">
          <cell r="A34" t="str">
            <v>A-10-03</v>
          </cell>
          <cell r="B34" t="str">
            <v>INSULINA ZINC CRISTALINA  RECOMBINANTE HUMANA</v>
          </cell>
          <cell r="C34" t="str">
            <v>100 UI/ml</v>
          </cell>
          <cell r="D34">
            <v>84.4375</v>
          </cell>
          <cell r="E34">
            <v>97</v>
          </cell>
        </row>
        <row r="35">
          <cell r="A35" t="str">
            <v>A-10-04</v>
          </cell>
          <cell r="B35" t="str">
            <v>METFORMINA</v>
          </cell>
          <cell r="C35" t="str">
            <v>850 mg</v>
          </cell>
          <cell r="D35">
            <v>0.22</v>
          </cell>
          <cell r="E35">
            <v>87744</v>
          </cell>
        </row>
        <row r="36">
          <cell r="A36" t="str">
            <v>A-10-05</v>
          </cell>
          <cell r="B36" t="str">
            <v>INSULINA GLARGINA</v>
          </cell>
          <cell r="C36" t="str">
            <v>100 U.I / ml</v>
          </cell>
          <cell r="D36">
            <v>237.2432980769</v>
          </cell>
          <cell r="E36">
            <v>151</v>
          </cell>
        </row>
        <row r="37">
          <cell r="A37" t="str">
            <v>A-10-07</v>
          </cell>
          <cell r="B37" t="str">
            <v>METFORMINA</v>
          </cell>
          <cell r="C37" t="str">
            <v>500 mg</v>
          </cell>
          <cell r="D37">
            <v>0.68</v>
          </cell>
          <cell r="E37">
            <v>4449</v>
          </cell>
        </row>
        <row r="38">
          <cell r="A38" t="str">
            <v>A-11-02</v>
          </cell>
          <cell r="B38" t="str">
            <v>ACIDO ASCORBICO (VITAMINA C)</v>
          </cell>
          <cell r="C38" t="str">
            <v>500 mg/ml (2 ml)</v>
          </cell>
          <cell r="D38">
            <v>2.4819816985999998</v>
          </cell>
          <cell r="E38">
            <v>1621</v>
          </cell>
        </row>
        <row r="39">
          <cell r="A39" t="str">
            <v>A-11-03</v>
          </cell>
          <cell r="B39" t="str">
            <v>ACIDO ASCORBICO (VITAMINA C)</v>
          </cell>
          <cell r="C39" t="str">
            <v>Según disponibilidad</v>
          </cell>
          <cell r="D39">
            <v>15.48</v>
          </cell>
          <cell r="E39">
            <v>8</v>
          </cell>
        </row>
        <row r="40">
          <cell r="A40" t="str">
            <v>A-11-04</v>
          </cell>
          <cell r="B40" t="str">
            <v>CIANOCOBALAMINA (VITAMINA B12)</v>
          </cell>
          <cell r="C40" t="str">
            <v>1 mg/ml</v>
          </cell>
          <cell r="D40">
            <v>4.5134109473999997</v>
          </cell>
          <cell r="E40">
            <v>1175</v>
          </cell>
        </row>
        <row r="41">
          <cell r="A41" t="str">
            <v>A-11-06</v>
          </cell>
          <cell r="B41" t="str">
            <v>COMPLEJO  B (B1 + B6 + B12)</v>
          </cell>
          <cell r="C41" t="str">
            <v>Según concentración eestándar</v>
          </cell>
          <cell r="D41">
            <v>0.13</v>
          </cell>
          <cell r="E41">
            <v>15412</v>
          </cell>
        </row>
        <row r="42">
          <cell r="A42" t="str">
            <v>A-11-07</v>
          </cell>
          <cell r="B42" t="str">
            <v>COMPLEJO  B (B1 + B6 + B12)</v>
          </cell>
          <cell r="C42" t="str">
            <v>Según concentración eestándar</v>
          </cell>
          <cell r="D42">
            <v>1.3772829360000001</v>
          </cell>
          <cell r="E42">
            <v>3669</v>
          </cell>
        </row>
        <row r="43">
          <cell r="A43" t="str">
            <v>A-11-09</v>
          </cell>
          <cell r="B43" t="str">
            <v>MULTIVITAMINAS</v>
          </cell>
          <cell r="C43" t="str">
            <v>Según concentración estándar</v>
          </cell>
          <cell r="D43">
            <v>0.32682</v>
          </cell>
          <cell r="E43">
            <v>11565</v>
          </cell>
        </row>
        <row r="44">
          <cell r="A44" t="str">
            <v>A-11-10</v>
          </cell>
          <cell r="B44" t="str">
            <v>MULTIVITAMINAS</v>
          </cell>
          <cell r="C44" t="str">
            <v>Según concentración estándar</v>
          </cell>
          <cell r="D44">
            <v>15</v>
          </cell>
          <cell r="E44">
            <v>10</v>
          </cell>
        </row>
        <row r="45">
          <cell r="A45" t="str">
            <v>A-11-13</v>
          </cell>
          <cell r="B45" t="str">
            <v>RETINOL (VITAMINA A)</v>
          </cell>
          <cell r="C45" t="str">
            <v>10.000 UI</v>
          </cell>
          <cell r="D45">
            <v>0.55998973439999999</v>
          </cell>
          <cell r="E45">
            <v>112</v>
          </cell>
        </row>
        <row r="46">
          <cell r="A46" t="str">
            <v>A-11-18</v>
          </cell>
          <cell r="B46" t="str">
            <v>TIAMINA (VITAMINA B 1)</v>
          </cell>
          <cell r="C46" t="str">
            <v>100 mg/ml</v>
          </cell>
          <cell r="D46">
            <v>3.04</v>
          </cell>
          <cell r="E46">
            <v>163</v>
          </cell>
        </row>
        <row r="47">
          <cell r="A47" t="str">
            <v>A-11-19</v>
          </cell>
          <cell r="B47" t="str">
            <v>TOCOFEROL (VITAMINA E)</v>
          </cell>
          <cell r="C47" t="str">
            <v>1.000 UI</v>
          </cell>
          <cell r="D47">
            <v>1.4402999681999999</v>
          </cell>
          <cell r="E47">
            <v>21978</v>
          </cell>
        </row>
        <row r="48">
          <cell r="A48" t="str">
            <v>A-12-01</v>
          </cell>
          <cell r="B48" t="str">
            <v>CALCIO (CARBONATO O CITRATO)</v>
          </cell>
          <cell r="C48" t="str">
            <v>500 mg (ión calcio)</v>
          </cell>
          <cell r="D48">
            <v>0.54384615380000001</v>
          </cell>
          <cell r="E48">
            <v>5179</v>
          </cell>
        </row>
        <row r="49">
          <cell r="A49" t="str">
            <v>A-12-02</v>
          </cell>
          <cell r="B49" t="str">
            <v>CALCIO + VITAMINA D</v>
          </cell>
          <cell r="C49" t="str">
            <v>500 mg (ión calcio); Según disponibilidad</v>
          </cell>
          <cell r="D49">
            <v>0.39004144470000002</v>
          </cell>
          <cell r="E49">
            <v>24360</v>
          </cell>
        </row>
        <row r="50">
          <cell r="A50" t="str">
            <v>A-12-03</v>
          </cell>
          <cell r="B50" t="str">
            <v>CLORURO DE POTASIO</v>
          </cell>
          <cell r="C50" t="str">
            <v>1,3 mEq/ml</v>
          </cell>
          <cell r="D50">
            <v>26.02</v>
          </cell>
          <cell r="E50">
            <v>1</v>
          </cell>
        </row>
        <row r="51">
          <cell r="A51" t="str">
            <v>A-12-05</v>
          </cell>
          <cell r="B51" t="str">
            <v>ZINC</v>
          </cell>
          <cell r="C51" t="str">
            <v>20 mg/5 ml (Como zinc elemental)</v>
          </cell>
          <cell r="D51">
            <v>8</v>
          </cell>
          <cell r="E51">
            <v>80</v>
          </cell>
        </row>
        <row r="52">
          <cell r="A52" t="str">
            <v>A-12-06</v>
          </cell>
          <cell r="B52" t="str">
            <v>ZINC (COMO SULFATO)</v>
          </cell>
          <cell r="C52" t="str">
            <v>20 mg</v>
          </cell>
          <cell r="D52">
            <v>0.28999999999999998</v>
          </cell>
          <cell r="E52">
            <v>1883</v>
          </cell>
        </row>
        <row r="53">
          <cell r="A53" t="str">
            <v>B-01-01</v>
          </cell>
          <cell r="B53" t="str">
            <v>ACIDO ACETIL SALICILICO</v>
          </cell>
          <cell r="C53" t="str">
            <v>100 mg</v>
          </cell>
          <cell r="D53">
            <v>0.15041357299999999</v>
          </cell>
          <cell r="E53">
            <v>35287</v>
          </cell>
        </row>
        <row r="54">
          <cell r="A54" t="str">
            <v>B-01-03</v>
          </cell>
          <cell r="B54" t="str">
            <v>HEPARINA DE BAJO PESO MOLECULAR</v>
          </cell>
          <cell r="C54" t="str">
            <v>40 M.G.</v>
          </cell>
          <cell r="D54">
            <v>36.5</v>
          </cell>
          <cell r="E54">
            <v>256</v>
          </cell>
        </row>
        <row r="55">
          <cell r="A55" t="str">
            <v>B-01-031</v>
          </cell>
          <cell r="B55" t="str">
            <v>HEPARINA DE BAJO PESO MOLECULAR  60 MG</v>
          </cell>
          <cell r="C55" t="str">
            <v>60 MG</v>
          </cell>
          <cell r="D55">
            <v>49.99</v>
          </cell>
          <cell r="E55">
            <v>298</v>
          </cell>
        </row>
        <row r="56">
          <cell r="A56" t="str">
            <v>B-01-04</v>
          </cell>
          <cell r="B56" t="str">
            <v>HEPARINA SODICA</v>
          </cell>
          <cell r="C56" t="str">
            <v>5.000 UI/ml</v>
          </cell>
          <cell r="D56">
            <v>34</v>
          </cell>
          <cell r="E56">
            <v>27</v>
          </cell>
        </row>
        <row r="57">
          <cell r="A57" t="str">
            <v>B-01-05</v>
          </cell>
          <cell r="B57" t="str">
            <v>WARFARINA</v>
          </cell>
          <cell r="C57" t="str">
            <v>5 mg</v>
          </cell>
          <cell r="D57">
            <v>0.49999940050000002</v>
          </cell>
          <cell r="E57">
            <v>2685</v>
          </cell>
        </row>
        <row r="58">
          <cell r="A58" t="str">
            <v>B-01-06</v>
          </cell>
          <cell r="B58" t="str">
            <v>CLOPIDOGREL</v>
          </cell>
          <cell r="C58" t="str">
            <v>75 mg</v>
          </cell>
          <cell r="D58">
            <v>1.4135796760999999</v>
          </cell>
          <cell r="E58">
            <v>12202</v>
          </cell>
        </row>
        <row r="59">
          <cell r="A59" t="str">
            <v>B-01-07</v>
          </cell>
          <cell r="B59" t="str">
            <v xml:space="preserve">RIBAROXABAN </v>
          </cell>
          <cell r="C59" t="str">
            <v xml:space="preserve">10 MG </v>
          </cell>
          <cell r="D59">
            <v>6.3540821129999996</v>
          </cell>
          <cell r="E59">
            <v>4479</v>
          </cell>
        </row>
        <row r="60">
          <cell r="A60" t="str">
            <v>B-02-02</v>
          </cell>
          <cell r="B60" t="str">
            <v>FITOMENADIONA  (VITAMINA K1)</v>
          </cell>
          <cell r="C60" t="str">
            <v>10 mg/ml</v>
          </cell>
          <cell r="D60">
            <v>2.3975219999999999</v>
          </cell>
          <cell r="E60">
            <v>146</v>
          </cell>
        </row>
        <row r="61">
          <cell r="A61" t="str">
            <v>B-02-06</v>
          </cell>
          <cell r="B61" t="str">
            <v>ACIDO TRANEXAMICO</v>
          </cell>
          <cell r="C61" t="str">
            <v>500 mg</v>
          </cell>
          <cell r="D61">
            <v>25.794788592700002</v>
          </cell>
          <cell r="E61">
            <v>245</v>
          </cell>
        </row>
        <row r="62">
          <cell r="A62" t="str">
            <v>B-03-01</v>
          </cell>
          <cell r="B62" t="str">
            <v>ACIDO FOLICO</v>
          </cell>
          <cell r="C62" t="str">
            <v>5 mg</v>
          </cell>
          <cell r="D62">
            <v>0.25</v>
          </cell>
          <cell r="E62">
            <v>8133</v>
          </cell>
        </row>
        <row r="63">
          <cell r="A63" t="str">
            <v>B-03-02</v>
          </cell>
          <cell r="B63" t="str">
            <v>ERITROPOYETINA</v>
          </cell>
          <cell r="C63" t="str">
            <v>10.000 UI</v>
          </cell>
          <cell r="D63">
            <v>54</v>
          </cell>
          <cell r="E63">
            <v>75</v>
          </cell>
        </row>
        <row r="64">
          <cell r="A64" t="str">
            <v>B-03-04</v>
          </cell>
          <cell r="B64" t="str">
            <v>HIERRO</v>
          </cell>
          <cell r="C64" t="str">
            <v>100 mg - IM o IV</v>
          </cell>
          <cell r="D64">
            <v>24.777777777800001</v>
          </cell>
          <cell r="E64">
            <v>104</v>
          </cell>
        </row>
        <row r="65">
          <cell r="A65" t="str">
            <v>B-03-08</v>
          </cell>
          <cell r="B65" t="str">
            <v>SULFATO FERROSO + AC. FOLICO + VITAMINA C</v>
          </cell>
          <cell r="C65" t="str">
            <v>200 mg + 0,5 mg + 150 mg</v>
          </cell>
          <cell r="D65">
            <v>0.13</v>
          </cell>
          <cell r="E65">
            <v>3270</v>
          </cell>
        </row>
        <row r="66">
          <cell r="A66" t="str">
            <v>B-05-01</v>
          </cell>
          <cell r="B66" t="str">
            <v>AGUA PARA INYECCION</v>
          </cell>
          <cell r="C66" t="str">
            <v>5 ml</v>
          </cell>
          <cell r="D66">
            <v>0.60030909610000005</v>
          </cell>
          <cell r="E66">
            <v>3788</v>
          </cell>
        </row>
        <row r="67">
          <cell r="A67" t="str">
            <v>B-05-02</v>
          </cell>
          <cell r="B67" t="str">
            <v>ALBUMINA HUMANA</v>
          </cell>
          <cell r="C67">
            <v>0.2</v>
          </cell>
          <cell r="D67">
            <v>278.19672131150003</v>
          </cell>
          <cell r="E67">
            <v>264</v>
          </cell>
        </row>
        <row r="68">
          <cell r="A68" t="str">
            <v>B-05-03</v>
          </cell>
          <cell r="B68" t="str">
            <v>AMINOACIDOS</v>
          </cell>
          <cell r="C68">
            <v>0.1</v>
          </cell>
          <cell r="D68">
            <v>117</v>
          </cell>
          <cell r="E68">
            <v>42</v>
          </cell>
        </row>
        <row r="69">
          <cell r="A69" t="str">
            <v>B-05-04</v>
          </cell>
          <cell r="B69" t="str">
            <v>BICARBONATO DE SODIO</v>
          </cell>
          <cell r="C69">
            <v>0.08</v>
          </cell>
          <cell r="D69">
            <v>8</v>
          </cell>
          <cell r="E69">
            <v>83</v>
          </cell>
        </row>
        <row r="70">
          <cell r="A70" t="str">
            <v>B-05-06</v>
          </cell>
          <cell r="B70" t="str">
            <v>CLORURO DE POTASIO</v>
          </cell>
          <cell r="C70">
            <v>0.2</v>
          </cell>
          <cell r="D70">
            <v>2.2000000000000002</v>
          </cell>
          <cell r="E70">
            <v>507</v>
          </cell>
        </row>
        <row r="71">
          <cell r="A71" t="str">
            <v>B-05-07</v>
          </cell>
          <cell r="B71" t="str">
            <v>CLORURO DE SODIO</v>
          </cell>
          <cell r="C71">
            <v>0.2</v>
          </cell>
          <cell r="D71">
            <v>3.2462894863999998</v>
          </cell>
          <cell r="E71">
            <v>146</v>
          </cell>
        </row>
        <row r="72">
          <cell r="A72" t="str">
            <v>B-05-09</v>
          </cell>
          <cell r="B72" t="str">
            <v>EMULSION DE LIPIDOS</v>
          </cell>
          <cell r="C72" t="str">
            <v>Según disponibilidad</v>
          </cell>
          <cell r="D72">
            <v>140</v>
          </cell>
          <cell r="E72">
            <v>11</v>
          </cell>
        </row>
        <row r="73">
          <cell r="A73" t="str">
            <v>B-05-10</v>
          </cell>
          <cell r="B73" t="str">
            <v>GLUCONATO CALCICO (CALCIO GLUCONATO)</v>
          </cell>
          <cell r="C73">
            <v>0.1</v>
          </cell>
          <cell r="D73">
            <v>3</v>
          </cell>
          <cell r="E73">
            <v>80</v>
          </cell>
        </row>
        <row r="74">
          <cell r="A74" t="str">
            <v>B-05-11</v>
          </cell>
          <cell r="B74" t="str">
            <v>OLIGOELEMENTOS PARA NUTRICION PARENTERAL</v>
          </cell>
          <cell r="C74" t="str">
            <v>Según disponibilidad</v>
          </cell>
          <cell r="D74">
            <v>49.94</v>
          </cell>
          <cell r="E74">
            <v>25</v>
          </cell>
        </row>
        <row r="75">
          <cell r="A75" t="str">
            <v>B-05-15</v>
          </cell>
          <cell r="B75" t="str">
            <v>SOLUCION DE GLUCOSA</v>
          </cell>
          <cell r="C75" t="str">
            <v>5% (500 ml)</v>
          </cell>
          <cell r="D75">
            <v>8.5901662530999996</v>
          </cell>
          <cell r="E75">
            <v>248</v>
          </cell>
        </row>
        <row r="76">
          <cell r="A76" t="str">
            <v>B-05-16</v>
          </cell>
          <cell r="B76" t="str">
            <v>SOLUCION DE GLUCOSA</v>
          </cell>
          <cell r="C76" t="str">
            <v>5% (1.000 ml)</v>
          </cell>
          <cell r="D76">
            <v>11.612144000000001</v>
          </cell>
          <cell r="E76">
            <v>283</v>
          </cell>
        </row>
        <row r="77">
          <cell r="A77" t="str">
            <v>B-05-17</v>
          </cell>
          <cell r="B77" t="str">
            <v>SOLUCION DE GLUCOSA</v>
          </cell>
          <cell r="C77" t="str">
            <v>10% (500 ml)</v>
          </cell>
          <cell r="D77">
            <v>8.8699999999999992</v>
          </cell>
          <cell r="E77">
            <v>75</v>
          </cell>
        </row>
        <row r="78">
          <cell r="A78" t="str">
            <v>B-05-18</v>
          </cell>
          <cell r="B78" t="str">
            <v>SOLUCION DE GLUCOSA</v>
          </cell>
          <cell r="C78" t="str">
            <v>10% (1.000 ml)</v>
          </cell>
          <cell r="D78">
            <v>12.50155</v>
          </cell>
          <cell r="E78">
            <v>50</v>
          </cell>
        </row>
        <row r="79">
          <cell r="A79" t="str">
            <v>B-05-19</v>
          </cell>
          <cell r="B79" t="str">
            <v>SOLUCION DE GLUCOSA</v>
          </cell>
          <cell r="C79" t="str">
            <v>50% (500 ml)</v>
          </cell>
          <cell r="D79">
            <v>19.399999999999999</v>
          </cell>
          <cell r="E79">
            <v>51</v>
          </cell>
        </row>
        <row r="80">
          <cell r="A80" t="str">
            <v>B-05-21</v>
          </cell>
          <cell r="B80" t="str">
            <v>SOLUCION DE MANITOL</v>
          </cell>
          <cell r="C80" t="str">
            <v>20% (500 ml)</v>
          </cell>
          <cell r="D80">
            <v>23.9</v>
          </cell>
          <cell r="E80">
            <v>48</v>
          </cell>
        </row>
        <row r="81">
          <cell r="A81" t="str">
            <v>B-05-22</v>
          </cell>
          <cell r="B81" t="str">
            <v>SOLUCION FISIOLOGICA</v>
          </cell>
          <cell r="C81" t="str">
            <v>0,9% (500 ml)</v>
          </cell>
          <cell r="D81">
            <v>8.3561998220000007</v>
          </cell>
          <cell r="E81">
            <v>1220</v>
          </cell>
        </row>
        <row r="82">
          <cell r="A82" t="str">
            <v>B-05-23</v>
          </cell>
          <cell r="B82" t="str">
            <v>SOLUCION FISIOLOGICA</v>
          </cell>
          <cell r="C82" t="str">
            <v>0,9% (1.000 ml)</v>
          </cell>
          <cell r="D82">
            <v>9.6282290968000002</v>
          </cell>
          <cell r="E82">
            <v>1735</v>
          </cell>
        </row>
        <row r="83">
          <cell r="A83" t="str">
            <v>B-05-29</v>
          </cell>
          <cell r="B83" t="str">
            <v>SOLUCION RINGER LACTATO</v>
          </cell>
          <cell r="C83" t="str">
            <v>500 ml</v>
          </cell>
          <cell r="D83">
            <v>8.01</v>
          </cell>
          <cell r="E83">
            <v>19</v>
          </cell>
        </row>
        <row r="84">
          <cell r="A84" t="str">
            <v>B-05-30</v>
          </cell>
          <cell r="B84" t="str">
            <v>SOLUCION RINGER LACTATO</v>
          </cell>
          <cell r="C84" t="str">
            <v>1.000 ml</v>
          </cell>
          <cell r="D84">
            <v>10.8900013233</v>
          </cell>
          <cell r="E84">
            <v>128</v>
          </cell>
        </row>
        <row r="85">
          <cell r="A85" t="str">
            <v>B-05-31</v>
          </cell>
          <cell r="B85" t="str">
            <v>SOLUCION RINGER NORMAL</v>
          </cell>
          <cell r="C85" t="str">
            <v>500 ml</v>
          </cell>
          <cell r="D85">
            <v>8.8000000000000007</v>
          </cell>
          <cell r="E85">
            <v>181</v>
          </cell>
        </row>
        <row r="86">
          <cell r="A86" t="str">
            <v>B-05-32</v>
          </cell>
          <cell r="B86" t="str">
            <v>SOLUCION RINGER NORMAL</v>
          </cell>
          <cell r="C86" t="str">
            <v>1.000 ml</v>
          </cell>
          <cell r="D86">
            <v>10.4503664369</v>
          </cell>
          <cell r="E86">
            <v>1952</v>
          </cell>
        </row>
        <row r="87">
          <cell r="A87" t="str">
            <v>B-05-33</v>
          </cell>
          <cell r="B87" t="str">
            <v>SULFATO DE MAGNESIO</v>
          </cell>
          <cell r="C87">
            <v>0.1</v>
          </cell>
          <cell r="D87">
            <v>4.9900000798999997</v>
          </cell>
          <cell r="E87">
            <v>292</v>
          </cell>
        </row>
        <row r="88">
          <cell r="A88" t="str">
            <v>C-01-02</v>
          </cell>
          <cell r="B88" t="str">
            <v>AMIODARONA (CLORHIDRATO)</v>
          </cell>
          <cell r="C88" t="str">
            <v>200 mg</v>
          </cell>
          <cell r="D88">
            <v>1</v>
          </cell>
          <cell r="E88">
            <v>5810</v>
          </cell>
        </row>
        <row r="89">
          <cell r="A89" t="str">
            <v>C-01-03</v>
          </cell>
          <cell r="B89" t="str">
            <v>AMIODARONA (CLORHIDRATO)</v>
          </cell>
          <cell r="C89" t="str">
            <v>50 mg/ml</v>
          </cell>
          <cell r="D89">
            <v>6.9</v>
          </cell>
          <cell r="E89">
            <v>29</v>
          </cell>
        </row>
        <row r="90">
          <cell r="A90" t="str">
            <v>C-01-06</v>
          </cell>
          <cell r="B90" t="str">
            <v>DIGOXINA</v>
          </cell>
          <cell r="C90" t="str">
            <v>0,25 mg</v>
          </cell>
          <cell r="D90">
            <v>0.34</v>
          </cell>
          <cell r="E90">
            <v>470</v>
          </cell>
        </row>
        <row r="91">
          <cell r="A91" t="str">
            <v>C-01-10</v>
          </cell>
          <cell r="B91" t="str">
            <v>EPINEFRINA (ADRENALINA)</v>
          </cell>
          <cell r="C91" t="str">
            <v>1 mg/ml</v>
          </cell>
          <cell r="D91">
            <v>5.9</v>
          </cell>
          <cell r="E91">
            <v>107</v>
          </cell>
        </row>
        <row r="92">
          <cell r="A92" t="str">
            <v>C-01-13</v>
          </cell>
          <cell r="B92" t="str">
            <v>ETILEFRINA</v>
          </cell>
          <cell r="C92" t="str">
            <v>10 mg/ml</v>
          </cell>
          <cell r="D92">
            <v>13.8</v>
          </cell>
          <cell r="E92">
            <v>38</v>
          </cell>
        </row>
        <row r="93">
          <cell r="A93" t="str">
            <v>C-01-15</v>
          </cell>
          <cell r="B93" t="str">
            <v>NORADRENALINA</v>
          </cell>
          <cell r="C93" t="str">
            <v>1 mg/ml</v>
          </cell>
          <cell r="D93">
            <v>7.7008695651999997</v>
          </cell>
          <cell r="E93">
            <v>275</v>
          </cell>
        </row>
        <row r="94">
          <cell r="A94" t="str">
            <v>C-02-08</v>
          </cell>
          <cell r="B94" t="str">
            <v>SILDENAFILO</v>
          </cell>
          <cell r="C94" t="str">
            <v>50 mg</v>
          </cell>
          <cell r="D94">
            <v>1.25</v>
          </cell>
          <cell r="E94">
            <v>90</v>
          </cell>
        </row>
        <row r="95">
          <cell r="A95" t="str">
            <v>C-03-01</v>
          </cell>
          <cell r="B95" t="str">
            <v>ACETAZOLAMIDA</v>
          </cell>
          <cell r="C95" t="str">
            <v>250 mg</v>
          </cell>
          <cell r="D95">
            <v>1.20475</v>
          </cell>
          <cell r="E95">
            <v>20</v>
          </cell>
        </row>
        <row r="96">
          <cell r="A96" t="str">
            <v>C-03-02</v>
          </cell>
          <cell r="B96" t="str">
            <v>ESPIRONOLACTONA</v>
          </cell>
          <cell r="C96" t="str">
            <v>100 mg</v>
          </cell>
          <cell r="D96">
            <v>0.80445429219999998</v>
          </cell>
          <cell r="E96">
            <v>2857</v>
          </cell>
        </row>
        <row r="97">
          <cell r="A97" t="str">
            <v>C-03-03</v>
          </cell>
          <cell r="B97" t="str">
            <v>ESPIRONOLACTONA</v>
          </cell>
          <cell r="C97" t="str">
            <v>25 mg</v>
          </cell>
          <cell r="D97">
            <v>0.78</v>
          </cell>
          <cell r="E97">
            <v>6543</v>
          </cell>
        </row>
        <row r="98">
          <cell r="A98" t="str">
            <v>C-03-04</v>
          </cell>
          <cell r="B98" t="str">
            <v>FUROSEMIDA</v>
          </cell>
          <cell r="C98" t="str">
            <v>40 mg</v>
          </cell>
          <cell r="D98">
            <v>0.19</v>
          </cell>
          <cell r="E98">
            <v>3123</v>
          </cell>
        </row>
        <row r="99">
          <cell r="A99" t="str">
            <v>C-03-05</v>
          </cell>
          <cell r="B99" t="str">
            <v>FUROSEMIDA</v>
          </cell>
          <cell r="C99" t="str">
            <v>10 mg/ml</v>
          </cell>
          <cell r="D99">
            <v>1.7999560036</v>
          </cell>
          <cell r="E99">
            <v>705</v>
          </cell>
        </row>
        <row r="100">
          <cell r="A100" t="str">
            <v>C-03-06</v>
          </cell>
          <cell r="B100" t="str">
            <v>HIDROCLOROTIAZIDA</v>
          </cell>
          <cell r="C100" t="str">
            <v>50 mg</v>
          </cell>
          <cell r="D100">
            <v>0.1500033086</v>
          </cell>
          <cell r="E100">
            <v>5157</v>
          </cell>
        </row>
        <row r="101">
          <cell r="A101" t="str">
            <v>C-03-07</v>
          </cell>
          <cell r="B101" t="str">
            <v>HIDROCLOROTIAZIDA + AMILORIDA</v>
          </cell>
          <cell r="C101" t="str">
            <v>50 mg + 5 mg</v>
          </cell>
          <cell r="D101">
            <v>0.74930600000000003</v>
          </cell>
          <cell r="E101">
            <v>311</v>
          </cell>
        </row>
        <row r="102">
          <cell r="A102" t="str">
            <v>C-05-01</v>
          </cell>
          <cell r="B102" t="str">
            <v>CORTICOIDE + ANESTESICO</v>
          </cell>
          <cell r="C102" t="str">
            <v>Según disponibilidad</v>
          </cell>
          <cell r="D102">
            <v>3</v>
          </cell>
          <cell r="E102">
            <v>796</v>
          </cell>
        </row>
        <row r="103">
          <cell r="A103" t="str">
            <v>C-05-02</v>
          </cell>
          <cell r="B103" t="str">
            <v>CORTICOIDE + ANESTESICO</v>
          </cell>
          <cell r="C103" t="str">
            <v>Según disponibilidad</v>
          </cell>
          <cell r="D103">
            <v>42.05</v>
          </cell>
          <cell r="E103">
            <v>47</v>
          </cell>
        </row>
        <row r="104">
          <cell r="A104" t="str">
            <v>C-07-01</v>
          </cell>
          <cell r="B104" t="str">
            <v>ATENOLOL</v>
          </cell>
          <cell r="C104" t="str">
            <v>100 mg</v>
          </cell>
          <cell r="D104">
            <v>0.269365417</v>
          </cell>
          <cell r="E104">
            <v>873</v>
          </cell>
        </row>
        <row r="105">
          <cell r="A105" t="str">
            <v>C-07-02</v>
          </cell>
          <cell r="B105" t="str">
            <v>PROPRANOLOL</v>
          </cell>
          <cell r="C105" t="str">
            <v>40 mg</v>
          </cell>
          <cell r="D105">
            <v>0.29979020979999998</v>
          </cell>
          <cell r="E105">
            <v>470</v>
          </cell>
        </row>
        <row r="106">
          <cell r="A106" t="str">
            <v>C-07-04</v>
          </cell>
          <cell r="B106" t="str">
            <v>CARVEDILOL</v>
          </cell>
          <cell r="C106" t="str">
            <v>6,25 mg</v>
          </cell>
          <cell r="D106">
            <v>0.44007471990000002</v>
          </cell>
          <cell r="E106">
            <v>27031</v>
          </cell>
        </row>
        <row r="107">
          <cell r="A107" t="str">
            <v>C-07-05</v>
          </cell>
          <cell r="B107" t="str">
            <v>CARVEDILOL</v>
          </cell>
          <cell r="C107" t="str">
            <v>12,5 mg</v>
          </cell>
          <cell r="D107">
            <v>0.98</v>
          </cell>
          <cell r="E107">
            <v>16555</v>
          </cell>
        </row>
        <row r="108">
          <cell r="A108" t="str">
            <v>C-07-06</v>
          </cell>
          <cell r="B108" t="str">
            <v>BISOPROLOL</v>
          </cell>
          <cell r="C108" t="str">
            <v>5 mg</v>
          </cell>
          <cell r="D108">
            <v>0.73950579039999997</v>
          </cell>
          <cell r="E108">
            <v>7623</v>
          </cell>
        </row>
        <row r="109">
          <cell r="A109" t="str">
            <v>C-08-02</v>
          </cell>
          <cell r="B109" t="str">
            <v>NIMODIPINA</v>
          </cell>
          <cell r="C109" t="str">
            <v>30 mg</v>
          </cell>
          <cell r="D109">
            <v>0.35294545820000001</v>
          </cell>
          <cell r="E109">
            <v>9178</v>
          </cell>
        </row>
        <row r="110">
          <cell r="A110" t="str">
            <v>C-08-07</v>
          </cell>
          <cell r="B110" t="str">
            <v>AMLODIPINA</v>
          </cell>
          <cell r="C110" t="str">
            <v>10 mg</v>
          </cell>
          <cell r="D110">
            <v>0.13</v>
          </cell>
          <cell r="E110">
            <v>19626</v>
          </cell>
        </row>
        <row r="111">
          <cell r="A111" t="str">
            <v>C-09-01</v>
          </cell>
          <cell r="B111" t="str">
            <v>ENALAPRIL MALEATO</v>
          </cell>
          <cell r="C111" t="str">
            <v>10 mg</v>
          </cell>
          <cell r="D111">
            <v>0.14001199759999999</v>
          </cell>
          <cell r="E111">
            <v>5260</v>
          </cell>
        </row>
        <row r="112">
          <cell r="A112" t="str">
            <v>C-09-02</v>
          </cell>
          <cell r="B112" t="str">
            <v>LOSARTAN</v>
          </cell>
          <cell r="C112" t="str">
            <v>50 mg</v>
          </cell>
          <cell r="D112">
            <v>0.65995020039999996</v>
          </cell>
          <cell r="E112">
            <v>146382</v>
          </cell>
        </row>
        <row r="113">
          <cell r="A113" t="str">
            <v>C-10-01</v>
          </cell>
          <cell r="B113" t="str">
            <v>ATORVASTATINA</v>
          </cell>
          <cell r="C113" t="str">
            <v>10 mg</v>
          </cell>
          <cell r="D113">
            <v>0.1</v>
          </cell>
          <cell r="E113">
            <v>11537</v>
          </cell>
        </row>
        <row r="114">
          <cell r="A114" t="str">
            <v>C-10-02</v>
          </cell>
          <cell r="B114" t="str">
            <v>GENFIBROZILO</v>
          </cell>
          <cell r="C114" t="str">
            <v>600 mg</v>
          </cell>
          <cell r="D114">
            <v>0.97920538960000003</v>
          </cell>
          <cell r="E114">
            <v>6278</v>
          </cell>
        </row>
        <row r="115">
          <cell r="A115" t="str">
            <v>C-10-03</v>
          </cell>
          <cell r="B115" t="str">
            <v>ROSUVASTATINA</v>
          </cell>
          <cell r="C115" t="str">
            <v>20 mg</v>
          </cell>
          <cell r="D115">
            <v>2.9591836735000001</v>
          </cell>
          <cell r="E115">
            <v>6314</v>
          </cell>
        </row>
        <row r="116">
          <cell r="A116" t="str">
            <v>C-10-04</v>
          </cell>
          <cell r="B116" t="str">
            <v>FENOFIBRATO</v>
          </cell>
          <cell r="C116" t="str">
            <v>200 mg</v>
          </cell>
          <cell r="D116">
            <v>3.9056491413000001</v>
          </cell>
          <cell r="E116">
            <v>6923</v>
          </cell>
        </row>
        <row r="117">
          <cell r="A117" t="str">
            <v>C-10-05</v>
          </cell>
          <cell r="B117" t="str">
            <v>ATORVASTATINA</v>
          </cell>
          <cell r="C117" t="str">
            <v>20 mg.</v>
          </cell>
          <cell r="D117">
            <v>0.50013170829999998</v>
          </cell>
          <cell r="E117">
            <v>64759</v>
          </cell>
        </row>
        <row r="118">
          <cell r="A118" t="str">
            <v>D-01-02</v>
          </cell>
          <cell r="B118" t="str">
            <v>BACITRACINA + NEOMICINA SULFATO</v>
          </cell>
          <cell r="C118" t="str">
            <v>500 UI + 5 mg/g</v>
          </cell>
          <cell r="D118">
            <v>6.7</v>
          </cell>
          <cell r="E118">
            <v>137</v>
          </cell>
        </row>
        <row r="119">
          <cell r="A119" t="str">
            <v>D-01-03</v>
          </cell>
          <cell r="B119" t="str">
            <v>CLOTRIMAZOL</v>
          </cell>
          <cell r="C119">
            <v>0.01</v>
          </cell>
          <cell r="D119">
            <v>3.5</v>
          </cell>
          <cell r="E119">
            <v>292</v>
          </cell>
        </row>
        <row r="120">
          <cell r="A120" t="str">
            <v>D-01-06</v>
          </cell>
          <cell r="B120" t="str">
            <v>TOLNAFTATO</v>
          </cell>
          <cell r="C120">
            <v>0.01</v>
          </cell>
          <cell r="D120">
            <v>23</v>
          </cell>
          <cell r="E120">
            <v>11</v>
          </cell>
        </row>
        <row r="121">
          <cell r="A121" t="str">
            <v>D-01-07</v>
          </cell>
          <cell r="B121" t="str">
            <v>VIOLETA DE GENCIANA (CLORURO DE METILROSANILINA)</v>
          </cell>
          <cell r="C121">
            <v>0.01</v>
          </cell>
          <cell r="D121">
            <v>2.7</v>
          </cell>
          <cell r="E121">
            <v>7</v>
          </cell>
        </row>
        <row r="122">
          <cell r="A122" t="str">
            <v>D-02-02</v>
          </cell>
          <cell r="B122" t="str">
            <v>OXIDO DE ZINC CON O SIN ACEITE</v>
          </cell>
          <cell r="C122" t="str">
            <v>Según disponibilidad</v>
          </cell>
          <cell r="D122">
            <v>6.79</v>
          </cell>
          <cell r="E122">
            <v>38</v>
          </cell>
        </row>
        <row r="123">
          <cell r="A123" t="str">
            <v>D-02-04</v>
          </cell>
          <cell r="B123" t="str">
            <v>VASELINA LIQUIDA</v>
          </cell>
          <cell r="C123" t="str">
            <v>Según disponibilidad</v>
          </cell>
          <cell r="D123">
            <v>35</v>
          </cell>
          <cell r="E123">
            <v>36</v>
          </cell>
        </row>
        <row r="124">
          <cell r="A124" t="str">
            <v>D-04-01</v>
          </cell>
          <cell r="B124" t="str">
            <v>LIDOCAINA</v>
          </cell>
          <cell r="C124">
            <v>0.02</v>
          </cell>
          <cell r="D124">
            <v>33</v>
          </cell>
          <cell r="E124">
            <v>2</v>
          </cell>
        </row>
        <row r="125">
          <cell r="A125" t="str">
            <v>D-06-02</v>
          </cell>
          <cell r="B125" t="str">
            <v>SULFADIAZINA DE PLATA</v>
          </cell>
          <cell r="C125">
            <v>0.01</v>
          </cell>
          <cell r="D125">
            <v>38.551322999999996</v>
          </cell>
          <cell r="E125">
            <v>12</v>
          </cell>
        </row>
        <row r="126">
          <cell r="A126" t="str">
            <v>D-06-03</v>
          </cell>
          <cell r="B126" t="str">
            <v>ACICLOVIR</v>
          </cell>
          <cell r="C126">
            <v>0.05</v>
          </cell>
          <cell r="D126">
            <v>8</v>
          </cell>
          <cell r="E126">
            <v>46</v>
          </cell>
        </row>
        <row r="127">
          <cell r="A127" t="str">
            <v>D-07-01</v>
          </cell>
          <cell r="B127" t="str">
            <v>BETAMETASONA (VALERATO)</v>
          </cell>
          <cell r="C127" t="str">
            <v>0,1%</v>
          </cell>
          <cell r="D127">
            <v>7.8738889355000001</v>
          </cell>
          <cell r="E127">
            <v>165</v>
          </cell>
        </row>
        <row r="128">
          <cell r="A128" t="str">
            <v>D-07-02</v>
          </cell>
          <cell r="B128" t="str">
            <v>CLOBETASOL</v>
          </cell>
          <cell r="C128" t="str">
            <v>0,05%</v>
          </cell>
          <cell r="D128">
            <v>11.4</v>
          </cell>
          <cell r="E128">
            <v>78</v>
          </cell>
        </row>
        <row r="129">
          <cell r="A129" t="str">
            <v>D-07-03</v>
          </cell>
          <cell r="B129" t="str">
            <v>CLOBETASOL</v>
          </cell>
          <cell r="C129" t="str">
            <v>0,05%</v>
          </cell>
          <cell r="D129">
            <v>54.444444444399998</v>
          </cell>
          <cell r="E129">
            <v>41</v>
          </cell>
        </row>
        <row r="130">
          <cell r="A130" t="str">
            <v>D-07-04</v>
          </cell>
          <cell r="B130" t="str">
            <v>HIDROCORTISONA ACETATO</v>
          </cell>
          <cell r="C130">
            <v>0.01</v>
          </cell>
          <cell r="D130">
            <v>8</v>
          </cell>
          <cell r="E130">
            <v>77</v>
          </cell>
        </row>
        <row r="131">
          <cell r="A131" t="str">
            <v>D-10-01</v>
          </cell>
          <cell r="B131" t="str">
            <v>ERITROMICINA</v>
          </cell>
          <cell r="C131" t="str">
            <v>2% a 4%</v>
          </cell>
          <cell r="D131">
            <v>56.52</v>
          </cell>
          <cell r="E131">
            <v>23</v>
          </cell>
        </row>
        <row r="132">
          <cell r="A132" t="str">
            <v>D-10-03</v>
          </cell>
          <cell r="B132" t="str">
            <v>PEROXIDO DE BENZOILO</v>
          </cell>
          <cell r="C132">
            <v>0.05</v>
          </cell>
          <cell r="D132">
            <v>64.5</v>
          </cell>
          <cell r="E132">
            <v>25</v>
          </cell>
        </row>
        <row r="133">
          <cell r="A133" t="str">
            <v>DAC001</v>
          </cell>
          <cell r="B133" t="str">
            <v>AGUJA DESCARTABLE</v>
          </cell>
          <cell r="C133" t="str">
            <v>18 * 1 1/2 "</v>
          </cell>
          <cell r="D133">
            <v>0.215</v>
          </cell>
          <cell r="E133">
            <v>385</v>
          </cell>
        </row>
        <row r="134">
          <cell r="A134" t="str">
            <v>DAC007</v>
          </cell>
          <cell r="B134" t="str">
            <v>AGUJA DESCARTABLE</v>
          </cell>
          <cell r="C134" t="str">
            <v>N° 25 * 5/8"</v>
          </cell>
          <cell r="D134">
            <v>0.23640353659999999</v>
          </cell>
          <cell r="E134">
            <v>6</v>
          </cell>
        </row>
        <row r="135">
          <cell r="A135" t="str">
            <v>DAC008</v>
          </cell>
          <cell r="B135" t="str">
            <v>AGUJA DESCARTABLE</v>
          </cell>
          <cell r="C135" t="str">
            <v>N° 21 * 1 1/2"</v>
          </cell>
          <cell r="D135">
            <v>0.21</v>
          </cell>
          <cell r="E135">
            <v>37</v>
          </cell>
        </row>
        <row r="136">
          <cell r="A136" t="str">
            <v>DAC010</v>
          </cell>
          <cell r="B136" t="str">
            <v>AGUJA DESCARTABLE</v>
          </cell>
          <cell r="C136" t="str">
            <v>N° 23 * 1 1/2"</v>
          </cell>
          <cell r="D136">
            <v>0.21</v>
          </cell>
          <cell r="E136">
            <v>21</v>
          </cell>
        </row>
        <row r="137">
          <cell r="A137" t="str">
            <v>DAC013</v>
          </cell>
          <cell r="B137" t="str">
            <v>AGUJA PARA ANESTESIA RAQUIDEA</v>
          </cell>
          <cell r="C137" t="str">
            <v>N° 25 PUNTA DE LAPIZ</v>
          </cell>
          <cell r="D137">
            <v>38</v>
          </cell>
          <cell r="E137">
            <v>13</v>
          </cell>
        </row>
        <row r="138">
          <cell r="A138" t="str">
            <v>DAC014</v>
          </cell>
          <cell r="B138" t="str">
            <v>AGUJA PARA ANESTESIA RAQUIDEA</v>
          </cell>
          <cell r="C138" t="str">
            <v>N° 27 PUNTA DE LAPIZ</v>
          </cell>
          <cell r="D138">
            <v>40</v>
          </cell>
          <cell r="E138">
            <v>80</v>
          </cell>
        </row>
        <row r="139">
          <cell r="A139" t="str">
            <v>DAC040</v>
          </cell>
          <cell r="B139" t="str">
            <v>CATETER DOBLE "J"</v>
          </cell>
          <cell r="C139" t="str">
            <v>Nº  6.0 FR X 24 CM CON GUIA HIDROFILICA</v>
          </cell>
          <cell r="D139">
            <v>1185</v>
          </cell>
          <cell r="E139">
            <v>1</v>
          </cell>
        </row>
        <row r="140">
          <cell r="A140" t="str">
            <v>DAC055</v>
          </cell>
          <cell r="B140" t="str">
            <v>CATETER VENOSO CENTRAL</v>
          </cell>
          <cell r="C140" t="str">
            <v>DOBLE LUMEN 7 X 20 (PARA CANALIZACION DE VENA SUBCLAVIA)</v>
          </cell>
          <cell r="D140">
            <v>349.99</v>
          </cell>
          <cell r="E140">
            <v>15</v>
          </cell>
        </row>
        <row r="141">
          <cell r="A141" t="str">
            <v>DAC065</v>
          </cell>
          <cell r="B141" t="str">
            <v>CATETER VENOSO PERIFERICO</v>
          </cell>
          <cell r="C141" t="str">
            <v>Nº  18  CON ALETAS DE FIJACION</v>
          </cell>
          <cell r="D141">
            <v>4</v>
          </cell>
          <cell r="E141">
            <v>128</v>
          </cell>
        </row>
        <row r="142">
          <cell r="A142" t="str">
            <v>DAC066</v>
          </cell>
          <cell r="B142" t="str">
            <v>CATETER VENOSO PERIFERICO</v>
          </cell>
          <cell r="C142" t="str">
            <v>Nº 20 CON ALETAS DE FIJACION</v>
          </cell>
          <cell r="D142">
            <v>3.84</v>
          </cell>
          <cell r="E142">
            <v>589</v>
          </cell>
        </row>
        <row r="143">
          <cell r="A143" t="str">
            <v>DAC067</v>
          </cell>
          <cell r="B143" t="str">
            <v>CATETER VENOSO PERIFERICO</v>
          </cell>
          <cell r="C143" t="str">
            <v>Nº  22 CON ALETAS DE FIJACION</v>
          </cell>
          <cell r="D143">
            <v>3.8016608068000002</v>
          </cell>
          <cell r="E143">
            <v>1288</v>
          </cell>
        </row>
        <row r="144">
          <cell r="A144" t="str">
            <v>DAC068</v>
          </cell>
          <cell r="B144" t="str">
            <v>CATETER VENOSO PERIFERICO</v>
          </cell>
          <cell r="C144" t="str">
            <v>Nº  24 CON ALETAS DE FIJACION</v>
          </cell>
          <cell r="D144">
            <v>3.7968684599000002</v>
          </cell>
          <cell r="E144">
            <v>150</v>
          </cell>
        </row>
        <row r="145">
          <cell r="A145" t="str">
            <v>DAC069</v>
          </cell>
          <cell r="B145" t="str">
            <v>DISPOSITIVO BIDIRECCIONAL</v>
          </cell>
          <cell r="C145" t="str">
            <v>PARA TRANSFERENCIA DE MEDICAMENTOS</v>
          </cell>
          <cell r="D145">
            <v>4.9613630000000004</v>
          </cell>
          <cell r="E145">
            <v>2</v>
          </cell>
        </row>
        <row r="146">
          <cell r="A146" t="str">
            <v>DAC074</v>
          </cell>
          <cell r="B146" t="str">
            <v>EQUIPO DE VENOCLISIS</v>
          </cell>
          <cell r="C146" t="str">
            <v>CON AGUJA Nº 21</v>
          </cell>
          <cell r="D146">
            <v>2.3716875450999999</v>
          </cell>
          <cell r="E146">
            <v>2002</v>
          </cell>
        </row>
        <row r="147">
          <cell r="A147" t="str">
            <v>DAC076</v>
          </cell>
          <cell r="B147" t="str">
            <v>EQUIPO VENOCLISIS</v>
          </cell>
          <cell r="C147" t="str">
            <v>COLOR AMBAR</v>
          </cell>
          <cell r="D147">
            <v>22.9</v>
          </cell>
          <cell r="E147">
            <v>60</v>
          </cell>
        </row>
        <row r="148">
          <cell r="A148" t="str">
            <v>DAC088</v>
          </cell>
          <cell r="B148" t="str">
            <v>LLAVE DE 3 VIAS</v>
          </cell>
          <cell r="C148" t="str">
            <v>CON ALARGADOR 50 CM - 10CM</v>
          </cell>
          <cell r="D148">
            <v>3.7851045369</v>
          </cell>
          <cell r="E148">
            <v>250</v>
          </cell>
        </row>
        <row r="149">
          <cell r="A149" t="str">
            <v>DAC089</v>
          </cell>
          <cell r="B149" t="str">
            <v>LLAVE DE 3 VIAS</v>
          </cell>
          <cell r="C149" t="str">
            <v>SIN ALARGADOR</v>
          </cell>
          <cell r="D149">
            <v>3.5</v>
          </cell>
          <cell r="E149">
            <v>156</v>
          </cell>
        </row>
        <row r="150">
          <cell r="A150" t="str">
            <v>DAC091</v>
          </cell>
          <cell r="B150" t="str">
            <v>MICROGOTERO</v>
          </cell>
          <cell r="C150" t="str">
            <v>CON DEPOSITO RIGIDO 100 ML - 150ML</v>
          </cell>
          <cell r="D150">
            <v>10.4210526316</v>
          </cell>
          <cell r="E150">
            <v>263</v>
          </cell>
        </row>
        <row r="151">
          <cell r="A151" t="str">
            <v>DAC093</v>
          </cell>
          <cell r="B151" t="str">
            <v>TAPON HEPARINIZADO</v>
          </cell>
          <cell r="C151" t="str">
            <v>PIEZA</v>
          </cell>
          <cell r="D151">
            <v>1.75</v>
          </cell>
          <cell r="E151">
            <v>235</v>
          </cell>
        </row>
        <row r="152">
          <cell r="A152" t="str">
            <v>DB002</v>
          </cell>
          <cell r="B152" t="str">
            <v>BOLSA COLECTORA DE ORINA</v>
          </cell>
          <cell r="C152" t="str">
            <v>2000 ML. CON VALVULA ANTIRREFLUJO</v>
          </cell>
          <cell r="D152">
            <v>3.36</v>
          </cell>
          <cell r="E152">
            <v>130</v>
          </cell>
        </row>
        <row r="153">
          <cell r="A153" t="str">
            <v>DB009</v>
          </cell>
          <cell r="B153" t="str">
            <v>BOLSA DE NUTRICION PARENTERAL</v>
          </cell>
          <cell r="C153" t="str">
            <v>500 ML.</v>
          </cell>
          <cell r="D153">
            <v>122.6</v>
          </cell>
          <cell r="E153">
            <v>50</v>
          </cell>
        </row>
        <row r="154">
          <cell r="A154" t="str">
            <v>DI-01-00</v>
          </cell>
          <cell r="B154" t="str">
            <v>MARCAPASO CARDIACO DEFINITIVO DOBLE CAMARA DDDR</v>
          </cell>
          <cell r="C154" t="str">
            <v>PIEZAS</v>
          </cell>
          <cell r="D154">
            <v>16500</v>
          </cell>
          <cell r="E154">
            <v>1</v>
          </cell>
        </row>
        <row r="155">
          <cell r="A155" t="str">
            <v>DI-01-01</v>
          </cell>
          <cell r="B155" t="str">
            <v>GENERADOR DE  MARCAPASO  CARDIACO DOBLE CAMARA (DDDR)</v>
          </cell>
          <cell r="C155" t="str">
            <v>s/d</v>
          </cell>
          <cell r="D155">
            <v>10537</v>
          </cell>
          <cell r="E155">
            <v>1</v>
          </cell>
        </row>
        <row r="156">
          <cell r="A156" t="str">
            <v>DI-01-03</v>
          </cell>
          <cell r="B156" t="str">
            <v>MARCAPASO UNICAMERAL VVI</v>
          </cell>
          <cell r="C156" t="str">
            <v>SEGUN CONCENTRACION</v>
          </cell>
          <cell r="D156">
            <v>15153</v>
          </cell>
          <cell r="E156">
            <v>1</v>
          </cell>
        </row>
        <row r="157">
          <cell r="A157" t="str">
            <v>DJ003</v>
          </cell>
          <cell r="B157" t="str">
            <v>JERINGA DESCARTABLE</v>
          </cell>
          <cell r="C157" t="str">
            <v>3 ML CON AGUJA 21 X 1 1/2" C/ROSCA</v>
          </cell>
          <cell r="D157">
            <v>0.34445998449999998</v>
          </cell>
          <cell r="E157">
            <v>59</v>
          </cell>
        </row>
        <row r="158">
          <cell r="A158" t="str">
            <v>DJ004</v>
          </cell>
          <cell r="B158" t="str">
            <v>JERINGA DESCARTABLE</v>
          </cell>
          <cell r="C158" t="str">
            <v>5 ML CON AGUJA 21 X 1 1/2" C/ROSCA</v>
          </cell>
          <cell r="D158">
            <v>0.35</v>
          </cell>
          <cell r="E158">
            <v>597</v>
          </cell>
        </row>
        <row r="159">
          <cell r="A159" t="str">
            <v>DJ005</v>
          </cell>
          <cell r="B159" t="str">
            <v>JERINGA DESCARTABLE</v>
          </cell>
          <cell r="C159" t="str">
            <v>10 ML CON AGUJA 21 X 1 1/2" C/ROSCA</v>
          </cell>
          <cell r="D159">
            <v>0.4171516281</v>
          </cell>
          <cell r="E159">
            <v>10608</v>
          </cell>
        </row>
        <row r="160">
          <cell r="A160" t="str">
            <v>DJ006</v>
          </cell>
          <cell r="B160" t="str">
            <v>JERINGA DESCARTABLE</v>
          </cell>
          <cell r="C160" t="str">
            <v>20 ML CON AGUJA 21X 1 1/2" C/ ROSCA</v>
          </cell>
          <cell r="D160">
            <v>0.72722879650000005</v>
          </cell>
          <cell r="E160">
            <v>2974</v>
          </cell>
        </row>
        <row r="161">
          <cell r="A161" t="str">
            <v>DJ007</v>
          </cell>
          <cell r="B161" t="str">
            <v>JERINGA DESCARTABLE 50 ML LUER</v>
          </cell>
          <cell r="C161" t="str">
            <v>50 ML LUER</v>
          </cell>
          <cell r="D161">
            <v>1.79</v>
          </cell>
          <cell r="E161">
            <v>353</v>
          </cell>
        </row>
        <row r="162">
          <cell r="A162" t="str">
            <v>DJ009</v>
          </cell>
          <cell r="B162" t="str">
            <v>JERINGA INSULINA DESCARTABLE</v>
          </cell>
          <cell r="C162" t="str">
            <v>1 ML C/AGUJA DESMONTABLE N° 28</v>
          </cell>
          <cell r="D162">
            <v>0.6</v>
          </cell>
          <cell r="E162">
            <v>1068</v>
          </cell>
        </row>
        <row r="163">
          <cell r="A163" t="str">
            <v>DL3661</v>
          </cell>
          <cell r="B163" t="str">
            <v>TIRAS REACTIVAS PARA GLUCOMETRO</v>
          </cell>
          <cell r="C163" t="str">
            <v>TIRAS DE BUENA REPRODUCIBILIDAD REPETITIVIDAD TENGA ESTABILIDAD EXACTITUD APTA PARA USO A DIFERENTES ALTURAS, HASTA 4000 M. DE ALTURA SOBRE EL NIVEL DE MAR (PRESENTAR CERTIFICADO DE CALIBRACION DE ALTURA DE LA FABRICA DE ORIGEN).</v>
          </cell>
          <cell r="D163">
            <v>5.8012450769999999</v>
          </cell>
          <cell r="E163">
            <v>509</v>
          </cell>
        </row>
        <row r="164">
          <cell r="A164" t="str">
            <v>DMQ012</v>
          </cell>
          <cell r="B164" t="str">
            <v>ELECTRODOS</v>
          </cell>
          <cell r="C164" t="str">
            <v>DE ESPUMA PARA ADULTO</v>
          </cell>
          <cell r="D164">
            <v>1.3</v>
          </cell>
          <cell r="E164">
            <v>1194</v>
          </cell>
        </row>
        <row r="165">
          <cell r="A165" t="str">
            <v>DMQ020</v>
          </cell>
          <cell r="B165" t="str">
            <v>GUANTES QUIRURGICOS ESTERIL</v>
          </cell>
          <cell r="C165" t="str">
            <v>N° 6 1/2 PUNO LARGO</v>
          </cell>
          <cell r="D165">
            <v>2.3851166551</v>
          </cell>
          <cell r="E165">
            <v>465</v>
          </cell>
        </row>
        <row r="166">
          <cell r="A166" t="str">
            <v>DMQ021</v>
          </cell>
          <cell r="B166" t="str">
            <v>GUANTES QUIRURGICOS ESTERIL</v>
          </cell>
          <cell r="C166" t="str">
            <v>N° 7 PUNO LARGO</v>
          </cell>
          <cell r="D166">
            <v>2.4015520000000001</v>
          </cell>
          <cell r="E166">
            <v>379</v>
          </cell>
        </row>
        <row r="167">
          <cell r="A167" t="str">
            <v>DMQ022</v>
          </cell>
          <cell r="B167" t="str">
            <v>GUANTES QUIRURGICOS ESTERIL</v>
          </cell>
          <cell r="C167" t="str">
            <v>N° 7 1/2 PUNO LARGO</v>
          </cell>
          <cell r="D167">
            <v>2.4065979999999998</v>
          </cell>
          <cell r="E167">
            <v>580</v>
          </cell>
        </row>
        <row r="168">
          <cell r="A168" t="str">
            <v>DMQ023</v>
          </cell>
          <cell r="B168" t="str">
            <v>GUANTES QUIRURGICOS ESTERIL</v>
          </cell>
          <cell r="C168" t="str">
            <v>N° 8 PUNO LARGO</v>
          </cell>
          <cell r="D168">
            <v>2.403842</v>
          </cell>
          <cell r="E168">
            <v>101</v>
          </cell>
        </row>
        <row r="169">
          <cell r="A169" t="str">
            <v>DMQ028</v>
          </cell>
          <cell r="B169" t="str">
            <v>HOJAS DE BISTURI</v>
          </cell>
          <cell r="C169" t="str">
            <v>N° 11</v>
          </cell>
          <cell r="D169">
            <v>0.49</v>
          </cell>
          <cell r="E169">
            <v>55</v>
          </cell>
        </row>
        <row r="170">
          <cell r="A170" t="str">
            <v>DMQ030</v>
          </cell>
          <cell r="B170" t="str">
            <v>HOJAS DE BISTURI N° 15</v>
          </cell>
          <cell r="C170" t="str">
            <v>N° 15</v>
          </cell>
          <cell r="D170">
            <v>0.57999999999999996</v>
          </cell>
          <cell r="E170">
            <v>56</v>
          </cell>
        </row>
        <row r="171">
          <cell r="A171" t="str">
            <v>DMQ034</v>
          </cell>
          <cell r="B171" t="str">
            <v>MALLA DE POLIPROPILENO</v>
          </cell>
          <cell r="C171" t="str">
            <v>15 X 15 CM</v>
          </cell>
          <cell r="D171">
            <v>460</v>
          </cell>
          <cell r="E171">
            <v>2</v>
          </cell>
        </row>
        <row r="172">
          <cell r="A172" t="str">
            <v>DMQ099</v>
          </cell>
          <cell r="B172" t="str">
            <v>PLACA EN T OBLICUA IZQ</v>
          </cell>
          <cell r="C172" t="str">
            <v>PIEZA</v>
          </cell>
          <cell r="D172">
            <v>6500</v>
          </cell>
          <cell r="E172">
            <v>1</v>
          </cell>
        </row>
        <row r="173">
          <cell r="A173" t="str">
            <v>DOT005</v>
          </cell>
          <cell r="B173" t="str">
            <v>ALGODON</v>
          </cell>
          <cell r="C173" t="str">
            <v>100 GRS.</v>
          </cell>
          <cell r="D173">
            <v>8</v>
          </cell>
          <cell r="E173">
            <v>37</v>
          </cell>
        </row>
        <row r="174">
          <cell r="A174" t="str">
            <v>DOT035</v>
          </cell>
          <cell r="B174" t="str">
            <v>FILTRO ANTIMICROBIANO</v>
          </cell>
          <cell r="C174" t="str">
            <v>PARA RESPIRADORES PARA OXIGENO</v>
          </cell>
          <cell r="D174">
            <v>42</v>
          </cell>
          <cell r="E174">
            <v>27</v>
          </cell>
        </row>
        <row r="175">
          <cell r="A175" t="str">
            <v>DOT070</v>
          </cell>
          <cell r="B175" t="str">
            <v>VENDA DE GASA</v>
          </cell>
          <cell r="C175" t="str">
            <v>3" (7.5 CENTIMETROS)</v>
          </cell>
          <cell r="D175">
            <v>3.49</v>
          </cell>
          <cell r="E175">
            <v>4</v>
          </cell>
        </row>
        <row r="176">
          <cell r="A176" t="str">
            <v>DOT071</v>
          </cell>
          <cell r="B176" t="str">
            <v>VENDA DE GASA</v>
          </cell>
          <cell r="C176" t="str">
            <v>4" (10 CENTIMETROS)</v>
          </cell>
          <cell r="D176">
            <v>5.5156028369000003</v>
          </cell>
          <cell r="E176">
            <v>214</v>
          </cell>
        </row>
        <row r="177">
          <cell r="A177" t="str">
            <v>DOT072</v>
          </cell>
          <cell r="B177" t="str">
            <v>VENDA DE GASA</v>
          </cell>
          <cell r="C177" t="str">
            <v>1.5"</v>
          </cell>
          <cell r="D177">
            <v>3.5</v>
          </cell>
          <cell r="E177">
            <v>9</v>
          </cell>
        </row>
        <row r="178">
          <cell r="A178" t="str">
            <v>DOT073</v>
          </cell>
          <cell r="B178" t="str">
            <v>VENDA DE GASA</v>
          </cell>
          <cell r="C178" t="str">
            <v>6"</v>
          </cell>
          <cell r="D178">
            <v>8.5</v>
          </cell>
          <cell r="E178">
            <v>27</v>
          </cell>
        </row>
        <row r="179">
          <cell r="A179" t="str">
            <v>DOT074</v>
          </cell>
          <cell r="B179" t="str">
            <v>VENDA DE YESO</v>
          </cell>
          <cell r="C179" t="str">
            <v>6" (15 CENTIMETROS)</v>
          </cell>
          <cell r="D179">
            <v>12.99</v>
          </cell>
          <cell r="E179">
            <v>12</v>
          </cell>
        </row>
        <row r="180">
          <cell r="A180" t="str">
            <v>DOT075</v>
          </cell>
          <cell r="B180" t="str">
            <v>VENDA DE YESO</v>
          </cell>
          <cell r="C180" t="str">
            <v>4" (10 CM)</v>
          </cell>
          <cell r="D180">
            <v>11.307647058800001</v>
          </cell>
          <cell r="E180">
            <v>53</v>
          </cell>
        </row>
        <row r="181">
          <cell r="A181" t="str">
            <v>DOT076</v>
          </cell>
          <cell r="B181" t="str">
            <v>VENDA DE YESO</v>
          </cell>
          <cell r="C181" t="str">
            <v>8" ( 20 CM)</v>
          </cell>
          <cell r="D181">
            <v>21.5488007569</v>
          </cell>
          <cell r="E181">
            <v>39</v>
          </cell>
        </row>
        <row r="182">
          <cell r="A182" t="str">
            <v>DOT081</v>
          </cell>
          <cell r="B182" t="str">
            <v>VENDA ELASTICA</v>
          </cell>
          <cell r="C182" t="str">
            <v>10 CM</v>
          </cell>
          <cell r="D182">
            <v>4.75</v>
          </cell>
          <cell r="E182">
            <v>39</v>
          </cell>
        </row>
        <row r="183">
          <cell r="A183" t="str">
            <v>DOT082</v>
          </cell>
          <cell r="B183" t="str">
            <v>VENDA ELASTICA</v>
          </cell>
          <cell r="C183" t="str">
            <v>15 CM</v>
          </cell>
          <cell r="D183">
            <v>8.5</v>
          </cell>
          <cell r="E183">
            <v>55</v>
          </cell>
        </row>
        <row r="184">
          <cell r="A184" t="str">
            <v>DPF003</v>
          </cell>
          <cell r="B184" t="str">
            <v>CONDON MASCULINO</v>
          </cell>
          <cell r="C184" t="str">
            <v>PIEZA</v>
          </cell>
          <cell r="D184">
            <v>0.45</v>
          </cell>
          <cell r="E184">
            <v>1</v>
          </cell>
        </row>
        <row r="185">
          <cell r="A185" t="str">
            <v>DSC012</v>
          </cell>
          <cell r="B185" t="str">
            <v>SUTURA  CAT GUT CROMADO</v>
          </cell>
          <cell r="C185" t="str">
            <v>N° 0 C/AGUJA  4 CM. 1/2 CIRC.</v>
          </cell>
          <cell r="D185">
            <v>13.956723999999999</v>
          </cell>
          <cell r="E185">
            <v>5</v>
          </cell>
        </row>
        <row r="186">
          <cell r="A186" t="str">
            <v>DSC013</v>
          </cell>
          <cell r="B186" t="str">
            <v>SUTURA  CAT GUT CROMADO</v>
          </cell>
          <cell r="C186" t="str">
            <v>N° 1 C/AGUJA  4.8 CM 1/2 CIRC.</v>
          </cell>
          <cell r="D186">
            <v>13.95</v>
          </cell>
          <cell r="E186">
            <v>17</v>
          </cell>
        </row>
        <row r="187">
          <cell r="A187" t="str">
            <v>DSC020</v>
          </cell>
          <cell r="B187" t="str">
            <v>SUTURA CAT GUT SIMPLE</v>
          </cell>
          <cell r="C187" t="str">
            <v>N° 1C/AGUJA  4.8 CM. 1/2 CIRC.</v>
          </cell>
          <cell r="D187">
            <v>10.5</v>
          </cell>
          <cell r="E187">
            <v>28</v>
          </cell>
        </row>
        <row r="188">
          <cell r="A188" t="str">
            <v>DSC021</v>
          </cell>
          <cell r="B188" t="str">
            <v>SUTURA CAT GUT SIMPLE</v>
          </cell>
          <cell r="C188" t="str">
            <v>N° 2/0 C/AGUJA 1.7 CM. 3/8 DE CIRC.</v>
          </cell>
          <cell r="D188">
            <v>17.839175999999998</v>
          </cell>
          <cell r="E188">
            <v>11</v>
          </cell>
        </row>
        <row r="189">
          <cell r="A189" t="str">
            <v>DSC023</v>
          </cell>
          <cell r="B189" t="str">
            <v>SUTURA CAT GUT SIMPLE</v>
          </cell>
          <cell r="C189" t="str">
            <v>N° 3/0 C/AGUJA 2.5 CM. 1/2 CIRC.</v>
          </cell>
          <cell r="D189">
            <v>15.4126923077</v>
          </cell>
          <cell r="E189">
            <v>5</v>
          </cell>
        </row>
        <row r="190">
          <cell r="A190" t="str">
            <v>DSC024</v>
          </cell>
          <cell r="B190" t="str">
            <v>SUTURA CAT GUT SIMPLE</v>
          </cell>
          <cell r="C190" t="str">
            <v>N° 4/0 C/AGUJA 2.0 CM. 1/2 CIRC.</v>
          </cell>
          <cell r="D190">
            <v>21.402221999999998</v>
          </cell>
          <cell r="E190">
            <v>4</v>
          </cell>
        </row>
        <row r="191">
          <cell r="A191" t="str">
            <v>DSC041</v>
          </cell>
          <cell r="B191" t="str">
            <v>SUTURA NYLON</v>
          </cell>
          <cell r="C191" t="str">
            <v>N° 1 C/AGUJA 4.0 CM. CUTICULAR</v>
          </cell>
          <cell r="D191">
            <v>9.3262920000000005</v>
          </cell>
          <cell r="E191">
            <v>5</v>
          </cell>
        </row>
        <row r="192">
          <cell r="A192" t="str">
            <v>DSC042</v>
          </cell>
          <cell r="B192" t="str">
            <v>SUTURA NYLON</v>
          </cell>
          <cell r="C192" t="str">
            <v>N° 2/0 C/AGUJA 3 CM. CUTICULAR</v>
          </cell>
          <cell r="D192">
            <v>8.4</v>
          </cell>
          <cell r="E192">
            <v>49</v>
          </cell>
        </row>
        <row r="193">
          <cell r="A193" t="str">
            <v>DSC043</v>
          </cell>
          <cell r="B193" t="str">
            <v>SUTURA NYLON</v>
          </cell>
          <cell r="C193" t="str">
            <v>N° 3/0 C/AGUJA 2.5 CM CUTICULAR</v>
          </cell>
          <cell r="D193">
            <v>6.2</v>
          </cell>
          <cell r="E193">
            <v>177</v>
          </cell>
        </row>
        <row r="194">
          <cell r="A194" t="str">
            <v>DSC045</v>
          </cell>
          <cell r="B194" t="str">
            <v>SUTURA NYLON</v>
          </cell>
          <cell r="C194" t="str">
            <v>N° 5/0 C/AGUJA 1.5 CM CUTICULAR</v>
          </cell>
          <cell r="D194">
            <v>6.2</v>
          </cell>
          <cell r="E194">
            <v>8</v>
          </cell>
        </row>
        <row r="195">
          <cell r="A195" t="str">
            <v>DSC054</v>
          </cell>
          <cell r="B195" t="str">
            <v>SUTURA POLIGLACTINA 910</v>
          </cell>
          <cell r="C195" t="str">
            <v>RECUBIERTA CON ESTEARATO DE CALCIO  N°1 C/AGUJA 4 CM. 1/2 CIRC.</v>
          </cell>
          <cell r="D195">
            <v>12.5384615385</v>
          </cell>
          <cell r="E195">
            <v>200</v>
          </cell>
        </row>
        <row r="196">
          <cell r="A196" t="str">
            <v>DSC056</v>
          </cell>
          <cell r="B196" t="str">
            <v>SUTURA POLIGLACTINA 910</v>
          </cell>
          <cell r="C196" t="str">
            <v>RECUBIERTA CON ESTEARATO DE CALCIO  N°3/ 0 C/AGUJA 2.5 CM. 1/2 CIRC.</v>
          </cell>
          <cell r="D196">
            <v>17.091666666599998</v>
          </cell>
          <cell r="E196">
            <v>32</v>
          </cell>
        </row>
        <row r="197">
          <cell r="A197" t="str">
            <v>DSD015</v>
          </cell>
          <cell r="B197" t="str">
            <v>SONDA DE ASPIRACION</v>
          </cell>
          <cell r="C197" t="str">
            <v>CON SISTEMA DE CONTROL DE FLUJO N°14</v>
          </cell>
          <cell r="D197">
            <v>2</v>
          </cell>
          <cell r="E197">
            <v>61</v>
          </cell>
        </row>
        <row r="198">
          <cell r="A198" t="str">
            <v>DSD016</v>
          </cell>
          <cell r="B198" t="str">
            <v>SONDA DE ASPIRACION</v>
          </cell>
          <cell r="C198" t="str">
            <v>CON SISTEMA DE CONTROL DE FLUJO N°16</v>
          </cell>
          <cell r="D198">
            <v>2.0107142857000002</v>
          </cell>
          <cell r="E198">
            <v>72</v>
          </cell>
        </row>
        <row r="199">
          <cell r="A199" t="str">
            <v>DSD026</v>
          </cell>
          <cell r="B199" t="str">
            <v>SONDA FOLEY</v>
          </cell>
          <cell r="C199" t="str">
            <v>SILICONIZADA 2 VÍAS N° 16 CON PICO LUER</v>
          </cell>
          <cell r="D199">
            <v>6.5953871817999996</v>
          </cell>
          <cell r="E199">
            <v>47</v>
          </cell>
        </row>
        <row r="200">
          <cell r="A200" t="str">
            <v>DSD027</v>
          </cell>
          <cell r="B200" t="str">
            <v>SONDA FOLEY</v>
          </cell>
          <cell r="C200" t="str">
            <v>SILICONIZADA 2 VIAS N° 18 CON PICO LUER</v>
          </cell>
          <cell r="D200">
            <v>6.9938178750000004</v>
          </cell>
          <cell r="E200">
            <v>44</v>
          </cell>
        </row>
        <row r="201">
          <cell r="A201" t="str">
            <v>DSD041</v>
          </cell>
          <cell r="B201" t="str">
            <v>SONDA NASOGASTRICA</v>
          </cell>
          <cell r="C201" t="str">
            <v>N°16</v>
          </cell>
          <cell r="D201">
            <v>2.48</v>
          </cell>
          <cell r="E201">
            <v>34</v>
          </cell>
        </row>
        <row r="202">
          <cell r="A202" t="str">
            <v>DTO003</v>
          </cell>
          <cell r="B202" t="str">
            <v>BIGOTERA PARA OXIGENO</v>
          </cell>
          <cell r="C202" t="str">
            <v>SILICONADO (ADULTO)</v>
          </cell>
          <cell r="D202">
            <v>7.5</v>
          </cell>
          <cell r="E202">
            <v>1</v>
          </cell>
        </row>
        <row r="203">
          <cell r="A203" t="str">
            <v>DTO015</v>
          </cell>
          <cell r="B203" t="str">
            <v>CANULA DE TRAQUEOSTOMIA</v>
          </cell>
          <cell r="C203" t="str">
            <v>NO. 8</v>
          </cell>
          <cell r="D203">
            <v>227</v>
          </cell>
          <cell r="E203">
            <v>1</v>
          </cell>
        </row>
        <row r="204">
          <cell r="A204" t="str">
            <v>DTO039</v>
          </cell>
          <cell r="B204" t="str">
            <v>SISTEMA CERRADO DE ASPIRACION TRAQUEAL</v>
          </cell>
          <cell r="C204" t="str">
            <v>NO. 16</v>
          </cell>
          <cell r="D204">
            <v>141.11111099999999</v>
          </cell>
          <cell r="E204">
            <v>3</v>
          </cell>
        </row>
        <row r="205">
          <cell r="A205" t="str">
            <v>DTO044</v>
          </cell>
          <cell r="B205" t="str">
            <v>TUBO CORRUGADO</v>
          </cell>
          <cell r="C205" t="str">
            <v>ADULTO PARA MAQUINA DE ANESTESIA</v>
          </cell>
          <cell r="D205">
            <v>250</v>
          </cell>
          <cell r="E205">
            <v>6</v>
          </cell>
        </row>
        <row r="206">
          <cell r="A206" t="str">
            <v>DTO045</v>
          </cell>
          <cell r="B206" t="str">
            <v>TUBO ENDOTRAQUEAL</v>
          </cell>
          <cell r="C206" t="str">
            <v>PREFORMADO ORAL N° 3.5 C/BALON</v>
          </cell>
          <cell r="D206">
            <v>7.52</v>
          </cell>
          <cell r="E206">
            <v>1</v>
          </cell>
        </row>
        <row r="207">
          <cell r="A207" t="str">
            <v>DTO051</v>
          </cell>
          <cell r="B207" t="str">
            <v>TUBO ENDOTRAQUEAL</v>
          </cell>
          <cell r="C207" t="str">
            <v>PREFORMADO ORAL N°6.5 C/BALON</v>
          </cell>
          <cell r="D207">
            <v>6.18</v>
          </cell>
          <cell r="E207">
            <v>10</v>
          </cell>
        </row>
        <row r="208">
          <cell r="A208" t="str">
            <v>DTO052</v>
          </cell>
          <cell r="B208" t="str">
            <v>TUBO ENDOTRAQUEAL</v>
          </cell>
          <cell r="C208" t="str">
            <v>PREFORMADO ORAL N° 7 C/BALON</v>
          </cell>
          <cell r="D208">
            <v>7</v>
          </cell>
          <cell r="E208">
            <v>43</v>
          </cell>
        </row>
        <row r="209">
          <cell r="A209" t="str">
            <v>DTO053</v>
          </cell>
          <cell r="B209" t="str">
            <v>TUBO ENDOTRAQUEAL</v>
          </cell>
          <cell r="C209" t="str">
            <v>PREFORMADO ORAL N° 7.5 C/BALON</v>
          </cell>
          <cell r="D209">
            <v>7</v>
          </cell>
          <cell r="E209">
            <v>16</v>
          </cell>
        </row>
        <row r="210">
          <cell r="A210" t="str">
            <v>DTO054</v>
          </cell>
          <cell r="B210" t="str">
            <v>TUBO ENDOTRAQUEAL</v>
          </cell>
          <cell r="C210" t="str">
            <v>PREFORMADO ORAL N° 8 C/BALON</v>
          </cell>
          <cell r="D210">
            <v>8.9519047618999998</v>
          </cell>
          <cell r="E210">
            <v>9</v>
          </cell>
        </row>
        <row r="211">
          <cell r="A211" t="str">
            <v>EX-01-021</v>
          </cell>
          <cell r="B211" t="str">
            <v>DILTIAZEN   DILTIAZEN*   60 MG</v>
          </cell>
          <cell r="C211" t="str">
            <v>60 MG</v>
          </cell>
          <cell r="D211">
            <v>2.2000000000000002</v>
          </cell>
          <cell r="E211">
            <v>360</v>
          </cell>
        </row>
        <row r="212">
          <cell r="A212" t="str">
            <v>EX-01-15</v>
          </cell>
          <cell r="B212" t="str">
            <v>RIBAROXABAN RIBAROXABAN 15 MG</v>
          </cell>
          <cell r="C212" t="str">
            <v>15 MG</v>
          </cell>
          <cell r="D212">
            <v>11</v>
          </cell>
          <cell r="E212">
            <v>360</v>
          </cell>
        </row>
        <row r="213">
          <cell r="A213" t="str">
            <v>EX-01-16</v>
          </cell>
          <cell r="B213" t="str">
            <v>OCTREOTIDE</v>
          </cell>
          <cell r="C213" t="str">
            <v>100 MCG/ML</v>
          </cell>
          <cell r="D213">
            <v>104.5</v>
          </cell>
          <cell r="E213">
            <v>16</v>
          </cell>
        </row>
        <row r="214">
          <cell r="A214" t="str">
            <v>G-01-02</v>
          </cell>
          <cell r="B214" t="str">
            <v>CLOTRIMAZOL</v>
          </cell>
          <cell r="C214" t="str">
            <v>100 mg</v>
          </cell>
          <cell r="D214">
            <v>0.97057100360000004</v>
          </cell>
          <cell r="E214">
            <v>752</v>
          </cell>
        </row>
        <row r="215">
          <cell r="A215" t="str">
            <v>G-01-03</v>
          </cell>
          <cell r="B215" t="str">
            <v>CLOTRIMAZOL</v>
          </cell>
          <cell r="C215">
            <v>0.01</v>
          </cell>
          <cell r="D215">
            <v>9.9</v>
          </cell>
          <cell r="E215">
            <v>76</v>
          </cell>
        </row>
        <row r="216">
          <cell r="A216" t="str">
            <v>G-01-04</v>
          </cell>
          <cell r="B216" t="str">
            <v>METRONIDAZOL</v>
          </cell>
          <cell r="C216" t="str">
            <v>500 mg</v>
          </cell>
          <cell r="D216">
            <v>1.23</v>
          </cell>
          <cell r="E216">
            <v>1744</v>
          </cell>
        </row>
        <row r="217">
          <cell r="A217" t="str">
            <v>G-02-04</v>
          </cell>
          <cell r="B217" t="str">
            <v>ERGOMETRINA MALEATO</v>
          </cell>
          <cell r="C217" t="str">
            <v>0,2 mg/ml</v>
          </cell>
          <cell r="D217">
            <v>8</v>
          </cell>
          <cell r="E217">
            <v>42</v>
          </cell>
        </row>
        <row r="218">
          <cell r="A218" t="str">
            <v>G-02-09</v>
          </cell>
          <cell r="B218" t="str">
            <v>OXITOCINA</v>
          </cell>
          <cell r="C218" t="str">
            <v>5UI/ml a 10 UI/ml</v>
          </cell>
          <cell r="D218">
            <v>1.7</v>
          </cell>
          <cell r="E218">
            <v>42</v>
          </cell>
        </row>
        <row r="219">
          <cell r="A219" t="str">
            <v>G-02-11</v>
          </cell>
          <cell r="B219" t="str">
            <v>CABERGOLINA</v>
          </cell>
          <cell r="C219" t="str">
            <v>0.5mg</v>
          </cell>
          <cell r="D219">
            <v>42.6</v>
          </cell>
          <cell r="E219">
            <v>130</v>
          </cell>
        </row>
        <row r="220">
          <cell r="A220" t="str">
            <v>G-03-02</v>
          </cell>
          <cell r="B220" t="str">
            <v>CIPROTERONA ACETATO + ESTRADIOL VALERATO</v>
          </cell>
          <cell r="C220" t="str">
            <v>2 mg + 0,035 mg</v>
          </cell>
          <cell r="D220">
            <v>40</v>
          </cell>
          <cell r="E220">
            <v>67</v>
          </cell>
        </row>
        <row r="221">
          <cell r="A221" t="str">
            <v>G-03-09</v>
          </cell>
          <cell r="B221" t="str">
            <v>ESTROGENOS CONJUGADOS</v>
          </cell>
          <cell r="C221" t="str">
            <v>0,625 mg</v>
          </cell>
          <cell r="D221">
            <v>116.21</v>
          </cell>
          <cell r="E221">
            <v>20</v>
          </cell>
        </row>
        <row r="222">
          <cell r="A222" t="str">
            <v>G-03-12</v>
          </cell>
          <cell r="B222" t="str">
            <v>LEVONORGESTREL + ETINILESTRADIOL</v>
          </cell>
          <cell r="C222" t="str">
            <v>0,150 mg + 0,03 mg</v>
          </cell>
          <cell r="D222">
            <v>6</v>
          </cell>
          <cell r="E222">
            <v>29</v>
          </cell>
        </row>
        <row r="223">
          <cell r="A223" t="str">
            <v>G-03-18</v>
          </cell>
          <cell r="B223" t="str">
            <v>TESTOSTERONA UNDECANOATO</v>
          </cell>
          <cell r="C223" t="str">
            <v>1000 mg</v>
          </cell>
          <cell r="D223">
            <v>1220.48</v>
          </cell>
          <cell r="E223">
            <v>15</v>
          </cell>
        </row>
        <row r="224">
          <cell r="A224" t="str">
            <v>G-04-01</v>
          </cell>
          <cell r="B224" t="str">
            <v>FINASTERIDA</v>
          </cell>
          <cell r="C224" t="str">
            <v>5 mg</v>
          </cell>
          <cell r="D224">
            <v>0.88319543789999999</v>
          </cell>
          <cell r="E224">
            <v>7075</v>
          </cell>
        </row>
        <row r="225">
          <cell r="A225" t="str">
            <v>H-02-01</v>
          </cell>
          <cell r="B225" t="str">
            <v>BETAMETASONA (FOSFATO)</v>
          </cell>
          <cell r="C225" t="str">
            <v>4 mg</v>
          </cell>
          <cell r="D225">
            <v>5.4855945217000004</v>
          </cell>
          <cell r="E225">
            <v>210</v>
          </cell>
        </row>
        <row r="226">
          <cell r="A226" t="str">
            <v>H-02-03</v>
          </cell>
          <cell r="B226" t="str">
            <v>DEXAMETASONA</v>
          </cell>
          <cell r="C226" t="str">
            <v>0,5 mg</v>
          </cell>
          <cell r="D226">
            <v>0.42293199999999997</v>
          </cell>
          <cell r="E226">
            <v>210</v>
          </cell>
        </row>
        <row r="227">
          <cell r="A227" t="str">
            <v>H-02-04</v>
          </cell>
          <cell r="B227" t="str">
            <v>DEXAMETASONA</v>
          </cell>
          <cell r="C227" t="str">
            <v>4 mg/ml</v>
          </cell>
          <cell r="D227">
            <v>0.65250920339999996</v>
          </cell>
          <cell r="E227">
            <v>5736</v>
          </cell>
        </row>
        <row r="228">
          <cell r="A228" t="str">
            <v>H-02-05</v>
          </cell>
          <cell r="B228" t="str">
            <v>HIDROCORTISONA SUCCINATO SODICO</v>
          </cell>
          <cell r="C228" t="str">
            <v>100 mg</v>
          </cell>
          <cell r="D228">
            <v>4.5342859646000004</v>
          </cell>
          <cell r="E228">
            <v>601</v>
          </cell>
        </row>
        <row r="229">
          <cell r="A229" t="str">
            <v>H-02-06</v>
          </cell>
          <cell r="B229" t="str">
            <v>HIDROCORTISONA SUCCINATO SODICO</v>
          </cell>
          <cell r="C229" t="str">
            <v>250 mg</v>
          </cell>
          <cell r="D229">
            <v>6.9438091876000003</v>
          </cell>
          <cell r="E229">
            <v>135</v>
          </cell>
        </row>
        <row r="230">
          <cell r="A230" t="str">
            <v>H-02-07</v>
          </cell>
          <cell r="B230" t="str">
            <v>METILPREDNISOLONA SUCCINATO SODICO</v>
          </cell>
          <cell r="C230" t="str">
            <v>500 mg</v>
          </cell>
          <cell r="D230">
            <v>65.799350636400007</v>
          </cell>
          <cell r="E230">
            <v>11</v>
          </cell>
        </row>
        <row r="231">
          <cell r="A231" t="str">
            <v>H-02-08</v>
          </cell>
          <cell r="B231" t="str">
            <v>PREDNISONA</v>
          </cell>
          <cell r="C231" t="str">
            <v>5 mg</v>
          </cell>
          <cell r="D231">
            <v>0.28999999999999998</v>
          </cell>
          <cell r="E231">
            <v>13194</v>
          </cell>
        </row>
        <row r="232">
          <cell r="A232" t="str">
            <v>H-02-09</v>
          </cell>
          <cell r="B232" t="str">
            <v>PREDNISONA</v>
          </cell>
          <cell r="C232" t="str">
            <v>20 mg</v>
          </cell>
          <cell r="D232">
            <v>0.5</v>
          </cell>
          <cell r="E232">
            <v>2338</v>
          </cell>
        </row>
        <row r="233">
          <cell r="A233" t="str">
            <v>H-03-01</v>
          </cell>
          <cell r="B233" t="str">
            <v>LEVOTIROXINA SODICA</v>
          </cell>
          <cell r="C233" t="str">
            <v>0,1 mg</v>
          </cell>
          <cell r="D233">
            <v>0.49998634060000002</v>
          </cell>
          <cell r="E233">
            <v>44124</v>
          </cell>
        </row>
        <row r="234">
          <cell r="A234" t="str">
            <v>J-01-01</v>
          </cell>
          <cell r="B234" t="str">
            <v>ACIDO NALIDIXICO</v>
          </cell>
          <cell r="C234" t="str">
            <v>500 mg</v>
          </cell>
          <cell r="D234">
            <v>1.2420998780000001</v>
          </cell>
          <cell r="E234">
            <v>30</v>
          </cell>
        </row>
        <row r="235">
          <cell r="A235" t="str">
            <v>J-01-02</v>
          </cell>
          <cell r="B235" t="str">
            <v>ACIDO NALIDIXICO</v>
          </cell>
          <cell r="C235" t="str">
            <v>250 mg/5 ml</v>
          </cell>
          <cell r="D235">
            <v>19.536999999999999</v>
          </cell>
          <cell r="E235">
            <v>2</v>
          </cell>
        </row>
        <row r="236">
          <cell r="A236" t="str">
            <v>J-01-04</v>
          </cell>
          <cell r="B236" t="str">
            <v>AMIKACINA</v>
          </cell>
          <cell r="C236" t="str">
            <v>500 mg/ 2ml</v>
          </cell>
          <cell r="D236">
            <v>4.5999061625</v>
          </cell>
          <cell r="E236">
            <v>433</v>
          </cell>
        </row>
        <row r="237">
          <cell r="A237" t="str">
            <v>J-01-05</v>
          </cell>
          <cell r="B237" t="str">
            <v>AMOXICILINA</v>
          </cell>
          <cell r="C237" t="str">
            <v>1 g</v>
          </cell>
          <cell r="D237">
            <v>0.84114044759999995</v>
          </cell>
          <cell r="E237">
            <v>2851</v>
          </cell>
        </row>
        <row r="238">
          <cell r="A238" t="str">
            <v>J-01-06</v>
          </cell>
          <cell r="B238" t="str">
            <v>AMOXICILINA</v>
          </cell>
          <cell r="C238" t="str">
            <v>500 mg</v>
          </cell>
          <cell r="D238">
            <v>0.4308221304</v>
          </cell>
          <cell r="E238">
            <v>963</v>
          </cell>
        </row>
        <row r="239">
          <cell r="A239" t="str">
            <v>J-01-09</v>
          </cell>
          <cell r="B239" t="str">
            <v>AMOXICILINA + INHIBIDOR BETALACTAMASA</v>
          </cell>
          <cell r="C239" t="str">
            <v>500 mg + Según disponibilidad</v>
          </cell>
          <cell r="D239">
            <v>1.6325690334</v>
          </cell>
          <cell r="E239">
            <v>686</v>
          </cell>
        </row>
        <row r="240">
          <cell r="A240" t="str">
            <v>J-01-10</v>
          </cell>
          <cell r="B240" t="str">
            <v>AMOXICILINA + INHIBIDOR BETALACTAMASA</v>
          </cell>
          <cell r="C240" t="str">
            <v>250 mg + Según disponibilidad</v>
          </cell>
          <cell r="D240">
            <v>45</v>
          </cell>
          <cell r="E240">
            <v>27</v>
          </cell>
        </row>
        <row r="241">
          <cell r="A241" t="str">
            <v>J-01-11</v>
          </cell>
          <cell r="B241" t="str">
            <v>AMOXICILINA + INHIBIDOR BETALACTAMASA</v>
          </cell>
          <cell r="C241" t="str">
            <v>1 g + Según disponibilidad</v>
          </cell>
          <cell r="D241">
            <v>24.11</v>
          </cell>
          <cell r="E241">
            <v>39</v>
          </cell>
        </row>
        <row r="242">
          <cell r="A242" t="str">
            <v>J-01-12</v>
          </cell>
          <cell r="B242" t="str">
            <v>AMPICILINA</v>
          </cell>
          <cell r="C242" t="str">
            <v>1 g</v>
          </cell>
          <cell r="D242">
            <v>4.7090014356000003</v>
          </cell>
          <cell r="E242">
            <v>13</v>
          </cell>
        </row>
        <row r="243">
          <cell r="A243" t="str">
            <v>J-01-13</v>
          </cell>
          <cell r="B243" t="str">
            <v>AZITROMICINA</v>
          </cell>
          <cell r="C243" t="str">
            <v>500 mg</v>
          </cell>
          <cell r="D243">
            <v>1.4920389578</v>
          </cell>
          <cell r="E243">
            <v>2486</v>
          </cell>
        </row>
        <row r="244">
          <cell r="A244" t="str">
            <v>J-01-15</v>
          </cell>
          <cell r="B244" t="str">
            <v>BENCILPENICILINA BENZATINICA</v>
          </cell>
          <cell r="C244" t="str">
            <v>1.200.000 UI</v>
          </cell>
          <cell r="D244">
            <v>4.5</v>
          </cell>
          <cell r="E244">
            <v>225</v>
          </cell>
        </row>
        <row r="245">
          <cell r="A245" t="str">
            <v>J-01-16</v>
          </cell>
          <cell r="B245" t="str">
            <v>BENCILPENICILINA BENZATINICA</v>
          </cell>
          <cell r="C245" t="str">
            <v>2.400.000 UI</v>
          </cell>
          <cell r="D245">
            <v>7</v>
          </cell>
          <cell r="E245">
            <v>462</v>
          </cell>
        </row>
        <row r="246">
          <cell r="A246" t="str">
            <v>J-01-18</v>
          </cell>
          <cell r="B246" t="str">
            <v>BENCILPENICILINA PROCAINICA</v>
          </cell>
          <cell r="C246" t="str">
            <v>800.000 UI</v>
          </cell>
          <cell r="D246">
            <v>4.3200644210999997</v>
          </cell>
          <cell r="E246">
            <v>24</v>
          </cell>
        </row>
        <row r="247">
          <cell r="A247" t="str">
            <v>J-01-21</v>
          </cell>
          <cell r="B247" t="str">
            <v>CEFAZOLINA</v>
          </cell>
          <cell r="C247" t="str">
            <v>1 g</v>
          </cell>
          <cell r="D247">
            <v>5.0114779585999996</v>
          </cell>
          <cell r="E247">
            <v>319</v>
          </cell>
        </row>
        <row r="248">
          <cell r="A248" t="str">
            <v>J-01-22</v>
          </cell>
          <cell r="B248" t="str">
            <v>CEFOTAXIMA</v>
          </cell>
          <cell r="C248" t="str">
            <v>1 g</v>
          </cell>
          <cell r="D248">
            <v>4.3011719527999999</v>
          </cell>
          <cell r="E248">
            <v>913</v>
          </cell>
        </row>
        <row r="249">
          <cell r="A249" t="str">
            <v>J-01-23</v>
          </cell>
          <cell r="B249" t="str">
            <v>CEFRADINA</v>
          </cell>
          <cell r="C249" t="str">
            <v>500 mg</v>
          </cell>
          <cell r="D249">
            <v>1.1000000000000001</v>
          </cell>
          <cell r="E249">
            <v>278</v>
          </cell>
        </row>
        <row r="250">
          <cell r="A250" t="str">
            <v>J-01-24</v>
          </cell>
          <cell r="B250" t="str">
            <v>CEFRADINA</v>
          </cell>
          <cell r="C250" t="str">
            <v>250 mg/5 ml</v>
          </cell>
          <cell r="D250">
            <v>21.084666666699999</v>
          </cell>
          <cell r="E250">
            <v>1</v>
          </cell>
        </row>
        <row r="251">
          <cell r="A251" t="str">
            <v>J-01-26</v>
          </cell>
          <cell r="B251" t="str">
            <v>CEFTRIAXONA</v>
          </cell>
          <cell r="C251" t="str">
            <v>1 g</v>
          </cell>
          <cell r="D251">
            <v>4.0353440000000003</v>
          </cell>
          <cell r="E251">
            <v>1116</v>
          </cell>
        </row>
        <row r="252">
          <cell r="A252" t="str">
            <v>J-01-27</v>
          </cell>
          <cell r="B252" t="str">
            <v>CIPROFLOXACINA</v>
          </cell>
          <cell r="C252" t="str">
            <v>500 mg</v>
          </cell>
          <cell r="D252">
            <v>0.40624208470000001</v>
          </cell>
          <cell r="E252">
            <v>5914</v>
          </cell>
        </row>
        <row r="253">
          <cell r="A253" t="str">
            <v>J-01-28</v>
          </cell>
          <cell r="B253" t="str">
            <v>CIPROFLOXACINA</v>
          </cell>
          <cell r="C253" t="str">
            <v>200 mg</v>
          </cell>
          <cell r="D253">
            <v>6.5155918081999999</v>
          </cell>
          <cell r="E253">
            <v>476</v>
          </cell>
        </row>
        <row r="254">
          <cell r="A254" t="str">
            <v>J-01-29</v>
          </cell>
          <cell r="B254" t="str">
            <v>CLARITROMICINA</v>
          </cell>
          <cell r="C254" t="str">
            <v>500 mg</v>
          </cell>
          <cell r="D254">
            <v>3</v>
          </cell>
          <cell r="E254">
            <v>2187</v>
          </cell>
        </row>
        <row r="255">
          <cell r="A255" t="str">
            <v>J-01-30</v>
          </cell>
          <cell r="B255" t="str">
            <v>CLARITROMICINA</v>
          </cell>
          <cell r="C255" t="str">
            <v>250 mg/5 ml</v>
          </cell>
          <cell r="D255">
            <v>54</v>
          </cell>
          <cell r="E255">
            <v>20</v>
          </cell>
        </row>
        <row r="256">
          <cell r="A256" t="str">
            <v>J-01-37</v>
          </cell>
          <cell r="B256" t="str">
            <v>COTRIMOXAZOL (SULFAMETOXAZOL + TRIMETOPRIMA)</v>
          </cell>
          <cell r="C256" t="str">
            <v>800 mg + 160 mg</v>
          </cell>
          <cell r="D256">
            <v>0.3920489533</v>
          </cell>
          <cell r="E256">
            <v>2241</v>
          </cell>
        </row>
        <row r="257">
          <cell r="A257" t="str">
            <v>J-01-38</v>
          </cell>
          <cell r="B257" t="str">
            <v>COTRIMOXAZOL (SULFAMETOXAZOL + TRIMETOPRIMA)</v>
          </cell>
          <cell r="C257" t="str">
            <v>200 mg + 40 mg/5 ml</v>
          </cell>
          <cell r="D257">
            <v>7</v>
          </cell>
          <cell r="E257">
            <v>20</v>
          </cell>
        </row>
        <row r="258">
          <cell r="A258" t="str">
            <v>J-01-41</v>
          </cell>
          <cell r="B258" t="str">
            <v>DICLOXACILINA SODICA</v>
          </cell>
          <cell r="C258" t="str">
            <v>500 mg</v>
          </cell>
          <cell r="D258">
            <v>1.0492537313000001</v>
          </cell>
          <cell r="E258">
            <v>1130</v>
          </cell>
        </row>
        <row r="259">
          <cell r="A259" t="str">
            <v>J-01-44</v>
          </cell>
          <cell r="B259" t="str">
            <v>DOXICICLINA</v>
          </cell>
          <cell r="C259" t="str">
            <v>100 mg</v>
          </cell>
          <cell r="D259">
            <v>0.49984277830000001</v>
          </cell>
          <cell r="E259">
            <v>1136</v>
          </cell>
        </row>
        <row r="260">
          <cell r="A260" t="str">
            <v>J-01-45</v>
          </cell>
          <cell r="B260" t="str">
            <v>ERITROMICINA ESTEARATO</v>
          </cell>
          <cell r="C260" t="str">
            <v>500 mg</v>
          </cell>
          <cell r="D260">
            <v>0.97915696350000003</v>
          </cell>
          <cell r="E260">
            <v>123</v>
          </cell>
        </row>
        <row r="261">
          <cell r="A261" t="str">
            <v>J-01-50</v>
          </cell>
          <cell r="B261" t="str">
            <v>IMIPENEM + CILASTATINA</v>
          </cell>
          <cell r="C261" t="str">
            <v>500 mg + 500 mg</v>
          </cell>
          <cell r="D261">
            <v>44</v>
          </cell>
          <cell r="E261">
            <v>1152</v>
          </cell>
        </row>
        <row r="262">
          <cell r="A262" t="str">
            <v>J-01-51</v>
          </cell>
          <cell r="B262" t="str">
            <v>NITROFURANTOINA</v>
          </cell>
          <cell r="C262" t="str">
            <v>100 mg</v>
          </cell>
          <cell r="D262">
            <v>0.85013402280000006</v>
          </cell>
          <cell r="E262">
            <v>935</v>
          </cell>
        </row>
        <row r="263">
          <cell r="A263" t="str">
            <v>J-01-54</v>
          </cell>
          <cell r="B263" t="str">
            <v>TETRACICLINA</v>
          </cell>
          <cell r="C263" t="str">
            <v>500 mg</v>
          </cell>
          <cell r="D263">
            <v>0.4513244045</v>
          </cell>
          <cell r="E263">
            <v>120</v>
          </cell>
        </row>
        <row r="264">
          <cell r="A264" t="str">
            <v>J-01-55</v>
          </cell>
          <cell r="B264" t="str">
            <v>VANCOMICINA</v>
          </cell>
          <cell r="C264" t="str">
            <v>500 mg</v>
          </cell>
          <cell r="D264">
            <v>15.540509999999999</v>
          </cell>
          <cell r="E264">
            <v>466</v>
          </cell>
        </row>
        <row r="265">
          <cell r="A265" t="str">
            <v>J-01-57</v>
          </cell>
          <cell r="B265" t="str">
            <v>AMOXICILINA</v>
          </cell>
          <cell r="C265" t="str">
            <v>500 mg/5 ml</v>
          </cell>
          <cell r="D265">
            <v>9.4261200080999998</v>
          </cell>
          <cell r="E265">
            <v>129</v>
          </cell>
        </row>
        <row r="266">
          <cell r="A266" t="str">
            <v>J-01-58</v>
          </cell>
          <cell r="B266" t="str">
            <v>CEFIXIMA</v>
          </cell>
          <cell r="C266" t="str">
            <v>400 mg</v>
          </cell>
          <cell r="D266">
            <v>1.84</v>
          </cell>
          <cell r="E266">
            <v>1840</v>
          </cell>
        </row>
        <row r="267">
          <cell r="A267" t="str">
            <v>J-01-62</v>
          </cell>
          <cell r="B267" t="str">
            <v>AZITROMICINA</v>
          </cell>
          <cell r="C267" t="str">
            <v>200 mg/5 ml</v>
          </cell>
          <cell r="D267">
            <v>20</v>
          </cell>
          <cell r="E267">
            <v>55</v>
          </cell>
        </row>
        <row r="268">
          <cell r="A268" t="str">
            <v>J-01-63</v>
          </cell>
          <cell r="B268" t="str">
            <v>CEFIXIMA</v>
          </cell>
          <cell r="C268" t="str">
            <v>100 mg/5 ml</v>
          </cell>
          <cell r="D268">
            <v>25</v>
          </cell>
          <cell r="E268">
            <v>46</v>
          </cell>
        </row>
        <row r="269">
          <cell r="A269" t="str">
            <v>J-01-64</v>
          </cell>
          <cell r="B269" t="str">
            <v>CLINDAMICINA</v>
          </cell>
          <cell r="C269" t="str">
            <v>600 mg</v>
          </cell>
          <cell r="D269">
            <v>17.191543216399999</v>
          </cell>
          <cell r="E269">
            <v>237</v>
          </cell>
        </row>
        <row r="270">
          <cell r="A270" t="str">
            <v>J-01-66</v>
          </cell>
          <cell r="B270" t="str">
            <v>LEVOFLOXACINA</v>
          </cell>
          <cell r="C270" t="str">
            <v>500 mg</v>
          </cell>
          <cell r="D270">
            <v>1.5</v>
          </cell>
          <cell r="E270">
            <v>1477</v>
          </cell>
        </row>
        <row r="271">
          <cell r="A271" t="str">
            <v>J-01-67</v>
          </cell>
          <cell r="B271" t="str">
            <v>COLISTINA</v>
          </cell>
          <cell r="C271" t="str">
            <v>100 mg</v>
          </cell>
          <cell r="D271">
            <v>160</v>
          </cell>
          <cell r="E271">
            <v>22</v>
          </cell>
        </row>
        <row r="272">
          <cell r="A272" t="str">
            <v>J-01-68</v>
          </cell>
          <cell r="B272" t="str">
            <v>LEVOFLOXACINA</v>
          </cell>
          <cell r="C272" t="str">
            <v>500mg</v>
          </cell>
          <cell r="D272">
            <v>42.159812102399997</v>
          </cell>
          <cell r="E272">
            <v>522</v>
          </cell>
        </row>
        <row r="273">
          <cell r="A273" t="str">
            <v>J-01-69</v>
          </cell>
          <cell r="B273" t="str">
            <v>MEROPENEM</v>
          </cell>
          <cell r="C273" t="str">
            <v>500 mg</v>
          </cell>
          <cell r="D273">
            <v>33.284285714299997</v>
          </cell>
          <cell r="E273">
            <v>186</v>
          </cell>
        </row>
        <row r="274">
          <cell r="A274" t="str">
            <v>J-01-71</v>
          </cell>
          <cell r="B274" t="str">
            <v>AMOXICILINA + INHIBIDOR BETALACTAMASA</v>
          </cell>
          <cell r="C274" t="str">
            <v>875 mg + Según disponibilidad</v>
          </cell>
          <cell r="D274">
            <v>4.3670597354999998</v>
          </cell>
          <cell r="E274">
            <v>3557</v>
          </cell>
        </row>
        <row r="275">
          <cell r="A275" t="str">
            <v>J-01-75</v>
          </cell>
          <cell r="B275" t="str">
            <v>PIPERACILINA + TAZOBACTAM</v>
          </cell>
          <cell r="C275" t="str">
            <v>4 G/500 MG</v>
          </cell>
          <cell r="D275">
            <v>85.451612410500005</v>
          </cell>
          <cell r="E275">
            <v>16</v>
          </cell>
        </row>
        <row r="276">
          <cell r="A276" t="str">
            <v>J-02-02</v>
          </cell>
          <cell r="B276" t="str">
            <v>FLUCONAZOL</v>
          </cell>
          <cell r="C276" t="str">
            <v>200 mg</v>
          </cell>
          <cell r="D276">
            <v>26</v>
          </cell>
          <cell r="E276">
            <v>111</v>
          </cell>
        </row>
        <row r="277">
          <cell r="A277" t="str">
            <v>J-02-08</v>
          </cell>
          <cell r="B277" t="str">
            <v>FLUCONAZOL</v>
          </cell>
          <cell r="C277" t="str">
            <v>150 mg</v>
          </cell>
          <cell r="D277">
            <v>1.8</v>
          </cell>
          <cell r="E277">
            <v>738</v>
          </cell>
        </row>
        <row r="278">
          <cell r="A278" t="str">
            <v>J-05-04</v>
          </cell>
          <cell r="B278" t="str">
            <v>ACICLOVIR</v>
          </cell>
          <cell r="C278" t="str">
            <v>400 mg</v>
          </cell>
          <cell r="D278">
            <v>1</v>
          </cell>
          <cell r="E278">
            <v>862</v>
          </cell>
        </row>
        <row r="279">
          <cell r="A279" t="str">
            <v>J-05-30</v>
          </cell>
          <cell r="B279" t="str">
            <v>ACICLOVIR</v>
          </cell>
          <cell r="C279" t="str">
            <v>200 mg/5 ml</v>
          </cell>
          <cell r="D279">
            <v>59</v>
          </cell>
          <cell r="E279">
            <v>12</v>
          </cell>
        </row>
        <row r="280">
          <cell r="A280" t="str">
            <v>J-05-36</v>
          </cell>
          <cell r="B280" t="str">
            <v>OSELTAMIVIR</v>
          </cell>
          <cell r="C280" t="str">
            <v>75 mg</v>
          </cell>
          <cell r="D280">
            <v>23.839074</v>
          </cell>
          <cell r="E280">
            <v>60</v>
          </cell>
        </row>
        <row r="281">
          <cell r="A281" t="str">
            <v>J-05-43</v>
          </cell>
          <cell r="B281" t="str">
            <v>ACICLOVIR</v>
          </cell>
          <cell r="C281" t="str">
            <v>800 mg</v>
          </cell>
          <cell r="D281">
            <v>2.9</v>
          </cell>
          <cell r="E281">
            <v>657</v>
          </cell>
        </row>
        <row r="282">
          <cell r="A282" t="str">
            <v>J-05-45</v>
          </cell>
          <cell r="B282" t="str">
            <v>ACICLOVIR</v>
          </cell>
          <cell r="C282" t="str">
            <v>500 mg</v>
          </cell>
          <cell r="D282">
            <v>47.5</v>
          </cell>
          <cell r="E282">
            <v>3</v>
          </cell>
        </row>
        <row r="283">
          <cell r="A283" t="str">
            <v>L-01-03</v>
          </cell>
          <cell r="B283" t="str">
            <v>CAPECITABINE</v>
          </cell>
          <cell r="C283" t="str">
            <v>500 mg</v>
          </cell>
          <cell r="D283">
            <v>9</v>
          </cell>
          <cell r="E283">
            <v>192</v>
          </cell>
        </row>
        <row r="284">
          <cell r="A284" t="str">
            <v>L-01-04</v>
          </cell>
          <cell r="B284" t="str">
            <v>CARBOPLATINO</v>
          </cell>
          <cell r="C284" t="str">
            <v>450 mg</v>
          </cell>
          <cell r="D284">
            <v>419</v>
          </cell>
          <cell r="E284">
            <v>32</v>
          </cell>
        </row>
        <row r="285">
          <cell r="A285" t="str">
            <v>L-01-06</v>
          </cell>
          <cell r="B285" t="str">
            <v>CICLOFOSFAMIDA</v>
          </cell>
          <cell r="C285" t="str">
            <v>1 g</v>
          </cell>
          <cell r="D285">
            <v>216.9</v>
          </cell>
          <cell r="E285">
            <v>7</v>
          </cell>
        </row>
        <row r="286">
          <cell r="A286" t="str">
            <v>L-01-09</v>
          </cell>
          <cell r="B286" t="str">
            <v>CISPLATINO</v>
          </cell>
          <cell r="C286" t="str">
            <v>50 mg</v>
          </cell>
          <cell r="D286">
            <v>119</v>
          </cell>
          <cell r="E286">
            <v>18</v>
          </cell>
        </row>
        <row r="287">
          <cell r="A287" t="str">
            <v>L-01-17</v>
          </cell>
          <cell r="B287" t="str">
            <v>FLUOROURACILO</v>
          </cell>
          <cell r="C287" t="str">
            <v>500 mg/10 ml</v>
          </cell>
          <cell r="D287">
            <v>42.16</v>
          </cell>
          <cell r="E287">
            <v>22</v>
          </cell>
        </row>
        <row r="288">
          <cell r="A288" t="str">
            <v>L-01-18</v>
          </cell>
          <cell r="B288" t="str">
            <v>GEMCITABINA</v>
          </cell>
          <cell r="C288" t="str">
            <v>1 g</v>
          </cell>
          <cell r="D288">
            <v>418</v>
          </cell>
          <cell r="E288">
            <v>72</v>
          </cell>
        </row>
        <row r="289">
          <cell r="A289" t="str">
            <v>L-01-19</v>
          </cell>
          <cell r="B289" t="str">
            <v>HIDROXIUREA</v>
          </cell>
          <cell r="C289" t="str">
            <v>500 mg</v>
          </cell>
          <cell r="D289">
            <v>3.34</v>
          </cell>
          <cell r="E289">
            <v>300</v>
          </cell>
        </row>
        <row r="290">
          <cell r="A290" t="str">
            <v>L-01-24</v>
          </cell>
          <cell r="B290" t="str">
            <v>METOTREXATO</v>
          </cell>
          <cell r="C290" t="str">
            <v>50 mg</v>
          </cell>
          <cell r="D290">
            <v>55</v>
          </cell>
          <cell r="E290">
            <v>91</v>
          </cell>
        </row>
        <row r="291">
          <cell r="A291" t="str">
            <v>L-01-26</v>
          </cell>
          <cell r="B291" t="str">
            <v>METOTREXATO</v>
          </cell>
          <cell r="C291" t="str">
            <v>2,5 mg</v>
          </cell>
          <cell r="D291">
            <v>1.6</v>
          </cell>
          <cell r="E291">
            <v>5828</v>
          </cell>
        </row>
        <row r="292">
          <cell r="A292" t="str">
            <v>L-01-38</v>
          </cell>
          <cell r="B292" t="str">
            <v>DOCETAXEL</v>
          </cell>
          <cell r="C292" t="str">
            <v>40 mg/ml  (2ml)</v>
          </cell>
          <cell r="D292">
            <v>543.24</v>
          </cell>
          <cell r="E292">
            <v>38</v>
          </cell>
        </row>
        <row r="293">
          <cell r="A293" t="str">
            <v>L-01-40</v>
          </cell>
          <cell r="B293" t="str">
            <v>IRINOTECAN</v>
          </cell>
          <cell r="C293" t="str">
            <v>100 mg/5ml</v>
          </cell>
          <cell r="D293">
            <v>480.84</v>
          </cell>
          <cell r="E293">
            <v>12</v>
          </cell>
        </row>
        <row r="294">
          <cell r="A294" t="str">
            <v>L-01-50</v>
          </cell>
          <cell r="B294" t="str">
            <v>IMATINIB</v>
          </cell>
          <cell r="C294" t="str">
            <v>400 mg</v>
          </cell>
          <cell r="D294">
            <v>90</v>
          </cell>
          <cell r="E294">
            <v>270</v>
          </cell>
        </row>
        <row r="295">
          <cell r="A295" t="str">
            <v>L-01-57</v>
          </cell>
          <cell r="B295" t="str">
            <v>PAZOPANIB</v>
          </cell>
          <cell r="C295" t="str">
            <v>200 MG</v>
          </cell>
          <cell r="D295">
            <v>133.30000000000001</v>
          </cell>
          <cell r="E295">
            <v>240</v>
          </cell>
        </row>
        <row r="296">
          <cell r="A296" t="str">
            <v>L-01-60</v>
          </cell>
          <cell r="B296" t="str">
            <v>PACLITAXEL</v>
          </cell>
          <cell r="C296" t="str">
            <v>300 MG/50 ML</v>
          </cell>
          <cell r="D296">
            <v>619</v>
          </cell>
          <cell r="E296">
            <v>6</v>
          </cell>
        </row>
        <row r="297">
          <cell r="A297" t="str">
            <v>L-02-01</v>
          </cell>
          <cell r="B297" t="str">
            <v>ANASTROZOL</v>
          </cell>
          <cell r="C297" t="str">
            <v>1 mg</v>
          </cell>
          <cell r="D297">
            <v>7.2</v>
          </cell>
          <cell r="E297">
            <v>330</v>
          </cell>
        </row>
        <row r="298">
          <cell r="A298" t="str">
            <v>L-02-04</v>
          </cell>
          <cell r="B298" t="str">
            <v>LETROZOL</v>
          </cell>
          <cell r="C298" t="str">
            <v>2,5 mg</v>
          </cell>
          <cell r="D298">
            <v>6.38</v>
          </cell>
          <cell r="E298">
            <v>630</v>
          </cell>
        </row>
        <row r="299">
          <cell r="A299" t="str">
            <v>L-02-05</v>
          </cell>
          <cell r="B299" t="str">
            <v>TAMOXIFENO</v>
          </cell>
          <cell r="C299" t="str">
            <v>20 mg</v>
          </cell>
          <cell r="D299">
            <v>2</v>
          </cell>
          <cell r="E299">
            <v>686</v>
          </cell>
        </row>
        <row r="300">
          <cell r="A300" t="str">
            <v>L-02-08</v>
          </cell>
          <cell r="B300" t="str">
            <v>TRIPTORELINA</v>
          </cell>
          <cell r="C300" t="str">
            <v>22.5 mg</v>
          </cell>
          <cell r="D300">
            <v>4499</v>
          </cell>
          <cell r="E300">
            <v>6</v>
          </cell>
        </row>
        <row r="301">
          <cell r="A301" t="str">
            <v>L-02-09</v>
          </cell>
          <cell r="B301" t="str">
            <v>ABIRATERONA ACETATO</v>
          </cell>
          <cell r="C301" t="str">
            <v>250 mg</v>
          </cell>
          <cell r="D301">
            <v>50</v>
          </cell>
          <cell r="E301">
            <v>1080</v>
          </cell>
        </row>
        <row r="302">
          <cell r="A302" t="str">
            <v>L-02-11</v>
          </cell>
          <cell r="B302" t="str">
            <v>ENZALUTAMIDA</v>
          </cell>
          <cell r="C302" t="str">
            <v>40 mg</v>
          </cell>
          <cell r="D302">
            <v>100</v>
          </cell>
          <cell r="E302">
            <v>2400</v>
          </cell>
        </row>
        <row r="303">
          <cell r="A303" t="str">
            <v>L-02-12</v>
          </cell>
          <cell r="B303" t="str">
            <v xml:space="preserve">BICALUTAMIDA </v>
          </cell>
          <cell r="C303" t="str">
            <v>50 MG</v>
          </cell>
          <cell r="D303">
            <v>8.33</v>
          </cell>
          <cell r="E303">
            <v>1560</v>
          </cell>
        </row>
        <row r="304">
          <cell r="A304" t="str">
            <v>L-03-01</v>
          </cell>
          <cell r="B304" t="str">
            <v>FILGASTRIM</v>
          </cell>
          <cell r="C304" t="str">
            <v>300 mcg/ml</v>
          </cell>
          <cell r="D304">
            <v>103</v>
          </cell>
          <cell r="E304">
            <v>26</v>
          </cell>
        </row>
        <row r="305">
          <cell r="A305" t="str">
            <v>L-04-01</v>
          </cell>
          <cell r="B305" t="str">
            <v>AZATIOPRINA</v>
          </cell>
          <cell r="C305" t="str">
            <v>50 mg</v>
          </cell>
          <cell r="D305">
            <v>2.8875000000000002</v>
          </cell>
          <cell r="E305">
            <v>4080</v>
          </cell>
        </row>
        <row r="306">
          <cell r="A306" t="str">
            <v>L-04-07</v>
          </cell>
          <cell r="B306" t="str">
            <v>MICOFENOLATO DE MOFETILO</v>
          </cell>
          <cell r="C306" t="str">
            <v>500 mg</v>
          </cell>
          <cell r="D306">
            <v>5</v>
          </cell>
          <cell r="E306">
            <v>2470</v>
          </cell>
        </row>
        <row r="307">
          <cell r="A307" t="str">
            <v>L-04-10</v>
          </cell>
          <cell r="B307" t="str">
            <v>TACROLIMUS</v>
          </cell>
          <cell r="C307" t="str">
            <v>1 mg</v>
          </cell>
          <cell r="D307">
            <v>8.0000024108000005</v>
          </cell>
          <cell r="E307">
            <v>1580</v>
          </cell>
        </row>
        <row r="308">
          <cell r="A308" t="str">
            <v>L-04-12</v>
          </cell>
          <cell r="B308" t="str">
            <v>LEFLUNOMIDA</v>
          </cell>
          <cell r="C308" t="str">
            <v>20 mg</v>
          </cell>
          <cell r="D308">
            <v>3.8</v>
          </cell>
          <cell r="E308">
            <v>3670</v>
          </cell>
        </row>
        <row r="309">
          <cell r="A309" t="str">
            <v>M-01-01</v>
          </cell>
          <cell r="B309" t="str">
            <v>DICLOFENACO SODICO</v>
          </cell>
          <cell r="C309">
            <v>0.01</v>
          </cell>
          <cell r="D309">
            <v>3.9048378266000001</v>
          </cell>
          <cell r="E309">
            <v>2160</v>
          </cell>
        </row>
        <row r="310">
          <cell r="A310" t="str">
            <v>M-01-02</v>
          </cell>
          <cell r="B310" t="str">
            <v>DICLOFENACO SODICO</v>
          </cell>
          <cell r="C310" t="str">
            <v>50 mg</v>
          </cell>
          <cell r="D310">
            <v>8.0004119400000004E-2</v>
          </cell>
          <cell r="E310">
            <v>7900</v>
          </cell>
        </row>
        <row r="311">
          <cell r="A311" t="str">
            <v>M-01-03</v>
          </cell>
          <cell r="B311" t="str">
            <v>DICLOFENACO SODICO</v>
          </cell>
          <cell r="C311" t="str">
            <v>75 mg</v>
          </cell>
          <cell r="D311">
            <v>0.99830863560000005</v>
          </cell>
          <cell r="E311">
            <v>3567</v>
          </cell>
        </row>
        <row r="312">
          <cell r="A312" t="str">
            <v>M-01-04</v>
          </cell>
          <cell r="B312" t="str">
            <v>IBUPROFENO</v>
          </cell>
          <cell r="C312" t="str">
            <v>100 mg/5 ml</v>
          </cell>
          <cell r="D312">
            <v>6.2314096915999997</v>
          </cell>
          <cell r="E312">
            <v>600</v>
          </cell>
        </row>
        <row r="313">
          <cell r="A313" t="str">
            <v>M-01-05</v>
          </cell>
          <cell r="B313" t="str">
            <v>IBUPROFENO</v>
          </cell>
          <cell r="C313" t="str">
            <v>400 mg</v>
          </cell>
          <cell r="D313">
            <v>0.1687254229</v>
          </cell>
          <cell r="E313">
            <v>25836</v>
          </cell>
        </row>
        <row r="314">
          <cell r="A314" t="str">
            <v>M-01-06</v>
          </cell>
          <cell r="B314" t="str">
            <v>INDOMETACINA</v>
          </cell>
          <cell r="C314" t="str">
            <v>25 mg</v>
          </cell>
          <cell r="D314">
            <v>0.20014899999999999</v>
          </cell>
          <cell r="E314">
            <v>65</v>
          </cell>
        </row>
        <row r="315">
          <cell r="A315" t="str">
            <v>M-01-07</v>
          </cell>
          <cell r="B315" t="str">
            <v>INDOMETACINA</v>
          </cell>
          <cell r="C315" t="str">
            <v>100 mg</v>
          </cell>
          <cell r="D315">
            <v>1.58</v>
          </cell>
          <cell r="E315">
            <v>702</v>
          </cell>
        </row>
        <row r="316">
          <cell r="A316" t="str">
            <v>M-01-09</v>
          </cell>
          <cell r="B316" t="str">
            <v>KETOROLACO</v>
          </cell>
          <cell r="C316" t="str">
            <v>30 mg/ml</v>
          </cell>
          <cell r="D316">
            <v>2.4469184224</v>
          </cell>
          <cell r="E316">
            <v>4779</v>
          </cell>
        </row>
        <row r="317">
          <cell r="A317" t="str">
            <v>M-01-10</v>
          </cell>
          <cell r="B317" t="str">
            <v>KETOPROFENO</v>
          </cell>
          <cell r="C317" t="str">
            <v>100 mg</v>
          </cell>
          <cell r="D317">
            <v>5</v>
          </cell>
          <cell r="E317">
            <v>532</v>
          </cell>
        </row>
        <row r="318">
          <cell r="A318" t="str">
            <v>M-01-11</v>
          </cell>
          <cell r="B318" t="str">
            <v>MELOXICAM</v>
          </cell>
          <cell r="C318" t="str">
            <v>15 mg</v>
          </cell>
          <cell r="D318">
            <v>0.42261749570000001</v>
          </cell>
          <cell r="E318">
            <v>8662</v>
          </cell>
        </row>
        <row r="319">
          <cell r="A319" t="str">
            <v>M-03-01</v>
          </cell>
          <cell r="B319" t="str">
            <v>ATRACURIO BESILATO</v>
          </cell>
          <cell r="C319" t="str">
            <v>10 mg/ml</v>
          </cell>
          <cell r="D319">
            <v>26.1415995668</v>
          </cell>
          <cell r="E319">
            <v>278</v>
          </cell>
        </row>
        <row r="320">
          <cell r="A320" t="str">
            <v>M-04-01</v>
          </cell>
          <cell r="B320" t="str">
            <v>ALOPURINOL</v>
          </cell>
          <cell r="C320" t="str">
            <v>300 mg</v>
          </cell>
          <cell r="D320">
            <v>0.55000000000000004</v>
          </cell>
          <cell r="E320">
            <v>4677</v>
          </cell>
        </row>
        <row r="321">
          <cell r="A321" t="str">
            <v>M-04-02</v>
          </cell>
          <cell r="B321" t="str">
            <v>COLCHICINA</v>
          </cell>
          <cell r="C321" t="str">
            <v>0,5 mg</v>
          </cell>
          <cell r="D321">
            <v>0.82805700000000004</v>
          </cell>
          <cell r="E321">
            <v>281</v>
          </cell>
        </row>
        <row r="322">
          <cell r="A322" t="str">
            <v>M-05-03</v>
          </cell>
          <cell r="B322" t="str">
            <v>ACIDO ALENDRONICO (ALENDRONATO)</v>
          </cell>
          <cell r="C322" t="str">
            <v>70 mg</v>
          </cell>
          <cell r="D322">
            <v>1.2157894736999999</v>
          </cell>
          <cell r="E322">
            <v>1787</v>
          </cell>
        </row>
        <row r="323">
          <cell r="A323" t="str">
            <v>M-05-04</v>
          </cell>
          <cell r="B323" t="str">
            <v>ACIDO ZOLEDRONICO</v>
          </cell>
          <cell r="C323" t="str">
            <v>4mg</v>
          </cell>
          <cell r="D323">
            <v>420</v>
          </cell>
          <cell r="E323">
            <v>27</v>
          </cell>
        </row>
        <row r="324">
          <cell r="A324" t="str">
            <v>N-01-01</v>
          </cell>
          <cell r="B324" t="str">
            <v>BUPIVACAINA CLORHIDRATO</v>
          </cell>
          <cell r="C324" t="str">
            <v>0,5%</v>
          </cell>
          <cell r="D324">
            <v>17</v>
          </cell>
          <cell r="E324">
            <v>43</v>
          </cell>
        </row>
        <row r="325">
          <cell r="A325" t="str">
            <v>N-01-02</v>
          </cell>
          <cell r="B325" t="str">
            <v>BUPIVACAINA CLORHIDRATO (PESADA)</v>
          </cell>
          <cell r="C325" t="str">
            <v>0,5%</v>
          </cell>
          <cell r="D325">
            <v>11.2095515203</v>
          </cell>
          <cell r="E325">
            <v>80</v>
          </cell>
        </row>
        <row r="326">
          <cell r="A326" t="str">
            <v>N-01-05</v>
          </cell>
          <cell r="B326" t="str">
            <v>FENTANILO CON CONSERVANTE (10 ML)</v>
          </cell>
          <cell r="C326" t="str">
            <v>0,05 mg/ml</v>
          </cell>
          <cell r="D326">
            <v>33.668762000000001</v>
          </cell>
          <cell r="E326">
            <v>277</v>
          </cell>
        </row>
        <row r="327">
          <cell r="A327" t="str">
            <v>N-01-12</v>
          </cell>
          <cell r="B327" t="str">
            <v>LIDOCAINA CLORHIDRATO SIN CONSERVANTE</v>
          </cell>
          <cell r="C327">
            <v>0.02</v>
          </cell>
          <cell r="D327">
            <v>5.0704647675999999</v>
          </cell>
          <cell r="E327">
            <v>256</v>
          </cell>
        </row>
        <row r="328">
          <cell r="A328" t="str">
            <v>N-01-13</v>
          </cell>
          <cell r="B328" t="str">
            <v>PROPOFOL</v>
          </cell>
          <cell r="C328" t="str">
            <v>10 mg/ml</v>
          </cell>
          <cell r="D328">
            <v>17.399999999999999</v>
          </cell>
          <cell r="E328">
            <v>567</v>
          </cell>
        </row>
        <row r="329">
          <cell r="A329" t="str">
            <v>N-01-15</v>
          </cell>
          <cell r="B329" t="str">
            <v>TIOPENTAL SODICO</v>
          </cell>
          <cell r="C329" t="str">
            <v>1 g</v>
          </cell>
          <cell r="D329">
            <v>25</v>
          </cell>
          <cell r="E329">
            <v>2</v>
          </cell>
        </row>
        <row r="330">
          <cell r="A330" t="str">
            <v>N-01-16</v>
          </cell>
          <cell r="B330" t="str">
            <v>REMIFENTANILO</v>
          </cell>
          <cell r="C330" t="str">
            <v>5 mg</v>
          </cell>
          <cell r="D330">
            <v>120</v>
          </cell>
          <cell r="E330">
            <v>43</v>
          </cell>
        </row>
        <row r="331">
          <cell r="A331" t="str">
            <v>N-02-03</v>
          </cell>
          <cell r="B331" t="str">
            <v>ERGOTAMINA TARTRATO + CAFEINA</v>
          </cell>
          <cell r="C331" t="str">
            <v>1 mg + 100 mg</v>
          </cell>
          <cell r="D331">
            <v>1.4081726353999999</v>
          </cell>
          <cell r="E331">
            <v>1911</v>
          </cell>
        </row>
        <row r="332">
          <cell r="A332" t="str">
            <v>N-02-05</v>
          </cell>
          <cell r="B332" t="str">
            <v>METAMIZOL (DIPIRONA)</v>
          </cell>
          <cell r="C332" t="str">
            <v>1 g</v>
          </cell>
          <cell r="D332">
            <v>1.2007212291</v>
          </cell>
          <cell r="E332">
            <v>6003</v>
          </cell>
        </row>
        <row r="333">
          <cell r="A333" t="str">
            <v>N-02-07</v>
          </cell>
          <cell r="B333" t="str">
            <v>MORFINA (CON Y SIN CONSERVANTE)</v>
          </cell>
          <cell r="C333" t="str">
            <v>10 mg/ml</v>
          </cell>
          <cell r="D333">
            <v>11.99</v>
          </cell>
          <cell r="E333">
            <v>136</v>
          </cell>
        </row>
        <row r="334">
          <cell r="A334" t="str">
            <v>N-02-08</v>
          </cell>
          <cell r="B334" t="str">
            <v>PARACETAMOL (ACETAMINOFENO)</v>
          </cell>
          <cell r="C334" t="str">
            <v>500 mg</v>
          </cell>
          <cell r="D334">
            <v>0.12</v>
          </cell>
          <cell r="E334">
            <v>15999</v>
          </cell>
        </row>
        <row r="335">
          <cell r="A335" t="str">
            <v>N-02-09</v>
          </cell>
          <cell r="B335" t="str">
            <v>PARACETAMOL (ACETAMINOFENO)</v>
          </cell>
          <cell r="C335" t="str">
            <v>125 mg/5 ml o 120 mg/5 ml</v>
          </cell>
          <cell r="D335">
            <v>5.8034825871000004</v>
          </cell>
          <cell r="E335">
            <v>85</v>
          </cell>
        </row>
        <row r="336">
          <cell r="A336" t="str">
            <v>N-02-10</v>
          </cell>
          <cell r="B336" t="str">
            <v>PARACETAMOL (ACETAMINOFENO)</v>
          </cell>
          <cell r="C336" t="str">
            <v>100 mg/ml</v>
          </cell>
          <cell r="D336">
            <v>5</v>
          </cell>
          <cell r="E336">
            <v>83</v>
          </cell>
        </row>
        <row r="337">
          <cell r="A337" t="str">
            <v>N-02-11</v>
          </cell>
          <cell r="B337" t="str">
            <v>PARACETAMOL (ACETAMINOFENO)</v>
          </cell>
          <cell r="C337" t="str">
            <v>100 mg</v>
          </cell>
          <cell r="D337">
            <v>1.6382685714</v>
          </cell>
          <cell r="E337">
            <v>8</v>
          </cell>
        </row>
        <row r="338">
          <cell r="A338" t="str">
            <v>N-02-14</v>
          </cell>
          <cell r="B338" t="str">
            <v>TRAMADOL</v>
          </cell>
          <cell r="C338" t="str">
            <v>100 mg/2 ml</v>
          </cell>
          <cell r="D338">
            <v>4.99</v>
          </cell>
          <cell r="E338">
            <v>729</v>
          </cell>
        </row>
        <row r="339">
          <cell r="A339" t="str">
            <v>N-02-15</v>
          </cell>
          <cell r="B339" t="str">
            <v>TRAMADOL</v>
          </cell>
          <cell r="C339" t="str">
            <v>50 mg</v>
          </cell>
          <cell r="D339">
            <v>1.8</v>
          </cell>
          <cell r="E339">
            <v>4467</v>
          </cell>
        </row>
        <row r="340">
          <cell r="A340" t="str">
            <v>N-02-17</v>
          </cell>
          <cell r="B340" t="str">
            <v>TRAMADOL</v>
          </cell>
          <cell r="C340" t="str">
            <v>100 mg/ml</v>
          </cell>
          <cell r="D340">
            <v>44</v>
          </cell>
          <cell r="E340">
            <v>92</v>
          </cell>
        </row>
        <row r="341">
          <cell r="A341" t="str">
            <v>N-03-03</v>
          </cell>
          <cell r="B341" t="str">
            <v>ACIDO VALPROICO O VALPROATO SODICO</v>
          </cell>
          <cell r="C341" t="str">
            <v>500 mg</v>
          </cell>
          <cell r="D341">
            <v>3.1648756218999998</v>
          </cell>
          <cell r="E341">
            <v>14164</v>
          </cell>
        </row>
        <row r="342">
          <cell r="A342" t="str">
            <v>N-03-04</v>
          </cell>
          <cell r="B342" t="str">
            <v>CARBAMAZEPINA</v>
          </cell>
          <cell r="C342" t="str">
            <v>200 mg</v>
          </cell>
          <cell r="D342">
            <v>0.3446581896</v>
          </cell>
          <cell r="E342">
            <v>1165</v>
          </cell>
        </row>
        <row r="343">
          <cell r="A343" t="str">
            <v>N-03-06</v>
          </cell>
          <cell r="B343" t="str">
            <v>CLONAZEPAM</v>
          </cell>
          <cell r="C343" t="str">
            <v>2 mg</v>
          </cell>
          <cell r="D343">
            <v>0.60999861909999997</v>
          </cell>
          <cell r="E343">
            <v>6373</v>
          </cell>
        </row>
        <row r="344">
          <cell r="A344" t="str">
            <v>N-03-07</v>
          </cell>
          <cell r="B344" t="str">
            <v>FENITOINA</v>
          </cell>
          <cell r="C344" t="str">
            <v>50 mg/ml</v>
          </cell>
          <cell r="D344">
            <v>10.958438553800001</v>
          </cell>
          <cell r="E344">
            <v>142</v>
          </cell>
        </row>
        <row r="345">
          <cell r="A345" t="str">
            <v>N-03-08</v>
          </cell>
          <cell r="B345" t="str">
            <v>FENITOINA</v>
          </cell>
          <cell r="C345" t="str">
            <v>100 mg</v>
          </cell>
          <cell r="D345">
            <v>0.39</v>
          </cell>
          <cell r="E345">
            <v>2767</v>
          </cell>
        </row>
        <row r="346">
          <cell r="A346" t="str">
            <v>N-03-12</v>
          </cell>
          <cell r="B346" t="str">
            <v>CLONAZEPAM</v>
          </cell>
          <cell r="C346" t="str">
            <v>2,5 mg/ml</v>
          </cell>
          <cell r="D346">
            <v>67.219629629600007</v>
          </cell>
          <cell r="E346">
            <v>230</v>
          </cell>
        </row>
        <row r="347">
          <cell r="A347" t="str">
            <v>N-03-18</v>
          </cell>
          <cell r="B347" t="str">
            <v>LAMOTRIGINA</v>
          </cell>
          <cell r="C347" t="str">
            <v>200mg</v>
          </cell>
          <cell r="D347">
            <v>9.4</v>
          </cell>
          <cell r="E347">
            <v>2237</v>
          </cell>
        </row>
        <row r="348">
          <cell r="A348" t="str">
            <v>N-03-20</v>
          </cell>
          <cell r="B348" t="str">
            <v>PREGABALINA 75 MG</v>
          </cell>
          <cell r="C348" t="str">
            <v>75 MG</v>
          </cell>
          <cell r="D348">
            <v>0.89014464609999999</v>
          </cell>
          <cell r="E348">
            <v>28468</v>
          </cell>
        </row>
        <row r="349">
          <cell r="A349" t="str">
            <v>N-03-21</v>
          </cell>
          <cell r="B349" t="str">
            <v>PREGABALINA</v>
          </cell>
          <cell r="C349" t="str">
            <v>150 MG.</v>
          </cell>
          <cell r="D349">
            <v>1.3151536837</v>
          </cell>
          <cell r="E349">
            <v>506</v>
          </cell>
        </row>
        <row r="350">
          <cell r="A350" t="str">
            <v>N-03-22</v>
          </cell>
          <cell r="B350" t="str">
            <v>ACIDO VALPROICO Ò VALPROATO SODICO</v>
          </cell>
          <cell r="C350" t="str">
            <v>200/MG/ML</v>
          </cell>
          <cell r="D350">
            <v>99.06</v>
          </cell>
          <cell r="E350">
            <v>26</v>
          </cell>
        </row>
        <row r="351">
          <cell r="A351" t="str">
            <v>N-04-01</v>
          </cell>
          <cell r="B351" t="str">
            <v>BIPERIDENO CLORHIDRATO</v>
          </cell>
          <cell r="C351" t="str">
            <v>4 mg</v>
          </cell>
          <cell r="D351">
            <v>2.68</v>
          </cell>
          <cell r="E351">
            <v>1110</v>
          </cell>
        </row>
        <row r="352">
          <cell r="A352" t="str">
            <v>N-04-02</v>
          </cell>
          <cell r="B352" t="str">
            <v>LEVODOPA + CARBIDOPA</v>
          </cell>
          <cell r="C352" t="str">
            <v>250 mg + 25 mg</v>
          </cell>
          <cell r="D352">
            <v>3</v>
          </cell>
          <cell r="E352">
            <v>4605</v>
          </cell>
        </row>
        <row r="353">
          <cell r="A353" t="str">
            <v>N-05-01</v>
          </cell>
          <cell r="B353" t="str">
            <v>ALPRAZOLAM</v>
          </cell>
          <cell r="C353" t="str">
            <v>0,5 mg</v>
          </cell>
          <cell r="D353">
            <v>0.49993870870000001</v>
          </cell>
          <cell r="E353">
            <v>15851</v>
          </cell>
        </row>
        <row r="354">
          <cell r="A354" t="str">
            <v>N-05-05</v>
          </cell>
          <cell r="B354" t="str">
            <v>DIAZEPAM</v>
          </cell>
          <cell r="C354" t="str">
            <v>10 mg</v>
          </cell>
          <cell r="D354">
            <v>4.5</v>
          </cell>
          <cell r="E354">
            <v>34</v>
          </cell>
        </row>
        <row r="355">
          <cell r="A355" t="str">
            <v>N-05-11</v>
          </cell>
          <cell r="B355" t="str">
            <v>MIDAZOLAM</v>
          </cell>
          <cell r="C355" t="str">
            <v>15 mg/3 ml</v>
          </cell>
          <cell r="D355">
            <v>18.218252427199999</v>
          </cell>
          <cell r="E355">
            <v>354</v>
          </cell>
        </row>
        <row r="356">
          <cell r="A356" t="str">
            <v>N-05-18</v>
          </cell>
          <cell r="B356" t="str">
            <v>QUETIAPINA</v>
          </cell>
          <cell r="C356" t="str">
            <v>100 mg</v>
          </cell>
          <cell r="D356">
            <v>4.8079999999999998</v>
          </cell>
          <cell r="E356">
            <v>2685</v>
          </cell>
        </row>
        <row r="357">
          <cell r="A357" t="str">
            <v>N-06-01</v>
          </cell>
          <cell r="B357" t="str">
            <v>AMITRIPTILINA</v>
          </cell>
          <cell r="C357" t="str">
            <v>25 mg</v>
          </cell>
          <cell r="D357">
            <v>0.39</v>
          </cell>
          <cell r="E357">
            <v>1347</v>
          </cell>
        </row>
        <row r="358">
          <cell r="A358" t="str">
            <v>N-06-04</v>
          </cell>
          <cell r="B358" t="str">
            <v>FLUOXETINA</v>
          </cell>
          <cell r="C358" t="str">
            <v>20 mg</v>
          </cell>
          <cell r="D358">
            <v>0.37306632210000001</v>
          </cell>
          <cell r="E358">
            <v>9790</v>
          </cell>
        </row>
        <row r="359">
          <cell r="A359" t="str">
            <v>N-06-08</v>
          </cell>
          <cell r="B359" t="str">
            <v>DULOXETINA</v>
          </cell>
          <cell r="C359" t="str">
            <v>30mg</v>
          </cell>
          <cell r="D359">
            <v>3.6308955223999999</v>
          </cell>
          <cell r="E359">
            <v>5551</v>
          </cell>
        </row>
        <row r="360">
          <cell r="A360" t="str">
            <v>N-07-01</v>
          </cell>
          <cell r="B360" t="str">
            <v>DIMENHIDRINATO</v>
          </cell>
          <cell r="C360" t="str">
            <v>50 mg</v>
          </cell>
          <cell r="D360">
            <v>0.49661</v>
          </cell>
          <cell r="E360">
            <v>2555</v>
          </cell>
        </row>
        <row r="361">
          <cell r="A361" t="str">
            <v>N-07-05</v>
          </cell>
          <cell r="B361" t="str">
            <v>NEOSTIGMINA</v>
          </cell>
          <cell r="C361" t="str">
            <v>0,5 mg/ml</v>
          </cell>
          <cell r="D361">
            <v>4.2759289999999996</v>
          </cell>
          <cell r="E361">
            <v>80</v>
          </cell>
        </row>
        <row r="362">
          <cell r="A362" t="str">
            <v>N-07-06</v>
          </cell>
          <cell r="B362" t="str">
            <v>PIRIDOSTIGMINA</v>
          </cell>
          <cell r="C362" t="str">
            <v>60 mg</v>
          </cell>
          <cell r="D362">
            <v>5.5</v>
          </cell>
          <cell r="E362">
            <v>90</v>
          </cell>
        </row>
        <row r="363">
          <cell r="A363" t="str">
            <v>N-07-08</v>
          </cell>
          <cell r="B363" t="str">
            <v>FLUNARIZINA</v>
          </cell>
          <cell r="C363" t="str">
            <v>10 mg</v>
          </cell>
          <cell r="D363">
            <v>0.36</v>
          </cell>
          <cell r="E363">
            <v>3567</v>
          </cell>
        </row>
        <row r="364">
          <cell r="A364" t="str">
            <v>P-01-07</v>
          </cell>
          <cell r="B364" t="str">
            <v>METRONIDAZOL</v>
          </cell>
          <cell r="C364" t="str">
            <v>500 mg</v>
          </cell>
          <cell r="D364">
            <v>6.5867768053000004</v>
          </cell>
          <cell r="E364">
            <v>540</v>
          </cell>
        </row>
        <row r="365">
          <cell r="A365" t="str">
            <v>P-01-09</v>
          </cell>
          <cell r="B365" t="str">
            <v>METRONIDAZOL</v>
          </cell>
          <cell r="C365" t="str">
            <v>500 mg</v>
          </cell>
          <cell r="D365">
            <v>0.3813482621</v>
          </cell>
          <cell r="E365">
            <v>1098</v>
          </cell>
        </row>
        <row r="366">
          <cell r="A366" t="str">
            <v>P-01-11</v>
          </cell>
          <cell r="B366" t="str">
            <v>NITAZOXANIDA</v>
          </cell>
          <cell r="C366" t="str">
            <v>500 mg</v>
          </cell>
          <cell r="D366">
            <v>1.5</v>
          </cell>
          <cell r="E366">
            <v>348</v>
          </cell>
        </row>
        <row r="367">
          <cell r="A367" t="str">
            <v>P-01-27</v>
          </cell>
          <cell r="B367" t="str">
            <v>HIDROXICLOROQUINA SULFATO</v>
          </cell>
          <cell r="C367" t="str">
            <v>200 mg</v>
          </cell>
          <cell r="D367">
            <v>3.5998668442000001</v>
          </cell>
          <cell r="E367">
            <v>3831</v>
          </cell>
        </row>
        <row r="368">
          <cell r="A368" t="str">
            <v>P-02-01</v>
          </cell>
          <cell r="B368" t="str">
            <v>ALBENDAZOL</v>
          </cell>
          <cell r="C368" t="str">
            <v>200 mg</v>
          </cell>
          <cell r="D368">
            <v>1.2010931728000001</v>
          </cell>
          <cell r="E368">
            <v>92</v>
          </cell>
        </row>
        <row r="369">
          <cell r="A369" t="str">
            <v>P-02-02</v>
          </cell>
          <cell r="B369" t="str">
            <v>ALBENDAZOL</v>
          </cell>
          <cell r="C369" t="str">
            <v>200 mg/5 ml</v>
          </cell>
          <cell r="D369">
            <v>9.8000000000000007</v>
          </cell>
          <cell r="E369">
            <v>5</v>
          </cell>
        </row>
        <row r="370">
          <cell r="A370" t="str">
            <v>P-02-03</v>
          </cell>
          <cell r="B370" t="str">
            <v>MEBENDAZOL</v>
          </cell>
          <cell r="C370" t="str">
            <v>100 mg</v>
          </cell>
          <cell r="D370">
            <v>0.20602000000000001</v>
          </cell>
          <cell r="E370">
            <v>18</v>
          </cell>
        </row>
        <row r="371">
          <cell r="A371" t="str">
            <v>P-02-05</v>
          </cell>
          <cell r="B371" t="str">
            <v>MEBENDAZOL</v>
          </cell>
          <cell r="C371" t="str">
            <v>500 mg</v>
          </cell>
          <cell r="D371">
            <v>1.961587</v>
          </cell>
          <cell r="E371">
            <v>31</v>
          </cell>
        </row>
        <row r="372">
          <cell r="A372" t="str">
            <v>P-03-01</v>
          </cell>
          <cell r="B372" t="str">
            <v>BENZOATO DE BENCILO</v>
          </cell>
          <cell r="C372" t="str">
            <v>20% o 25%</v>
          </cell>
          <cell r="D372">
            <v>8</v>
          </cell>
          <cell r="E372">
            <v>10</v>
          </cell>
        </row>
        <row r="373">
          <cell r="A373" t="str">
            <v>R-03-03</v>
          </cell>
          <cell r="B373" t="str">
            <v>BECLOMETASONA DIPROPIONATO</v>
          </cell>
          <cell r="C373" t="str">
            <v>50 mcg/inhalación</v>
          </cell>
          <cell r="D373">
            <v>37.393814433000003</v>
          </cell>
          <cell r="E373">
            <v>43</v>
          </cell>
        </row>
        <row r="374">
          <cell r="A374" t="str">
            <v>R-03-06</v>
          </cell>
          <cell r="B374" t="str">
            <v>SALBUTAMOL</v>
          </cell>
          <cell r="C374" t="str">
            <v>0,1 mg/inhalación</v>
          </cell>
          <cell r="D374">
            <v>16</v>
          </cell>
          <cell r="E374">
            <v>146</v>
          </cell>
        </row>
        <row r="375">
          <cell r="A375" t="str">
            <v>R-03-11</v>
          </cell>
          <cell r="B375" t="str">
            <v>SALMETEROL + FLUTICASONA</v>
          </cell>
          <cell r="C375" t="str">
            <v>25 mcg + 125 mcg</v>
          </cell>
          <cell r="D375">
            <v>70.881961713199999</v>
          </cell>
          <cell r="E375">
            <v>210</v>
          </cell>
        </row>
        <row r="376">
          <cell r="A376" t="str">
            <v>R-03-13</v>
          </cell>
          <cell r="B376" t="str">
            <v>MONTELUKAST</v>
          </cell>
          <cell r="C376" t="str">
            <v>10mg</v>
          </cell>
          <cell r="D376">
            <v>2.5</v>
          </cell>
          <cell r="E376">
            <v>1513</v>
          </cell>
        </row>
        <row r="377">
          <cell r="A377" t="str">
            <v>R-05-01</v>
          </cell>
          <cell r="B377" t="str">
            <v>ANTIGRIPAL (PARACETAMOL + ANTIHISTAMINICO + VASOCONSTRICTOR CON O SIN CAFEINA)</v>
          </cell>
          <cell r="C377" t="str">
            <v>Según disponibilidad</v>
          </cell>
          <cell r="D377">
            <v>0.26328634919999999</v>
          </cell>
          <cell r="E377">
            <v>9274</v>
          </cell>
        </row>
        <row r="378">
          <cell r="A378" t="str">
            <v>R-05-02</v>
          </cell>
          <cell r="B378" t="str">
            <v>CODEINA</v>
          </cell>
          <cell r="C378" t="str">
            <v>10 mg/5 ml</v>
          </cell>
          <cell r="D378">
            <v>14.7975778547</v>
          </cell>
          <cell r="E378">
            <v>242</v>
          </cell>
        </row>
        <row r="379">
          <cell r="A379" t="str">
            <v>R-05-03</v>
          </cell>
          <cell r="B379" t="str">
            <v>DEXTROMETORFANO BROMHIDRATO</v>
          </cell>
          <cell r="C379" t="str">
            <v>10 mg/5 ml</v>
          </cell>
          <cell r="D379">
            <v>5.2298923956000003</v>
          </cell>
          <cell r="E379">
            <v>1130</v>
          </cell>
        </row>
        <row r="380">
          <cell r="A380" t="str">
            <v>R-06-01</v>
          </cell>
          <cell r="B380" t="str">
            <v>CLORFENAMINA (CLORFENIRAMINA)</v>
          </cell>
          <cell r="C380" t="str">
            <v>4 mg</v>
          </cell>
          <cell r="D380">
            <v>0.13443378119999999</v>
          </cell>
          <cell r="E380">
            <v>604</v>
          </cell>
        </row>
        <row r="381">
          <cell r="A381" t="str">
            <v>R-06-02</v>
          </cell>
          <cell r="B381" t="str">
            <v>CLORFENAMINA (CLORFENIRAMINA)</v>
          </cell>
          <cell r="C381" t="str">
            <v>2 mg/5 ml</v>
          </cell>
          <cell r="D381">
            <v>6.39</v>
          </cell>
          <cell r="E381">
            <v>18</v>
          </cell>
        </row>
        <row r="382">
          <cell r="A382" t="str">
            <v>R-06-03</v>
          </cell>
          <cell r="B382" t="str">
            <v>CLORFENAMINA (CLORFENIRAMINA)</v>
          </cell>
          <cell r="C382" t="str">
            <v>10 mg/ml</v>
          </cell>
          <cell r="D382">
            <v>1.2145306253999999</v>
          </cell>
          <cell r="E382">
            <v>510</v>
          </cell>
        </row>
        <row r="383">
          <cell r="A383" t="str">
            <v>R-06-07</v>
          </cell>
          <cell r="B383" t="str">
            <v>CETIRIZINA</v>
          </cell>
          <cell r="C383" t="str">
            <v>10 mg</v>
          </cell>
          <cell r="D383">
            <v>0.28999999999999998</v>
          </cell>
          <cell r="E383">
            <v>5275</v>
          </cell>
        </row>
        <row r="384">
          <cell r="A384" t="str">
            <v>R-06-08</v>
          </cell>
          <cell r="B384" t="str">
            <v>CETIRIZINA</v>
          </cell>
          <cell r="C384" t="str">
            <v>5 mg/5 ml</v>
          </cell>
          <cell r="D384">
            <v>10.99</v>
          </cell>
          <cell r="E384">
            <v>35</v>
          </cell>
        </row>
        <row r="385">
          <cell r="A385" t="str">
            <v>R-07-01</v>
          </cell>
          <cell r="B385" t="str">
            <v>SURFACTANTE PULMONAR</v>
          </cell>
          <cell r="C385" t="str">
            <v>25 a 35 mg/ml</v>
          </cell>
          <cell r="D385">
            <v>1250</v>
          </cell>
          <cell r="E385">
            <v>3</v>
          </cell>
        </row>
        <row r="386">
          <cell r="A386" t="str">
            <v>S-01-04</v>
          </cell>
          <cell r="B386" t="str">
            <v>CIPROFLOXACINA</v>
          </cell>
          <cell r="C386" t="str">
            <v>0,3%</v>
          </cell>
          <cell r="D386">
            <v>34</v>
          </cell>
          <cell r="E386">
            <v>10</v>
          </cell>
        </row>
        <row r="387">
          <cell r="A387" t="str">
            <v>S-01-05</v>
          </cell>
          <cell r="B387" t="str">
            <v>CLORANFENICOL</v>
          </cell>
          <cell r="C387" t="str">
            <v>0,5%</v>
          </cell>
          <cell r="D387">
            <v>7</v>
          </cell>
          <cell r="E387">
            <v>1</v>
          </cell>
        </row>
        <row r="388">
          <cell r="A388" t="str">
            <v>S-01-06</v>
          </cell>
          <cell r="B388" t="str">
            <v>CLORANFENICOL</v>
          </cell>
          <cell r="C388">
            <v>0.01</v>
          </cell>
          <cell r="D388">
            <v>17.5</v>
          </cell>
          <cell r="E388">
            <v>18</v>
          </cell>
        </row>
        <row r="389">
          <cell r="A389" t="str">
            <v>S-01-09</v>
          </cell>
          <cell r="B389" t="str">
            <v>DEXAMETASONA</v>
          </cell>
          <cell r="C389" t="str">
            <v>0,1%</v>
          </cell>
          <cell r="D389">
            <v>10.199999999999999</v>
          </cell>
          <cell r="E389">
            <v>165</v>
          </cell>
        </row>
        <row r="390">
          <cell r="A390" t="str">
            <v>S-01-12</v>
          </cell>
          <cell r="B390" t="str">
            <v>DORZOLAMIDA</v>
          </cell>
          <cell r="C390">
            <v>0.02</v>
          </cell>
          <cell r="D390">
            <v>49.99</v>
          </cell>
          <cell r="E390">
            <v>149</v>
          </cell>
        </row>
        <row r="391">
          <cell r="A391" t="str">
            <v>S-01-15</v>
          </cell>
          <cell r="B391" t="str">
            <v>GENTAMICINA</v>
          </cell>
          <cell r="C391" t="str">
            <v>0,3%</v>
          </cell>
          <cell r="D391">
            <v>24.9</v>
          </cell>
          <cell r="E391">
            <v>17</v>
          </cell>
        </row>
        <row r="392">
          <cell r="A392" t="str">
            <v>S-01-16</v>
          </cell>
          <cell r="B392" t="str">
            <v>GENTAMICINA</v>
          </cell>
          <cell r="C392" t="str">
            <v>0,3%</v>
          </cell>
          <cell r="D392">
            <v>6.3468168872000001</v>
          </cell>
          <cell r="E392">
            <v>109</v>
          </cell>
        </row>
        <row r="393">
          <cell r="A393" t="str">
            <v>S-01-18</v>
          </cell>
          <cell r="B393" t="str">
            <v>LAGRIMAS ARTIFICIALES</v>
          </cell>
          <cell r="C393" t="str">
            <v>0,3% o 1%</v>
          </cell>
          <cell r="D393">
            <v>14.9995403296</v>
          </cell>
          <cell r="E393">
            <v>1291</v>
          </cell>
        </row>
        <row r="394">
          <cell r="A394" t="str">
            <v>S-01-19</v>
          </cell>
          <cell r="B394" t="str">
            <v>NAFAZOLINA CLORHIDRATO</v>
          </cell>
          <cell r="C394" t="str">
            <v>0,1%</v>
          </cell>
          <cell r="D394">
            <v>19.7</v>
          </cell>
          <cell r="E394">
            <v>68</v>
          </cell>
        </row>
        <row r="395">
          <cell r="A395" t="str">
            <v>S-01-22</v>
          </cell>
          <cell r="B395" t="str">
            <v>TIMOLOL MALEATO</v>
          </cell>
          <cell r="C395" t="str">
            <v>0,5%</v>
          </cell>
          <cell r="D395">
            <v>21</v>
          </cell>
          <cell r="E395">
            <v>313</v>
          </cell>
        </row>
        <row r="396">
          <cell r="A396" t="str">
            <v>S-01-24</v>
          </cell>
          <cell r="B396" t="str">
            <v>CORTICOIDE  (DEXAMETASONA) + ANTIINFECCIOSO (CIPROFLOXACINO) DE ACCION TOPICA</v>
          </cell>
          <cell r="C396" t="str">
            <v>Según disponibilidad</v>
          </cell>
          <cell r="D396">
            <v>16.899999999999999</v>
          </cell>
          <cell r="E396">
            <v>105</v>
          </cell>
        </row>
        <row r="397">
          <cell r="A397" t="str">
            <v>S-01-27</v>
          </cell>
          <cell r="B397" t="str">
            <v>LATANOPROST</v>
          </cell>
          <cell r="C397" t="str">
            <v>50 mcg/ml</v>
          </cell>
          <cell r="D397">
            <v>64.878048780499995</v>
          </cell>
          <cell r="E397">
            <v>350</v>
          </cell>
        </row>
        <row r="398">
          <cell r="A398" t="str">
            <v>S-02-01</v>
          </cell>
          <cell r="B398" t="str">
            <v>GLICERINA + CARBONATO DE SODIO</v>
          </cell>
          <cell r="C398" t="str">
            <v>Según disponibilidad</v>
          </cell>
          <cell r="D398">
            <v>24.9</v>
          </cell>
          <cell r="E398">
            <v>16</v>
          </cell>
        </row>
        <row r="399">
          <cell r="A399" t="str">
            <v>V-03-01</v>
          </cell>
          <cell r="B399" t="str">
            <v>ACETIL CISTEINA</v>
          </cell>
          <cell r="C399">
            <v>0.1</v>
          </cell>
          <cell r="D399">
            <v>6.0210127466000003</v>
          </cell>
          <cell r="E399">
            <v>3717</v>
          </cell>
        </row>
        <row r="400">
          <cell r="A400" t="str">
            <v>V-03-07</v>
          </cell>
          <cell r="B400" t="str">
            <v>LEUCOVORINA</v>
          </cell>
          <cell r="C400" t="str">
            <v>50 mg</v>
          </cell>
          <cell r="D400">
            <v>47.45</v>
          </cell>
          <cell r="E400">
            <v>60</v>
          </cell>
        </row>
        <row r="401">
          <cell r="A401" t="str">
            <v>V-03-08</v>
          </cell>
          <cell r="B401" t="str">
            <v>MESNA (MERCAPTO ETILSULFONATO SODICO)</v>
          </cell>
          <cell r="C401" t="str">
            <v>400 mg</v>
          </cell>
          <cell r="D401">
            <v>64.569999999999993</v>
          </cell>
          <cell r="E401">
            <v>14</v>
          </cell>
        </row>
        <row r="402">
          <cell r="A402" t="str">
            <v>V-06-01</v>
          </cell>
          <cell r="B402" t="str">
            <v>PROTEINAS PARA ALIMENTACION ENTERAL (ALIMENTO)</v>
          </cell>
          <cell r="C402" t="str">
            <v>Según disponibilidad</v>
          </cell>
          <cell r="D402">
            <v>99.75</v>
          </cell>
          <cell r="E402">
            <v>51</v>
          </cell>
        </row>
        <row r="403">
          <cell r="A403" t="str">
            <v>V-06-04</v>
          </cell>
          <cell r="B403" t="str">
            <v>COMPLEMENTO NUTRICIONAL (CARMELO)</v>
          </cell>
          <cell r="C403" t="str">
            <v>Según concentración</v>
          </cell>
          <cell r="D403">
            <v>53.980146315900001</v>
          </cell>
          <cell r="E403">
            <v>380</v>
          </cell>
        </row>
        <row r="404">
          <cell r="A404" t="str">
            <v>V-06-05</v>
          </cell>
          <cell r="B404" t="str">
            <v>COMPLEMENTO NUTRICIONAL</v>
          </cell>
          <cell r="C404" t="str">
            <v>Según concentración</v>
          </cell>
          <cell r="D404">
            <v>178.9</v>
          </cell>
          <cell r="E404">
            <v>10</v>
          </cell>
        </row>
        <row r="405">
          <cell r="A405" t="str">
            <v>V-06-06</v>
          </cell>
          <cell r="B405" t="str">
            <v>COMPLEMENTO NUTRICIONAL (DIABETICO)</v>
          </cell>
          <cell r="C405" t="str">
            <v>Según concentración</v>
          </cell>
          <cell r="D405">
            <v>57.13</v>
          </cell>
          <cell r="E405">
            <v>26</v>
          </cell>
        </row>
        <row r="406">
          <cell r="A406" t="str">
            <v>V-08-02</v>
          </cell>
          <cell r="B406" t="str">
            <v>CONTRASTE IODADO</v>
          </cell>
          <cell r="C406" t="str">
            <v>Según disponibilidad (50 ml)</v>
          </cell>
          <cell r="D406">
            <v>282.60000000000002</v>
          </cell>
          <cell r="E406">
            <v>23</v>
          </cell>
        </row>
        <row r="407">
          <cell r="A407" t="str">
            <v>V-08-05</v>
          </cell>
          <cell r="B407" t="str">
            <v>GADOPENTATO DE DIMEGLUMINA</v>
          </cell>
          <cell r="C407" t="str">
            <v>469 mg/ml</v>
          </cell>
          <cell r="D407">
            <v>449.99</v>
          </cell>
          <cell r="E407">
            <v>5</v>
          </cell>
        </row>
        <row r="408">
          <cell r="A408" t="str">
            <v>V-08-06</v>
          </cell>
          <cell r="B408" t="str">
            <v>MEGLUMINA DIATRIZOATO</v>
          </cell>
          <cell r="C408" t="str">
            <v>70% o 76% (20 ml)</v>
          </cell>
          <cell r="D408">
            <v>130.08066600000001</v>
          </cell>
          <cell r="E408">
            <v>13</v>
          </cell>
        </row>
        <row r="409">
          <cell r="A409" t="str">
            <v>V-08-07</v>
          </cell>
          <cell r="B409" t="str">
            <v>MEGLUMINA DIATRIZOATO</v>
          </cell>
          <cell r="C409" t="str">
            <v>70% o 76% (50 ml)</v>
          </cell>
          <cell r="D409">
            <v>156.80000000000001</v>
          </cell>
          <cell r="E409">
            <v>2</v>
          </cell>
        </row>
        <row r="410">
          <cell r="A410" t="str">
            <v>V-08-08</v>
          </cell>
          <cell r="B410" t="str">
            <v>SULFATO DE BARIO</v>
          </cell>
          <cell r="C410" t="str">
            <v>Según disponibilidad</v>
          </cell>
          <cell r="D410">
            <v>235</v>
          </cell>
          <cell r="E410">
            <v>4</v>
          </cell>
        </row>
        <row r="411">
          <cell r="A411" t="str">
            <v>V-08-11</v>
          </cell>
          <cell r="B411" t="str">
            <v>GADOBUTROL</v>
          </cell>
          <cell r="C411" t="str">
            <v>604,72 MG/ML</v>
          </cell>
          <cell r="D411">
            <v>445</v>
          </cell>
          <cell r="E411">
            <v>18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D1" t="str">
            <v>Codigo</v>
          </cell>
          <cell r="E1" t="str">
            <v>Medicamento</v>
          </cell>
          <cell r="F1" t="str">
            <v>Forma Farmacéutica</v>
          </cell>
          <cell r="G1" t="str">
            <v>Concentración</v>
          </cell>
          <cell r="H1" t="str">
            <v>Clasific. A.T.Q.</v>
          </cell>
          <cell r="I1" t="str">
            <v>Uso Restrin- gido</v>
          </cell>
          <cell r="J1" t="str">
            <v>Precio Referencial Junio 2022</v>
          </cell>
          <cell r="K1" t="str">
            <v>Aclaración de Particularidades</v>
          </cell>
        </row>
        <row r="2">
          <cell r="D2" t="str">
            <v>J-05-01</v>
          </cell>
          <cell r="E2" t="str">
            <v>Abacavir</v>
          </cell>
          <cell r="F2" t="str">
            <v>Comprimido</v>
          </cell>
          <cell r="G2" t="str">
            <v>300 mg</v>
          </cell>
          <cell r="H2" t="str">
            <v>J05AF06</v>
          </cell>
          <cell r="I2"/>
          <cell r="J2">
            <v>2.89</v>
          </cell>
          <cell r="K2"/>
        </row>
        <row r="3">
          <cell r="D3" t="str">
            <v>L-02-09</v>
          </cell>
          <cell r="E3" t="str">
            <v>Abiraterona Acetato</v>
          </cell>
          <cell r="F3" t="str">
            <v>Comprimido</v>
          </cell>
          <cell r="G3" t="str">
            <v>250 mg</v>
          </cell>
          <cell r="H3" t="str">
            <v>L02BX03</v>
          </cell>
          <cell r="I3" t="str">
            <v>R</v>
          </cell>
          <cell r="J3">
            <v>114.22</v>
          </cell>
          <cell r="K3"/>
        </row>
        <row r="4">
          <cell r="D4" t="str">
            <v>A-06-01</v>
          </cell>
          <cell r="E4" t="str">
            <v>Aceite mineral</v>
          </cell>
          <cell r="F4" t="str">
            <v>Emulsión oral</v>
          </cell>
          <cell r="G4">
            <v>0.4</v>
          </cell>
          <cell r="H4" t="str">
            <v>A06AG06</v>
          </cell>
          <cell r="I4"/>
          <cell r="J4">
            <v>10.5</v>
          </cell>
          <cell r="K4" t="str">
            <v>100 ML</v>
          </cell>
        </row>
        <row r="5">
          <cell r="D5" t="str">
            <v>A-11-01</v>
          </cell>
          <cell r="E5" t="str">
            <v>Aceite vitaminado (alimento)</v>
          </cell>
          <cell r="F5" t="str">
            <v>Emulsión oral</v>
          </cell>
          <cell r="G5" t="str">
            <v>Según disponibilidad</v>
          </cell>
          <cell r="H5" t="str">
            <v>A11CB**</v>
          </cell>
          <cell r="I5"/>
          <cell r="J5">
            <v>10.4536363636364</v>
          </cell>
          <cell r="K5" t="str">
            <v>1 L</v>
          </cell>
        </row>
        <row r="6">
          <cell r="D6" t="str">
            <v>C-03-01</v>
          </cell>
          <cell r="E6" t="str">
            <v>Acetazolamida</v>
          </cell>
          <cell r="F6" t="str">
            <v>Comprimido</v>
          </cell>
          <cell r="G6" t="str">
            <v>250 mg</v>
          </cell>
          <cell r="H6" t="str">
            <v>C03**</v>
          </cell>
          <cell r="I6"/>
          <cell r="J6">
            <v>1.66</v>
          </cell>
          <cell r="K6"/>
        </row>
        <row r="7">
          <cell r="D7" t="str">
            <v>V-03-01</v>
          </cell>
          <cell r="E7" t="str">
            <v>Acetil Cisteina</v>
          </cell>
          <cell r="F7" t="str">
            <v>Inyectable</v>
          </cell>
          <cell r="G7">
            <v>0.1</v>
          </cell>
          <cell r="H7" t="str">
            <v>V03AB23</v>
          </cell>
          <cell r="I7"/>
          <cell r="J7">
            <v>13.3937810559006</v>
          </cell>
          <cell r="K7" t="str">
            <v>3 ML</v>
          </cell>
        </row>
        <row r="8">
          <cell r="D8" t="str">
            <v>D-06-03</v>
          </cell>
          <cell r="E8" t="str">
            <v>Aciclovir</v>
          </cell>
          <cell r="F8" t="str">
            <v xml:space="preserve">Crema dérmica </v>
          </cell>
          <cell r="G8">
            <v>0.05</v>
          </cell>
          <cell r="H8" t="str">
            <v>D06BB03</v>
          </cell>
          <cell r="I8"/>
          <cell r="J8">
            <v>16.8</v>
          </cell>
          <cell r="K8" t="str">
            <v xml:space="preserve">5 G </v>
          </cell>
        </row>
        <row r="9">
          <cell r="D9" t="str">
            <v>J-05-04</v>
          </cell>
          <cell r="E9" t="str">
            <v>Aciclovir</v>
          </cell>
          <cell r="F9" t="str">
            <v>Comprimido</v>
          </cell>
          <cell r="G9" t="str">
            <v>400 mg</v>
          </cell>
          <cell r="H9" t="str">
            <v>J05AB01</v>
          </cell>
          <cell r="I9"/>
          <cell r="J9">
            <v>1.4</v>
          </cell>
          <cell r="K9"/>
        </row>
        <row r="10">
          <cell r="D10" t="str">
            <v>J-05-30</v>
          </cell>
          <cell r="E10" t="str">
            <v>Aciclovir</v>
          </cell>
          <cell r="F10" t="str">
            <v>Suspensión</v>
          </cell>
          <cell r="G10" t="str">
            <v>200 mg/5 ml</v>
          </cell>
          <cell r="H10" t="str">
            <v>J05AB01</v>
          </cell>
          <cell r="I10"/>
          <cell r="J10">
            <v>70.67</v>
          </cell>
          <cell r="K10" t="str">
            <v>100 ML</v>
          </cell>
        </row>
        <row r="11">
          <cell r="D11" t="str">
            <v>J-05-42</v>
          </cell>
          <cell r="E11" t="str">
            <v>Aciclovir</v>
          </cell>
          <cell r="F11" t="str">
            <v>Comprimido</v>
          </cell>
          <cell r="G11" t="str">
            <v>200 mg</v>
          </cell>
          <cell r="H11" t="str">
            <v>J05AB01</v>
          </cell>
          <cell r="I11"/>
          <cell r="J11">
            <v>2.2999999999999998</v>
          </cell>
          <cell r="K11"/>
        </row>
        <row r="12">
          <cell r="D12" t="str">
            <v>J-05-43</v>
          </cell>
          <cell r="E12" t="str">
            <v>Aciclovir</v>
          </cell>
          <cell r="F12" t="str">
            <v>Comprimido</v>
          </cell>
          <cell r="G12" t="str">
            <v>800 mg</v>
          </cell>
          <cell r="H12" t="str">
            <v>J05AB01</v>
          </cell>
          <cell r="I12"/>
          <cell r="J12">
            <v>7.75</v>
          </cell>
          <cell r="K12"/>
        </row>
        <row r="13">
          <cell r="D13" t="str">
            <v>J-05-44</v>
          </cell>
          <cell r="E13" t="str">
            <v>Aciclovir</v>
          </cell>
          <cell r="F13" t="str">
            <v>Inyectable</v>
          </cell>
          <cell r="G13" t="str">
            <v>250 mg</v>
          </cell>
          <cell r="H13" t="str">
            <v>J05AB01</v>
          </cell>
          <cell r="I13"/>
          <cell r="J13">
            <v>47.5</v>
          </cell>
          <cell r="K13"/>
        </row>
        <row r="14">
          <cell r="D14" t="str">
            <v>J-05-45</v>
          </cell>
          <cell r="E14" t="str">
            <v>Aciclovir</v>
          </cell>
          <cell r="F14" t="str">
            <v>Inyectable</v>
          </cell>
          <cell r="G14" t="str">
            <v>500 mg</v>
          </cell>
          <cell r="H14" t="str">
            <v>J05AB01</v>
          </cell>
          <cell r="I14"/>
          <cell r="J14">
            <v>47.5</v>
          </cell>
          <cell r="K14"/>
        </row>
        <row r="15">
          <cell r="D15" t="str">
            <v>S-01-01</v>
          </cell>
          <cell r="E15" t="str">
            <v>Aciclovir</v>
          </cell>
          <cell r="F15" t="str">
            <v>Crema o Pomada oftálmica</v>
          </cell>
          <cell r="G15">
            <v>0.03</v>
          </cell>
          <cell r="H15" t="str">
            <v>S01AD03</v>
          </cell>
          <cell r="I15"/>
          <cell r="J15">
            <v>40.566111111111098</v>
          </cell>
          <cell r="K15" t="str">
            <v>5 G</v>
          </cell>
        </row>
        <row r="16">
          <cell r="D16" t="str">
            <v>G-01-01</v>
          </cell>
          <cell r="E16" t="str">
            <v>Ácido acético (Ácido tricloroacético)</v>
          </cell>
          <cell r="F16" t="str">
            <v>Solución tópica</v>
          </cell>
          <cell r="G16">
            <v>0.5</v>
          </cell>
          <cell r="H16" t="str">
            <v>G01AD02</v>
          </cell>
          <cell r="I16"/>
          <cell r="J16">
            <v>74.06</v>
          </cell>
          <cell r="K16" t="str">
            <v>5 ML</v>
          </cell>
        </row>
        <row r="17">
          <cell r="D17" t="str">
            <v>B-01-01</v>
          </cell>
          <cell r="E17" t="str">
            <v>Ácido acetil salicílico</v>
          </cell>
          <cell r="F17" t="str">
            <v>Comprimido</v>
          </cell>
          <cell r="G17" t="str">
            <v>100 mg</v>
          </cell>
          <cell r="H17" t="str">
            <v>B01AC06</v>
          </cell>
          <cell r="I17"/>
          <cell r="J17">
            <v>0.37</v>
          </cell>
          <cell r="K17"/>
        </row>
        <row r="18">
          <cell r="D18" t="str">
            <v>N-02-01</v>
          </cell>
          <cell r="E18" t="str">
            <v>Ácido acetil salicílico</v>
          </cell>
          <cell r="F18" t="str">
            <v>Comprimido</v>
          </cell>
          <cell r="G18" t="str">
            <v>500 mg</v>
          </cell>
          <cell r="H18" t="str">
            <v>N02BA01</v>
          </cell>
          <cell r="I18"/>
          <cell r="J18">
            <v>0.32</v>
          </cell>
          <cell r="K18"/>
        </row>
        <row r="19">
          <cell r="D19" t="str">
            <v>M-05-03</v>
          </cell>
          <cell r="E19" t="str">
            <v>Ácido Alendrónico (Alendronato)</v>
          </cell>
          <cell r="F19" t="str">
            <v>Comprimido</v>
          </cell>
          <cell r="G19" t="str">
            <v>70 mg</v>
          </cell>
          <cell r="H19" t="str">
            <v>M05BA04</v>
          </cell>
          <cell r="I19"/>
          <cell r="J19">
            <v>6.65</v>
          </cell>
          <cell r="K19"/>
        </row>
        <row r="20">
          <cell r="D20" t="str">
            <v>B-02-01</v>
          </cell>
          <cell r="E20" t="str">
            <v>Ácido aminocapróico</v>
          </cell>
          <cell r="F20" t="str">
            <v>Inyectable</v>
          </cell>
          <cell r="G20" t="str">
            <v>2g /10 ml</v>
          </cell>
          <cell r="H20" t="str">
            <v>B02AA01</v>
          </cell>
          <cell r="I20"/>
          <cell r="J20">
            <v>60.32</v>
          </cell>
          <cell r="K20" t="str">
            <v>10 ML</v>
          </cell>
        </row>
        <row r="21">
          <cell r="D21" t="str">
            <v>A-11-02</v>
          </cell>
          <cell r="E21" t="str">
            <v>Ácido Ascorbico (Vitamina C)</v>
          </cell>
          <cell r="F21" t="str">
            <v>Inyectable</v>
          </cell>
          <cell r="G21" t="str">
            <v>500 mg/ml (2 ml)</v>
          </cell>
          <cell r="H21" t="str">
            <v>A11GA01</v>
          </cell>
          <cell r="I21"/>
          <cell r="J21">
            <v>2.2000000000000002</v>
          </cell>
          <cell r="K21" t="str">
            <v>1 ML</v>
          </cell>
        </row>
        <row r="22">
          <cell r="D22" t="str">
            <v>A-11-03</v>
          </cell>
          <cell r="E22" t="str">
            <v>Ácido Ascórbico (Vitamina C)</v>
          </cell>
          <cell r="F22" t="str">
            <v>Solución oral gotas</v>
          </cell>
          <cell r="G22" t="str">
            <v>Según disponibilidad</v>
          </cell>
          <cell r="H22" t="str">
            <v>A11GA01</v>
          </cell>
          <cell r="I22"/>
          <cell r="J22">
            <v>20.3</v>
          </cell>
          <cell r="K22" t="str">
            <v>30 ML</v>
          </cell>
        </row>
        <row r="23">
          <cell r="D23" t="str">
            <v>B-03-01</v>
          </cell>
          <cell r="E23" t="str">
            <v>Ácido fólico</v>
          </cell>
          <cell r="F23" t="str">
            <v>Comprimido</v>
          </cell>
          <cell r="G23" t="str">
            <v>5 mg</v>
          </cell>
          <cell r="H23" t="str">
            <v>B03BB01</v>
          </cell>
          <cell r="I23"/>
          <cell r="J23">
            <v>0.46</v>
          </cell>
          <cell r="K23"/>
        </row>
        <row r="24">
          <cell r="D24" t="str">
            <v>B-03-10</v>
          </cell>
          <cell r="E24" t="str">
            <v>Ácido Fólico</v>
          </cell>
          <cell r="F24" t="str">
            <v>Comprimido</v>
          </cell>
          <cell r="G24" t="str">
            <v>800 mcg</v>
          </cell>
          <cell r="H24" t="str">
            <v>B03BB01</v>
          </cell>
          <cell r="I24"/>
          <cell r="J24">
            <v>0.57999999999999996</v>
          </cell>
          <cell r="K24"/>
        </row>
        <row r="25">
          <cell r="D25" t="str">
            <v>J-01-01</v>
          </cell>
          <cell r="E25" t="str">
            <v>Ácido nalidíxico</v>
          </cell>
          <cell r="F25" t="str">
            <v>Comprimido</v>
          </cell>
          <cell r="G25" t="str">
            <v>500 mg</v>
          </cell>
          <cell r="H25" t="str">
            <v>J01MB02</v>
          </cell>
          <cell r="I25"/>
          <cell r="J25">
            <v>1.66</v>
          </cell>
          <cell r="K25"/>
        </row>
        <row r="26">
          <cell r="D26" t="str">
            <v>J-01-02</v>
          </cell>
          <cell r="E26" t="str">
            <v>Ácido nalidíxico</v>
          </cell>
          <cell r="F26" t="str">
            <v>Suspensión</v>
          </cell>
          <cell r="G26" t="str">
            <v>250 mg/5 ml</v>
          </cell>
          <cell r="H26" t="str">
            <v>J01MB02</v>
          </cell>
          <cell r="I26"/>
          <cell r="J26">
            <v>29.16</v>
          </cell>
          <cell r="K26" t="str">
            <v>120 ML</v>
          </cell>
        </row>
        <row r="27">
          <cell r="D27" t="str">
            <v>J-01-03</v>
          </cell>
          <cell r="E27" t="str">
            <v>Ácido nalidíxico</v>
          </cell>
          <cell r="F27" t="str">
            <v>Suspensión</v>
          </cell>
          <cell r="G27" t="str">
            <v>125 mg/5 ml</v>
          </cell>
          <cell r="H27" t="str">
            <v>J01MB02</v>
          </cell>
          <cell r="I27"/>
          <cell r="J27">
            <v>20</v>
          </cell>
          <cell r="K27" t="str">
            <v>120 ML</v>
          </cell>
        </row>
        <row r="28">
          <cell r="D28" t="str">
            <v>J-04-11</v>
          </cell>
          <cell r="E28" t="str">
            <v>Acido p-aminosalicilico</v>
          </cell>
          <cell r="F28" t="str">
            <v>Polvo para solución oral</v>
          </cell>
          <cell r="G28" t="str">
            <v>4 g</v>
          </cell>
          <cell r="H28" t="str">
            <v>J04AA01</v>
          </cell>
          <cell r="I28"/>
          <cell r="J28">
            <v>14.33</v>
          </cell>
          <cell r="K28"/>
        </row>
        <row r="29">
          <cell r="D29" t="str">
            <v>D-01-01</v>
          </cell>
          <cell r="E29" t="str">
            <v>Ácido salicílico</v>
          </cell>
          <cell r="F29" t="str">
            <v>Solución tópica</v>
          </cell>
          <cell r="G29">
            <v>0.05</v>
          </cell>
          <cell r="H29" t="str">
            <v>D01AE12</v>
          </cell>
          <cell r="I29"/>
          <cell r="J29">
            <v>27.102499999999999</v>
          </cell>
          <cell r="K29"/>
        </row>
        <row r="30">
          <cell r="D30" t="str">
            <v>B-02-06</v>
          </cell>
          <cell r="E30" t="str">
            <v>Ácido Tranexámico</v>
          </cell>
          <cell r="F30" t="str">
            <v>Inyectable</v>
          </cell>
          <cell r="G30" t="str">
            <v xml:space="preserve">500 mg </v>
          </cell>
          <cell r="H30" t="str">
            <v>B02AA02</v>
          </cell>
          <cell r="I30" t="str">
            <v>R</v>
          </cell>
          <cell r="J30">
            <v>26.574285714285701</v>
          </cell>
          <cell r="K30"/>
        </row>
        <row r="31">
          <cell r="D31" t="str">
            <v>B-02-07</v>
          </cell>
          <cell r="E31" t="str">
            <v>Ácido Tranexámico</v>
          </cell>
          <cell r="F31" t="str">
            <v>Comprimido</v>
          </cell>
          <cell r="G31" t="str">
            <v>500 mg</v>
          </cell>
          <cell r="H31" t="str">
            <v>B02AA02</v>
          </cell>
          <cell r="I31"/>
          <cell r="J31">
            <v>10</v>
          </cell>
          <cell r="K31"/>
        </row>
        <row r="32">
          <cell r="D32" t="str">
            <v>A-05-01</v>
          </cell>
          <cell r="E32" t="str">
            <v>Ácido Ursodeoxicólico</v>
          </cell>
          <cell r="F32" t="str">
            <v>Cápsula</v>
          </cell>
          <cell r="G32" t="str">
            <v>250 mg</v>
          </cell>
          <cell r="H32" t="str">
            <v>A05AA02</v>
          </cell>
          <cell r="I32"/>
          <cell r="J32">
            <v>9.27</v>
          </cell>
          <cell r="K32"/>
        </row>
        <row r="33">
          <cell r="D33" t="str">
            <v>N-03-01</v>
          </cell>
          <cell r="E33" t="str">
            <v>Ácido Valpróico ó Valproato sódico</v>
          </cell>
          <cell r="F33" t="str">
            <v>Jarabe o Solución oral</v>
          </cell>
          <cell r="G33" t="str">
            <v>200 mg/5 ml</v>
          </cell>
          <cell r="H33" t="str">
            <v>N03AG01</v>
          </cell>
          <cell r="I33"/>
          <cell r="J33">
            <v>73.104666666666702</v>
          </cell>
          <cell r="K33" t="str">
            <v>40 ML</v>
          </cell>
        </row>
        <row r="34">
          <cell r="D34" t="str">
            <v>N-03-02</v>
          </cell>
          <cell r="E34" t="str">
            <v>Ácido Valpróico ó Valproato sódico</v>
          </cell>
          <cell r="F34" t="str">
            <v>Jarabe o Solución oral</v>
          </cell>
          <cell r="G34" t="str">
            <v>250 mg/5 ml</v>
          </cell>
          <cell r="H34" t="str">
            <v>N03AG01</v>
          </cell>
          <cell r="I34"/>
          <cell r="J34">
            <v>90.72</v>
          </cell>
          <cell r="K34" t="str">
            <v>100 ML</v>
          </cell>
        </row>
        <row r="35">
          <cell r="D35" t="str">
            <v>N-03-03</v>
          </cell>
          <cell r="E35" t="str">
            <v>Ácido Valpróico ó Valproato sódico</v>
          </cell>
          <cell r="F35" t="str">
            <v>Cápsula o Comprimido</v>
          </cell>
          <cell r="G35" t="str">
            <v>500 mg</v>
          </cell>
          <cell r="H35" t="str">
            <v>N03AG01</v>
          </cell>
          <cell r="I35"/>
          <cell r="J35">
            <v>3.9435555555555601</v>
          </cell>
          <cell r="K35"/>
        </row>
        <row r="36">
          <cell r="D36" t="str">
            <v>N-03-22</v>
          </cell>
          <cell r="E36" t="str">
            <v>Ácido Valpróico ó Valproato sódico</v>
          </cell>
          <cell r="F36" t="str">
            <v>Jarabe o Solución Oral</v>
          </cell>
          <cell r="G36" t="str">
            <v>200 mg/ml</v>
          </cell>
          <cell r="H36" t="str">
            <v>N03AG01</v>
          </cell>
          <cell r="I36"/>
          <cell r="J36">
            <v>99.06</v>
          </cell>
          <cell r="K36" t="str">
            <v>40 ML</v>
          </cell>
        </row>
        <row r="37">
          <cell r="D37" t="str">
            <v>M-05-04</v>
          </cell>
          <cell r="E37" t="str">
            <v>Ácido Zoledrónico</v>
          </cell>
          <cell r="F37" t="str">
            <v>Inyectable</v>
          </cell>
          <cell r="G37" t="str">
            <v>4 mg</v>
          </cell>
          <cell r="H37" t="str">
            <v>M05BA08</v>
          </cell>
          <cell r="I37" t="str">
            <v>R</v>
          </cell>
          <cell r="J37">
            <v>486.30916666666701</v>
          </cell>
          <cell r="K37"/>
        </row>
        <row r="38">
          <cell r="D38" t="str">
            <v>C-01-01</v>
          </cell>
          <cell r="E38" t="str">
            <v>Adenosina</v>
          </cell>
          <cell r="F38" t="str">
            <v>Inyectable</v>
          </cell>
          <cell r="G38" t="str">
            <v>6 mg/2 ml</v>
          </cell>
          <cell r="H38" t="str">
            <v>C01EB10</v>
          </cell>
          <cell r="I38"/>
          <cell r="J38">
            <v>85.39</v>
          </cell>
          <cell r="K38"/>
        </row>
        <row r="39">
          <cell r="D39" t="str">
            <v>B-05-12</v>
          </cell>
          <cell r="E39" t="str">
            <v>Agentes con gelatina</v>
          </cell>
          <cell r="F39" t="str">
            <v>Solución parenteral de gran volúmen</v>
          </cell>
          <cell r="G39" t="str">
            <v>Según disponibilidad</v>
          </cell>
          <cell r="H39" t="str">
            <v>B05AA06</v>
          </cell>
          <cell r="I39"/>
          <cell r="J39">
            <v>197.08875</v>
          </cell>
          <cell r="K39" t="str">
            <v>500 ML</v>
          </cell>
        </row>
        <row r="40">
          <cell r="D40" t="str">
            <v>B-05-01</v>
          </cell>
          <cell r="E40" t="str">
            <v>Agua para inyección</v>
          </cell>
          <cell r="F40" t="str">
            <v>Inyectable</v>
          </cell>
          <cell r="G40" t="str">
            <v>5 ml</v>
          </cell>
          <cell r="H40" t="str">
            <v>B05X**</v>
          </cell>
          <cell r="I40"/>
          <cell r="J40">
            <v>1</v>
          </cell>
          <cell r="K40"/>
        </row>
        <row r="41">
          <cell r="D41" t="str">
            <v>P-02-01</v>
          </cell>
          <cell r="E41" t="str">
            <v>Albendazol</v>
          </cell>
          <cell r="F41" t="str">
            <v>Comprimido</v>
          </cell>
          <cell r="G41" t="str">
            <v>200 mg</v>
          </cell>
          <cell r="H41" t="str">
            <v>P02CA03</v>
          </cell>
          <cell r="I41"/>
          <cell r="J41">
            <v>1.21</v>
          </cell>
          <cell r="K41"/>
        </row>
        <row r="42">
          <cell r="D42" t="str">
            <v>P-02-02</v>
          </cell>
          <cell r="E42" t="str">
            <v>Albendazol</v>
          </cell>
          <cell r="F42" t="str">
            <v>Suspensión</v>
          </cell>
          <cell r="G42" t="str">
            <v>200 mg/5 ml</v>
          </cell>
          <cell r="H42" t="str">
            <v>P02CA03</v>
          </cell>
          <cell r="I42"/>
          <cell r="J42">
            <v>9.81</v>
          </cell>
          <cell r="K42" t="str">
            <v>10 ML</v>
          </cell>
        </row>
        <row r="43">
          <cell r="D43" t="str">
            <v>B-05-02</v>
          </cell>
          <cell r="E43" t="str">
            <v>Albúmina humana</v>
          </cell>
          <cell r="F43" t="str">
            <v>Inyectable</v>
          </cell>
          <cell r="G43">
            <v>0.2</v>
          </cell>
          <cell r="H43" t="str">
            <v>B05AA01</v>
          </cell>
          <cell r="I43"/>
          <cell r="J43">
            <v>305</v>
          </cell>
          <cell r="K43"/>
        </row>
        <row r="44">
          <cell r="D44" t="str">
            <v>D-08-01</v>
          </cell>
          <cell r="E44" t="str">
            <v>Alcohol etílico (Etanol)</v>
          </cell>
          <cell r="F44" t="str">
            <v>Solución 1 l</v>
          </cell>
          <cell r="G44" t="str">
            <v>70% a 95%</v>
          </cell>
          <cell r="H44" t="str">
            <v>D08AX08</v>
          </cell>
          <cell r="I44"/>
          <cell r="J44">
            <v>22.68</v>
          </cell>
          <cell r="K44" t="str">
            <v>1 L</v>
          </cell>
        </row>
        <row r="45">
          <cell r="D45" t="str">
            <v>V-06-02</v>
          </cell>
          <cell r="E45" t="str">
            <v>Alimentos Terapéutico Listo para Uso (ATLU)</v>
          </cell>
          <cell r="F45" t="str">
            <v>Polvo, pasta o Granulado según disponibilidad</v>
          </cell>
          <cell r="G45" t="str">
            <v>Según concentración estándar</v>
          </cell>
          <cell r="H45" t="str">
            <v>V06DB**</v>
          </cell>
          <cell r="I45"/>
          <cell r="J45">
            <v>9.7151999999999994</v>
          </cell>
          <cell r="K45"/>
        </row>
        <row r="46">
          <cell r="D46" t="str">
            <v>M-04-01</v>
          </cell>
          <cell r="E46" t="str">
            <v>Alopurinol</v>
          </cell>
          <cell r="F46" t="str">
            <v>Comprimido</v>
          </cell>
          <cell r="G46" t="str">
            <v>300 mg</v>
          </cell>
          <cell r="H46" t="str">
            <v>M04AA01</v>
          </cell>
          <cell r="I46"/>
          <cell r="J46">
            <v>0.89</v>
          </cell>
          <cell r="K46"/>
        </row>
        <row r="47">
          <cell r="D47" t="str">
            <v>N-05-01</v>
          </cell>
          <cell r="E47" t="str">
            <v>Alprazolam</v>
          </cell>
          <cell r="F47" t="str">
            <v>Comprimido ranurado</v>
          </cell>
          <cell r="G47" t="str">
            <v>0,5 mg</v>
          </cell>
          <cell r="H47" t="str">
            <v>N05BA12</v>
          </cell>
          <cell r="I47"/>
          <cell r="J47">
            <v>0.94</v>
          </cell>
          <cell r="K47"/>
        </row>
        <row r="48">
          <cell r="D48" t="str">
            <v>J-02-01</v>
          </cell>
          <cell r="E48" t="str">
            <v>Amfotericina B</v>
          </cell>
          <cell r="F48" t="str">
            <v>Inyectable</v>
          </cell>
          <cell r="G48" t="str">
            <v>50 mg</v>
          </cell>
          <cell r="H48" t="str">
            <v>J02AA01</v>
          </cell>
          <cell r="I48"/>
          <cell r="J48">
            <v>135.97175899999999</v>
          </cell>
          <cell r="K48"/>
        </row>
        <row r="49">
          <cell r="D49" t="str">
            <v>J-01-04</v>
          </cell>
          <cell r="E49" t="str">
            <v>Amikacina</v>
          </cell>
          <cell r="F49" t="str">
            <v>Inyectable</v>
          </cell>
          <cell r="G49" t="str">
            <v>500mg /2 ml</v>
          </cell>
          <cell r="H49" t="str">
            <v>J01GB06</v>
          </cell>
          <cell r="I49"/>
          <cell r="J49">
            <v>6.17</v>
          </cell>
          <cell r="K49" t="str">
            <v>2 ML</v>
          </cell>
        </row>
        <row r="50">
          <cell r="D50" t="str">
            <v>B-05-03</v>
          </cell>
          <cell r="E50" t="str">
            <v>Aminoácidos</v>
          </cell>
          <cell r="F50" t="str">
            <v>Solución parenteral de gran volumen</v>
          </cell>
          <cell r="G50">
            <v>0.1</v>
          </cell>
          <cell r="H50" t="str">
            <v>B05BA01</v>
          </cell>
          <cell r="I50"/>
          <cell r="J50">
            <v>161.05000000000001</v>
          </cell>
          <cell r="K50" t="str">
            <v xml:space="preserve"> 500ML</v>
          </cell>
        </row>
        <row r="51">
          <cell r="D51" t="str">
            <v>R-03-01</v>
          </cell>
          <cell r="E51" t="str">
            <v>Aminofilina</v>
          </cell>
          <cell r="F51" t="str">
            <v>Inyectable</v>
          </cell>
          <cell r="G51" t="str">
            <v>250 mg / 10 ml</v>
          </cell>
          <cell r="H51" t="str">
            <v>R03DA05</v>
          </cell>
          <cell r="I51"/>
          <cell r="J51">
            <v>8.1245238095238097</v>
          </cell>
          <cell r="K51"/>
        </row>
        <row r="52">
          <cell r="D52" t="str">
            <v>R-03-02</v>
          </cell>
          <cell r="E52" t="str">
            <v>Aminofilina</v>
          </cell>
          <cell r="F52" t="str">
            <v>Comprimido</v>
          </cell>
          <cell r="G52" t="str">
            <v>200 mg</v>
          </cell>
          <cell r="H52" t="str">
            <v>R03DA05</v>
          </cell>
          <cell r="I52"/>
          <cell r="J52">
            <v>1</v>
          </cell>
          <cell r="K52"/>
        </row>
        <row r="53">
          <cell r="D53" t="str">
            <v>C-01-02</v>
          </cell>
          <cell r="E53" t="str">
            <v>Amiodarona (clorhidrato)</v>
          </cell>
          <cell r="F53" t="str">
            <v>Comprimido</v>
          </cell>
          <cell r="G53" t="str">
            <v>200 mg</v>
          </cell>
          <cell r="H53" t="str">
            <v>C01BD01</v>
          </cell>
          <cell r="I53"/>
          <cell r="J53">
            <v>2.57</v>
          </cell>
          <cell r="K53"/>
        </row>
        <row r="54">
          <cell r="D54" t="str">
            <v>C-01-03</v>
          </cell>
          <cell r="E54" t="str">
            <v>Amiodarona (clorhidrato)</v>
          </cell>
          <cell r="F54" t="str">
            <v>Inyectable</v>
          </cell>
          <cell r="G54" t="str">
            <v>50 mg/ml</v>
          </cell>
          <cell r="H54" t="str">
            <v>C01BD01</v>
          </cell>
          <cell r="I54"/>
          <cell r="J54">
            <v>7.01</v>
          </cell>
          <cell r="K54"/>
        </row>
        <row r="55">
          <cell r="D55" t="str">
            <v>N-06-01</v>
          </cell>
          <cell r="E55" t="str">
            <v>Amitriptilina</v>
          </cell>
          <cell r="F55" t="str">
            <v>Comprimido ranurado</v>
          </cell>
          <cell r="G55" t="str">
            <v>25 mg</v>
          </cell>
          <cell r="H55" t="str">
            <v>N06AA09</v>
          </cell>
          <cell r="I55"/>
          <cell r="J55">
            <v>0.47</v>
          </cell>
          <cell r="K55"/>
        </row>
        <row r="56">
          <cell r="D56" t="str">
            <v>C-08-07</v>
          </cell>
          <cell r="E56" t="str">
            <v>Amlodipina</v>
          </cell>
          <cell r="F56" t="str">
            <v>Comprimido</v>
          </cell>
          <cell r="G56" t="str">
            <v>10 mg</v>
          </cell>
          <cell r="H56" t="str">
            <v>C08CA01</v>
          </cell>
          <cell r="I56"/>
          <cell r="J56">
            <v>0.63</v>
          </cell>
          <cell r="K56"/>
        </row>
        <row r="57">
          <cell r="D57" t="str">
            <v>J-01-05</v>
          </cell>
          <cell r="E57" t="str">
            <v>Amoxicilina</v>
          </cell>
          <cell r="F57" t="str">
            <v>Comprimido</v>
          </cell>
          <cell r="G57" t="str">
            <v>1 g</v>
          </cell>
          <cell r="H57" t="str">
            <v>J01CA04</v>
          </cell>
          <cell r="I57"/>
          <cell r="J57">
            <v>1.22</v>
          </cell>
          <cell r="K57" t="str">
            <v>1 G</v>
          </cell>
        </row>
        <row r="58">
          <cell r="D58" t="str">
            <v>J-01-06</v>
          </cell>
          <cell r="E58" t="str">
            <v>Amoxicilina</v>
          </cell>
          <cell r="F58" t="str">
            <v>Comprimido</v>
          </cell>
          <cell r="G58" t="str">
            <v>500 mg</v>
          </cell>
          <cell r="H58" t="str">
            <v>J01CA05</v>
          </cell>
          <cell r="I58"/>
          <cell r="J58">
            <v>0.57999999999999996</v>
          </cell>
          <cell r="K58"/>
        </row>
        <row r="59">
          <cell r="D59" t="str">
            <v>J-01-08</v>
          </cell>
          <cell r="E59" t="str">
            <v>Amoxicilina</v>
          </cell>
          <cell r="F59" t="str">
            <v>Inyectable</v>
          </cell>
          <cell r="G59" t="str">
            <v>1 g</v>
          </cell>
          <cell r="H59" t="str">
            <v>J01CA06</v>
          </cell>
          <cell r="I59"/>
          <cell r="J59">
            <v>8.08</v>
          </cell>
          <cell r="K59"/>
        </row>
        <row r="60">
          <cell r="D60" t="str">
            <v>J-01-57</v>
          </cell>
          <cell r="E60" t="str">
            <v>Amoxicilina</v>
          </cell>
          <cell r="F60" t="str">
            <v>Suspensión</v>
          </cell>
          <cell r="G60" t="str">
            <v>500 mg/5 ml</v>
          </cell>
          <cell r="H60" t="str">
            <v>J01CA07</v>
          </cell>
          <cell r="I60"/>
          <cell r="J60">
            <v>12.72</v>
          </cell>
          <cell r="K60" t="str">
            <v>60 ML</v>
          </cell>
        </row>
        <row r="61">
          <cell r="D61" t="str">
            <v>J-01-09</v>
          </cell>
          <cell r="E61" t="str">
            <v>Amoxicilina + inhibidor betalactamasa</v>
          </cell>
          <cell r="F61" t="str">
            <v>Comprimido</v>
          </cell>
          <cell r="G61" t="str">
            <v>500 mg + Según disponibilidad</v>
          </cell>
          <cell r="H61" t="str">
            <v>J01CR02</v>
          </cell>
          <cell r="I61"/>
          <cell r="J61">
            <v>6.36</v>
          </cell>
          <cell r="K61" t="str">
            <v>500 MG/125 MG</v>
          </cell>
        </row>
        <row r="62">
          <cell r="D62" t="str">
            <v>J-01-10</v>
          </cell>
          <cell r="E62" t="str">
            <v>Amoxicilina + inhibidor betalactamasa</v>
          </cell>
          <cell r="F62" t="str">
            <v>Suspensión</v>
          </cell>
          <cell r="G62" t="str">
            <v>250 mg + Según disponibilidad</v>
          </cell>
          <cell r="H62" t="str">
            <v>J01CR02</v>
          </cell>
          <cell r="I62"/>
          <cell r="J62">
            <v>56.36</v>
          </cell>
          <cell r="K62" t="str">
            <v>100 ML</v>
          </cell>
        </row>
        <row r="63">
          <cell r="D63" t="str">
            <v>J-01-11</v>
          </cell>
          <cell r="E63" t="str">
            <v>Amoxicilina + inhibidor betalactamasa</v>
          </cell>
          <cell r="F63" t="str">
            <v>Inyectable</v>
          </cell>
          <cell r="G63" t="str">
            <v>1 g + Según disponibilidad</v>
          </cell>
          <cell r="H63" t="str">
            <v>J01CR02</v>
          </cell>
          <cell r="I63"/>
          <cell r="J63">
            <v>24.11</v>
          </cell>
          <cell r="K63" t="str">
            <v>1 G + 500 MG</v>
          </cell>
        </row>
        <row r="64">
          <cell r="D64" t="str">
            <v>J-01-71</v>
          </cell>
          <cell r="E64" t="str">
            <v>Amoxicilina + inhibidor betalactamasa</v>
          </cell>
          <cell r="F64" t="str">
            <v>Comprimido</v>
          </cell>
          <cell r="G64" t="str">
            <v>875 mg + Según disponibilidad</v>
          </cell>
          <cell r="H64" t="str">
            <v>J01CR03</v>
          </cell>
          <cell r="I64"/>
          <cell r="J64">
            <v>6.9</v>
          </cell>
          <cell r="K64"/>
        </row>
        <row r="65">
          <cell r="D65" t="str">
            <v>J-01-12</v>
          </cell>
          <cell r="E65" t="str">
            <v>Ampicilina</v>
          </cell>
          <cell r="F65" t="str">
            <v>Inyectable</v>
          </cell>
          <cell r="G65" t="str">
            <v>1 g</v>
          </cell>
          <cell r="H65" t="str">
            <v>J01CA01</v>
          </cell>
          <cell r="I65"/>
          <cell r="J65">
            <v>5</v>
          </cell>
          <cell r="K65"/>
        </row>
        <row r="66">
          <cell r="D66" t="str">
            <v>L-02-01</v>
          </cell>
          <cell r="E66" t="str">
            <v>Anastrozol</v>
          </cell>
          <cell r="F66" t="str">
            <v>Comprimido</v>
          </cell>
          <cell r="G66" t="str">
            <v>1 mg</v>
          </cell>
          <cell r="H66" t="str">
            <v>L02BG03</v>
          </cell>
          <cell r="I66"/>
          <cell r="J66">
            <v>10.4488095238095</v>
          </cell>
          <cell r="K66"/>
        </row>
        <row r="67">
          <cell r="D67" t="str">
            <v>R-05-01</v>
          </cell>
          <cell r="E67" t="str">
            <v>Antigripal (Paracetamol + Antihistamínico + Vasoconstrictor con o sin Cafeína)</v>
          </cell>
          <cell r="F67" t="str">
            <v>Comprimido</v>
          </cell>
          <cell r="G67" t="str">
            <v>Según disponibilidad</v>
          </cell>
          <cell r="H67" t="str">
            <v>R05X**</v>
          </cell>
          <cell r="I67"/>
          <cell r="J67">
            <v>0.54</v>
          </cell>
          <cell r="K67"/>
        </row>
        <row r="68">
          <cell r="D68" t="str">
            <v>J-06-01</v>
          </cell>
          <cell r="E68" t="str">
            <v>Antitóxina tetánica</v>
          </cell>
          <cell r="F68" t="str">
            <v>Inyectable</v>
          </cell>
          <cell r="G68" t="str">
            <v>Norma PAI según disponibilidad</v>
          </cell>
          <cell r="H68" t="str">
            <v>J06AA02</v>
          </cell>
          <cell r="I68"/>
          <cell r="J68">
            <v>50.24</v>
          </cell>
          <cell r="K68"/>
        </row>
        <row r="69">
          <cell r="D69" t="str">
            <v>N-05-15</v>
          </cell>
          <cell r="E69" t="str">
            <v>Aripiprazol</v>
          </cell>
          <cell r="F69" t="str">
            <v>Comprimido</v>
          </cell>
          <cell r="G69" t="str">
            <v>10 mg</v>
          </cell>
          <cell r="H69" t="str">
            <v>N05AX12</v>
          </cell>
          <cell r="I69" t="str">
            <v>R</v>
          </cell>
          <cell r="J69">
            <v>9.2650000000000006</v>
          </cell>
          <cell r="K69"/>
        </row>
        <row r="70">
          <cell r="D70" t="str">
            <v>N-05-16</v>
          </cell>
          <cell r="E70" t="str">
            <v>Aripiprazol</v>
          </cell>
          <cell r="F70" t="str">
            <v>Comprimido</v>
          </cell>
          <cell r="G70" t="str">
            <v>15 mg</v>
          </cell>
          <cell r="H70" t="str">
            <v>N05AX12</v>
          </cell>
          <cell r="I70" t="str">
            <v>R</v>
          </cell>
          <cell r="J70">
            <v>11.342499999999999</v>
          </cell>
          <cell r="K70"/>
        </row>
        <row r="71">
          <cell r="D71" t="str">
            <v>P-01-23</v>
          </cell>
          <cell r="E71" t="str">
            <v>Artemeter + Lumefantrina</v>
          </cell>
          <cell r="F71" t="str">
            <v>Comprimido</v>
          </cell>
          <cell r="G71" t="str">
            <v>20 mg + 120 mg</v>
          </cell>
          <cell r="H71" t="str">
            <v>P01BF01</v>
          </cell>
          <cell r="I71"/>
          <cell r="J71">
            <v>0.3</v>
          </cell>
          <cell r="K71"/>
        </row>
        <row r="72">
          <cell r="D72" t="str">
            <v>P-01-01</v>
          </cell>
          <cell r="E72" t="str">
            <v>Artesunato</v>
          </cell>
          <cell r="F72" t="str">
            <v>Comprimido</v>
          </cell>
          <cell r="G72" t="str">
            <v>50 mg</v>
          </cell>
          <cell r="H72" t="str">
            <v>P01BE03</v>
          </cell>
          <cell r="I72"/>
          <cell r="J72">
            <v>3.67</v>
          </cell>
          <cell r="K72"/>
        </row>
        <row r="73">
          <cell r="D73" t="str">
            <v>P-01-24</v>
          </cell>
          <cell r="E73" t="str">
            <v xml:space="preserve">Artesunato </v>
          </cell>
          <cell r="F73" t="str">
            <v>Inyectable</v>
          </cell>
          <cell r="G73" t="str">
            <v>60 mg</v>
          </cell>
          <cell r="H73" t="str">
            <v>P01BE03</v>
          </cell>
          <cell r="I73"/>
          <cell r="J73">
            <v>3.31</v>
          </cell>
          <cell r="K73"/>
        </row>
        <row r="74">
          <cell r="D74" t="str">
            <v>P-01-21</v>
          </cell>
          <cell r="E74" t="str">
            <v>Artesunato + Mefloquina</v>
          </cell>
          <cell r="F74" t="str">
            <v>Comprimido</v>
          </cell>
          <cell r="G74" t="str">
            <v>25 mg + 55 mg</v>
          </cell>
          <cell r="H74" t="str">
            <v>P01BE03</v>
          </cell>
          <cell r="I74"/>
          <cell r="J74">
            <v>1.1499999999999999</v>
          </cell>
          <cell r="K74"/>
        </row>
        <row r="75">
          <cell r="D75" t="str">
            <v>P-01-22</v>
          </cell>
          <cell r="E75" t="str">
            <v>Artesunato + Mefloquina</v>
          </cell>
          <cell r="F75" t="str">
            <v>Comprimido</v>
          </cell>
          <cell r="G75" t="str">
            <v>100 mg + 220 mg</v>
          </cell>
          <cell r="H75" t="str">
            <v>P01BE03</v>
          </cell>
          <cell r="I75"/>
          <cell r="J75">
            <v>2.33</v>
          </cell>
          <cell r="K75"/>
        </row>
        <row r="76">
          <cell r="D76" t="str">
            <v>L-01-21</v>
          </cell>
          <cell r="E76" t="str">
            <v>Asparaginasa</v>
          </cell>
          <cell r="F76" t="str">
            <v>Inyectable</v>
          </cell>
          <cell r="G76" t="str">
            <v>10.000 UI</v>
          </cell>
          <cell r="H76" t="str">
            <v>L01XX02</v>
          </cell>
          <cell r="I76"/>
          <cell r="J76">
            <v>1626.2474999999999</v>
          </cell>
          <cell r="K76"/>
        </row>
        <row r="77">
          <cell r="D77" t="str">
            <v>J-05-31</v>
          </cell>
          <cell r="E77" t="str">
            <v>Atazanavir (sulfato)</v>
          </cell>
          <cell r="F77" t="str">
            <v>Cápsula o Comprimido</v>
          </cell>
          <cell r="G77" t="str">
            <v>300 mg</v>
          </cell>
          <cell r="H77" t="str">
            <v>J05AE08</v>
          </cell>
          <cell r="I77" t="str">
            <v>R</v>
          </cell>
          <cell r="J77">
            <v>7.47</v>
          </cell>
          <cell r="K77"/>
        </row>
        <row r="78">
          <cell r="D78" t="str">
            <v>J-05-39</v>
          </cell>
          <cell r="E78" t="str">
            <v>Atazanavir + Ritonavir</v>
          </cell>
          <cell r="F78" t="str">
            <v>Cápsula o Comprimido</v>
          </cell>
          <cell r="G78" t="str">
            <v>300 mg + 100 mg</v>
          </cell>
          <cell r="H78" t="str">
            <v>J05AR**</v>
          </cell>
          <cell r="I78"/>
          <cell r="J78">
            <v>6.07</v>
          </cell>
          <cell r="K78"/>
        </row>
        <row r="79">
          <cell r="D79" t="str">
            <v>C-07-01</v>
          </cell>
          <cell r="E79" t="str">
            <v>Atenolol</v>
          </cell>
          <cell r="F79" t="str">
            <v>Comprimido ranurado</v>
          </cell>
          <cell r="G79" t="str">
            <v>100 mg</v>
          </cell>
          <cell r="H79" t="str">
            <v>C07AB03</v>
          </cell>
          <cell r="I79"/>
          <cell r="J79">
            <v>0.57999999999999996</v>
          </cell>
          <cell r="K79"/>
        </row>
        <row r="80">
          <cell r="D80" t="str">
            <v>C-10-01</v>
          </cell>
          <cell r="E80" t="str">
            <v>Atorvastatina</v>
          </cell>
          <cell r="F80" t="str">
            <v>Comprimido</v>
          </cell>
          <cell r="G80" t="str">
            <v>10 mg</v>
          </cell>
          <cell r="H80" t="str">
            <v>C10AA05</v>
          </cell>
          <cell r="I80"/>
          <cell r="J80">
            <v>0.97</v>
          </cell>
          <cell r="K80"/>
        </row>
        <row r="81">
          <cell r="D81" t="str">
            <v>C-10-05</v>
          </cell>
          <cell r="E81" t="str">
            <v>Atorvastatina</v>
          </cell>
          <cell r="F81" t="str">
            <v>Comprimido</v>
          </cell>
          <cell r="G81" t="str">
            <v>20 mg</v>
          </cell>
          <cell r="H81" t="str">
            <v>C10AA05</v>
          </cell>
          <cell r="I81"/>
          <cell r="J81">
            <v>1.17</v>
          </cell>
          <cell r="K81"/>
        </row>
        <row r="82">
          <cell r="D82" t="str">
            <v>M-03-01</v>
          </cell>
          <cell r="E82" t="str">
            <v>Atracurio besilato</v>
          </cell>
          <cell r="F82" t="str">
            <v>Inyectable</v>
          </cell>
          <cell r="G82" t="str">
            <v>10 mg/ml</v>
          </cell>
          <cell r="H82" t="str">
            <v>M03AC04</v>
          </cell>
          <cell r="I82"/>
          <cell r="J82">
            <v>27</v>
          </cell>
          <cell r="K82"/>
        </row>
        <row r="83">
          <cell r="D83" t="str">
            <v>A-03-01</v>
          </cell>
          <cell r="E83" t="str">
            <v>Atropina sulfato</v>
          </cell>
          <cell r="F83" t="str">
            <v>Inyectable</v>
          </cell>
          <cell r="G83" t="str">
            <v>1 mg/ml</v>
          </cell>
          <cell r="H83" t="str">
            <v>A03BA01</v>
          </cell>
          <cell r="I83"/>
          <cell r="J83">
            <v>3.63</v>
          </cell>
          <cell r="K83"/>
        </row>
        <row r="84">
          <cell r="D84" t="str">
            <v>S-01-02</v>
          </cell>
          <cell r="E84" t="str">
            <v>Atropina sulfato</v>
          </cell>
          <cell r="F84" t="str">
            <v>Solución oftálmica</v>
          </cell>
          <cell r="G84">
            <v>0.01</v>
          </cell>
          <cell r="H84" t="str">
            <v>S01FA01</v>
          </cell>
          <cell r="I84"/>
          <cell r="J84">
            <v>29.6</v>
          </cell>
          <cell r="K84"/>
        </row>
        <row r="85">
          <cell r="D85" t="str">
            <v>L-04-01</v>
          </cell>
          <cell r="E85" t="str">
            <v>Azatioprina</v>
          </cell>
          <cell r="F85" t="str">
            <v>Comprimido</v>
          </cell>
          <cell r="G85" t="str">
            <v>50 mg</v>
          </cell>
          <cell r="H85" t="str">
            <v>L04AX01</v>
          </cell>
          <cell r="I85"/>
          <cell r="J85">
            <v>3.3867857142857098</v>
          </cell>
          <cell r="K85"/>
        </row>
        <row r="86">
          <cell r="D86" t="str">
            <v>L-04-02</v>
          </cell>
          <cell r="E86" t="str">
            <v>Azatioprina</v>
          </cell>
          <cell r="F86" t="str">
            <v>Inyectable</v>
          </cell>
          <cell r="G86" t="str">
            <v>20 mg/ml</v>
          </cell>
          <cell r="H86" t="str">
            <v>L04AX01</v>
          </cell>
          <cell r="I86"/>
          <cell r="J86">
            <v>214.77</v>
          </cell>
          <cell r="K86"/>
        </row>
        <row r="87">
          <cell r="D87" t="str">
            <v>J-01-13</v>
          </cell>
          <cell r="E87" t="str">
            <v>Azitromicina</v>
          </cell>
          <cell r="F87" t="str">
            <v>Comprimido</v>
          </cell>
          <cell r="G87" t="str">
            <v>500 mg</v>
          </cell>
          <cell r="H87" t="str">
            <v>J01FA10</v>
          </cell>
          <cell r="I87"/>
          <cell r="J87">
            <v>5.56</v>
          </cell>
          <cell r="K87"/>
        </row>
        <row r="88">
          <cell r="D88" t="str">
            <v>J-01-62</v>
          </cell>
          <cell r="E88" t="str">
            <v>Azitromicina</v>
          </cell>
          <cell r="F88" t="str">
            <v>Suspensión</v>
          </cell>
          <cell r="G88" t="str">
            <v>200 mg/5 ml</v>
          </cell>
          <cell r="H88" t="str">
            <v>J01FA10</v>
          </cell>
          <cell r="I88"/>
          <cell r="J88">
            <v>32.11</v>
          </cell>
          <cell r="K88" t="str">
            <v>30 ML</v>
          </cell>
        </row>
        <row r="89">
          <cell r="D89" t="str">
            <v>D-01-02</v>
          </cell>
          <cell r="E89" t="str">
            <v>Bacitracina + Neomicina sulfato</v>
          </cell>
          <cell r="F89" t="str">
            <v>Crema o Pomada</v>
          </cell>
          <cell r="G89" t="str">
            <v>500 UI + 5 mg/g</v>
          </cell>
          <cell r="H89" t="str">
            <v>D01AA20</v>
          </cell>
          <cell r="I89"/>
          <cell r="J89">
            <v>6.9</v>
          </cell>
          <cell r="K89" t="str">
            <v>10 G</v>
          </cell>
        </row>
        <row r="90">
          <cell r="D90" t="str">
            <v>L-04-09</v>
          </cell>
          <cell r="E90" t="str">
            <v>Basiliximab</v>
          </cell>
          <cell r="F90" t="str">
            <v>Polvo para inyectable</v>
          </cell>
          <cell r="G90" t="str">
            <v>20 mg</v>
          </cell>
          <cell r="H90" t="str">
            <v>L04AA09</v>
          </cell>
          <cell r="I90" t="str">
            <v>R</v>
          </cell>
          <cell r="J90">
            <v>16013.62</v>
          </cell>
          <cell r="K90"/>
        </row>
        <row r="91">
          <cell r="D91" t="str">
            <v>R-03-03</v>
          </cell>
          <cell r="E91" t="str">
            <v>Beclometasona dipropionato</v>
          </cell>
          <cell r="F91" t="str">
            <v>Aerosol</v>
          </cell>
          <cell r="G91" t="str">
            <v>50 mcg/inhalación</v>
          </cell>
          <cell r="H91" t="str">
            <v>R03BA01</v>
          </cell>
          <cell r="I91"/>
          <cell r="J91">
            <v>67.691000000000003</v>
          </cell>
          <cell r="K91" t="str">
            <v>200 dósis</v>
          </cell>
        </row>
        <row r="92">
          <cell r="D92" t="str">
            <v>J-04-18</v>
          </cell>
          <cell r="E92" t="str">
            <v xml:space="preserve">Bedaquilina </v>
          </cell>
          <cell r="F92" t="str">
            <v xml:space="preserve">Comprimido </v>
          </cell>
          <cell r="G92" t="str">
            <v>100 mg</v>
          </cell>
          <cell r="H92" t="str">
            <v>J04AK05</v>
          </cell>
          <cell r="I92"/>
          <cell r="J92">
            <v>53.05</v>
          </cell>
          <cell r="K92"/>
        </row>
        <row r="93">
          <cell r="D93" t="str">
            <v>J-01-14</v>
          </cell>
          <cell r="E93" t="str">
            <v>Bencilpenicilina benzatínica</v>
          </cell>
          <cell r="F93" t="str">
            <v>Inyectable</v>
          </cell>
          <cell r="G93" t="str">
            <v>600.000 UI</v>
          </cell>
          <cell r="H93" t="str">
            <v>J01CE08</v>
          </cell>
          <cell r="I93"/>
          <cell r="J93">
            <v>5.09</v>
          </cell>
          <cell r="K93"/>
        </row>
        <row r="94">
          <cell r="D94" t="str">
            <v>J-01-15</v>
          </cell>
          <cell r="E94" t="str">
            <v>Bencilpenicilina benzatínica</v>
          </cell>
          <cell r="F94" t="str">
            <v>Inyectable</v>
          </cell>
          <cell r="G94" t="str">
            <v>1.200.000 UI</v>
          </cell>
          <cell r="H94" t="str">
            <v>J01CE09</v>
          </cell>
          <cell r="I94"/>
          <cell r="J94">
            <v>6</v>
          </cell>
          <cell r="K94"/>
        </row>
        <row r="95">
          <cell r="D95" t="str">
            <v>J-01-16</v>
          </cell>
          <cell r="E95" t="str">
            <v>Bencilpenicilina benzatínica</v>
          </cell>
          <cell r="F95" t="str">
            <v>Inyectable</v>
          </cell>
          <cell r="G95" t="str">
            <v>2.400.000 UI</v>
          </cell>
          <cell r="H95" t="str">
            <v>J01CE10</v>
          </cell>
          <cell r="I95"/>
          <cell r="J95">
            <v>11.22</v>
          </cell>
          <cell r="K95"/>
        </row>
        <row r="96">
          <cell r="D96" t="str">
            <v>J-01-17</v>
          </cell>
          <cell r="E96" t="str">
            <v>Bencilpenicilina procaínica</v>
          </cell>
          <cell r="F96" t="str">
            <v>Inyectable</v>
          </cell>
          <cell r="G96" t="str">
            <v>400.000 UI</v>
          </cell>
          <cell r="H96" t="str">
            <v>J01CE09</v>
          </cell>
          <cell r="I96"/>
          <cell r="J96">
            <v>5.83</v>
          </cell>
          <cell r="K96"/>
        </row>
        <row r="97">
          <cell r="D97" t="str">
            <v>J-01-18</v>
          </cell>
          <cell r="E97" t="str">
            <v>Bencilpenicilina procaínica</v>
          </cell>
          <cell r="F97" t="str">
            <v>Inyectable</v>
          </cell>
          <cell r="G97" t="str">
            <v>800.000 UI</v>
          </cell>
          <cell r="H97" t="str">
            <v>J01CE10</v>
          </cell>
          <cell r="I97"/>
          <cell r="J97">
            <v>6.84</v>
          </cell>
          <cell r="K97"/>
        </row>
        <row r="98">
          <cell r="D98" t="str">
            <v>J-01-19</v>
          </cell>
          <cell r="E98" t="str">
            <v>Bencilpenicilina sódica</v>
          </cell>
          <cell r="F98" t="str">
            <v>Inyectable</v>
          </cell>
          <cell r="G98" t="str">
            <v>1.000.000 UI</v>
          </cell>
          <cell r="H98" t="str">
            <v>J01CE01</v>
          </cell>
          <cell r="I98"/>
          <cell r="J98">
            <v>5.4</v>
          </cell>
          <cell r="K98"/>
        </row>
        <row r="99">
          <cell r="D99" t="str">
            <v>J-01-20</v>
          </cell>
          <cell r="E99" t="str">
            <v>Bencilpenicilina sódica</v>
          </cell>
          <cell r="F99" t="str">
            <v>Inyectable</v>
          </cell>
          <cell r="G99" t="str">
            <v>30.000.000 UI</v>
          </cell>
          <cell r="H99" t="str">
            <v>J01CE01</v>
          </cell>
          <cell r="I99"/>
          <cell r="J99">
            <v>35.6</v>
          </cell>
          <cell r="K99"/>
        </row>
        <row r="100">
          <cell r="D100" t="str">
            <v>P-01-02</v>
          </cell>
          <cell r="E100" t="str">
            <v>Benznidazol</v>
          </cell>
          <cell r="F100" t="str">
            <v>Comprimido</v>
          </cell>
          <cell r="G100" t="str">
            <v>100 mg</v>
          </cell>
          <cell r="H100" t="str">
            <v>P01CA02</v>
          </cell>
          <cell r="I100"/>
          <cell r="J100">
            <v>8.5350000000000001</v>
          </cell>
          <cell r="K100"/>
        </row>
        <row r="101">
          <cell r="D101" t="str">
            <v>P-01-25</v>
          </cell>
          <cell r="E101" t="str">
            <v>Benznidazol</v>
          </cell>
          <cell r="F101" t="str">
            <v>Comprimido</v>
          </cell>
          <cell r="G101" t="str">
            <v>12,5 mg</v>
          </cell>
          <cell r="H101" t="str">
            <v>P01CA02</v>
          </cell>
          <cell r="I101"/>
          <cell r="J101">
            <v>1.07</v>
          </cell>
          <cell r="K101"/>
        </row>
        <row r="102">
          <cell r="D102" t="str">
            <v>P-01-28</v>
          </cell>
          <cell r="E102" t="str">
            <v>Benznidazol</v>
          </cell>
          <cell r="F102" t="str">
            <v>Comprimido</v>
          </cell>
          <cell r="G102" t="str">
            <v>50 mg</v>
          </cell>
          <cell r="H102" t="str">
            <v>P01CA02</v>
          </cell>
          <cell r="I102"/>
          <cell r="J102">
            <v>4.1500000000000004</v>
          </cell>
          <cell r="K102"/>
        </row>
        <row r="103">
          <cell r="D103" t="str">
            <v>P-03-01</v>
          </cell>
          <cell r="E103" t="str">
            <v>Benzoato de bencilo</v>
          </cell>
          <cell r="F103" t="str">
            <v>Solución o Loción</v>
          </cell>
          <cell r="G103" t="str">
            <v>20% o 25%</v>
          </cell>
          <cell r="H103" t="str">
            <v>P03AX01</v>
          </cell>
          <cell r="I103"/>
          <cell r="J103">
            <v>9.3800000000000008</v>
          </cell>
          <cell r="K103" t="str">
            <v>100 ML</v>
          </cell>
        </row>
        <row r="104">
          <cell r="D104" t="str">
            <v>H-02-01</v>
          </cell>
          <cell r="E104" t="str">
            <v>Betametasona (fosfato)</v>
          </cell>
          <cell r="F104" t="str">
            <v>Inyectable</v>
          </cell>
          <cell r="G104" t="str">
            <v>4 mg</v>
          </cell>
          <cell r="H104" t="str">
            <v>H02AB01</v>
          </cell>
          <cell r="I104"/>
          <cell r="J104">
            <v>6.5</v>
          </cell>
          <cell r="K104"/>
        </row>
        <row r="105">
          <cell r="D105" t="str">
            <v>D-07-01</v>
          </cell>
          <cell r="E105" t="str">
            <v>Betametasona (valerato)</v>
          </cell>
          <cell r="F105" t="str">
            <v>Crema o Pomada</v>
          </cell>
          <cell r="G105" t="str">
            <v>0,1%</v>
          </cell>
          <cell r="H105" t="str">
            <v>D07AC01</v>
          </cell>
          <cell r="I105"/>
          <cell r="J105">
            <v>9.48</v>
          </cell>
          <cell r="K105" t="str">
            <v>15 G</v>
          </cell>
        </row>
        <row r="106">
          <cell r="D106" t="str">
            <v>L-01-36</v>
          </cell>
          <cell r="E106" t="str">
            <v>Bevacizumab</v>
          </cell>
          <cell r="F106" t="str">
            <v>Inyectable</v>
          </cell>
          <cell r="G106" t="str">
            <v>25 mg/ml</v>
          </cell>
          <cell r="H106" t="str">
            <v>L01XC07</v>
          </cell>
          <cell r="I106"/>
          <cell r="J106">
            <v>5782.7371249999997</v>
          </cell>
          <cell r="K106"/>
        </row>
        <row r="107">
          <cell r="D107" t="str">
            <v>L-02-12</v>
          </cell>
          <cell r="E107" t="str">
            <v>Bicalutamida</v>
          </cell>
          <cell r="F107" t="str">
            <v>Comprimido</v>
          </cell>
          <cell r="G107" t="str">
            <v>50 mg</v>
          </cell>
          <cell r="H107" t="str">
            <v>L02BB03</v>
          </cell>
          <cell r="I107" t="str">
            <v>R</v>
          </cell>
          <cell r="J107">
            <v>8.33</v>
          </cell>
          <cell r="K107"/>
        </row>
        <row r="108">
          <cell r="D108" t="str">
            <v>A-01-01</v>
          </cell>
          <cell r="E108" t="str">
            <v>Bicarbonato de sodio</v>
          </cell>
          <cell r="F108" t="str">
            <v>Polvo</v>
          </cell>
          <cell r="G108" t="str">
            <v>20 g</v>
          </cell>
          <cell r="H108" t="str">
            <v>A01AB11</v>
          </cell>
          <cell r="I108"/>
          <cell r="J108">
            <v>2.11</v>
          </cell>
          <cell r="K108"/>
        </row>
        <row r="109">
          <cell r="D109" t="str">
            <v>B-05-04</v>
          </cell>
          <cell r="E109" t="str">
            <v>Bicarbonato de sodio</v>
          </cell>
          <cell r="F109" t="str">
            <v>Inyectable</v>
          </cell>
          <cell r="G109">
            <v>0.08</v>
          </cell>
          <cell r="H109" t="str">
            <v>B05XA02</v>
          </cell>
          <cell r="I109"/>
          <cell r="J109">
            <v>8.06</v>
          </cell>
          <cell r="K109"/>
        </row>
        <row r="110">
          <cell r="D110" t="str">
            <v>B-05-05</v>
          </cell>
          <cell r="E110" t="str">
            <v>Bicarbonato de sodio p/hemodiálisis</v>
          </cell>
          <cell r="F110" t="str">
            <v>Polvo</v>
          </cell>
          <cell r="G110" t="str">
            <v>Frasco por 720 g</v>
          </cell>
          <cell r="H110" t="str">
            <v>B05CB04</v>
          </cell>
          <cell r="I110"/>
          <cell r="J110">
            <v>189.42</v>
          </cell>
          <cell r="K110"/>
        </row>
        <row r="111">
          <cell r="D111" t="str">
            <v>N-04-01</v>
          </cell>
          <cell r="E111" t="str">
            <v>Biperideno clorhidrato</v>
          </cell>
          <cell r="F111" t="str">
            <v>Comprimido</v>
          </cell>
          <cell r="G111" t="str">
            <v>4 mg</v>
          </cell>
          <cell r="H111" t="str">
            <v>N04AA02</v>
          </cell>
          <cell r="I111"/>
          <cell r="J111">
            <v>4.2</v>
          </cell>
          <cell r="K111"/>
        </row>
        <row r="112">
          <cell r="D112" t="str">
            <v>A-06-02</v>
          </cell>
          <cell r="E112" t="str">
            <v>Bisacodilo</v>
          </cell>
          <cell r="F112" t="str">
            <v>Comprimido</v>
          </cell>
          <cell r="G112" t="str">
            <v>5 mg</v>
          </cell>
          <cell r="H112" t="str">
            <v>A06AB02</v>
          </cell>
          <cell r="I112"/>
          <cell r="J112">
            <v>0.97</v>
          </cell>
          <cell r="K112"/>
        </row>
        <row r="113">
          <cell r="D113" t="str">
            <v>C-07-06</v>
          </cell>
          <cell r="E113" t="str">
            <v>Bisoprolol</v>
          </cell>
          <cell r="F113" t="str">
            <v>Comprimido</v>
          </cell>
          <cell r="G113" t="str">
            <v xml:space="preserve">5 mg </v>
          </cell>
          <cell r="H113" t="str">
            <v>C07AB07</v>
          </cell>
          <cell r="I113"/>
          <cell r="J113">
            <v>2.96</v>
          </cell>
          <cell r="K113"/>
        </row>
        <row r="114">
          <cell r="D114" t="str">
            <v>L-01-01</v>
          </cell>
          <cell r="E114" t="str">
            <v>Bleomicina</v>
          </cell>
          <cell r="F114" t="str">
            <v>Inyectable</v>
          </cell>
          <cell r="G114" t="str">
            <v>15 UI</v>
          </cell>
          <cell r="H114" t="str">
            <v>L01DC01</v>
          </cell>
          <cell r="I114"/>
          <cell r="J114">
            <v>304.60833333333301</v>
          </cell>
          <cell r="K114"/>
        </row>
        <row r="115">
          <cell r="D115" t="str">
            <v>L-01-55</v>
          </cell>
          <cell r="E115" t="str">
            <v xml:space="preserve">Bortezomib </v>
          </cell>
          <cell r="F115" t="str">
            <v>Polvo para inyectable</v>
          </cell>
          <cell r="G115" t="str">
            <v>3,5 mg</v>
          </cell>
          <cell r="H115" t="str">
            <v>L01XX32</v>
          </cell>
          <cell r="I115" t="str">
            <v>R</v>
          </cell>
          <cell r="J115">
            <v>13800</v>
          </cell>
          <cell r="K115"/>
        </row>
        <row r="116">
          <cell r="D116" t="str">
            <v>G-02-01</v>
          </cell>
          <cell r="E116" t="str">
            <v>Bromocriptina</v>
          </cell>
          <cell r="F116" t="str">
            <v>Comprimido</v>
          </cell>
          <cell r="G116" t="str">
            <v>2,5 mg</v>
          </cell>
          <cell r="H116" t="str">
            <v>G02CB01</v>
          </cell>
          <cell r="I116"/>
          <cell r="J116">
            <v>4.47</v>
          </cell>
          <cell r="K116"/>
        </row>
        <row r="117">
          <cell r="D117" t="str">
            <v>G-02-02</v>
          </cell>
          <cell r="E117" t="str">
            <v>Bromocriptina</v>
          </cell>
          <cell r="F117" t="str">
            <v>Comprimido</v>
          </cell>
          <cell r="G117" t="str">
            <v>5 mg</v>
          </cell>
          <cell r="H117" t="str">
            <v>G02CB01</v>
          </cell>
          <cell r="I117"/>
          <cell r="J117">
            <v>7.2</v>
          </cell>
          <cell r="K117"/>
        </row>
        <row r="118">
          <cell r="D118" t="str">
            <v>R-03-12</v>
          </cell>
          <cell r="E118" t="str">
            <v>Budesonida</v>
          </cell>
          <cell r="F118" t="str">
            <v>Aerosol</v>
          </cell>
          <cell r="G118" t="str">
            <v>100 mcg</v>
          </cell>
          <cell r="H118" t="str">
            <v>R03BA02</v>
          </cell>
          <cell r="I118"/>
          <cell r="J118">
            <v>129.655</v>
          </cell>
          <cell r="K118" t="str">
            <v>20 ML</v>
          </cell>
        </row>
        <row r="119">
          <cell r="D119" t="str">
            <v>N-01-01</v>
          </cell>
          <cell r="E119" t="str">
            <v>Bupivacaina clorhidrato</v>
          </cell>
          <cell r="F119" t="str">
            <v>Inyectable</v>
          </cell>
          <cell r="G119" t="str">
            <v>0,5%</v>
          </cell>
          <cell r="H119" t="str">
            <v>N01BB01</v>
          </cell>
          <cell r="I119"/>
          <cell r="J119">
            <v>18</v>
          </cell>
          <cell r="K119"/>
        </row>
        <row r="120">
          <cell r="D120" t="str">
            <v>N-01-02</v>
          </cell>
          <cell r="E120" t="str">
            <v>Bupivacaina clorhidrato (pesada)</v>
          </cell>
          <cell r="F120" t="str">
            <v>Inyectable</v>
          </cell>
          <cell r="G120" t="str">
            <v>0,5%</v>
          </cell>
          <cell r="H120" t="str">
            <v>N01BB01</v>
          </cell>
          <cell r="I120"/>
          <cell r="J120">
            <v>13.322628205128201</v>
          </cell>
          <cell r="K120"/>
        </row>
        <row r="121">
          <cell r="D121" t="str">
            <v>N-01-03</v>
          </cell>
          <cell r="E121" t="str">
            <v>Bupivacaina clorhidrato con Epinefrina sin conservante</v>
          </cell>
          <cell r="F121" t="str">
            <v>Inyectable</v>
          </cell>
          <cell r="G121" t="str">
            <v xml:space="preserve">0,5% 1:200.000 </v>
          </cell>
          <cell r="H121" t="str">
            <v>N01BB51</v>
          </cell>
          <cell r="I121"/>
          <cell r="J121">
            <v>24</v>
          </cell>
          <cell r="K121" t="str">
            <v>20 ML</v>
          </cell>
        </row>
        <row r="122">
          <cell r="D122" t="str">
            <v>L-01-02</v>
          </cell>
          <cell r="E122" t="str">
            <v>Busulfano</v>
          </cell>
          <cell r="F122" t="str">
            <v>Comprimido</v>
          </cell>
          <cell r="G122" t="str">
            <v>2 mg</v>
          </cell>
          <cell r="H122" t="str">
            <v>L01AB01</v>
          </cell>
          <cell r="I122"/>
          <cell r="J122">
            <v>9.39</v>
          </cell>
          <cell r="K122"/>
        </row>
        <row r="123">
          <cell r="D123" t="str">
            <v>A-03-02</v>
          </cell>
          <cell r="E123" t="str">
            <v>Butilbromuro de Hioscina (Butilescopolamina)</v>
          </cell>
          <cell r="F123" t="str">
            <v>Comprimido</v>
          </cell>
          <cell r="G123" t="str">
            <v>10 mg</v>
          </cell>
          <cell r="H123" t="str">
            <v>A03BB01</v>
          </cell>
          <cell r="I123"/>
          <cell r="J123">
            <v>1.55</v>
          </cell>
          <cell r="K123"/>
        </row>
        <row r="124">
          <cell r="D124" t="str">
            <v>A-03-03</v>
          </cell>
          <cell r="E124" t="str">
            <v>Butilbromuro de Hioscina (Butilescopolamina)</v>
          </cell>
          <cell r="F124" t="str">
            <v>Solución oral gotas</v>
          </cell>
          <cell r="G124" t="str">
            <v>0,1%</v>
          </cell>
          <cell r="H124" t="str">
            <v>A03BB01</v>
          </cell>
          <cell r="I124"/>
          <cell r="J124">
            <v>25.4</v>
          </cell>
          <cell r="K124"/>
        </row>
        <row r="125">
          <cell r="D125" t="str">
            <v>A-03-04</v>
          </cell>
          <cell r="E125" t="str">
            <v>Butilbromuro de Hioscina (Butilescopolamina)</v>
          </cell>
          <cell r="F125" t="str">
            <v>Inyectable</v>
          </cell>
          <cell r="G125" t="str">
            <v>20 mg/ml</v>
          </cell>
          <cell r="H125" t="str">
            <v>A03BB01</v>
          </cell>
          <cell r="I125"/>
          <cell r="J125">
            <v>4.79</v>
          </cell>
          <cell r="K125"/>
        </row>
        <row r="126">
          <cell r="D126" t="str">
            <v>G-02-11</v>
          </cell>
          <cell r="E126" t="str">
            <v>Cabergolina</v>
          </cell>
          <cell r="F126" t="str">
            <v>Comprimido</v>
          </cell>
          <cell r="G126" t="str">
            <v>0,5 mg</v>
          </cell>
          <cell r="H126" t="str">
            <v>G02CB03</v>
          </cell>
          <cell r="I126"/>
          <cell r="J126">
            <v>42.637500000000003</v>
          </cell>
          <cell r="K126"/>
        </row>
        <row r="127">
          <cell r="D127" t="str">
            <v>N-06-09</v>
          </cell>
          <cell r="E127" t="str">
            <v>Cafeína Citrato</v>
          </cell>
          <cell r="F127" t="str">
            <v>Inyectable</v>
          </cell>
          <cell r="G127" t="str">
            <v>20 mg/ml</v>
          </cell>
          <cell r="H127" t="str">
            <v>N06BC01</v>
          </cell>
          <cell r="I127"/>
          <cell r="J127">
            <v>120</v>
          </cell>
          <cell r="K127" t="str">
            <v>3 ML</v>
          </cell>
        </row>
        <row r="128">
          <cell r="D128" t="str">
            <v>A-12-01</v>
          </cell>
          <cell r="E128" t="str">
            <v>Calcio (carbonato o citrato)</v>
          </cell>
          <cell r="F128" t="str">
            <v>Comprimido</v>
          </cell>
          <cell r="G128" t="str">
            <v>500 mg (ión calcio)</v>
          </cell>
          <cell r="H128" t="str">
            <v>A12AA04</v>
          </cell>
          <cell r="I128"/>
          <cell r="J128">
            <v>2.0699999999999998</v>
          </cell>
          <cell r="K128"/>
        </row>
        <row r="129">
          <cell r="D129" t="str">
            <v>A-12-02</v>
          </cell>
          <cell r="E129" t="str">
            <v>Calcio + Vitamina D</v>
          </cell>
          <cell r="F129" t="str">
            <v>Comprimido o Cápsula</v>
          </cell>
          <cell r="G129" t="str">
            <v>500 mg (ión calcio); Según disponibilidad</v>
          </cell>
          <cell r="H129" t="str">
            <v>A12AX**</v>
          </cell>
          <cell r="I129"/>
          <cell r="J129">
            <v>0.62</v>
          </cell>
          <cell r="K129"/>
        </row>
        <row r="130">
          <cell r="D130" t="str">
            <v>L-01-03</v>
          </cell>
          <cell r="E130" t="str">
            <v>Capecitabine</v>
          </cell>
          <cell r="F130" t="str">
            <v>Comprimido</v>
          </cell>
          <cell r="G130" t="str">
            <v>500 mg</v>
          </cell>
          <cell r="H130" t="str">
            <v>L01BC06</v>
          </cell>
          <cell r="I130"/>
          <cell r="J130">
            <v>13.3921428571429</v>
          </cell>
          <cell r="K130"/>
        </row>
        <row r="131">
          <cell r="D131" t="str">
            <v>J-04-12</v>
          </cell>
          <cell r="E131" t="str">
            <v>Capreomicina</v>
          </cell>
          <cell r="F131" t="str">
            <v>Inyectable</v>
          </cell>
          <cell r="G131" t="str">
            <v>1 g</v>
          </cell>
          <cell r="H131" t="str">
            <v>J04AB30</v>
          </cell>
          <cell r="I131"/>
          <cell r="J131">
            <v>41.48</v>
          </cell>
          <cell r="K131"/>
        </row>
        <row r="132">
          <cell r="D132" t="str">
            <v>N-03-04</v>
          </cell>
          <cell r="E132" t="str">
            <v>Carbamazepina</v>
          </cell>
          <cell r="F132" t="str">
            <v>Comprimido</v>
          </cell>
          <cell r="G132" t="str">
            <v>200 mg</v>
          </cell>
          <cell r="H132" t="str">
            <v>N03AF01</v>
          </cell>
          <cell r="I132"/>
          <cell r="J132">
            <v>0.47</v>
          </cell>
          <cell r="K132"/>
        </row>
        <row r="133">
          <cell r="D133" t="str">
            <v>N-03-05</v>
          </cell>
          <cell r="E133" t="str">
            <v>Carbamazepina</v>
          </cell>
          <cell r="F133" t="str">
            <v>Suspensión o Jarabe</v>
          </cell>
          <cell r="G133" t="str">
            <v>2% (100 mg/5 ml)</v>
          </cell>
          <cell r="H133" t="str">
            <v>N03AF01</v>
          </cell>
          <cell r="I133"/>
          <cell r="J133">
            <v>50.79</v>
          </cell>
          <cell r="K133"/>
        </row>
        <row r="134">
          <cell r="D134" t="str">
            <v>H-01-05</v>
          </cell>
          <cell r="E134" t="str">
            <v>Carbetocina</v>
          </cell>
          <cell r="F134" t="str">
            <v>Inyectable</v>
          </cell>
          <cell r="G134" t="str">
            <v>100 mcg/ml</v>
          </cell>
          <cell r="H134" t="str">
            <v>H01BB03</v>
          </cell>
          <cell r="I134" t="str">
            <v>R</v>
          </cell>
          <cell r="J134">
            <v>261.8</v>
          </cell>
          <cell r="K134"/>
        </row>
        <row r="135">
          <cell r="D135" t="str">
            <v>A-07-01</v>
          </cell>
          <cell r="E135" t="str">
            <v>Carbón medicinal activado</v>
          </cell>
          <cell r="F135" t="str">
            <v>Polvo</v>
          </cell>
          <cell r="G135" t="str">
            <v>Según disponibilidad</v>
          </cell>
          <cell r="H135" t="str">
            <v>A07BA01</v>
          </cell>
          <cell r="I135"/>
          <cell r="J135">
            <v>2.77</v>
          </cell>
          <cell r="K135"/>
        </row>
        <row r="136">
          <cell r="D136" t="str">
            <v>L-01-04</v>
          </cell>
          <cell r="E136" t="str">
            <v>Carboplatino</v>
          </cell>
          <cell r="F136" t="str">
            <v>Inyectable</v>
          </cell>
          <cell r="G136" t="str">
            <v>450 mg</v>
          </cell>
          <cell r="H136" t="str">
            <v>L01XA02</v>
          </cell>
          <cell r="I136"/>
          <cell r="J136">
            <v>426.09500000000003</v>
          </cell>
          <cell r="K136"/>
        </row>
        <row r="137">
          <cell r="D137" t="str">
            <v>L-01-32</v>
          </cell>
          <cell r="E137" t="str">
            <v>Carboplatino</v>
          </cell>
          <cell r="F137" t="str">
            <v>Inyectable</v>
          </cell>
          <cell r="G137" t="str">
            <v>150 mg</v>
          </cell>
          <cell r="H137" t="str">
            <v>L01XA02</v>
          </cell>
          <cell r="I137"/>
          <cell r="J137">
            <v>208.34375</v>
          </cell>
          <cell r="K137"/>
        </row>
        <row r="138">
          <cell r="D138" t="str">
            <v>C-07-04</v>
          </cell>
          <cell r="E138" t="str">
            <v>Carvedilol</v>
          </cell>
          <cell r="F138" t="str">
            <v>Comprimido</v>
          </cell>
          <cell r="G138" t="str">
            <v>6,25 mg</v>
          </cell>
          <cell r="H138" t="str">
            <v>C07AG02</v>
          </cell>
          <cell r="I138"/>
          <cell r="J138">
            <v>1.93</v>
          </cell>
          <cell r="K138"/>
        </row>
        <row r="139">
          <cell r="D139" t="str">
            <v>C-07-05</v>
          </cell>
          <cell r="E139" t="str">
            <v>Carvedilol</v>
          </cell>
          <cell r="F139" t="str">
            <v>Comprimido</v>
          </cell>
          <cell r="G139" t="str">
            <v>12,5 mg</v>
          </cell>
          <cell r="H139" t="str">
            <v>C07AG02</v>
          </cell>
          <cell r="I139"/>
          <cell r="J139">
            <v>2.12</v>
          </cell>
          <cell r="K139"/>
        </row>
        <row r="140">
          <cell r="D140" t="str">
            <v>J-01-21</v>
          </cell>
          <cell r="E140" t="str">
            <v>Cefazolina</v>
          </cell>
          <cell r="F140" t="str">
            <v>Inyectable</v>
          </cell>
          <cell r="G140" t="str">
            <v>1 g</v>
          </cell>
          <cell r="H140" t="str">
            <v>J01DB04</v>
          </cell>
          <cell r="I140"/>
          <cell r="J140">
            <v>10.78</v>
          </cell>
          <cell r="K140"/>
        </row>
        <row r="141">
          <cell r="D141" t="str">
            <v>J-01-74</v>
          </cell>
          <cell r="E141" t="str">
            <v xml:space="preserve">Cefepima </v>
          </cell>
          <cell r="F141" t="str">
            <v>Inyectable</v>
          </cell>
          <cell r="G141" t="str">
            <v>1g</v>
          </cell>
          <cell r="H141" t="str">
            <v>J01DE01</v>
          </cell>
          <cell r="I141"/>
          <cell r="J141">
            <v>120</v>
          </cell>
          <cell r="K141" t="str">
            <v>15 ML</v>
          </cell>
        </row>
        <row r="142">
          <cell r="D142" t="str">
            <v>J-01-58</v>
          </cell>
          <cell r="E142" t="str">
            <v>Cefixima</v>
          </cell>
          <cell r="F142" t="str">
            <v>Comprimido o Cápsula</v>
          </cell>
          <cell r="G142" t="str">
            <v>400 mg</v>
          </cell>
          <cell r="H142" t="str">
            <v>J01DD08</v>
          </cell>
          <cell r="I142" t="str">
            <v>R</v>
          </cell>
          <cell r="J142">
            <v>7.38</v>
          </cell>
          <cell r="K142"/>
        </row>
        <row r="143">
          <cell r="D143" t="str">
            <v>J-01-63</v>
          </cell>
          <cell r="E143" t="str">
            <v>Cefixima</v>
          </cell>
          <cell r="F143" t="str">
            <v>Suspensión</v>
          </cell>
          <cell r="G143" t="str">
            <v>100 mg/5 ml</v>
          </cell>
          <cell r="H143" t="str">
            <v>J01DD08</v>
          </cell>
          <cell r="I143"/>
          <cell r="J143">
            <v>38.58</v>
          </cell>
          <cell r="K143" t="str">
            <v>50 ML</v>
          </cell>
        </row>
        <row r="144">
          <cell r="D144" t="str">
            <v>J-01-22</v>
          </cell>
          <cell r="E144" t="str">
            <v>Cefotaxima</v>
          </cell>
          <cell r="F144" t="str">
            <v>Inyectable</v>
          </cell>
          <cell r="G144" t="str">
            <v>1 g</v>
          </cell>
          <cell r="H144" t="str">
            <v>J01DD01</v>
          </cell>
          <cell r="I144"/>
          <cell r="J144">
            <v>7.35</v>
          </cell>
          <cell r="K144"/>
        </row>
        <row r="145">
          <cell r="D145" t="str">
            <v>J-01-23</v>
          </cell>
          <cell r="E145" t="str">
            <v>Cefradina</v>
          </cell>
          <cell r="F145" t="str">
            <v>Cápsula o Comprimido</v>
          </cell>
          <cell r="G145" t="str">
            <v>500 mg</v>
          </cell>
          <cell r="H145" t="str">
            <v>J01DB09</v>
          </cell>
          <cell r="I145"/>
          <cell r="J145">
            <v>2.23</v>
          </cell>
          <cell r="K145"/>
        </row>
        <row r="146">
          <cell r="D146" t="str">
            <v>J-01-24</v>
          </cell>
          <cell r="E146" t="str">
            <v>Cefradina</v>
          </cell>
          <cell r="F146" t="str">
            <v>Suspensión</v>
          </cell>
          <cell r="G146" t="str">
            <v>250 mg/5 ml</v>
          </cell>
          <cell r="H146" t="str">
            <v>J01DB09</v>
          </cell>
          <cell r="I146"/>
          <cell r="J146">
            <v>32.4</v>
          </cell>
          <cell r="K146" t="str">
            <v>60 ML</v>
          </cell>
        </row>
        <row r="147">
          <cell r="D147" t="str">
            <v>J-01-25</v>
          </cell>
          <cell r="E147" t="str">
            <v>Ceftazidima</v>
          </cell>
          <cell r="F147" t="str">
            <v>Inyectable</v>
          </cell>
          <cell r="G147" t="str">
            <v>1 g</v>
          </cell>
          <cell r="H147" t="str">
            <v>J01DD02</v>
          </cell>
          <cell r="I147"/>
          <cell r="J147">
            <v>20.87</v>
          </cell>
          <cell r="K147"/>
        </row>
        <row r="148">
          <cell r="D148" t="str">
            <v>J-01-26</v>
          </cell>
          <cell r="E148" t="str">
            <v>Ceftriaxona</v>
          </cell>
          <cell r="F148" t="str">
            <v>Inyectable</v>
          </cell>
          <cell r="G148" t="str">
            <v>1 g</v>
          </cell>
          <cell r="H148" t="str">
            <v>J01DD04</v>
          </cell>
          <cell r="I148"/>
          <cell r="J148">
            <v>10.27</v>
          </cell>
          <cell r="K148"/>
        </row>
        <row r="149">
          <cell r="D149" t="str">
            <v>R-06-07</v>
          </cell>
          <cell r="E149" t="str">
            <v>Cetirizina</v>
          </cell>
          <cell r="F149" t="str">
            <v xml:space="preserve">Cápsula o Comprimido </v>
          </cell>
          <cell r="G149" t="str">
            <v>10 mg</v>
          </cell>
          <cell r="H149" t="str">
            <v>R06AE07</v>
          </cell>
          <cell r="I149"/>
          <cell r="J149">
            <v>0.76</v>
          </cell>
          <cell r="K149"/>
        </row>
        <row r="150">
          <cell r="D150" t="str">
            <v>R-06-08</v>
          </cell>
          <cell r="E150" t="str">
            <v>Cetirizina</v>
          </cell>
          <cell r="F150" t="str">
            <v>Jarabe</v>
          </cell>
          <cell r="G150" t="str">
            <v>5 mg/5 ml</v>
          </cell>
          <cell r="H150" t="str">
            <v>R06AE07</v>
          </cell>
          <cell r="I150"/>
          <cell r="J150">
            <v>17.77</v>
          </cell>
          <cell r="K150" t="str">
            <v>100 ML</v>
          </cell>
        </row>
        <row r="151">
          <cell r="D151" t="str">
            <v>A-11-04</v>
          </cell>
          <cell r="E151" t="str">
            <v>Cianocobalamina (Vitamina B12)</v>
          </cell>
          <cell r="F151" t="str">
            <v>Inyectable</v>
          </cell>
          <cell r="G151" t="str">
            <v>1 mg/ml</v>
          </cell>
          <cell r="H151" t="str">
            <v>A11EA**</v>
          </cell>
          <cell r="I151"/>
          <cell r="J151">
            <v>4.8899999999999997</v>
          </cell>
          <cell r="K151" t="str">
            <v>1ML</v>
          </cell>
        </row>
        <row r="152">
          <cell r="D152" t="str">
            <v>L-01-05</v>
          </cell>
          <cell r="E152" t="str">
            <v>Ciclofosfamida</v>
          </cell>
          <cell r="F152" t="str">
            <v>Inyectable</v>
          </cell>
          <cell r="G152" t="str">
            <v>500 mg</v>
          </cell>
          <cell r="H152" t="str">
            <v>L01AA01</v>
          </cell>
          <cell r="I152"/>
          <cell r="J152">
            <v>164.59</v>
          </cell>
          <cell r="K152"/>
        </row>
        <row r="153">
          <cell r="D153" t="str">
            <v>L-01-06</v>
          </cell>
          <cell r="E153" t="str">
            <v>Ciclofosfamida</v>
          </cell>
          <cell r="F153" t="str">
            <v>Inyectable</v>
          </cell>
          <cell r="G153" t="str">
            <v>1 g</v>
          </cell>
          <cell r="H153" t="str">
            <v>L01AA01</v>
          </cell>
          <cell r="I153"/>
          <cell r="J153">
            <v>216.9</v>
          </cell>
          <cell r="K153" t="str">
            <v>50 ML</v>
          </cell>
        </row>
        <row r="154">
          <cell r="D154" t="str">
            <v>L-01-07</v>
          </cell>
          <cell r="E154" t="str">
            <v>Ciclofosfamida</v>
          </cell>
          <cell r="F154" t="str">
            <v>Comprimido</v>
          </cell>
          <cell r="G154" t="str">
            <v>50 mg</v>
          </cell>
          <cell r="H154" t="str">
            <v>L01AA01</v>
          </cell>
          <cell r="I154"/>
          <cell r="J154">
            <v>5.59</v>
          </cell>
          <cell r="K154"/>
        </row>
        <row r="155">
          <cell r="D155" t="str">
            <v>J-04-01</v>
          </cell>
          <cell r="E155" t="str">
            <v>Cicloserina</v>
          </cell>
          <cell r="F155" t="str">
            <v>Cápsula</v>
          </cell>
          <cell r="G155" t="str">
            <v>250 mg</v>
          </cell>
          <cell r="H155" t="str">
            <v>J04AB01</v>
          </cell>
          <cell r="I155"/>
          <cell r="J155">
            <v>2.99</v>
          </cell>
          <cell r="K155"/>
        </row>
        <row r="156">
          <cell r="D156" t="str">
            <v>L-04-03</v>
          </cell>
          <cell r="E156" t="str">
            <v>Ciclosporina</v>
          </cell>
          <cell r="F156" t="str">
            <v>Solución oral</v>
          </cell>
          <cell r="G156" t="str">
            <v>100 mg/ml</v>
          </cell>
          <cell r="H156" t="str">
            <v>L04AA01</v>
          </cell>
          <cell r="I156"/>
          <cell r="J156">
            <v>1321.799</v>
          </cell>
          <cell r="K156"/>
        </row>
        <row r="157">
          <cell r="D157" t="str">
            <v>L-04-04</v>
          </cell>
          <cell r="E157" t="str">
            <v>Ciclosporina</v>
          </cell>
          <cell r="F157" t="str">
            <v>Cápsula blanda</v>
          </cell>
          <cell r="G157" t="str">
            <v>100 mg</v>
          </cell>
          <cell r="H157" t="str">
            <v>L04AA01</v>
          </cell>
          <cell r="I157"/>
          <cell r="J157">
            <v>15.8</v>
          </cell>
          <cell r="K157"/>
        </row>
        <row r="158">
          <cell r="D158" t="str">
            <v>L-04-05</v>
          </cell>
          <cell r="E158" t="str">
            <v>Ciclosporina</v>
          </cell>
          <cell r="F158" t="str">
            <v>Cápsula blanda</v>
          </cell>
          <cell r="G158" t="str">
            <v>25 mg</v>
          </cell>
          <cell r="H158" t="str">
            <v>L04AA01</v>
          </cell>
          <cell r="I158"/>
          <cell r="J158">
            <v>6.625</v>
          </cell>
          <cell r="K158"/>
        </row>
        <row r="159">
          <cell r="D159" t="str">
            <v>L-04-06</v>
          </cell>
          <cell r="E159" t="str">
            <v>Ciclosporina</v>
          </cell>
          <cell r="F159" t="str">
            <v>Cápsula blanda</v>
          </cell>
          <cell r="G159" t="str">
            <v>50 mg</v>
          </cell>
          <cell r="H159" t="str">
            <v>L04AA01</v>
          </cell>
          <cell r="I159"/>
          <cell r="J159">
            <v>8.9499999999999993</v>
          </cell>
          <cell r="K159"/>
        </row>
        <row r="160">
          <cell r="D160" t="str">
            <v>S-01-03</v>
          </cell>
          <cell r="E160" t="str">
            <v>Ciclosporina</v>
          </cell>
          <cell r="F160" t="str">
            <v>Solución oftálmica</v>
          </cell>
          <cell r="G160">
            <v>1E-3</v>
          </cell>
          <cell r="H160" t="str">
            <v>S01XA18</v>
          </cell>
          <cell r="I160"/>
          <cell r="J160">
            <v>221.30642499999999</v>
          </cell>
          <cell r="K160"/>
        </row>
        <row r="161">
          <cell r="D161" t="str">
            <v>J-01-27</v>
          </cell>
          <cell r="E161" t="str">
            <v>Ciprofloxacina</v>
          </cell>
          <cell r="F161" t="str">
            <v>Comprimido</v>
          </cell>
          <cell r="G161" t="str">
            <v>500 mg</v>
          </cell>
          <cell r="H161" t="str">
            <v>J01MA02</v>
          </cell>
          <cell r="I161"/>
          <cell r="J161">
            <v>0.7</v>
          </cell>
          <cell r="K161"/>
        </row>
        <row r="162">
          <cell r="D162" t="str">
            <v>J-01-28</v>
          </cell>
          <cell r="E162" t="str">
            <v>Ciprofloxacina</v>
          </cell>
          <cell r="F162" t="str">
            <v>Inyectable</v>
          </cell>
          <cell r="G162" t="str">
            <v>200 mg</v>
          </cell>
          <cell r="H162" t="str">
            <v>J01MA02</v>
          </cell>
          <cell r="I162"/>
          <cell r="J162">
            <v>11.64</v>
          </cell>
          <cell r="K162"/>
        </row>
        <row r="163">
          <cell r="D163" t="str">
            <v>J-01-61</v>
          </cell>
          <cell r="E163" t="str">
            <v>Ciprofloxacina</v>
          </cell>
          <cell r="F163" t="str">
            <v>Comprimido</v>
          </cell>
          <cell r="G163" t="str">
            <v>250 mg</v>
          </cell>
          <cell r="H163" t="str">
            <v>J01MA02</v>
          </cell>
          <cell r="I163"/>
          <cell r="J163">
            <v>1.1100000000000001</v>
          </cell>
          <cell r="K163"/>
        </row>
        <row r="164">
          <cell r="D164" t="str">
            <v>S-01-04</v>
          </cell>
          <cell r="E164" t="str">
            <v>Ciprofloxacina</v>
          </cell>
          <cell r="F164" t="str">
            <v>Solución oftálmica</v>
          </cell>
          <cell r="G164" t="str">
            <v>0,3%</v>
          </cell>
          <cell r="H164" t="str">
            <v>S01AX13</v>
          </cell>
          <cell r="I164"/>
          <cell r="J164">
            <v>22</v>
          </cell>
          <cell r="K164"/>
        </row>
        <row r="165">
          <cell r="D165" t="str">
            <v>L-02-02</v>
          </cell>
          <cell r="E165" t="str">
            <v>Ciproterona (acetato)</v>
          </cell>
          <cell r="F165" t="str">
            <v>Comprimido</v>
          </cell>
          <cell r="G165" t="str">
            <v>50 mg</v>
          </cell>
          <cell r="H165" t="str">
            <v>L02AX**</v>
          </cell>
          <cell r="I165"/>
          <cell r="J165">
            <v>6.5</v>
          </cell>
          <cell r="K165"/>
        </row>
        <row r="166">
          <cell r="D166" t="str">
            <v>G-03-01</v>
          </cell>
          <cell r="E166" t="str">
            <v>Ciproterona acetato + Estradiol valerato</v>
          </cell>
          <cell r="F166" t="str">
            <v>Comprimido</v>
          </cell>
          <cell r="G166" t="str">
            <v>2 mg + 1 mg</v>
          </cell>
          <cell r="H166" t="str">
            <v>G03HA01</v>
          </cell>
          <cell r="I166"/>
          <cell r="J166">
            <v>126</v>
          </cell>
          <cell r="K166" t="str">
            <v>Por cicLo</v>
          </cell>
        </row>
        <row r="167">
          <cell r="D167" t="str">
            <v>G-03-02</v>
          </cell>
          <cell r="E167" t="str">
            <v>Ciproterona acetato + Estradiol valerato</v>
          </cell>
          <cell r="F167" t="str">
            <v>Comprimido</v>
          </cell>
          <cell r="G167" t="str">
            <v xml:space="preserve">2 mg + 0,035 mg  </v>
          </cell>
          <cell r="H167" t="str">
            <v>G03HA01</v>
          </cell>
          <cell r="I167"/>
          <cell r="J167">
            <v>59.49</v>
          </cell>
          <cell r="K167" t="str">
            <v>Por cicLo</v>
          </cell>
        </row>
        <row r="168">
          <cell r="D168" t="str">
            <v>L-01-08</v>
          </cell>
          <cell r="E168" t="str">
            <v>Cisplatino</v>
          </cell>
          <cell r="F168" t="str">
            <v>Inyectable</v>
          </cell>
          <cell r="G168" t="str">
            <v>10 mg</v>
          </cell>
          <cell r="H168" t="str">
            <v>L01XA01</v>
          </cell>
          <cell r="I168"/>
          <cell r="J168">
            <v>75.599999999999994</v>
          </cell>
          <cell r="K168"/>
        </row>
        <row r="169">
          <cell r="D169" t="str">
            <v>L-01-09</v>
          </cell>
          <cell r="E169" t="str">
            <v>Cisplatino</v>
          </cell>
          <cell r="F169" t="str">
            <v>Inyectable</v>
          </cell>
          <cell r="G169" t="str">
            <v>50 mg</v>
          </cell>
          <cell r="H169" t="str">
            <v>L01XA01</v>
          </cell>
          <cell r="I169"/>
          <cell r="J169">
            <v>119.041666666667</v>
          </cell>
          <cell r="K169"/>
        </row>
        <row r="170">
          <cell r="D170" t="str">
            <v>L-01-10</v>
          </cell>
          <cell r="E170" t="str">
            <v>Citarabina</v>
          </cell>
          <cell r="F170" t="str">
            <v>Inyectable</v>
          </cell>
          <cell r="G170" t="str">
            <v>100 mg</v>
          </cell>
          <cell r="H170" t="str">
            <v>L01BC01</v>
          </cell>
          <cell r="I170"/>
          <cell r="J170">
            <v>56.575000000000003</v>
          </cell>
          <cell r="K170"/>
        </row>
        <row r="171">
          <cell r="D171" t="str">
            <v>L-01-11</v>
          </cell>
          <cell r="E171" t="str">
            <v>Citarabina</v>
          </cell>
          <cell r="F171" t="str">
            <v>Inyectable</v>
          </cell>
          <cell r="G171" t="str">
            <v>500 mg</v>
          </cell>
          <cell r="H171" t="str">
            <v>L01BC01</v>
          </cell>
          <cell r="I171"/>
          <cell r="J171">
            <v>180.35</v>
          </cell>
          <cell r="K171"/>
        </row>
        <row r="172">
          <cell r="D172" t="str">
            <v>J-01-29</v>
          </cell>
          <cell r="E172" t="str">
            <v>Claritromicina</v>
          </cell>
          <cell r="F172" t="str">
            <v>Comprimido</v>
          </cell>
          <cell r="G172" t="str">
            <v>500 mg</v>
          </cell>
          <cell r="H172" t="str">
            <v>J01FA09</v>
          </cell>
          <cell r="I172" t="str">
            <v>R</v>
          </cell>
          <cell r="J172">
            <v>4.12</v>
          </cell>
          <cell r="K172"/>
        </row>
        <row r="173">
          <cell r="D173" t="str">
            <v>J-01-30</v>
          </cell>
          <cell r="E173" t="str">
            <v>Claritromicina</v>
          </cell>
          <cell r="F173" t="str">
            <v>Suspensión</v>
          </cell>
          <cell r="G173" t="str">
            <v>250 mg/5 ml</v>
          </cell>
          <cell r="H173" t="str">
            <v>J01FA09</v>
          </cell>
          <cell r="I173" t="str">
            <v>R</v>
          </cell>
          <cell r="J173">
            <v>81.55</v>
          </cell>
          <cell r="K173" t="str">
            <v>80 ML</v>
          </cell>
        </row>
        <row r="174">
          <cell r="D174" t="str">
            <v>J-01-31</v>
          </cell>
          <cell r="E174" t="str">
            <v>Clindamicina</v>
          </cell>
          <cell r="F174" t="str">
            <v>Suspensión o Jarabe</v>
          </cell>
          <cell r="G174" t="str">
            <v>75 mg/5 ml</v>
          </cell>
          <cell r="H174" t="str">
            <v>J01FF01</v>
          </cell>
          <cell r="I174" t="str">
            <v>R</v>
          </cell>
          <cell r="J174">
            <v>145.25</v>
          </cell>
          <cell r="K174"/>
        </row>
        <row r="175">
          <cell r="D175" t="str">
            <v>J-01-56</v>
          </cell>
          <cell r="E175" t="str">
            <v>Clindamicina</v>
          </cell>
          <cell r="F175" t="str">
            <v>Cápsula o comprimido</v>
          </cell>
          <cell r="G175" t="str">
            <v>300 mg</v>
          </cell>
          <cell r="H175" t="str">
            <v>J01FF01</v>
          </cell>
          <cell r="I175" t="str">
            <v>R</v>
          </cell>
          <cell r="J175">
            <v>10.174583333333301</v>
          </cell>
          <cell r="K175"/>
        </row>
        <row r="176">
          <cell r="D176" t="str">
            <v>J-01-64</v>
          </cell>
          <cell r="E176" t="str">
            <v>Clindamicina</v>
          </cell>
          <cell r="F176" t="str">
            <v>Inyectable</v>
          </cell>
          <cell r="G176" t="str">
            <v>600 mg</v>
          </cell>
          <cell r="H176" t="str">
            <v>J01FF01</v>
          </cell>
          <cell r="I176"/>
          <cell r="J176">
            <v>17.2</v>
          </cell>
          <cell r="K176"/>
        </row>
        <row r="177">
          <cell r="D177" t="str">
            <v>D-07-02</v>
          </cell>
          <cell r="E177" t="str">
            <v>Clobetasol</v>
          </cell>
          <cell r="F177" t="str">
            <v>Crema o Pomada</v>
          </cell>
          <cell r="G177" t="str">
            <v>0,05%</v>
          </cell>
          <cell r="H177" t="str">
            <v>D07AD01</v>
          </cell>
          <cell r="I177"/>
          <cell r="J177">
            <v>13.31</v>
          </cell>
          <cell r="K177" t="str">
            <v>25 G</v>
          </cell>
        </row>
        <row r="178">
          <cell r="D178" t="str">
            <v>D-07-03</v>
          </cell>
          <cell r="E178" t="str">
            <v>Clobetasol</v>
          </cell>
          <cell r="F178" t="str">
            <v>Solución</v>
          </cell>
          <cell r="G178" t="str">
            <v>0,05%</v>
          </cell>
          <cell r="H178" t="str">
            <v>D07AD01</v>
          </cell>
          <cell r="I178"/>
          <cell r="J178">
            <v>56.9</v>
          </cell>
          <cell r="K178"/>
        </row>
        <row r="179">
          <cell r="D179" t="str">
            <v>J-04-02</v>
          </cell>
          <cell r="E179" t="str">
            <v>Clofazimina</v>
          </cell>
          <cell r="F179" t="str">
            <v>Cápsula</v>
          </cell>
          <cell r="G179" t="str">
            <v>50 mg</v>
          </cell>
          <cell r="H179" t="str">
            <v>J04BA01</v>
          </cell>
          <cell r="I179"/>
          <cell r="J179">
            <v>5.69</v>
          </cell>
          <cell r="K179"/>
        </row>
        <row r="180">
          <cell r="D180" t="str">
            <v>J-04-15</v>
          </cell>
          <cell r="E180" t="str">
            <v>Clofazimina</v>
          </cell>
          <cell r="F180" t="str">
            <v>Cápsula</v>
          </cell>
          <cell r="G180" t="str">
            <v>100 mg</v>
          </cell>
          <cell r="H180" t="str">
            <v>J04BA01</v>
          </cell>
          <cell r="I180" t="str">
            <v>R</v>
          </cell>
          <cell r="J180">
            <v>10.94</v>
          </cell>
          <cell r="K180"/>
        </row>
        <row r="181">
          <cell r="D181" t="str">
            <v>G-03-03</v>
          </cell>
          <cell r="E181" t="str">
            <v>Clomifeno citrato</v>
          </cell>
          <cell r="F181" t="str">
            <v>Comprimido</v>
          </cell>
          <cell r="G181" t="str">
            <v>50 mg</v>
          </cell>
          <cell r="H181" t="str">
            <v>G03GB02</v>
          </cell>
          <cell r="I181"/>
          <cell r="J181">
            <v>3.77</v>
          </cell>
          <cell r="K181"/>
        </row>
        <row r="182">
          <cell r="D182" t="str">
            <v>N-06-02</v>
          </cell>
          <cell r="E182" t="str">
            <v>Clomipramina</v>
          </cell>
          <cell r="F182" t="str">
            <v>Comprimido</v>
          </cell>
          <cell r="G182" t="str">
            <v>75 mg</v>
          </cell>
          <cell r="H182" t="str">
            <v>N06AA04</v>
          </cell>
          <cell r="I182"/>
          <cell r="J182">
            <v>5</v>
          </cell>
          <cell r="K182"/>
        </row>
        <row r="183">
          <cell r="D183" t="str">
            <v>N-06-03</v>
          </cell>
          <cell r="E183" t="str">
            <v>Clomipramina (clorhidrato)</v>
          </cell>
          <cell r="F183" t="str">
            <v>Inyectable</v>
          </cell>
          <cell r="G183" t="str">
            <v>25 mg/2 ml</v>
          </cell>
          <cell r="H183" t="str">
            <v>N06AA04</v>
          </cell>
          <cell r="I183"/>
          <cell r="J183">
            <v>15.21</v>
          </cell>
          <cell r="K183"/>
        </row>
        <row r="184">
          <cell r="D184" t="str">
            <v>N-03-06</v>
          </cell>
          <cell r="E184" t="str">
            <v>Clonazepam</v>
          </cell>
          <cell r="F184" t="str">
            <v>Comprimido ranurado</v>
          </cell>
          <cell r="G184" t="str">
            <v>2 mg</v>
          </cell>
          <cell r="H184" t="str">
            <v>N03AE01</v>
          </cell>
          <cell r="I184"/>
          <cell r="J184">
            <v>2.3199999999999998</v>
          </cell>
          <cell r="K184"/>
        </row>
        <row r="185">
          <cell r="D185" t="str">
            <v>N-03-12</v>
          </cell>
          <cell r="E185" t="str">
            <v>Clonazepam</v>
          </cell>
          <cell r="F185" t="str">
            <v>Solución oral</v>
          </cell>
          <cell r="G185" t="str">
            <v>2,5 mg/ml</v>
          </cell>
          <cell r="H185" t="str">
            <v>N03AE01</v>
          </cell>
          <cell r="I185"/>
          <cell r="J185">
            <v>70.38</v>
          </cell>
          <cell r="K185" t="str">
            <v>30 ML</v>
          </cell>
        </row>
        <row r="186">
          <cell r="D186" t="str">
            <v>B-01-06</v>
          </cell>
          <cell r="E186" t="str">
            <v>Clopidogrel</v>
          </cell>
          <cell r="F186" t="str">
            <v>Comprimido</v>
          </cell>
          <cell r="G186" t="str">
            <v>75 mg</v>
          </cell>
          <cell r="H186" t="str">
            <v>B01AC04</v>
          </cell>
          <cell r="I186" t="str">
            <v>R</v>
          </cell>
          <cell r="J186">
            <v>3.66</v>
          </cell>
          <cell r="K186"/>
        </row>
        <row r="187">
          <cell r="D187" t="str">
            <v>J-01-32</v>
          </cell>
          <cell r="E187" t="str">
            <v>Cloranfenicol</v>
          </cell>
          <cell r="F187" t="str">
            <v>Cápsula</v>
          </cell>
          <cell r="G187" t="str">
            <v>500 mg</v>
          </cell>
          <cell r="H187" t="str">
            <v>J01BA01</v>
          </cell>
          <cell r="I187"/>
          <cell r="J187">
            <v>1.29</v>
          </cell>
          <cell r="K187"/>
        </row>
        <row r="188">
          <cell r="D188" t="str">
            <v>S-01-05</v>
          </cell>
          <cell r="E188" t="str">
            <v>Cloranfenicol</v>
          </cell>
          <cell r="F188" t="str">
            <v>Solución oftálmica</v>
          </cell>
          <cell r="G188" t="str">
            <v>0,5%</v>
          </cell>
          <cell r="H188" t="str">
            <v>S01AA01</v>
          </cell>
          <cell r="I188"/>
          <cell r="J188">
            <v>11.46</v>
          </cell>
          <cell r="K188"/>
        </row>
        <row r="189">
          <cell r="D189" t="str">
            <v>S-01-06</v>
          </cell>
          <cell r="E189" t="str">
            <v>Cloranfenicol</v>
          </cell>
          <cell r="F189" t="str">
            <v>Ungüento oftálmico</v>
          </cell>
          <cell r="G189">
            <v>0.01</v>
          </cell>
          <cell r="H189" t="str">
            <v>S01AA01</v>
          </cell>
          <cell r="I189"/>
          <cell r="J189">
            <v>17.510000000000002</v>
          </cell>
          <cell r="K189" t="str">
            <v>5 G</v>
          </cell>
        </row>
        <row r="190">
          <cell r="D190" t="str">
            <v>J-01-33</v>
          </cell>
          <cell r="E190" t="str">
            <v>Cloranfenicol succinato sódico</v>
          </cell>
          <cell r="F190" t="str">
            <v>Inyectable</v>
          </cell>
          <cell r="G190" t="str">
            <v>1 g</v>
          </cell>
          <cell r="H190" t="str">
            <v>J01BA01</v>
          </cell>
          <cell r="I190"/>
          <cell r="J190">
            <v>4.49</v>
          </cell>
          <cell r="K190"/>
        </row>
        <row r="191">
          <cell r="D191" t="str">
            <v>R-06-01</v>
          </cell>
          <cell r="E191" t="str">
            <v>Clorfenamina (Clorfeniramina)</v>
          </cell>
          <cell r="F191" t="str">
            <v>Comprimido</v>
          </cell>
          <cell r="G191" t="str">
            <v>4 mg</v>
          </cell>
          <cell r="H191" t="str">
            <v>R06AB04</v>
          </cell>
          <cell r="I191"/>
          <cell r="J191">
            <v>0.28999999999999998</v>
          </cell>
          <cell r="K191"/>
        </row>
        <row r="192">
          <cell r="D192" t="str">
            <v>R-06-02</v>
          </cell>
          <cell r="E192" t="str">
            <v>Clorfenamina (Clorfeniramina)</v>
          </cell>
          <cell r="F192" t="str">
            <v>Jarabe</v>
          </cell>
          <cell r="G192" t="str">
            <v>2 mg/5 ml</v>
          </cell>
          <cell r="H192" t="str">
            <v>R06AB04</v>
          </cell>
          <cell r="I192"/>
          <cell r="J192">
            <v>8.9600000000000009</v>
          </cell>
          <cell r="K192"/>
        </row>
        <row r="193">
          <cell r="D193" t="str">
            <v>R-06-03</v>
          </cell>
          <cell r="E193" t="str">
            <v>Clorfenamina (Clorfeniramina)</v>
          </cell>
          <cell r="F193" t="str">
            <v>Inyectable</v>
          </cell>
          <cell r="G193" t="str">
            <v>10 mg/ml</v>
          </cell>
          <cell r="H193" t="str">
            <v>R06AB04</v>
          </cell>
          <cell r="I193"/>
          <cell r="J193">
            <v>2.0499999999999998</v>
          </cell>
          <cell r="K193"/>
        </row>
        <row r="194">
          <cell r="D194" t="str">
            <v>D-08-02</v>
          </cell>
          <cell r="E194" t="str">
            <v>Clorhexidina gluconato</v>
          </cell>
          <cell r="F194" t="str">
            <v>Solución</v>
          </cell>
          <cell r="G194" t="str">
            <v>Según disponibilidad</v>
          </cell>
          <cell r="H194" t="str">
            <v>D08AC02</v>
          </cell>
          <cell r="I194"/>
          <cell r="J194">
            <v>146.53</v>
          </cell>
          <cell r="K194" t="str">
            <v>1 L</v>
          </cell>
        </row>
        <row r="195">
          <cell r="D195" t="str">
            <v>P-01-03</v>
          </cell>
          <cell r="E195" t="str">
            <v>Cloroquina fosfato</v>
          </cell>
          <cell r="F195" t="str">
            <v>Comprimido</v>
          </cell>
          <cell r="G195" t="str">
            <v>250 mg (150 mg base)</v>
          </cell>
          <cell r="H195" t="str">
            <v>P01BA01</v>
          </cell>
          <cell r="I195"/>
          <cell r="J195">
            <v>0.37</v>
          </cell>
          <cell r="K195"/>
        </row>
        <row r="196">
          <cell r="D196" t="str">
            <v>N-05-02</v>
          </cell>
          <cell r="E196" t="str">
            <v>Clorpromazina</v>
          </cell>
          <cell r="F196" t="str">
            <v>Comprimido</v>
          </cell>
          <cell r="G196" t="str">
            <v>100 mg</v>
          </cell>
          <cell r="H196" t="str">
            <v>N05AA01</v>
          </cell>
          <cell r="I196"/>
          <cell r="J196">
            <v>1</v>
          </cell>
          <cell r="K196"/>
        </row>
        <row r="197">
          <cell r="D197" t="str">
            <v>N-05-03</v>
          </cell>
          <cell r="E197" t="str">
            <v>Clorpromazina</v>
          </cell>
          <cell r="F197" t="str">
            <v>Inyectable</v>
          </cell>
          <cell r="G197" t="str">
            <v>12,5 mg/ml</v>
          </cell>
          <cell r="H197" t="str">
            <v>N05AA01</v>
          </cell>
          <cell r="I197"/>
          <cell r="J197">
            <v>3.8118945000000002</v>
          </cell>
          <cell r="K197" t="str">
            <v xml:space="preserve">2 ML </v>
          </cell>
        </row>
        <row r="198">
          <cell r="D198" t="str">
            <v>A-12-03</v>
          </cell>
          <cell r="E198" t="str">
            <v>Cloruro de potasio</v>
          </cell>
          <cell r="F198" t="str">
            <v>Solución oral</v>
          </cell>
          <cell r="G198" t="str">
            <v>1,3 mEq/ml</v>
          </cell>
          <cell r="H198" t="str">
            <v>A12BA01</v>
          </cell>
          <cell r="I198"/>
          <cell r="J198">
            <v>29.67</v>
          </cell>
          <cell r="K198"/>
        </row>
        <row r="199">
          <cell r="D199" t="str">
            <v>B-05-06</v>
          </cell>
          <cell r="E199" t="str">
            <v>Cloruro de potasio</v>
          </cell>
          <cell r="F199" t="str">
            <v>Inyectable</v>
          </cell>
          <cell r="G199">
            <v>0.2</v>
          </cell>
          <cell r="H199" t="str">
            <v>B05XA01</v>
          </cell>
          <cell r="I199"/>
          <cell r="J199">
            <v>3.55</v>
          </cell>
          <cell r="K199"/>
        </row>
        <row r="200">
          <cell r="D200" t="str">
            <v>B-05-07</v>
          </cell>
          <cell r="E200" t="str">
            <v>Cloruro de sodio</v>
          </cell>
          <cell r="F200" t="str">
            <v>Inyectable</v>
          </cell>
          <cell r="G200">
            <v>0.2</v>
          </cell>
          <cell r="H200" t="str">
            <v>B05CB01</v>
          </cell>
          <cell r="I200"/>
          <cell r="J200">
            <v>3.53</v>
          </cell>
          <cell r="K200"/>
        </row>
        <row r="201">
          <cell r="D201" t="str">
            <v>D-01-03</v>
          </cell>
          <cell r="E201" t="str">
            <v>Clotrimazol</v>
          </cell>
          <cell r="F201" t="str">
            <v>Crema o Pomada</v>
          </cell>
          <cell r="G201">
            <v>0.01</v>
          </cell>
          <cell r="H201" t="str">
            <v>D01AC01</v>
          </cell>
          <cell r="I201"/>
          <cell r="J201">
            <v>7.51</v>
          </cell>
          <cell r="K201" t="str">
            <v>20 G</v>
          </cell>
        </row>
        <row r="202">
          <cell r="D202" t="str">
            <v>G-01-02</v>
          </cell>
          <cell r="E202" t="str">
            <v>Clotrimazol</v>
          </cell>
          <cell r="F202" t="str">
            <v>Óvulo</v>
          </cell>
          <cell r="G202" t="str">
            <v>100 mg</v>
          </cell>
          <cell r="H202" t="str">
            <v>G01AF02</v>
          </cell>
          <cell r="I202"/>
          <cell r="J202">
            <v>1.57</v>
          </cell>
          <cell r="K202"/>
        </row>
        <row r="203">
          <cell r="D203" t="str">
            <v>G-01-03</v>
          </cell>
          <cell r="E203" t="str">
            <v>Clotrimazol</v>
          </cell>
          <cell r="F203" t="str">
            <v>Crema vaginal</v>
          </cell>
          <cell r="G203">
            <v>0.01</v>
          </cell>
          <cell r="H203" t="str">
            <v>G01AF02</v>
          </cell>
          <cell r="I203"/>
          <cell r="J203">
            <v>10.51</v>
          </cell>
          <cell r="K203" t="str">
            <v>30 G</v>
          </cell>
        </row>
        <row r="204">
          <cell r="D204" t="str">
            <v>J-01-34</v>
          </cell>
          <cell r="E204" t="str">
            <v>Cloxacilina</v>
          </cell>
          <cell r="F204" t="str">
            <v>Inyectable</v>
          </cell>
          <cell r="G204" t="str">
            <v>500 mg</v>
          </cell>
          <cell r="H204" t="str">
            <v>J01CF02</v>
          </cell>
          <cell r="I204"/>
          <cell r="J204">
            <v>6.88</v>
          </cell>
          <cell r="K204"/>
        </row>
        <row r="205">
          <cell r="D205" t="str">
            <v>J-01-36</v>
          </cell>
          <cell r="E205" t="str">
            <v>Cloxacilina</v>
          </cell>
          <cell r="F205" t="str">
            <v>Inyectable</v>
          </cell>
          <cell r="G205" t="str">
            <v>1 g</v>
          </cell>
          <cell r="H205" t="str">
            <v>J01CF02</v>
          </cell>
          <cell r="I205"/>
          <cell r="J205">
            <v>9.25</v>
          </cell>
          <cell r="K205"/>
        </row>
        <row r="206">
          <cell r="D206" t="str">
            <v>N-02-02</v>
          </cell>
          <cell r="E206" t="str">
            <v>Codeína</v>
          </cell>
          <cell r="F206" t="str">
            <v>Comprimido</v>
          </cell>
          <cell r="G206" t="str">
            <v>30 mg</v>
          </cell>
          <cell r="H206" t="str">
            <v>N02AA07</v>
          </cell>
          <cell r="I206"/>
          <cell r="J206">
            <v>3.79</v>
          </cell>
          <cell r="K206"/>
        </row>
        <row r="207">
          <cell r="D207" t="str">
            <v>R-05-02</v>
          </cell>
          <cell r="E207" t="str">
            <v>Codeína</v>
          </cell>
          <cell r="F207" t="str">
            <v>Jarabe</v>
          </cell>
          <cell r="G207" t="str">
            <v>10 mg/5 ml</v>
          </cell>
          <cell r="H207" t="str">
            <v>R05DA04</v>
          </cell>
          <cell r="I207"/>
          <cell r="J207">
            <v>17.809999999999999</v>
          </cell>
          <cell r="K207"/>
        </row>
        <row r="208">
          <cell r="D208" t="str">
            <v>M-04-02</v>
          </cell>
          <cell r="E208" t="str">
            <v>Colchicina</v>
          </cell>
          <cell r="F208" t="str">
            <v>Comprimido</v>
          </cell>
          <cell r="G208" t="str">
            <v>0,5 mg</v>
          </cell>
          <cell r="H208" t="str">
            <v>M04AC01</v>
          </cell>
          <cell r="I208"/>
          <cell r="J208">
            <v>1.2</v>
          </cell>
          <cell r="K208"/>
        </row>
        <row r="209">
          <cell r="D209" t="str">
            <v>A-11-05</v>
          </cell>
          <cell r="E209" t="str">
            <v>Colecalciferol (Vitamina D3)</v>
          </cell>
          <cell r="F209" t="str">
            <v>Comprimido o Cápsula blanda</v>
          </cell>
          <cell r="G209" t="str">
            <v>0,25 mcg</v>
          </cell>
          <cell r="H209" t="str">
            <v>A11CC05</v>
          </cell>
          <cell r="I209"/>
          <cell r="J209">
            <v>2.1691025641025599</v>
          </cell>
          <cell r="K209"/>
        </row>
        <row r="210">
          <cell r="D210" t="str">
            <v>J-01-67</v>
          </cell>
          <cell r="E210" t="str">
            <v>Colistina</v>
          </cell>
          <cell r="F210" t="str">
            <v>Inyectable</v>
          </cell>
          <cell r="G210" t="str">
            <v>100 mg</v>
          </cell>
          <cell r="H210" t="str">
            <v>J01XB01</v>
          </cell>
          <cell r="I210" t="str">
            <v>R</v>
          </cell>
          <cell r="J210">
            <v>116.97619047619</v>
          </cell>
          <cell r="K210"/>
        </row>
        <row r="211">
          <cell r="D211" t="str">
            <v>A-11-06</v>
          </cell>
          <cell r="E211" t="str">
            <v>Complejo  B (B1 + B6 + B12)</v>
          </cell>
          <cell r="F211" t="str">
            <v>Comprimido</v>
          </cell>
          <cell r="G211" t="str">
            <v>Según concentración estándar</v>
          </cell>
          <cell r="H211" t="str">
            <v>A11DB**</v>
          </cell>
          <cell r="I211"/>
          <cell r="J211">
            <v>0.22</v>
          </cell>
          <cell r="K211"/>
        </row>
        <row r="212">
          <cell r="D212" t="str">
            <v>A-11-07</v>
          </cell>
          <cell r="E212" t="str">
            <v>Complejo  B (B1 + B6 + B12)</v>
          </cell>
          <cell r="F212" t="str">
            <v>Inyectable</v>
          </cell>
          <cell r="G212" t="str">
            <v>Según concentración estándar</v>
          </cell>
          <cell r="H212" t="str">
            <v>A11DB**</v>
          </cell>
          <cell r="I212"/>
          <cell r="J212">
            <v>3.1</v>
          </cell>
          <cell r="K212"/>
        </row>
        <row r="213">
          <cell r="D213" t="str">
            <v>A-11-08</v>
          </cell>
          <cell r="E213" t="str">
            <v>Complejo de vitaminas y minerales (Uso pediatría) CMV</v>
          </cell>
          <cell r="F213" t="str">
            <v>Polvo para solución oral</v>
          </cell>
          <cell r="G213" t="str">
            <v>Según disponibilidad</v>
          </cell>
          <cell r="H213" t="str">
            <v>A11JC**</v>
          </cell>
          <cell r="I213"/>
          <cell r="J213">
            <v>280</v>
          </cell>
          <cell r="K213"/>
        </row>
        <row r="214">
          <cell r="D214" t="str">
            <v>V-06-05</v>
          </cell>
          <cell r="E214" t="str">
            <v xml:space="preserve">Complemento nutricional </v>
          </cell>
          <cell r="F214" t="str">
            <v>Polvo</v>
          </cell>
          <cell r="G214" t="str">
            <v>Según concentración estándar</v>
          </cell>
          <cell r="H214" t="str">
            <v>V06DB**</v>
          </cell>
          <cell r="I214"/>
          <cell r="J214">
            <v>179</v>
          </cell>
          <cell r="K214" t="str">
            <v>1000 G</v>
          </cell>
        </row>
        <row r="215">
          <cell r="D215" t="str">
            <v>V-06-04</v>
          </cell>
          <cell r="E215" t="str">
            <v>Complemento nutricional (Carmelo)</v>
          </cell>
          <cell r="F215" t="str">
            <v>Polvo</v>
          </cell>
          <cell r="G215" t="str">
            <v>Según concentración estándar</v>
          </cell>
          <cell r="H215" t="str">
            <v>V06DB**</v>
          </cell>
          <cell r="I215"/>
          <cell r="J215">
            <v>54</v>
          </cell>
          <cell r="K215"/>
        </row>
        <row r="216">
          <cell r="D216" t="str">
            <v>V-06-06</v>
          </cell>
          <cell r="E216" t="str">
            <v>Complemento nutricional (Diabético)</v>
          </cell>
          <cell r="F216" t="str">
            <v>Polvo</v>
          </cell>
          <cell r="G216" t="str">
            <v>Según concentración estándar</v>
          </cell>
          <cell r="H216" t="str">
            <v>V06DB**</v>
          </cell>
          <cell r="I216"/>
          <cell r="J216">
            <v>57.14</v>
          </cell>
          <cell r="K216" t="str">
            <v>460 GR</v>
          </cell>
        </row>
        <row r="217">
          <cell r="D217" t="str">
            <v>V-06-03</v>
          </cell>
          <cell r="E217" t="str">
            <v>Complemento nutricional (Nutribebé)</v>
          </cell>
          <cell r="F217" t="str">
            <v>Polvo</v>
          </cell>
          <cell r="G217" t="str">
            <v>Según concentración estándar</v>
          </cell>
          <cell r="H217" t="str">
            <v>V06DA</v>
          </cell>
          <cell r="I217"/>
          <cell r="J217">
            <v>23.6</v>
          </cell>
          <cell r="K217" t="str">
            <v>750 G</v>
          </cell>
        </row>
        <row r="218">
          <cell r="D218" t="str">
            <v>V-08-01</v>
          </cell>
          <cell r="E218" t="str">
            <v>Contraste iodado</v>
          </cell>
          <cell r="F218" t="str">
            <v>Inyectable</v>
          </cell>
          <cell r="G218" t="str">
            <v>Según disponibilidad (10 ml)</v>
          </cell>
          <cell r="H218" t="str">
            <v>V08AB**</v>
          </cell>
          <cell r="I218"/>
          <cell r="J218">
            <v>195.16</v>
          </cell>
          <cell r="K218"/>
        </row>
        <row r="219">
          <cell r="D219" t="str">
            <v>V-08-02</v>
          </cell>
          <cell r="E219" t="str">
            <v>Contraste iodado</v>
          </cell>
          <cell r="F219" t="str">
            <v>Inyectable</v>
          </cell>
          <cell r="G219" t="str">
            <v>Según disponibilidad (50 ml)</v>
          </cell>
          <cell r="H219" t="str">
            <v>V08AB**</v>
          </cell>
          <cell r="I219"/>
          <cell r="J219">
            <v>304.88</v>
          </cell>
          <cell r="K219"/>
        </row>
        <row r="220">
          <cell r="D220" t="str">
            <v>V-08-03</v>
          </cell>
          <cell r="E220" t="str">
            <v>Contraste iodado</v>
          </cell>
          <cell r="F220" t="str">
            <v>Inyectable</v>
          </cell>
          <cell r="G220" t="str">
            <v>Según disponibilidad (100 ml o 200 ml)</v>
          </cell>
          <cell r="H220" t="str">
            <v>V08AB**</v>
          </cell>
          <cell r="I220"/>
          <cell r="J220">
            <v>312.26</v>
          </cell>
          <cell r="K220" t="str">
            <v>100 ml</v>
          </cell>
        </row>
        <row r="221">
          <cell r="D221" t="str">
            <v>C-05-01</v>
          </cell>
          <cell r="E221" t="str">
            <v>Corticoide + anestésico</v>
          </cell>
          <cell r="F221" t="str">
            <v>Supositorio</v>
          </cell>
          <cell r="G221" t="str">
            <v>Según disponibilidad</v>
          </cell>
          <cell r="H221" t="str">
            <v>C05AX03</v>
          </cell>
          <cell r="I221"/>
          <cell r="J221">
            <v>3.0282142857142902</v>
          </cell>
          <cell r="K221"/>
        </row>
        <row r="222">
          <cell r="D222" t="str">
            <v>C-05-02</v>
          </cell>
          <cell r="E222" t="str">
            <v>Corticoide + anestésico</v>
          </cell>
          <cell r="F222" t="str">
            <v>Crema o Pomada</v>
          </cell>
          <cell r="G222" t="str">
            <v>Según disponibilidad</v>
          </cell>
          <cell r="H222" t="str">
            <v>C05AX03</v>
          </cell>
          <cell r="I222"/>
          <cell r="J222">
            <v>42.05</v>
          </cell>
          <cell r="K222" t="str">
            <v>30 G</v>
          </cell>
        </row>
        <row r="223">
          <cell r="D223" t="str">
            <v>S-01-24</v>
          </cell>
          <cell r="E223" t="str">
            <v>Corticoide + antiinfeccioso de accion tópica</v>
          </cell>
          <cell r="F223" t="str">
            <v>Solución oftálmica</v>
          </cell>
          <cell r="G223" t="str">
            <v>Según disponibilidad</v>
          </cell>
          <cell r="H223" t="str">
            <v>S01CA01</v>
          </cell>
          <cell r="I223"/>
          <cell r="J223">
            <v>22.513030303030298</v>
          </cell>
          <cell r="K223"/>
        </row>
        <row r="224">
          <cell r="D224" t="str">
            <v>S-01-25</v>
          </cell>
          <cell r="E224" t="str">
            <v>Corticoide + antiinfeccioso de accion tópica</v>
          </cell>
          <cell r="F224" t="str">
            <v>Ungüento oftálmico</v>
          </cell>
          <cell r="G224" t="str">
            <v>Según disponibilidad</v>
          </cell>
          <cell r="H224" t="str">
            <v>S01CA01</v>
          </cell>
          <cell r="I224"/>
          <cell r="J224">
            <v>31.213333333333299</v>
          </cell>
          <cell r="K224"/>
        </row>
        <row r="225">
          <cell r="D225" t="str">
            <v>H-01-01</v>
          </cell>
          <cell r="E225" t="str">
            <v>Corticotrofina (ACTH)</v>
          </cell>
          <cell r="F225" t="str">
            <v>Inyectable</v>
          </cell>
          <cell r="G225" t="str">
            <v>25 UI o 40 UI</v>
          </cell>
          <cell r="H225" t="str">
            <v>H01AA01</v>
          </cell>
          <cell r="I225"/>
          <cell r="J225">
            <v>109.47</v>
          </cell>
          <cell r="K225"/>
        </row>
        <row r="226">
          <cell r="D226" t="str">
            <v>J-01-37</v>
          </cell>
          <cell r="E226" t="str">
            <v>Cotrimoxazol (Sulfametoxazol + Trimetoprima)</v>
          </cell>
          <cell r="F226" t="str">
            <v>Comprimido</v>
          </cell>
          <cell r="G226" t="str">
            <v>800 mg + 160 mg</v>
          </cell>
          <cell r="H226" t="str">
            <v>J01EE01</v>
          </cell>
          <cell r="I226"/>
          <cell r="J226">
            <v>0.75</v>
          </cell>
          <cell r="K226"/>
        </row>
        <row r="227">
          <cell r="D227" t="str">
            <v>J-01-38</v>
          </cell>
          <cell r="E227" t="str">
            <v>Cotrimoxazol (Sulfametoxazol + Trimetoprima)</v>
          </cell>
          <cell r="F227" t="str">
            <v>Suspensión</v>
          </cell>
          <cell r="G227" t="str">
            <v>200 mg + 40 mg/5 ml</v>
          </cell>
          <cell r="H227" t="str">
            <v>J01EE01</v>
          </cell>
          <cell r="I227"/>
          <cell r="J227">
            <v>9.18</v>
          </cell>
          <cell r="K227" t="str">
            <v>100 ML</v>
          </cell>
        </row>
        <row r="228">
          <cell r="D228" t="str">
            <v>J-01-39</v>
          </cell>
          <cell r="E228" t="str">
            <v>Cotrimoxazol (Sulfametoxazol + Trimetoprima)</v>
          </cell>
          <cell r="F228" t="str">
            <v>Comprimido</v>
          </cell>
          <cell r="G228" t="str">
            <v>100 mg + 20 mg</v>
          </cell>
          <cell r="H228" t="str">
            <v>J01EE01</v>
          </cell>
          <cell r="I228"/>
          <cell r="J228">
            <v>0.45</v>
          </cell>
          <cell r="K228"/>
        </row>
        <row r="229">
          <cell r="D229" t="str">
            <v>J-01-40</v>
          </cell>
          <cell r="E229" t="str">
            <v>Cotrimoxazol (Sulfametoxazol + Trimetoprima)</v>
          </cell>
          <cell r="F229" t="str">
            <v>Comprimido</v>
          </cell>
          <cell r="G229" t="str">
            <v>400 mg + 80 mg</v>
          </cell>
          <cell r="H229" t="str">
            <v>J01EE01</v>
          </cell>
          <cell r="I229"/>
          <cell r="J229">
            <v>0.42</v>
          </cell>
          <cell r="K229"/>
        </row>
        <row r="230">
          <cell r="D230" t="str">
            <v>J-01-60</v>
          </cell>
          <cell r="E230" t="str">
            <v>Cotrimoxazol (Sulfametoxazol + Trimetoprima)</v>
          </cell>
          <cell r="F230" t="str">
            <v>Inyectable</v>
          </cell>
          <cell r="G230" t="str">
            <v>400 mg + 80 mg/5 ml</v>
          </cell>
          <cell r="H230" t="str">
            <v>J01EE01</v>
          </cell>
          <cell r="I230"/>
          <cell r="J230">
            <v>17.5</v>
          </cell>
          <cell r="K230"/>
        </row>
        <row r="231">
          <cell r="D231" t="str">
            <v>J-01-65</v>
          </cell>
          <cell r="E231" t="str">
            <v>Cotrimoxazol (Sulfametoxazol + Trimetoprima)</v>
          </cell>
          <cell r="F231" t="str">
            <v>Suspensión</v>
          </cell>
          <cell r="G231" t="str">
            <v>400 mg + 80 mg/5 ml</v>
          </cell>
          <cell r="H231" t="str">
            <v>J01EE01</v>
          </cell>
          <cell r="I231"/>
          <cell r="J231">
            <v>19.28</v>
          </cell>
          <cell r="K231" t="str">
            <v>100 ML</v>
          </cell>
        </row>
        <row r="232">
          <cell r="D232" t="str">
            <v>L-01-12</v>
          </cell>
          <cell r="E232" t="str">
            <v>Dacarbazina</v>
          </cell>
          <cell r="F232" t="str">
            <v>Inyectable</v>
          </cell>
          <cell r="G232" t="str">
            <v>200 mg</v>
          </cell>
          <cell r="H232" t="str">
            <v>L01AX04</v>
          </cell>
          <cell r="I232"/>
          <cell r="J232">
            <v>187</v>
          </cell>
          <cell r="K232"/>
        </row>
        <row r="233">
          <cell r="D233" t="str">
            <v>J-05-40</v>
          </cell>
          <cell r="E233" t="str">
            <v xml:space="preserve">Daclatasvir </v>
          </cell>
          <cell r="F233" t="str">
            <v>Cápsula o Comprimido</v>
          </cell>
          <cell r="G233" t="str">
            <v>60 mg</v>
          </cell>
          <cell r="H233" t="str">
            <v> J05AX14 </v>
          </cell>
          <cell r="I233"/>
          <cell r="J233">
            <v>471.51</v>
          </cell>
          <cell r="K233"/>
        </row>
        <row r="234">
          <cell r="D234" t="str">
            <v>L-01-13</v>
          </cell>
          <cell r="E234" t="str">
            <v>Dactinomicina</v>
          </cell>
          <cell r="F234" t="str">
            <v>Inyectable</v>
          </cell>
          <cell r="G234" t="str">
            <v>0,5 mg/ml</v>
          </cell>
          <cell r="H234" t="str">
            <v>L01DA01</v>
          </cell>
          <cell r="I234"/>
          <cell r="J234">
            <v>315.33</v>
          </cell>
          <cell r="K234"/>
        </row>
        <row r="235">
          <cell r="D235" t="str">
            <v>J-04-03</v>
          </cell>
          <cell r="E235" t="str">
            <v>Dapsona</v>
          </cell>
          <cell r="F235" t="str">
            <v>Comprimido</v>
          </cell>
          <cell r="G235" t="str">
            <v>100 mg</v>
          </cell>
          <cell r="H235" t="str">
            <v>J04BA02</v>
          </cell>
          <cell r="I235"/>
          <cell r="J235">
            <v>6.78</v>
          </cell>
          <cell r="K235"/>
        </row>
        <row r="236">
          <cell r="D236" t="str">
            <v>J-04-16</v>
          </cell>
          <cell r="E236" t="str">
            <v>Dapsona</v>
          </cell>
          <cell r="F236" t="str">
            <v>Comprimido</v>
          </cell>
          <cell r="G236" t="str">
            <v>50 mg</v>
          </cell>
          <cell r="H236" t="str">
            <v>J04BA02</v>
          </cell>
          <cell r="I236" t="str">
            <v>R</v>
          </cell>
          <cell r="J236">
            <v>2.5499999999999998</v>
          </cell>
          <cell r="K236"/>
        </row>
        <row r="237">
          <cell r="D237" t="str">
            <v>J-05-32</v>
          </cell>
          <cell r="E237" t="str">
            <v>Darunavir</v>
          </cell>
          <cell r="F237" t="str">
            <v>Comprimido</v>
          </cell>
          <cell r="G237" t="str">
            <v>600 mg</v>
          </cell>
          <cell r="H237" t="str">
            <v>J05AE10</v>
          </cell>
          <cell r="I237" t="str">
            <v>R</v>
          </cell>
          <cell r="J237">
            <v>61.466999999999999</v>
          </cell>
          <cell r="K237"/>
        </row>
        <row r="238">
          <cell r="D238" t="str">
            <v>L-01-44</v>
          </cell>
          <cell r="E238" t="str">
            <v>Dasatinib</v>
          </cell>
          <cell r="F238" t="str">
            <v>Comprimido</v>
          </cell>
          <cell r="G238" t="str">
            <v>20 mg</v>
          </cell>
          <cell r="H238" t="str">
            <v>L01XE06</v>
          </cell>
          <cell r="I238" t="str">
            <v>R</v>
          </cell>
          <cell r="J238">
            <v>41.67</v>
          </cell>
          <cell r="K238"/>
        </row>
        <row r="239">
          <cell r="D239" t="str">
            <v>L-01-45</v>
          </cell>
          <cell r="E239" t="str">
            <v>Dasatinib</v>
          </cell>
          <cell r="F239" t="str">
            <v>Comprimido</v>
          </cell>
          <cell r="G239" t="str">
            <v>50 mg</v>
          </cell>
          <cell r="H239" t="str">
            <v>L01XE06</v>
          </cell>
          <cell r="I239" t="str">
            <v>R</v>
          </cell>
          <cell r="J239">
            <v>196.63</v>
          </cell>
          <cell r="K239"/>
        </row>
        <row r="240">
          <cell r="D240" t="str">
            <v>L-01-46</v>
          </cell>
          <cell r="E240" t="str">
            <v>Dasatinib</v>
          </cell>
          <cell r="F240" t="str">
            <v>Comprimido</v>
          </cell>
          <cell r="G240" t="str">
            <v>70 mg</v>
          </cell>
          <cell r="H240" t="str">
            <v>L01XE06</v>
          </cell>
          <cell r="I240" t="str">
            <v>R</v>
          </cell>
          <cell r="J240">
            <v>209.73</v>
          </cell>
          <cell r="K240"/>
        </row>
        <row r="241">
          <cell r="D241" t="str">
            <v>L-01-47</v>
          </cell>
          <cell r="E241" t="str">
            <v>Dasatinib</v>
          </cell>
          <cell r="F241" t="str">
            <v>Comprimido</v>
          </cell>
          <cell r="G241" t="str">
            <v>100 mg</v>
          </cell>
          <cell r="H241" t="str">
            <v>L01XE06</v>
          </cell>
          <cell r="I241" t="str">
            <v>R</v>
          </cell>
          <cell r="J241">
            <v>367</v>
          </cell>
          <cell r="K241"/>
        </row>
        <row r="242">
          <cell r="D242" t="str">
            <v>L-01-37</v>
          </cell>
          <cell r="E242" t="str">
            <v xml:space="preserve">Daunorrubicina </v>
          </cell>
          <cell r="F242" t="str">
            <v>Inyectable</v>
          </cell>
          <cell r="G242" t="str">
            <v>20 mg</v>
          </cell>
          <cell r="H242" t="str">
            <v>L01DB02</v>
          </cell>
          <cell r="I242"/>
          <cell r="J242">
            <v>351</v>
          </cell>
          <cell r="K242"/>
        </row>
        <row r="243">
          <cell r="D243" t="str">
            <v>V-03-02</v>
          </cell>
          <cell r="E243" t="str">
            <v>Deferoxamina mesilato</v>
          </cell>
          <cell r="F243" t="str">
            <v>Inyectable</v>
          </cell>
          <cell r="G243" t="str">
            <v>500 mg</v>
          </cell>
          <cell r="H243" t="str">
            <v>V03AC01</v>
          </cell>
          <cell r="I243"/>
          <cell r="J243">
            <v>111.55</v>
          </cell>
          <cell r="K243"/>
        </row>
        <row r="244">
          <cell r="D244" t="str">
            <v>J-04-19</v>
          </cell>
          <cell r="E244" t="str">
            <v xml:space="preserve">Delamanid </v>
          </cell>
          <cell r="F244" t="str">
            <v xml:space="preserve">Comprimido </v>
          </cell>
          <cell r="G244" t="str">
            <v>100 mg</v>
          </cell>
          <cell r="H244" t="str">
            <v>J04AK06</v>
          </cell>
          <cell r="I244"/>
          <cell r="J244">
            <v>106</v>
          </cell>
          <cell r="K244"/>
        </row>
        <row r="245">
          <cell r="D245" t="str">
            <v>H-01-02</v>
          </cell>
          <cell r="E245" t="str">
            <v>Desmopresina acetato</v>
          </cell>
          <cell r="F245" t="str">
            <v>Solución nasal</v>
          </cell>
          <cell r="G245" t="str">
            <v>0,1 mg/ml</v>
          </cell>
          <cell r="H245" t="str">
            <v>H01BA02</v>
          </cell>
          <cell r="I245"/>
          <cell r="J245">
            <v>560.19224550000001</v>
          </cell>
          <cell r="K245" t="str">
            <v>5 ML</v>
          </cell>
        </row>
        <row r="246">
          <cell r="D246" t="str">
            <v>H-02-02</v>
          </cell>
          <cell r="E246" t="str">
            <v>Dexametasona</v>
          </cell>
          <cell r="F246" t="str">
            <v>Comprimido</v>
          </cell>
          <cell r="G246" t="str">
            <v>4 mg</v>
          </cell>
          <cell r="H246" t="str">
            <v>H02AB02</v>
          </cell>
          <cell r="I246"/>
          <cell r="J246">
            <v>0.81583333333333297</v>
          </cell>
          <cell r="K246"/>
        </row>
        <row r="247">
          <cell r="D247" t="str">
            <v>H-02-03</v>
          </cell>
          <cell r="E247" t="str">
            <v>Dexametasona</v>
          </cell>
          <cell r="F247" t="str">
            <v>Comprimido</v>
          </cell>
          <cell r="G247" t="str">
            <v>0,5 mg</v>
          </cell>
          <cell r="H247" t="str">
            <v>H02AB02</v>
          </cell>
          <cell r="I247"/>
          <cell r="J247">
            <v>0.57999999999999996</v>
          </cell>
          <cell r="K247"/>
        </row>
        <row r="248">
          <cell r="D248" t="str">
            <v>H-02-04</v>
          </cell>
          <cell r="E248" t="str">
            <v>Dexametasona</v>
          </cell>
          <cell r="F248" t="str">
            <v>Inyectable</v>
          </cell>
          <cell r="G248" t="str">
            <v>4 mg/ml</v>
          </cell>
          <cell r="H248" t="str">
            <v>H02AB02</v>
          </cell>
          <cell r="I248"/>
          <cell r="J248">
            <v>2.0499999999999998</v>
          </cell>
          <cell r="K248" t="str">
            <v>1 ML</v>
          </cell>
        </row>
        <row r="249">
          <cell r="D249" t="str">
            <v>S-01-09</v>
          </cell>
          <cell r="E249" t="str">
            <v>Dexametasona</v>
          </cell>
          <cell r="F249" t="str">
            <v>Solución oftálmica</v>
          </cell>
          <cell r="G249" t="str">
            <v>0,1%</v>
          </cell>
          <cell r="H249" t="str">
            <v>S01BA01</v>
          </cell>
          <cell r="I249"/>
          <cell r="J249">
            <v>17.22</v>
          </cell>
          <cell r="K249" t="str">
            <v>10 ML</v>
          </cell>
        </row>
        <row r="250">
          <cell r="D250" t="str">
            <v>S-01-10</v>
          </cell>
          <cell r="E250" t="str">
            <v>Dexametasona</v>
          </cell>
          <cell r="F250" t="str">
            <v>Ungüento o Pomada oftálmica</v>
          </cell>
          <cell r="G250" t="str">
            <v>0,1%</v>
          </cell>
          <cell r="H250" t="str">
            <v>S01BA01</v>
          </cell>
          <cell r="I250"/>
          <cell r="J250">
            <v>37.81</v>
          </cell>
          <cell r="K250"/>
        </row>
        <row r="251">
          <cell r="D251" t="str">
            <v>N-05-19</v>
          </cell>
          <cell r="E251" t="str">
            <v xml:space="preserve">Dexmedetomidina </v>
          </cell>
          <cell r="F251" t="str">
            <v>Inyectable</v>
          </cell>
          <cell r="G251" t="str">
            <v>100 mcg/ml</v>
          </cell>
          <cell r="H251" t="str">
            <v>N05CM18</v>
          </cell>
          <cell r="I251"/>
          <cell r="J251">
            <v>150</v>
          </cell>
          <cell r="K251"/>
        </row>
        <row r="252">
          <cell r="D252" t="str">
            <v>B-05-08</v>
          </cell>
          <cell r="E252" t="str">
            <v>Dextrán 70</v>
          </cell>
          <cell r="F252" t="str">
            <v>Solución parenteral de gran volúmen</v>
          </cell>
          <cell r="G252">
            <v>0.06</v>
          </cell>
          <cell r="H252" t="str">
            <v>B05AA05</v>
          </cell>
          <cell r="I252"/>
          <cell r="J252">
            <v>67.2</v>
          </cell>
          <cell r="K252"/>
        </row>
        <row r="253">
          <cell r="D253" t="str">
            <v>R-05-03</v>
          </cell>
          <cell r="E253" t="str">
            <v>Dextrometorfano bromhidrato</v>
          </cell>
          <cell r="F253" t="str">
            <v>Jarabe</v>
          </cell>
          <cell r="G253" t="str">
            <v>10 mg/5 ml</v>
          </cell>
          <cell r="H253" t="str">
            <v>R05DA09</v>
          </cell>
          <cell r="I253"/>
          <cell r="J253">
            <v>9.59</v>
          </cell>
          <cell r="K253"/>
        </row>
        <row r="254">
          <cell r="D254" t="str">
            <v>N-05-04</v>
          </cell>
          <cell r="E254" t="str">
            <v>Diazepam</v>
          </cell>
          <cell r="F254" t="str">
            <v>Comprimido ranurado</v>
          </cell>
          <cell r="G254" t="str">
            <v>10 mg</v>
          </cell>
          <cell r="H254" t="str">
            <v>N05BA01</v>
          </cell>
          <cell r="I254"/>
          <cell r="J254">
            <v>1.39</v>
          </cell>
          <cell r="K254"/>
        </row>
        <row r="255">
          <cell r="D255" t="str">
            <v>N-05-05</v>
          </cell>
          <cell r="E255" t="str">
            <v>Diazepam</v>
          </cell>
          <cell r="F255" t="str">
            <v>Inyectable</v>
          </cell>
          <cell r="G255" t="str">
            <v>10 mg</v>
          </cell>
          <cell r="H255" t="str">
            <v>N05BA01</v>
          </cell>
          <cell r="I255"/>
          <cell r="J255">
            <v>6.96</v>
          </cell>
          <cell r="K255"/>
        </row>
        <row r="256">
          <cell r="D256" t="str">
            <v>N-05-06</v>
          </cell>
          <cell r="E256" t="str">
            <v>Diazepam</v>
          </cell>
          <cell r="F256" t="str">
            <v>Comprimido ranurado</v>
          </cell>
          <cell r="G256" t="str">
            <v>5 mg</v>
          </cell>
          <cell r="H256" t="str">
            <v>N05BA01</v>
          </cell>
          <cell r="I256"/>
          <cell r="J256">
            <v>0.6</v>
          </cell>
          <cell r="K256"/>
        </row>
        <row r="257">
          <cell r="D257" t="str">
            <v>M-01-01</v>
          </cell>
          <cell r="E257" t="str">
            <v>Diclofenaco Sódico</v>
          </cell>
          <cell r="F257" t="str">
            <v>Pomada o Gel</v>
          </cell>
          <cell r="G257">
            <v>0.01</v>
          </cell>
          <cell r="H257" t="str">
            <v>M01AB05</v>
          </cell>
          <cell r="I257"/>
          <cell r="J257">
            <v>11.02</v>
          </cell>
          <cell r="K257" t="str">
            <v xml:space="preserve">30G </v>
          </cell>
        </row>
        <row r="258">
          <cell r="D258" t="str">
            <v>M-01-02</v>
          </cell>
          <cell r="E258" t="str">
            <v>Diclofenaco Sódico</v>
          </cell>
          <cell r="F258" t="str">
            <v>Comprimido</v>
          </cell>
          <cell r="G258" t="str">
            <v>50 mg</v>
          </cell>
          <cell r="H258" t="str">
            <v>M01AB05</v>
          </cell>
          <cell r="I258"/>
          <cell r="J258">
            <v>0.18</v>
          </cell>
          <cell r="K258"/>
        </row>
        <row r="259">
          <cell r="D259" t="str">
            <v>M-01-03</v>
          </cell>
          <cell r="E259" t="str">
            <v>Diclofenaco Sódico</v>
          </cell>
          <cell r="F259" t="str">
            <v>Inyectable</v>
          </cell>
          <cell r="G259" t="str">
            <v>75 mg</v>
          </cell>
          <cell r="H259" t="str">
            <v>M01AB05</v>
          </cell>
          <cell r="I259"/>
          <cell r="J259">
            <v>1.45</v>
          </cell>
          <cell r="K259" t="str">
            <v>3 ML</v>
          </cell>
        </row>
        <row r="260">
          <cell r="D260" t="str">
            <v>S-01-11</v>
          </cell>
          <cell r="E260" t="str">
            <v>Diclofenaco Sódico</v>
          </cell>
          <cell r="F260" t="str">
            <v>Solución oftálmica</v>
          </cell>
          <cell r="G260" t="str">
            <v>0,1%</v>
          </cell>
          <cell r="H260" t="str">
            <v>S01BC03</v>
          </cell>
          <cell r="I260"/>
          <cell r="J260">
            <v>11.85</v>
          </cell>
          <cell r="K260"/>
        </row>
        <row r="261">
          <cell r="D261" t="str">
            <v>J-01-41</v>
          </cell>
          <cell r="E261" t="str">
            <v>Dicloxacilina sódica</v>
          </cell>
          <cell r="F261" t="str">
            <v>Cápsula</v>
          </cell>
          <cell r="G261" t="str">
            <v>500 mg</v>
          </cell>
          <cell r="H261" t="str">
            <v>J01CF01</v>
          </cell>
          <cell r="I261"/>
          <cell r="J261">
            <v>1.24</v>
          </cell>
          <cell r="K261"/>
        </row>
        <row r="262">
          <cell r="D262" t="str">
            <v>J-01-42</v>
          </cell>
          <cell r="E262" t="str">
            <v>Dicloxacilina sódica</v>
          </cell>
          <cell r="F262" t="str">
            <v>Suspensión</v>
          </cell>
          <cell r="G262" t="str">
            <v>250 mg/5 ml</v>
          </cell>
          <cell r="H262" t="str">
            <v>J01CF01</v>
          </cell>
          <cell r="I262"/>
          <cell r="J262">
            <v>15.86</v>
          </cell>
          <cell r="K262" t="str">
            <v>100 ML</v>
          </cell>
        </row>
        <row r="263">
          <cell r="D263" t="str">
            <v>C-01-04</v>
          </cell>
          <cell r="E263" t="str">
            <v>Digoxina</v>
          </cell>
          <cell r="F263" t="str">
            <v>Solución oral gotas</v>
          </cell>
          <cell r="G263" t="str">
            <v>0,75 mg/ml</v>
          </cell>
          <cell r="H263" t="str">
            <v>C01AA05</v>
          </cell>
          <cell r="I263"/>
          <cell r="J263">
            <v>104.09</v>
          </cell>
          <cell r="K263" t="str">
            <v>15 ML</v>
          </cell>
        </row>
        <row r="264">
          <cell r="D264" t="str">
            <v>C-01-05</v>
          </cell>
          <cell r="E264" t="str">
            <v>Digoxina</v>
          </cell>
          <cell r="F264" t="str">
            <v>Inyectable</v>
          </cell>
          <cell r="G264" t="str">
            <v>0,25 mg/ml</v>
          </cell>
          <cell r="H264" t="str">
            <v>C01AA05</v>
          </cell>
          <cell r="I264"/>
          <cell r="J264">
            <v>7.7012499999999999</v>
          </cell>
          <cell r="K264" t="str">
            <v>2ML</v>
          </cell>
        </row>
        <row r="265">
          <cell r="D265" t="str">
            <v>C-01-06</v>
          </cell>
          <cell r="E265" t="str">
            <v>Digoxina</v>
          </cell>
          <cell r="F265" t="str">
            <v>Comprimido ranurado</v>
          </cell>
          <cell r="G265" t="str">
            <v>0,25 mg</v>
          </cell>
          <cell r="H265" t="str">
            <v>C01AA05</v>
          </cell>
          <cell r="I265"/>
          <cell r="J265">
            <v>0.54</v>
          </cell>
          <cell r="K265"/>
        </row>
        <row r="266">
          <cell r="D266" t="str">
            <v>N-07-01</v>
          </cell>
          <cell r="E266" t="str">
            <v>Dimenhidrinato</v>
          </cell>
          <cell r="F266" t="str">
            <v>Comprimido</v>
          </cell>
          <cell r="G266" t="str">
            <v>50 mg</v>
          </cell>
          <cell r="H266" t="str">
            <v>N07X**</v>
          </cell>
          <cell r="I266"/>
          <cell r="J266">
            <v>0.9</v>
          </cell>
          <cell r="K266"/>
        </row>
        <row r="267">
          <cell r="D267" t="str">
            <v>N-07-02</v>
          </cell>
          <cell r="E267" t="str">
            <v>Dimenhidrinato</v>
          </cell>
          <cell r="F267" t="str">
            <v>Supositorio</v>
          </cell>
          <cell r="G267" t="str">
            <v>50 mg</v>
          </cell>
          <cell r="H267" t="str">
            <v>N07X**</v>
          </cell>
          <cell r="I267"/>
          <cell r="J267">
            <v>4.12</v>
          </cell>
          <cell r="K267"/>
        </row>
        <row r="268">
          <cell r="D268" t="str">
            <v>N-07-03</v>
          </cell>
          <cell r="E268" t="str">
            <v>Dimenhidrinato</v>
          </cell>
          <cell r="F268" t="str">
            <v>Inyectable</v>
          </cell>
          <cell r="G268" t="str">
            <v>50 mg/ml</v>
          </cell>
          <cell r="H268" t="str">
            <v>N07X**</v>
          </cell>
          <cell r="I268"/>
          <cell r="J268">
            <v>14.9089285714286</v>
          </cell>
          <cell r="K268"/>
        </row>
        <row r="269">
          <cell r="D269" t="str">
            <v>V-03-03</v>
          </cell>
          <cell r="E269" t="str">
            <v>Dimercaprol (B.A.L.)</v>
          </cell>
          <cell r="F269" t="str">
            <v>Inyectable</v>
          </cell>
          <cell r="G269" t="str">
            <v>100 mg/ml</v>
          </cell>
          <cell r="H269" t="str">
            <v>V03AB09</v>
          </cell>
          <cell r="I269"/>
          <cell r="J269">
            <v>758.01</v>
          </cell>
          <cell r="K269"/>
        </row>
        <row r="270">
          <cell r="D270" t="str">
            <v>C-01-07</v>
          </cell>
          <cell r="E270" t="str">
            <v>Dinitrato de isosorbida (Isosorbide dinitrato)</v>
          </cell>
          <cell r="F270" t="str">
            <v>Comprimido sublingual</v>
          </cell>
          <cell r="G270" t="str">
            <v>5 mg</v>
          </cell>
          <cell r="H270" t="str">
            <v>C01DA08</v>
          </cell>
          <cell r="I270"/>
          <cell r="J270">
            <v>1.35</v>
          </cell>
          <cell r="K270"/>
        </row>
        <row r="271">
          <cell r="D271" t="str">
            <v>C-01-08</v>
          </cell>
          <cell r="E271" t="str">
            <v>Dobutamina clorhidrato</v>
          </cell>
          <cell r="F271" t="str">
            <v>Inyectable</v>
          </cell>
          <cell r="G271" t="str">
            <v>250 mg</v>
          </cell>
          <cell r="H271" t="str">
            <v>C01CA07</v>
          </cell>
          <cell r="I271"/>
          <cell r="J271">
            <v>26.473777777777801</v>
          </cell>
          <cell r="K271"/>
        </row>
        <row r="272">
          <cell r="D272" t="str">
            <v>L-01-38</v>
          </cell>
          <cell r="E272" t="str">
            <v>Docetaxel</v>
          </cell>
          <cell r="F272" t="str">
            <v>Inyectable</v>
          </cell>
          <cell r="G272" t="str">
            <v>40 mg/ml  (2ml)</v>
          </cell>
          <cell r="H272" t="str">
            <v>L01CD02</v>
          </cell>
          <cell r="I272"/>
          <cell r="J272">
            <v>543.24249999999995</v>
          </cell>
          <cell r="K272"/>
        </row>
        <row r="273">
          <cell r="D273" t="str">
            <v>A-03-06</v>
          </cell>
          <cell r="E273" t="str">
            <v>Domperidona</v>
          </cell>
          <cell r="F273" t="str">
            <v>Comprimido</v>
          </cell>
          <cell r="G273" t="str">
            <v>10 mg</v>
          </cell>
          <cell r="H273" t="str">
            <v>A03FA03</v>
          </cell>
          <cell r="I273"/>
          <cell r="J273">
            <v>0.47062962962963001</v>
          </cell>
          <cell r="K273"/>
        </row>
        <row r="274">
          <cell r="D274" t="str">
            <v>C-01-09</v>
          </cell>
          <cell r="E274" t="str">
            <v>Dopamina clorhidrato</v>
          </cell>
          <cell r="F274" t="str">
            <v>Inyectable</v>
          </cell>
          <cell r="G274" t="str">
            <v>200 mg</v>
          </cell>
          <cell r="H274" t="str">
            <v>C01CA04</v>
          </cell>
          <cell r="I274"/>
          <cell r="J274">
            <v>5.26</v>
          </cell>
          <cell r="K274"/>
        </row>
        <row r="275">
          <cell r="D275" t="str">
            <v>S-01-12</v>
          </cell>
          <cell r="E275" t="str">
            <v>Dorzolamida</v>
          </cell>
          <cell r="F275" t="str">
            <v>Solución oftálmica</v>
          </cell>
          <cell r="G275">
            <v>0.02</v>
          </cell>
          <cell r="H275" t="str">
            <v>S01EC03</v>
          </cell>
          <cell r="I275"/>
          <cell r="J275">
            <v>95.14</v>
          </cell>
          <cell r="K275"/>
        </row>
        <row r="276">
          <cell r="D276" t="str">
            <v>J-01-44</v>
          </cell>
          <cell r="E276" t="str">
            <v>Doxiciclina</v>
          </cell>
          <cell r="F276" t="str">
            <v>Cápsula o Comprimido</v>
          </cell>
          <cell r="G276" t="str">
            <v>100 mg</v>
          </cell>
          <cell r="H276" t="str">
            <v>J01AA02</v>
          </cell>
          <cell r="I276"/>
          <cell r="J276">
            <v>0.71</v>
          </cell>
          <cell r="K276"/>
        </row>
        <row r="277">
          <cell r="D277" t="str">
            <v>L-01-48</v>
          </cell>
          <cell r="E277" t="str">
            <v>Doxorrubicina liposomal pegilada</v>
          </cell>
          <cell r="F277" t="str">
            <v>Inyectable</v>
          </cell>
          <cell r="G277" t="str">
            <v>20 mg/ 10 ml</v>
          </cell>
          <cell r="H277" t="str">
            <v>L01DB01</v>
          </cell>
          <cell r="I277" t="str">
            <v>R</v>
          </cell>
          <cell r="J277">
            <v>718.125</v>
          </cell>
          <cell r="K277" t="str">
            <v>10 ML</v>
          </cell>
        </row>
        <row r="278">
          <cell r="D278" t="str">
            <v>L-01-14</v>
          </cell>
          <cell r="E278" t="str">
            <v>Doxorubicina clorhidrato (Adriamicina clorh.)</v>
          </cell>
          <cell r="F278" t="str">
            <v>Inyectable</v>
          </cell>
          <cell r="G278" t="str">
            <v>10 mg</v>
          </cell>
          <cell r="H278" t="str">
            <v>L01DB01</v>
          </cell>
          <cell r="I278"/>
          <cell r="J278">
            <v>120</v>
          </cell>
          <cell r="K278"/>
        </row>
        <row r="279">
          <cell r="D279" t="str">
            <v>L-01-15</v>
          </cell>
          <cell r="E279" t="str">
            <v>Doxorubicina clorhidrato (Adriamicina clorh.)</v>
          </cell>
          <cell r="F279" t="str">
            <v>Inyectable</v>
          </cell>
          <cell r="G279" t="str">
            <v>50 mg</v>
          </cell>
          <cell r="H279" t="str">
            <v>L01DB01</v>
          </cell>
          <cell r="I279"/>
          <cell r="J279">
            <v>174.06874999999999</v>
          </cell>
          <cell r="K279"/>
        </row>
        <row r="280">
          <cell r="D280" t="str">
            <v>N-01-04</v>
          </cell>
          <cell r="E280" t="str">
            <v>Droperidol</v>
          </cell>
          <cell r="F280" t="str">
            <v>Inyectable</v>
          </cell>
          <cell r="G280" t="str">
            <v>2,5 mg/ml</v>
          </cell>
          <cell r="H280" t="str">
            <v>N01AX01</v>
          </cell>
          <cell r="I280"/>
          <cell r="J280">
            <v>7.61</v>
          </cell>
          <cell r="K280"/>
        </row>
        <row r="281">
          <cell r="D281" t="str">
            <v>N-06-08</v>
          </cell>
          <cell r="E281" t="str">
            <v xml:space="preserve">Duloxetina </v>
          </cell>
          <cell r="F281" t="str">
            <v>Cápsula</v>
          </cell>
          <cell r="G281" t="str">
            <v>30 mg</v>
          </cell>
          <cell r="H281" t="str">
            <v>N06AX21</v>
          </cell>
          <cell r="I281" t="str">
            <v>R</v>
          </cell>
          <cell r="J281">
            <v>8.2219999999999995</v>
          </cell>
          <cell r="K281"/>
        </row>
        <row r="282">
          <cell r="D282" t="str">
            <v>V-03-04</v>
          </cell>
          <cell r="E282" t="str">
            <v>Edetato sódico de calcio (EDTA)</v>
          </cell>
          <cell r="F282" t="str">
            <v>Inyectable</v>
          </cell>
          <cell r="G282">
            <v>0.2</v>
          </cell>
          <cell r="H282" t="str">
            <v>V03AB03</v>
          </cell>
          <cell r="I282"/>
          <cell r="J282">
            <v>122.63</v>
          </cell>
          <cell r="K282"/>
        </row>
        <row r="283">
          <cell r="D283" t="str">
            <v>J-05-10</v>
          </cell>
          <cell r="E283" t="str">
            <v>Efavirenz</v>
          </cell>
          <cell r="F283" t="str">
            <v>Comprimido</v>
          </cell>
          <cell r="G283" t="str">
            <v>600 mg</v>
          </cell>
          <cell r="H283" t="str">
            <v>J05AG03</v>
          </cell>
          <cell r="I283"/>
          <cell r="J283">
            <v>1.51</v>
          </cell>
          <cell r="K283"/>
        </row>
        <row r="284">
          <cell r="D284" t="str">
            <v>J-05-33</v>
          </cell>
          <cell r="E284" t="str">
            <v>Efavirenz</v>
          </cell>
          <cell r="F284" t="str">
            <v>Comprimido</v>
          </cell>
          <cell r="G284" t="str">
            <v>200 mg</v>
          </cell>
          <cell r="H284" t="str">
            <v>J05AG03</v>
          </cell>
          <cell r="I284"/>
          <cell r="J284">
            <v>0.73</v>
          </cell>
          <cell r="K284"/>
        </row>
        <row r="285">
          <cell r="D285" t="str">
            <v>B-05-09</v>
          </cell>
          <cell r="E285" t="str">
            <v>Emulsión de lípidos</v>
          </cell>
          <cell r="F285" t="str">
            <v>Emulsión inyectable</v>
          </cell>
          <cell r="G285" t="str">
            <v>Según disponibilidad</v>
          </cell>
          <cell r="H285" t="str">
            <v>B05BA02</v>
          </cell>
          <cell r="I285"/>
          <cell r="J285">
            <v>146.88399999999999</v>
          </cell>
          <cell r="K285"/>
        </row>
        <row r="286">
          <cell r="D286" t="str">
            <v>C-09-01</v>
          </cell>
          <cell r="E286" t="str">
            <v>Enalapril maleato</v>
          </cell>
          <cell r="F286" t="str">
            <v>Comprimido ranurado</v>
          </cell>
          <cell r="G286" t="str">
            <v>10 mg</v>
          </cell>
          <cell r="H286" t="str">
            <v>C09AA02</v>
          </cell>
          <cell r="I286"/>
          <cell r="J286">
            <v>0.24</v>
          </cell>
          <cell r="K286"/>
        </row>
        <row r="287">
          <cell r="D287" t="str">
            <v>L-02-11</v>
          </cell>
          <cell r="E287" t="str">
            <v>Enzalutamida</v>
          </cell>
          <cell r="F287" t="str">
            <v>Cápsula</v>
          </cell>
          <cell r="G287" t="str">
            <v>40 mg</v>
          </cell>
          <cell r="H287" t="str">
            <v>L02BB04</v>
          </cell>
          <cell r="I287" t="str">
            <v>R</v>
          </cell>
          <cell r="J287">
            <v>192.916666666667</v>
          </cell>
          <cell r="K287"/>
        </row>
        <row r="288">
          <cell r="D288" t="str">
            <v>A-09-01</v>
          </cell>
          <cell r="E288" t="str">
            <v>Enzimas pancreáticas (Lipasa, Proteasa y Amilasa en combinación)</v>
          </cell>
          <cell r="F288" t="str">
            <v>Comprimido</v>
          </cell>
          <cell r="G288" t="str">
            <v>Según disponibilidad</v>
          </cell>
          <cell r="H288" t="str">
            <v>A09AA02</v>
          </cell>
          <cell r="I288"/>
          <cell r="J288">
            <v>2.1814285714285702</v>
          </cell>
          <cell r="K288" t="str">
            <v>150 MG</v>
          </cell>
        </row>
        <row r="289">
          <cell r="D289" t="str">
            <v>C-01-10</v>
          </cell>
          <cell r="E289" t="str">
            <v>Epinefrina (Adrenalina)</v>
          </cell>
          <cell r="F289" t="str">
            <v>Inyectable</v>
          </cell>
          <cell r="G289" t="str">
            <v>1 mg/ml</v>
          </cell>
          <cell r="H289" t="str">
            <v>C01CA24</v>
          </cell>
          <cell r="I289"/>
          <cell r="J289">
            <v>6.89</v>
          </cell>
          <cell r="K289"/>
        </row>
        <row r="290">
          <cell r="D290" t="str">
            <v>G-02-03</v>
          </cell>
          <cell r="E290" t="str">
            <v>Ergometrina maleato</v>
          </cell>
          <cell r="F290" t="str">
            <v>Comprimido</v>
          </cell>
          <cell r="G290" t="str">
            <v>0,2 mg</v>
          </cell>
          <cell r="H290" t="str">
            <v>G02AB03</v>
          </cell>
          <cell r="I290"/>
          <cell r="J290">
            <v>1.7853030303030299</v>
          </cell>
          <cell r="K290"/>
        </row>
        <row r="291">
          <cell r="D291" t="str">
            <v>G-02-04</v>
          </cell>
          <cell r="E291" t="str">
            <v>Ergometrina maleato</v>
          </cell>
          <cell r="F291" t="str">
            <v>Inyectable</v>
          </cell>
          <cell r="G291" t="str">
            <v>0,2 mg/ml</v>
          </cell>
          <cell r="H291" t="str">
            <v>G02AB03</v>
          </cell>
          <cell r="I291"/>
          <cell r="J291">
            <v>8.3699999999999992</v>
          </cell>
          <cell r="K291" t="str">
            <v>1 ML</v>
          </cell>
        </row>
        <row r="292">
          <cell r="D292" t="str">
            <v>N-02-03</v>
          </cell>
          <cell r="E292" t="str">
            <v>Ergotamina tartrato + Cafeína</v>
          </cell>
          <cell r="F292" t="str">
            <v>Comprimido</v>
          </cell>
          <cell r="G292" t="str">
            <v>1 mg + 100 mg</v>
          </cell>
          <cell r="H292" t="str">
            <v>N02CA72</v>
          </cell>
          <cell r="I292"/>
          <cell r="J292">
            <v>2.6</v>
          </cell>
          <cell r="K292"/>
        </row>
        <row r="293">
          <cell r="D293" t="str">
            <v>D-10-01</v>
          </cell>
          <cell r="E293" t="str">
            <v>Eritromicina</v>
          </cell>
          <cell r="F293" t="str">
            <v>Loción</v>
          </cell>
          <cell r="G293" t="str">
            <v>2% a 4%</v>
          </cell>
          <cell r="H293" t="str">
            <v>D10AF02</v>
          </cell>
          <cell r="I293"/>
          <cell r="J293">
            <v>56.63</v>
          </cell>
          <cell r="K293" t="str">
            <v>3 ML</v>
          </cell>
        </row>
        <row r="294">
          <cell r="D294" t="str">
            <v>J-01-45</v>
          </cell>
          <cell r="E294" t="str">
            <v>Eritromicina (estearato)</v>
          </cell>
          <cell r="F294" t="str">
            <v>Cápsula o Comprimido</v>
          </cell>
          <cell r="G294" t="str">
            <v>500 mg</v>
          </cell>
          <cell r="H294" t="str">
            <v>J01FA01</v>
          </cell>
          <cell r="I294"/>
          <cell r="J294">
            <v>1.39</v>
          </cell>
          <cell r="K294"/>
        </row>
        <row r="295">
          <cell r="D295" t="str">
            <v>J-01-46</v>
          </cell>
          <cell r="E295" t="str">
            <v>Eritromicina (etilsuccinato)</v>
          </cell>
          <cell r="F295" t="str">
            <v>Suspensión</v>
          </cell>
          <cell r="G295" t="str">
            <v>250 mg/5 ml</v>
          </cell>
          <cell r="H295" t="str">
            <v>J01FA01</v>
          </cell>
          <cell r="I295"/>
          <cell r="J295">
            <v>13.8</v>
          </cell>
          <cell r="K295" t="str">
            <v>100 ML</v>
          </cell>
        </row>
        <row r="296">
          <cell r="D296" t="str">
            <v>B-03-02</v>
          </cell>
          <cell r="E296" t="str">
            <v>Eritropoyetina</v>
          </cell>
          <cell r="F296" t="str">
            <v>Inyectable</v>
          </cell>
          <cell r="G296" t="str">
            <v>10.000 UI</v>
          </cell>
          <cell r="H296" t="str">
            <v>B03XA01</v>
          </cell>
          <cell r="I296"/>
          <cell r="J296">
            <v>56.724444444444501</v>
          </cell>
          <cell r="K296"/>
        </row>
        <row r="297">
          <cell r="D297" t="str">
            <v>B-03-03</v>
          </cell>
          <cell r="E297" t="str">
            <v>Eritropoyetina</v>
          </cell>
          <cell r="F297" t="str">
            <v>Inyectable</v>
          </cell>
          <cell r="G297" t="str">
            <v xml:space="preserve">2.000 UI </v>
          </cell>
          <cell r="H297" t="str">
            <v>B03XA01</v>
          </cell>
          <cell r="I297"/>
          <cell r="J297">
            <v>32.99</v>
          </cell>
          <cell r="K297"/>
        </row>
        <row r="298">
          <cell r="D298" t="str">
            <v>B-03-11</v>
          </cell>
          <cell r="E298" t="str">
            <v>Eritropoyetina</v>
          </cell>
          <cell r="F298" t="str">
            <v>Inyectable</v>
          </cell>
          <cell r="G298" t="str">
            <v>4000 UI</v>
          </cell>
          <cell r="H298" t="str">
            <v>B03XA01</v>
          </cell>
          <cell r="I298"/>
          <cell r="J298">
            <v>42.816666666666698</v>
          </cell>
          <cell r="K298"/>
        </row>
        <row r="299">
          <cell r="D299" t="str">
            <v>L-01-59</v>
          </cell>
          <cell r="E299" t="str">
            <v>Erlotinib</v>
          </cell>
          <cell r="F299" t="str">
            <v>Comprimido</v>
          </cell>
          <cell r="G299" t="str">
            <v>150 mg</v>
          </cell>
          <cell r="H299" t="str">
            <v>L01XE03</v>
          </cell>
          <cell r="I299" t="str">
            <v>R</v>
          </cell>
          <cell r="J299">
            <v>533.33000000000004</v>
          </cell>
          <cell r="K299"/>
        </row>
        <row r="300">
          <cell r="D300" t="str">
            <v>J-01-47</v>
          </cell>
          <cell r="E300" t="str">
            <v>Espiramicina</v>
          </cell>
          <cell r="F300" t="str">
            <v>Comprimido</v>
          </cell>
          <cell r="G300" t="str">
            <v>500 mg</v>
          </cell>
          <cell r="H300" t="str">
            <v>J01FA02</v>
          </cell>
          <cell r="I300"/>
          <cell r="J300">
            <v>7.58</v>
          </cell>
          <cell r="K300"/>
        </row>
        <row r="301">
          <cell r="D301" t="str">
            <v>C-03-02</v>
          </cell>
          <cell r="E301" t="str">
            <v>Espironolactona</v>
          </cell>
          <cell r="F301" t="str">
            <v>Comprimido</v>
          </cell>
          <cell r="G301" t="str">
            <v>100 mg</v>
          </cell>
          <cell r="H301" t="str">
            <v>C03DA01</v>
          </cell>
          <cell r="I301"/>
          <cell r="J301">
            <v>1.8</v>
          </cell>
          <cell r="K301"/>
        </row>
        <row r="302">
          <cell r="D302" t="str">
            <v>C-03-03</v>
          </cell>
          <cell r="E302" t="str">
            <v>Espironolactona</v>
          </cell>
          <cell r="F302" t="str">
            <v>Comprimido</v>
          </cell>
          <cell r="G302" t="str">
            <v>25 mg</v>
          </cell>
          <cell r="H302" t="str">
            <v>C03DA01</v>
          </cell>
          <cell r="I302"/>
          <cell r="J302">
            <v>0.81904761904761902</v>
          </cell>
          <cell r="K302"/>
        </row>
        <row r="303">
          <cell r="D303" t="str">
            <v>G-03-04</v>
          </cell>
          <cell r="E303" t="str">
            <v>Estradiol + Noretisterona acetato</v>
          </cell>
          <cell r="F303" t="str">
            <v>Comprimido</v>
          </cell>
          <cell r="G303" t="str">
            <v>2mg + 1mg</v>
          </cell>
          <cell r="H303" t="str">
            <v>G03FB05</v>
          </cell>
          <cell r="I303"/>
          <cell r="J303">
            <v>146.4957</v>
          </cell>
          <cell r="K303" t="str">
            <v>Por cicLo</v>
          </cell>
        </row>
        <row r="304">
          <cell r="D304" t="str">
            <v>G-03-05</v>
          </cell>
          <cell r="E304" t="str">
            <v>Estradiol valerianato + Norgestrel</v>
          </cell>
          <cell r="F304" t="str">
            <v>Comprimido</v>
          </cell>
          <cell r="G304" t="str">
            <v>2 mg + 0,5 mg</v>
          </cell>
          <cell r="H304" t="str">
            <v>G03FA10</v>
          </cell>
          <cell r="I304"/>
          <cell r="J304">
            <v>95.09</v>
          </cell>
          <cell r="K304" t="str">
            <v>por cicLo</v>
          </cell>
        </row>
        <row r="305">
          <cell r="D305" t="str">
            <v>G-03-06</v>
          </cell>
          <cell r="E305" t="str">
            <v>Estradiol valerianato + Prasterona enantato</v>
          </cell>
          <cell r="F305" t="str">
            <v>Inyectable</v>
          </cell>
          <cell r="G305" t="str">
            <v>4 mg + 200 mg/ml</v>
          </cell>
          <cell r="H305" t="str">
            <v>G03EA03</v>
          </cell>
          <cell r="I305"/>
          <cell r="J305">
            <v>113.355</v>
          </cell>
          <cell r="K305"/>
        </row>
        <row r="306">
          <cell r="D306" t="str">
            <v>J-04-04</v>
          </cell>
          <cell r="E306" t="str">
            <v>Estreptomicina sulfato</v>
          </cell>
          <cell r="F306" t="str">
            <v>Inyectable</v>
          </cell>
          <cell r="G306" t="str">
            <v>1 g</v>
          </cell>
          <cell r="H306" t="str">
            <v>J04AM**</v>
          </cell>
          <cell r="I306"/>
          <cell r="J306">
            <v>5.1268514999999999</v>
          </cell>
          <cell r="K306"/>
        </row>
        <row r="307">
          <cell r="D307" t="str">
            <v>B-01-02</v>
          </cell>
          <cell r="E307" t="str">
            <v>Estreptoquinasa</v>
          </cell>
          <cell r="F307" t="str">
            <v>Inyectable</v>
          </cell>
          <cell r="G307" t="str">
            <v>1.500.000 UI</v>
          </cell>
          <cell r="H307" t="str">
            <v>B01AD01</v>
          </cell>
          <cell r="I307"/>
          <cell r="J307">
            <v>1074.3499999999999</v>
          </cell>
          <cell r="K307"/>
        </row>
        <row r="308">
          <cell r="D308" t="str">
            <v>G-03-07</v>
          </cell>
          <cell r="E308" t="str">
            <v>Estrógenos conjugados</v>
          </cell>
          <cell r="F308" t="str">
            <v>Comprimido</v>
          </cell>
          <cell r="G308" t="str">
            <v>0,625 mg</v>
          </cell>
          <cell r="H308" t="str">
            <v>G03CA57</v>
          </cell>
          <cell r="I308"/>
          <cell r="J308">
            <v>4.74</v>
          </cell>
          <cell r="K308"/>
        </row>
        <row r="309">
          <cell r="D309" t="str">
            <v>G-03-08</v>
          </cell>
          <cell r="E309" t="str">
            <v>Estrógenos conjugados</v>
          </cell>
          <cell r="F309" t="str">
            <v>Comprimido</v>
          </cell>
          <cell r="G309" t="str">
            <v>1,25 mg</v>
          </cell>
          <cell r="H309" t="str">
            <v>G03CA57</v>
          </cell>
          <cell r="I309"/>
          <cell r="J309">
            <v>5.05</v>
          </cell>
          <cell r="K309"/>
        </row>
        <row r="310">
          <cell r="D310" t="str">
            <v>G-03-09</v>
          </cell>
          <cell r="E310" t="str">
            <v>Estrógenos conjugados</v>
          </cell>
          <cell r="F310" t="str">
            <v>Crema vaginal</v>
          </cell>
          <cell r="G310" t="str">
            <v>0,625 mg</v>
          </cell>
          <cell r="H310" t="str">
            <v>G03CA57</v>
          </cell>
          <cell r="I310"/>
          <cell r="J310">
            <v>116.21833333333301</v>
          </cell>
          <cell r="K310" t="str">
            <v>43 G</v>
          </cell>
        </row>
        <row r="311">
          <cell r="D311" t="str">
            <v>J-04-05</v>
          </cell>
          <cell r="E311" t="str">
            <v>Etambutol</v>
          </cell>
          <cell r="F311" t="str">
            <v>Comprimido</v>
          </cell>
          <cell r="G311" t="str">
            <v>400 mg</v>
          </cell>
          <cell r="H311" t="str">
            <v>J04AK02</v>
          </cell>
          <cell r="I311" t="str">
            <v>R</v>
          </cell>
          <cell r="J311">
            <v>0.28999999999999998</v>
          </cell>
          <cell r="K311"/>
        </row>
        <row r="312">
          <cell r="D312" t="str">
            <v>B-02-03</v>
          </cell>
          <cell r="E312" t="str">
            <v>Etamsilato</v>
          </cell>
          <cell r="F312" t="str">
            <v>Inyectable</v>
          </cell>
          <cell r="G312" t="str">
            <v>250 mg/2 ml</v>
          </cell>
          <cell r="H312" t="str">
            <v>B02BX01</v>
          </cell>
          <cell r="I312" t="str">
            <v>R</v>
          </cell>
          <cell r="J312">
            <v>31.363333333333301</v>
          </cell>
          <cell r="K312"/>
        </row>
        <row r="313">
          <cell r="D313" t="str">
            <v>D-08-03</v>
          </cell>
          <cell r="E313" t="str">
            <v>Eter alifático dietilamino etanol</v>
          </cell>
          <cell r="F313" t="str">
            <v>Solución 1 l</v>
          </cell>
          <cell r="G313" t="str">
            <v>Según disponibilidad</v>
          </cell>
          <cell r="H313" t="str">
            <v>D08AC**</v>
          </cell>
          <cell r="I313"/>
          <cell r="J313">
            <v>614.91916666666702</v>
          </cell>
          <cell r="K313"/>
        </row>
        <row r="314">
          <cell r="D314" t="str">
            <v>C-01-13</v>
          </cell>
          <cell r="E314" t="str">
            <v>Etilefrina</v>
          </cell>
          <cell r="F314" t="str">
            <v>Inyectable</v>
          </cell>
          <cell r="G314" t="str">
            <v>10 mg/ml</v>
          </cell>
          <cell r="H314" t="str">
            <v>C01CA01</v>
          </cell>
          <cell r="I314"/>
          <cell r="J314">
            <v>13.8</v>
          </cell>
          <cell r="K314" t="str">
            <v>1 ML</v>
          </cell>
        </row>
        <row r="315">
          <cell r="D315" t="str">
            <v>J-04-06</v>
          </cell>
          <cell r="E315" t="str">
            <v>Etionamida</v>
          </cell>
          <cell r="F315" t="str">
            <v>Comprimido</v>
          </cell>
          <cell r="G315" t="str">
            <v>250 mg</v>
          </cell>
          <cell r="H315" t="str">
            <v>J04AD03</v>
          </cell>
          <cell r="I315"/>
          <cell r="J315">
            <v>0.73</v>
          </cell>
          <cell r="K315"/>
        </row>
        <row r="316">
          <cell r="D316" t="str">
            <v>L-01-16</v>
          </cell>
          <cell r="E316" t="str">
            <v>Etopósido</v>
          </cell>
          <cell r="F316" t="str">
            <v>Inyectable</v>
          </cell>
          <cell r="G316" t="str">
            <v>100 mg/5 ml</v>
          </cell>
          <cell r="H316" t="str">
            <v>L01CB01</v>
          </cell>
          <cell r="I316"/>
          <cell r="J316">
            <v>61.944000000000003</v>
          </cell>
          <cell r="K316"/>
        </row>
        <row r="317">
          <cell r="D317" t="str">
            <v>B-02-05</v>
          </cell>
          <cell r="E317" t="str">
            <v>Factor IX de la coagulación</v>
          </cell>
          <cell r="F317" t="str">
            <v>Inyectable</v>
          </cell>
          <cell r="G317" t="str">
            <v>500 UI</v>
          </cell>
          <cell r="H317" t="str">
            <v>B02BD04</v>
          </cell>
          <cell r="I317" t="str">
            <v>R</v>
          </cell>
          <cell r="J317">
            <v>2150</v>
          </cell>
          <cell r="K317"/>
        </row>
        <row r="318">
          <cell r="D318" t="str">
            <v>B-02-04</v>
          </cell>
          <cell r="E318" t="str">
            <v>Factor VIII de la coagulación</v>
          </cell>
          <cell r="F318" t="str">
            <v>Inyectable</v>
          </cell>
          <cell r="G318" t="str">
            <v>500 UI</v>
          </cell>
          <cell r="H318" t="str">
            <v>B02BD02</v>
          </cell>
          <cell r="I318" t="str">
            <v>R</v>
          </cell>
          <cell r="J318">
            <v>1938.1666666666699</v>
          </cell>
          <cell r="K318"/>
        </row>
        <row r="319">
          <cell r="D319" t="str">
            <v>J-05-49</v>
          </cell>
          <cell r="E319" t="str">
            <v>Favipiravir</v>
          </cell>
          <cell r="F319" t="str">
            <v>Comprimido recubierto</v>
          </cell>
          <cell r="G319" t="str">
            <v>200 mg</v>
          </cell>
          <cell r="H319" t="str">
            <v>J05AX24</v>
          </cell>
          <cell r="I319" t="str">
            <v>R</v>
          </cell>
          <cell r="J319">
            <v>42.92</v>
          </cell>
          <cell r="K319"/>
        </row>
        <row r="320">
          <cell r="D320" t="str">
            <v>N-03-07</v>
          </cell>
          <cell r="E320" t="str">
            <v>Fenitoína</v>
          </cell>
          <cell r="F320" t="str">
            <v>Inyectable</v>
          </cell>
          <cell r="G320" t="str">
            <v>50 mg/ml</v>
          </cell>
          <cell r="H320" t="str">
            <v>N03AB02</v>
          </cell>
          <cell r="I320"/>
          <cell r="J320">
            <v>12.9906448412698</v>
          </cell>
          <cell r="K320"/>
        </row>
        <row r="321">
          <cell r="D321" t="str">
            <v>N-03-08</v>
          </cell>
          <cell r="E321" t="str">
            <v>Fenitoína</v>
          </cell>
          <cell r="F321" t="str">
            <v>Cápsula o Comprimido</v>
          </cell>
          <cell r="G321" t="str">
            <v>100 mg</v>
          </cell>
          <cell r="H321" t="str">
            <v>N03AB02</v>
          </cell>
          <cell r="I321"/>
          <cell r="J321">
            <v>0.6</v>
          </cell>
          <cell r="K321"/>
        </row>
        <row r="322">
          <cell r="D322" t="str">
            <v>N-03-09</v>
          </cell>
          <cell r="E322" t="str">
            <v>Fenobarbital</v>
          </cell>
          <cell r="F322" t="str">
            <v>Comprimido</v>
          </cell>
          <cell r="G322" t="str">
            <v>100 mg</v>
          </cell>
          <cell r="H322" t="str">
            <v>N03AA02</v>
          </cell>
          <cell r="I322"/>
          <cell r="J322">
            <v>1.52</v>
          </cell>
          <cell r="K322"/>
        </row>
        <row r="323">
          <cell r="D323" t="str">
            <v>N-03-10</v>
          </cell>
          <cell r="E323" t="str">
            <v>Fenobarbital</v>
          </cell>
          <cell r="F323" t="str">
            <v>Gotas</v>
          </cell>
          <cell r="G323" t="str">
            <v>20 mg/ml</v>
          </cell>
          <cell r="H323" t="str">
            <v>N03AA02</v>
          </cell>
          <cell r="I323"/>
          <cell r="J323">
            <v>56.24</v>
          </cell>
          <cell r="K323" t="str">
            <v>15 ML</v>
          </cell>
        </row>
        <row r="324">
          <cell r="D324" t="str">
            <v>N-03-11</v>
          </cell>
          <cell r="E324" t="str">
            <v>Fenobarbital</v>
          </cell>
          <cell r="F324" t="str">
            <v>Inyectable</v>
          </cell>
          <cell r="G324" t="str">
            <v>100 mg/ml</v>
          </cell>
          <cell r="H324" t="str">
            <v>N03AA02</v>
          </cell>
          <cell r="I324"/>
          <cell r="J324">
            <v>37.799999999999997</v>
          </cell>
          <cell r="K324"/>
        </row>
        <row r="325">
          <cell r="D325" t="str">
            <v>C-10-04</v>
          </cell>
          <cell r="E325" t="str">
            <v>Fenofibrato</v>
          </cell>
          <cell r="F325" t="str">
            <v>Cápsula o Comprimido</v>
          </cell>
          <cell r="G325" t="str">
            <v>200 mg</v>
          </cell>
          <cell r="H325" t="str">
            <v>C10AB05</v>
          </cell>
          <cell r="I325"/>
          <cell r="J325">
            <v>4.9749999999999996</v>
          </cell>
          <cell r="K325"/>
        </row>
        <row r="326">
          <cell r="D326" t="str">
            <v>N-01-05</v>
          </cell>
          <cell r="E326" t="str">
            <v>Fentanilo con conservante</v>
          </cell>
          <cell r="F326" t="str">
            <v>Inyectable</v>
          </cell>
          <cell r="G326" t="str">
            <v>0,05 mg/ml</v>
          </cell>
          <cell r="H326" t="str">
            <v>N01AH01</v>
          </cell>
          <cell r="I326"/>
          <cell r="J326">
            <v>33.6</v>
          </cell>
          <cell r="K326"/>
        </row>
        <row r="327">
          <cell r="D327" t="str">
            <v>N-01-06</v>
          </cell>
          <cell r="E327" t="str">
            <v>Fentanilo sin conservante</v>
          </cell>
          <cell r="F327" t="str">
            <v>Inyectable</v>
          </cell>
          <cell r="G327" t="str">
            <v>0,05 mg/ml</v>
          </cell>
          <cell r="H327" t="str">
            <v>N01AH01</v>
          </cell>
          <cell r="I327"/>
          <cell r="J327">
            <v>9.33</v>
          </cell>
          <cell r="K327"/>
        </row>
        <row r="328">
          <cell r="D328" t="str">
            <v>A-06-04</v>
          </cell>
          <cell r="E328" t="str">
            <v>Fibra natural</v>
          </cell>
          <cell r="F328" t="str">
            <v>Polvo o granulado</v>
          </cell>
          <cell r="G328" t="str">
            <v>Según disponibilidad</v>
          </cell>
          <cell r="H328" t="str">
            <v>A06AC07</v>
          </cell>
          <cell r="I328"/>
          <cell r="J328">
            <v>3.49</v>
          </cell>
          <cell r="K328"/>
        </row>
        <row r="329">
          <cell r="D329" t="str">
            <v>B-02-08</v>
          </cell>
          <cell r="E329" t="str">
            <v xml:space="preserve">Fibrinógeno humano </v>
          </cell>
          <cell r="F329" t="str">
            <v>Inyectable</v>
          </cell>
          <cell r="G329" t="str">
            <v>1g</v>
          </cell>
          <cell r="H329" t="str">
            <v>B02BB01</v>
          </cell>
          <cell r="I329" t="str">
            <v>R</v>
          </cell>
          <cell r="J329">
            <v>5800</v>
          </cell>
          <cell r="K329"/>
        </row>
        <row r="330">
          <cell r="D330" t="str">
            <v>L-03-01</v>
          </cell>
          <cell r="E330" t="str">
            <v>Filgrastrim</v>
          </cell>
          <cell r="F330" t="str">
            <v>Inyectable</v>
          </cell>
          <cell r="G330" t="str">
            <v>300 mcg/ml</v>
          </cell>
          <cell r="H330" t="str">
            <v>L03AA02</v>
          </cell>
          <cell r="I330"/>
          <cell r="J330">
            <v>103.87625</v>
          </cell>
          <cell r="K330"/>
        </row>
        <row r="331">
          <cell r="D331" t="str">
            <v>G-04-01</v>
          </cell>
          <cell r="E331" t="str">
            <v>Finasterida</v>
          </cell>
          <cell r="F331" t="str">
            <v>Comprimido</v>
          </cell>
          <cell r="G331" t="str">
            <v>5 mg</v>
          </cell>
          <cell r="H331" t="str">
            <v>G04CB01</v>
          </cell>
          <cell r="I331"/>
          <cell r="J331">
            <v>2.88</v>
          </cell>
          <cell r="K331"/>
        </row>
        <row r="332">
          <cell r="D332" t="str">
            <v>L-04-18</v>
          </cell>
          <cell r="E332" t="str">
            <v>Fingolimod</v>
          </cell>
          <cell r="F332" t="str">
            <v>Cápsula</v>
          </cell>
          <cell r="G332" t="str">
            <v>0,5 mg</v>
          </cell>
          <cell r="H332" t="str">
            <v>L04AA27</v>
          </cell>
          <cell r="I332" t="str">
            <v>R</v>
          </cell>
          <cell r="J332">
            <v>187</v>
          </cell>
          <cell r="K332"/>
        </row>
        <row r="333">
          <cell r="D333" t="str">
            <v>B-02-02</v>
          </cell>
          <cell r="E333" t="str">
            <v>Fitomenadiona  (Vitamina K1)</v>
          </cell>
          <cell r="F333" t="str">
            <v>Inyectable</v>
          </cell>
          <cell r="G333" t="str">
            <v>10 mg/ml</v>
          </cell>
          <cell r="H333" t="str">
            <v>B02BA01</v>
          </cell>
          <cell r="I333"/>
          <cell r="J333">
            <v>2.88</v>
          </cell>
          <cell r="K333"/>
        </row>
        <row r="334">
          <cell r="D334" t="str">
            <v>J-02-02</v>
          </cell>
          <cell r="E334" t="str">
            <v>Fluconazol</v>
          </cell>
          <cell r="F334" t="str">
            <v>Inyectable</v>
          </cell>
          <cell r="G334" t="str">
            <v>200 mg</v>
          </cell>
          <cell r="H334" t="str">
            <v>J02AC01</v>
          </cell>
          <cell r="I334"/>
          <cell r="J334">
            <v>28.56</v>
          </cell>
          <cell r="K334"/>
        </row>
        <row r="335">
          <cell r="D335" t="str">
            <v>J-02-08</v>
          </cell>
          <cell r="E335" t="str">
            <v>Fluconazol</v>
          </cell>
          <cell r="F335" t="str">
            <v>Comprimido o Cápsula</v>
          </cell>
          <cell r="G335" t="str">
            <v>150 mg</v>
          </cell>
          <cell r="H335" t="str">
            <v>J02AC01</v>
          </cell>
          <cell r="I335"/>
          <cell r="J335">
            <v>2.95</v>
          </cell>
          <cell r="K335"/>
        </row>
        <row r="336">
          <cell r="D336" t="str">
            <v>L-01-62</v>
          </cell>
          <cell r="E336" t="str">
            <v>Fludarabina</v>
          </cell>
          <cell r="F336" t="str">
            <v>Inyectable</v>
          </cell>
          <cell r="G336" t="str">
            <v xml:space="preserve">50 mg </v>
          </cell>
          <cell r="H336" t="str">
            <v>L01BB05</v>
          </cell>
          <cell r="I336" t="str">
            <v>R</v>
          </cell>
          <cell r="J336">
            <v>1260</v>
          </cell>
          <cell r="K336"/>
        </row>
        <row r="337">
          <cell r="D337" t="str">
            <v>V-03-05</v>
          </cell>
          <cell r="E337" t="str">
            <v>Flumazenil</v>
          </cell>
          <cell r="F337" t="str">
            <v>Inyectable</v>
          </cell>
          <cell r="G337" t="str">
            <v>0,5 mg/5 ml</v>
          </cell>
          <cell r="H337" t="str">
            <v>V03AB25</v>
          </cell>
          <cell r="I337"/>
          <cell r="J337">
            <v>131.64444444444399</v>
          </cell>
          <cell r="K337"/>
        </row>
        <row r="338">
          <cell r="D338" t="str">
            <v>N-07-08</v>
          </cell>
          <cell r="E338" t="str">
            <v>Flunarizina</v>
          </cell>
          <cell r="F338" t="str">
            <v>Comprimido</v>
          </cell>
          <cell r="G338" t="str">
            <v>10 mg</v>
          </cell>
          <cell r="H338" t="str">
            <v>N07CA03</v>
          </cell>
          <cell r="I338"/>
          <cell r="J338">
            <v>2.75</v>
          </cell>
          <cell r="K338"/>
        </row>
        <row r="339">
          <cell r="D339" t="str">
            <v>S-01-13</v>
          </cell>
          <cell r="E339" t="str">
            <v>Fluoresceina</v>
          </cell>
          <cell r="F339" t="str">
            <v>Inyectable</v>
          </cell>
          <cell r="G339">
            <v>0.1</v>
          </cell>
          <cell r="H339" t="str">
            <v>S01JA01</v>
          </cell>
          <cell r="I339"/>
          <cell r="J339">
            <v>82.59</v>
          </cell>
          <cell r="K339"/>
        </row>
        <row r="340">
          <cell r="D340" t="str">
            <v>S-01-14</v>
          </cell>
          <cell r="E340" t="str">
            <v>Fluoresceina (sal sódica)</v>
          </cell>
          <cell r="F340" t="str">
            <v>Solución oftálmica</v>
          </cell>
          <cell r="G340" t="str">
            <v>0,25%</v>
          </cell>
          <cell r="H340" t="str">
            <v>S01JA01</v>
          </cell>
          <cell r="I340"/>
          <cell r="J340">
            <v>46.32</v>
          </cell>
          <cell r="K340"/>
        </row>
        <row r="341">
          <cell r="D341" t="str">
            <v>L-01-17</v>
          </cell>
          <cell r="E341" t="str">
            <v>Fluorouracilo</v>
          </cell>
          <cell r="F341" t="str">
            <v>Inyectable</v>
          </cell>
          <cell r="G341" t="str">
            <v>500 mg/10 ml</v>
          </cell>
          <cell r="H341" t="str">
            <v>L01BC02</v>
          </cell>
          <cell r="I341"/>
          <cell r="J341">
            <v>42.163333333333298</v>
          </cell>
          <cell r="K341"/>
        </row>
        <row r="342">
          <cell r="D342" t="str">
            <v>A-01-02</v>
          </cell>
          <cell r="E342" t="str">
            <v>Fluoruro de sodio</v>
          </cell>
          <cell r="F342" t="str">
            <v>Gel o Pasta</v>
          </cell>
          <cell r="G342" t="str">
            <v>Según Programa</v>
          </cell>
          <cell r="H342" t="str">
            <v>A01AA01</v>
          </cell>
          <cell r="I342"/>
          <cell r="J342">
            <v>25</v>
          </cell>
          <cell r="K342"/>
        </row>
        <row r="343">
          <cell r="D343" t="str">
            <v>A-12-04</v>
          </cell>
          <cell r="E343" t="str">
            <v>Fluoruro de sodio</v>
          </cell>
          <cell r="F343" t="str">
            <v>Solución oral gotas</v>
          </cell>
          <cell r="G343" t="str">
            <v>0,2%</v>
          </cell>
          <cell r="H343" t="str">
            <v>A12CD01</v>
          </cell>
          <cell r="I343"/>
          <cell r="J343">
            <v>19.22</v>
          </cell>
          <cell r="K343"/>
        </row>
        <row r="344">
          <cell r="D344" t="str">
            <v>N-06-04</v>
          </cell>
          <cell r="E344" t="str">
            <v>Fluoxetina</v>
          </cell>
          <cell r="F344" t="str">
            <v>Cápsula o Comprimido</v>
          </cell>
          <cell r="G344" t="str">
            <v>20 mg</v>
          </cell>
          <cell r="H344" t="str">
            <v>N06AB03</v>
          </cell>
          <cell r="I344"/>
          <cell r="J344">
            <v>0.94</v>
          </cell>
          <cell r="K344"/>
        </row>
        <row r="345">
          <cell r="D345" t="str">
            <v>D-08-04</v>
          </cell>
          <cell r="E345" t="str">
            <v>Formaldehido</v>
          </cell>
          <cell r="F345" t="str">
            <v>Solución</v>
          </cell>
          <cell r="G345" t="str">
            <v>40% p/v</v>
          </cell>
          <cell r="H345" t="str">
            <v>D08AC**</v>
          </cell>
          <cell r="I345"/>
          <cell r="J345">
            <v>22</v>
          </cell>
          <cell r="K345" t="str">
            <v xml:space="preserve"> 1 L</v>
          </cell>
        </row>
        <row r="346">
          <cell r="D346" t="str">
            <v>C-03-04</v>
          </cell>
          <cell r="E346" t="str">
            <v>Furosemida</v>
          </cell>
          <cell r="F346" t="str">
            <v>Comprimido ranurado</v>
          </cell>
          <cell r="G346" t="str">
            <v>40 mg</v>
          </cell>
          <cell r="H346" t="str">
            <v>C03CA01</v>
          </cell>
          <cell r="I346"/>
          <cell r="J346">
            <v>0.33</v>
          </cell>
          <cell r="K346"/>
        </row>
        <row r="347">
          <cell r="D347" t="str">
            <v>C-03-05</v>
          </cell>
          <cell r="E347" t="str">
            <v>Furosemida</v>
          </cell>
          <cell r="F347" t="str">
            <v>Inyectable</v>
          </cell>
          <cell r="G347" t="str">
            <v>10 mg/ml</v>
          </cell>
          <cell r="H347" t="str">
            <v>C03CA01</v>
          </cell>
          <cell r="I347"/>
          <cell r="J347">
            <v>1.8</v>
          </cell>
          <cell r="K347" t="str">
            <v>2 ML</v>
          </cell>
        </row>
        <row r="348">
          <cell r="D348" t="str">
            <v>V-08-04</v>
          </cell>
          <cell r="E348" t="str">
            <v>Gadodiamida</v>
          </cell>
          <cell r="F348" t="str">
            <v>Inyectable</v>
          </cell>
          <cell r="G348" t="str">
            <v>287 mg/ml</v>
          </cell>
          <cell r="H348" t="str">
            <v>V08CA03</v>
          </cell>
          <cell r="I348"/>
          <cell r="J348">
            <v>473.67</v>
          </cell>
          <cell r="K348"/>
        </row>
        <row r="349">
          <cell r="D349" t="str">
            <v>V-08-05</v>
          </cell>
          <cell r="E349" t="str">
            <v>Gadopentato de dimeglumina</v>
          </cell>
          <cell r="F349" t="str">
            <v>Inyectable</v>
          </cell>
          <cell r="G349" t="str">
            <v>469 mg/ml</v>
          </cell>
          <cell r="H349" t="str">
            <v>V08CA01</v>
          </cell>
          <cell r="I349"/>
          <cell r="J349">
            <v>450</v>
          </cell>
          <cell r="K349" t="str">
            <v>15 ML</v>
          </cell>
        </row>
        <row r="350">
          <cell r="D350" t="str">
            <v>V-08-10</v>
          </cell>
          <cell r="E350" t="str">
            <v>Gadoversetamida</v>
          </cell>
          <cell r="F350" t="str">
            <v>Inyectable</v>
          </cell>
          <cell r="G350" t="str">
            <v>0.5mmol / ml</v>
          </cell>
          <cell r="H350" t="str">
            <v>V08CA06</v>
          </cell>
          <cell r="I350" t="str">
            <v>R</v>
          </cell>
          <cell r="J350">
            <v>450</v>
          </cell>
          <cell r="K350"/>
        </row>
        <row r="351">
          <cell r="D351" t="str">
            <v>L-01-18</v>
          </cell>
          <cell r="E351" t="str">
            <v>Gemcitabina</v>
          </cell>
          <cell r="F351" t="str">
            <v>Inyectable</v>
          </cell>
          <cell r="G351" t="str">
            <v>1 g</v>
          </cell>
          <cell r="H351" t="str">
            <v>L01BC05</v>
          </cell>
          <cell r="I351"/>
          <cell r="J351">
            <v>464.066666666667</v>
          </cell>
          <cell r="K351"/>
        </row>
        <row r="352">
          <cell r="D352" t="str">
            <v>L-01-33</v>
          </cell>
          <cell r="E352" t="str">
            <v>Gemcitabina</v>
          </cell>
          <cell r="F352" t="str">
            <v>Inyectable</v>
          </cell>
          <cell r="G352" t="str">
            <v>200 mg</v>
          </cell>
          <cell r="H352" t="str">
            <v>L01BC05</v>
          </cell>
          <cell r="I352"/>
          <cell r="J352">
            <v>192.25</v>
          </cell>
          <cell r="K352"/>
        </row>
        <row r="353">
          <cell r="D353" t="str">
            <v>C-10-02</v>
          </cell>
          <cell r="E353" t="str">
            <v>Gemfibrozilo</v>
          </cell>
          <cell r="F353" t="str">
            <v>Comprimido</v>
          </cell>
          <cell r="G353" t="str">
            <v>600 mg</v>
          </cell>
          <cell r="H353" t="str">
            <v>C10AB04</v>
          </cell>
          <cell r="I353"/>
          <cell r="J353">
            <v>2.33</v>
          </cell>
          <cell r="K353"/>
        </row>
        <row r="354">
          <cell r="D354" t="str">
            <v>S-01-15</v>
          </cell>
          <cell r="E354" t="str">
            <v>Gentamicina</v>
          </cell>
          <cell r="F354" t="str">
            <v>Ungüento oftálmico</v>
          </cell>
          <cell r="G354" t="str">
            <v>0,3%</v>
          </cell>
          <cell r="H354" t="str">
            <v>S01AA11</v>
          </cell>
          <cell r="I354"/>
          <cell r="J354">
            <v>26.05</v>
          </cell>
          <cell r="K354" t="str">
            <v>5 G</v>
          </cell>
        </row>
        <row r="355">
          <cell r="D355" t="str">
            <v>S-01-16</v>
          </cell>
          <cell r="E355" t="str">
            <v>Gentamicina</v>
          </cell>
          <cell r="F355" t="str">
            <v>Solución oftálmica</v>
          </cell>
          <cell r="G355" t="str">
            <v>0,3%</v>
          </cell>
          <cell r="H355" t="str">
            <v>S01AA11</v>
          </cell>
          <cell r="I355"/>
          <cell r="J355">
            <v>11.59</v>
          </cell>
          <cell r="K355" t="str">
            <v>5 ML</v>
          </cell>
        </row>
        <row r="356">
          <cell r="D356" t="str">
            <v>J-01-48</v>
          </cell>
          <cell r="E356" t="str">
            <v>Gentamicina sulfato</v>
          </cell>
          <cell r="F356" t="str">
            <v>Inyectable</v>
          </cell>
          <cell r="G356" t="str">
            <v>20 mg</v>
          </cell>
          <cell r="H356" t="str">
            <v>J01GB03</v>
          </cell>
          <cell r="I356"/>
          <cell r="J356">
            <v>2.6</v>
          </cell>
          <cell r="K356"/>
        </row>
        <row r="357">
          <cell r="D357" t="str">
            <v>J-01-49</v>
          </cell>
          <cell r="E357" t="str">
            <v>Gentamicina sulfato</v>
          </cell>
          <cell r="F357" t="str">
            <v>Inyectable</v>
          </cell>
          <cell r="G357" t="str">
            <v>80 mg</v>
          </cell>
          <cell r="H357" t="str">
            <v>J01GB03</v>
          </cell>
          <cell r="I357"/>
          <cell r="J357">
            <v>2.15</v>
          </cell>
          <cell r="K357"/>
        </row>
        <row r="358">
          <cell r="D358" t="str">
            <v>A-10-01</v>
          </cell>
          <cell r="E358" t="str">
            <v>Glibenclamida</v>
          </cell>
          <cell r="F358" t="str">
            <v>Comprimido</v>
          </cell>
          <cell r="G358" t="str">
            <v>5 mg</v>
          </cell>
          <cell r="H358" t="str">
            <v>A10BB01</v>
          </cell>
          <cell r="I358"/>
          <cell r="J358">
            <v>0.22</v>
          </cell>
          <cell r="K358"/>
        </row>
        <row r="359">
          <cell r="D359" t="str">
            <v>S-02-01</v>
          </cell>
          <cell r="E359" t="str">
            <v>Glicerina + carbonato de sodio</v>
          </cell>
          <cell r="F359" t="str">
            <v>Gotas óticas</v>
          </cell>
          <cell r="G359" t="str">
            <v>Según disponibilidad</v>
          </cell>
          <cell r="H359" t="str">
            <v>S02DA30</v>
          </cell>
          <cell r="I359"/>
          <cell r="J359">
            <v>25.33</v>
          </cell>
          <cell r="K359" t="str">
            <v>3G/100ML</v>
          </cell>
        </row>
        <row r="360">
          <cell r="D360" t="str">
            <v>D-02-01</v>
          </cell>
          <cell r="E360" t="str">
            <v>Glicerol (Glicerina bidestilada)</v>
          </cell>
          <cell r="F360" t="str">
            <v>Solución 1 l</v>
          </cell>
          <cell r="G360" t="str">
            <v>Según disponibilidad</v>
          </cell>
          <cell r="H360" t="str">
            <v>D02AX**</v>
          </cell>
          <cell r="I360"/>
          <cell r="J360">
            <v>106.83</v>
          </cell>
          <cell r="K360"/>
        </row>
        <row r="361">
          <cell r="D361" t="str">
            <v>A-06-05</v>
          </cell>
          <cell r="E361" t="str">
            <v>Glicerol (Glicerina)</v>
          </cell>
          <cell r="F361" t="str">
            <v>Supositorio</v>
          </cell>
          <cell r="G361" t="str">
            <v>2 g a 4 g (adulto)</v>
          </cell>
          <cell r="H361" t="str">
            <v>A06AX01</v>
          </cell>
          <cell r="I361"/>
          <cell r="J361">
            <v>2.02</v>
          </cell>
          <cell r="K361"/>
        </row>
        <row r="362">
          <cell r="D362" t="str">
            <v>A-06-06</v>
          </cell>
          <cell r="E362" t="str">
            <v>Glicerol (Glicerina)</v>
          </cell>
          <cell r="F362" t="str">
            <v>Supositorio</v>
          </cell>
          <cell r="G362" t="str">
            <v>1 g a 1,80 g (infantil)</v>
          </cell>
          <cell r="H362" t="str">
            <v>A06AX01</v>
          </cell>
          <cell r="I362"/>
          <cell r="J362">
            <v>1.99</v>
          </cell>
          <cell r="K362"/>
        </row>
        <row r="363">
          <cell r="D363" t="str">
            <v>L-04-11</v>
          </cell>
          <cell r="E363" t="str">
            <v>Globulina Anti-timocito</v>
          </cell>
          <cell r="F363" t="str">
            <v>Inyectable</v>
          </cell>
          <cell r="G363" t="str">
            <v>250 mg/5ml</v>
          </cell>
          <cell r="H363" t="str">
            <v>L04AA04</v>
          </cell>
          <cell r="I363" t="str">
            <v>R</v>
          </cell>
          <cell r="J363">
            <v>2813.46</v>
          </cell>
          <cell r="K363"/>
        </row>
        <row r="364">
          <cell r="D364" t="str">
            <v>L-04-19</v>
          </cell>
          <cell r="E364" t="str">
            <v>Globulina Anti-timocito (conejo)</v>
          </cell>
          <cell r="F364" t="str">
            <v>Inyectable</v>
          </cell>
          <cell r="G364" t="str">
            <v>25 mg</v>
          </cell>
          <cell r="H364" t="str">
            <v>L04AA04</v>
          </cell>
          <cell r="I364" t="str">
            <v>R</v>
          </cell>
          <cell r="J364" t="str">
            <v>SPR</v>
          </cell>
          <cell r="K364"/>
        </row>
        <row r="365">
          <cell r="D365" t="str">
            <v>B-05-10</v>
          </cell>
          <cell r="E365" t="str">
            <v>Gluconato Cálcico (Calcio Gluconato)</v>
          </cell>
          <cell r="F365" t="str">
            <v>Inyectable</v>
          </cell>
          <cell r="G365">
            <v>0.1</v>
          </cell>
          <cell r="H365" t="str">
            <v xml:space="preserve">B05XA07 </v>
          </cell>
          <cell r="I365"/>
          <cell r="J365">
            <v>3.8</v>
          </cell>
          <cell r="K365"/>
        </row>
        <row r="366">
          <cell r="D366" t="str">
            <v>G-03-10</v>
          </cell>
          <cell r="E366" t="str">
            <v>Gonadotrofina coriónica</v>
          </cell>
          <cell r="F366" t="str">
            <v>Inyectable</v>
          </cell>
          <cell r="G366" t="str">
            <v>5.000 UI/ml</v>
          </cell>
          <cell r="H366" t="str">
            <v>G03GA01</v>
          </cell>
          <cell r="I366"/>
          <cell r="J366">
            <v>241.80666666666701</v>
          </cell>
          <cell r="K366" t="str">
            <v>1 ML</v>
          </cell>
        </row>
        <row r="367">
          <cell r="D367" t="str">
            <v>J-02-04</v>
          </cell>
          <cell r="E367" t="str">
            <v>Griseofulvina</v>
          </cell>
          <cell r="F367" t="str">
            <v>Comprimido</v>
          </cell>
          <cell r="G367" t="str">
            <v>500 mg</v>
          </cell>
          <cell r="H367" t="str">
            <v>J02AX**</v>
          </cell>
          <cell r="I367"/>
          <cell r="J367">
            <v>1.83</v>
          </cell>
          <cell r="K367"/>
        </row>
        <row r="368">
          <cell r="D368" t="str">
            <v>J-02-05</v>
          </cell>
          <cell r="E368" t="str">
            <v>Griseofulvina</v>
          </cell>
          <cell r="F368" t="str">
            <v>Suspensión</v>
          </cell>
          <cell r="G368" t="str">
            <v>125 mg/5 ml</v>
          </cell>
          <cell r="H368" t="str">
            <v>J02AX**</v>
          </cell>
          <cell r="I368"/>
          <cell r="J368">
            <v>23.12</v>
          </cell>
          <cell r="K368"/>
        </row>
        <row r="369">
          <cell r="D369" t="str">
            <v>N-05-07</v>
          </cell>
          <cell r="E369" t="str">
            <v>Haloperidol</v>
          </cell>
          <cell r="F369" t="str">
            <v>Solución oral</v>
          </cell>
          <cell r="G369" t="str">
            <v>2 mg/ml</v>
          </cell>
          <cell r="H369" t="str">
            <v>N05AD01</v>
          </cell>
          <cell r="I369"/>
          <cell r="J369">
            <v>53.44</v>
          </cell>
          <cell r="K369"/>
        </row>
        <row r="370">
          <cell r="D370" t="str">
            <v>N-05-08</v>
          </cell>
          <cell r="E370" t="str">
            <v>Haloperidol</v>
          </cell>
          <cell r="F370" t="str">
            <v>Comprimido</v>
          </cell>
          <cell r="G370" t="str">
            <v>5 mg</v>
          </cell>
          <cell r="H370" t="str">
            <v>N05AD01</v>
          </cell>
          <cell r="I370"/>
          <cell r="J370">
            <v>1.2</v>
          </cell>
          <cell r="K370"/>
        </row>
        <row r="371">
          <cell r="D371" t="str">
            <v>N-05-17</v>
          </cell>
          <cell r="E371" t="str">
            <v>Haloperidol</v>
          </cell>
          <cell r="F371" t="str">
            <v>Inyectable</v>
          </cell>
          <cell r="G371" t="str">
            <v>5 mg/ml</v>
          </cell>
          <cell r="H371" t="str">
            <v>N05AD01</v>
          </cell>
          <cell r="I371"/>
          <cell r="J371">
            <v>27.25</v>
          </cell>
          <cell r="K371" t="str">
            <v>1 ML</v>
          </cell>
        </row>
        <row r="372">
          <cell r="D372" t="str">
            <v>N-05-09</v>
          </cell>
          <cell r="E372" t="str">
            <v>Haloperidol decanoato</v>
          </cell>
          <cell r="F372" t="str">
            <v>Inyectable</v>
          </cell>
          <cell r="G372" t="str">
            <v>50 mg/ml</v>
          </cell>
          <cell r="H372" t="str">
            <v>N05AD01</v>
          </cell>
          <cell r="I372"/>
          <cell r="J372">
            <v>79.498999999999995</v>
          </cell>
          <cell r="K372" t="str">
            <v>1 ML</v>
          </cell>
        </row>
        <row r="373">
          <cell r="D373" t="str">
            <v>N-01-07</v>
          </cell>
          <cell r="E373" t="str">
            <v>Halotano</v>
          </cell>
          <cell r="F373" t="str">
            <v>Solución</v>
          </cell>
          <cell r="G373" t="str">
            <v>0,01% de timol</v>
          </cell>
          <cell r="H373" t="str">
            <v>N01AB01</v>
          </cell>
          <cell r="I373"/>
          <cell r="J373">
            <v>450</v>
          </cell>
          <cell r="K373" t="str">
            <v>250 ML</v>
          </cell>
        </row>
        <row r="374">
          <cell r="D374" t="str">
            <v>B-01-03</v>
          </cell>
          <cell r="E374" t="str">
            <v>Heparina de bajo peso molecular</v>
          </cell>
          <cell r="F374" t="str">
            <v>Inyectable</v>
          </cell>
          <cell r="G374" t="str">
            <v>Según disponibilidad</v>
          </cell>
          <cell r="H374" t="str">
            <v>B01AB**</v>
          </cell>
          <cell r="I374"/>
          <cell r="J374">
            <v>58.877470503352903</v>
          </cell>
          <cell r="K374"/>
        </row>
        <row r="375">
          <cell r="D375" t="str">
            <v>B-01-04</v>
          </cell>
          <cell r="E375" t="str">
            <v>Heparina sódica</v>
          </cell>
          <cell r="F375" t="str">
            <v>Inyectable</v>
          </cell>
          <cell r="G375" t="str">
            <v>5.000 UI/ml</v>
          </cell>
          <cell r="H375" t="str">
            <v>B01AB01</v>
          </cell>
          <cell r="I375"/>
          <cell r="J375">
            <v>44.118796296296303</v>
          </cell>
          <cell r="K375" t="str">
            <v>5 ML</v>
          </cell>
        </row>
        <row r="376">
          <cell r="D376" t="str">
            <v>C-02-03</v>
          </cell>
          <cell r="E376" t="str">
            <v>Hidralazina clorhidrato</v>
          </cell>
          <cell r="F376" t="str">
            <v>Inyectable</v>
          </cell>
          <cell r="G376" t="str">
            <v>20 mg/ml</v>
          </cell>
          <cell r="H376" t="str">
            <v>C02DB02</v>
          </cell>
          <cell r="I376"/>
          <cell r="J376">
            <v>70</v>
          </cell>
          <cell r="K376"/>
        </row>
        <row r="377">
          <cell r="D377" t="str">
            <v>C-02-07</v>
          </cell>
          <cell r="E377" t="str">
            <v>Hidralazina clorhidrato</v>
          </cell>
          <cell r="F377" t="str">
            <v>Comprimido</v>
          </cell>
          <cell r="G377" t="str">
            <v>25 mg</v>
          </cell>
          <cell r="H377" t="str">
            <v>C02DB02</v>
          </cell>
          <cell r="I377"/>
          <cell r="J377">
            <v>0.79</v>
          </cell>
          <cell r="K377"/>
        </row>
        <row r="378">
          <cell r="D378" t="str">
            <v>C-03-06</v>
          </cell>
          <cell r="E378" t="str">
            <v>Hidroclorotiazida</v>
          </cell>
          <cell r="F378" t="str">
            <v>Comprimido ranurado</v>
          </cell>
          <cell r="G378" t="str">
            <v>50 mg</v>
          </cell>
          <cell r="H378" t="str">
            <v>C03AA03</v>
          </cell>
          <cell r="I378"/>
          <cell r="J378">
            <v>0.78</v>
          </cell>
          <cell r="K378"/>
        </row>
        <row r="379">
          <cell r="D379" t="str">
            <v>C-03-07</v>
          </cell>
          <cell r="E379" t="str">
            <v>Hidroclorotiazida + Amilorida</v>
          </cell>
          <cell r="F379" t="str">
            <v>Comprimido</v>
          </cell>
          <cell r="G379" t="str">
            <v>50 mg + 5 mg</v>
          </cell>
          <cell r="H379" t="str">
            <v>C03AX01</v>
          </cell>
          <cell r="I379"/>
          <cell r="J379">
            <v>1.23</v>
          </cell>
          <cell r="K379"/>
        </row>
        <row r="380">
          <cell r="D380" t="str">
            <v>D-07-04</v>
          </cell>
          <cell r="E380" t="str">
            <v>Hidrocortisona acetato</v>
          </cell>
          <cell r="F380" t="str">
            <v>Crema o Pomada</v>
          </cell>
          <cell r="G380">
            <v>0.01</v>
          </cell>
          <cell r="H380" t="str">
            <v>D07AA02</v>
          </cell>
          <cell r="I380"/>
          <cell r="J380">
            <v>11.39</v>
          </cell>
          <cell r="K380" t="str">
            <v>10 G</v>
          </cell>
        </row>
        <row r="381">
          <cell r="D381" t="str">
            <v>H-02-05</v>
          </cell>
          <cell r="E381" t="str">
            <v>Hidrocortisona succinato sódico</v>
          </cell>
          <cell r="F381" t="str">
            <v>Inyectable</v>
          </cell>
          <cell r="G381" t="str">
            <v>100 mg</v>
          </cell>
          <cell r="H381" t="str">
            <v>H02AB09</v>
          </cell>
          <cell r="I381"/>
          <cell r="J381">
            <v>11.47</v>
          </cell>
          <cell r="K381"/>
        </row>
        <row r="382">
          <cell r="D382" t="str">
            <v>H-02-06</v>
          </cell>
          <cell r="E382" t="str">
            <v>Hidrocortisona succinato sódico</v>
          </cell>
          <cell r="F382" t="str">
            <v>Inyectable</v>
          </cell>
          <cell r="G382" t="str">
            <v>250 mg</v>
          </cell>
          <cell r="H382" t="str">
            <v>H02AB09</v>
          </cell>
          <cell r="I382"/>
          <cell r="J382">
            <v>45.872222222222199</v>
          </cell>
          <cell r="K382"/>
        </row>
        <row r="383">
          <cell r="D383" t="str">
            <v>D-11-01</v>
          </cell>
          <cell r="E383" t="str">
            <v>Hidroquinona</v>
          </cell>
          <cell r="F383" t="str">
            <v>Loción</v>
          </cell>
          <cell r="G383" t="str">
            <v>4% o 5%</v>
          </cell>
          <cell r="H383" t="str">
            <v>D11AX11</v>
          </cell>
          <cell r="I383"/>
          <cell r="J383">
            <v>51.670995666666698</v>
          </cell>
          <cell r="K383" t="str">
            <v>30 ML</v>
          </cell>
        </row>
        <row r="384">
          <cell r="D384" t="str">
            <v>D-11-02</v>
          </cell>
          <cell r="E384" t="str">
            <v>Hidroquinona</v>
          </cell>
          <cell r="F384" t="str">
            <v>Crema a Pomada</v>
          </cell>
          <cell r="G384" t="str">
            <v>4% o  5 %</v>
          </cell>
          <cell r="H384" t="str">
            <v>D11AX11</v>
          </cell>
          <cell r="I384"/>
          <cell r="J384">
            <v>37.06</v>
          </cell>
          <cell r="K384" t="str">
            <v>30 G</v>
          </cell>
        </row>
        <row r="385">
          <cell r="D385" t="str">
            <v>P-01-27</v>
          </cell>
          <cell r="E385" t="str">
            <v>Hidroxicloroquina sulfato</v>
          </cell>
          <cell r="F385" t="str">
            <v>Comprimido</v>
          </cell>
          <cell r="G385" t="str">
            <v>200 mg</v>
          </cell>
          <cell r="H385" t="str">
            <v>P01BA02</v>
          </cell>
          <cell r="I385"/>
          <cell r="J385">
            <v>6.8</v>
          </cell>
          <cell r="K385"/>
        </row>
        <row r="386">
          <cell r="D386" t="str">
            <v>A-02-01</v>
          </cell>
          <cell r="E386" t="str">
            <v>Hidróxido de aluminio y magnesio</v>
          </cell>
          <cell r="F386" t="str">
            <v>Suspensión</v>
          </cell>
          <cell r="G386" t="str">
            <v>1:1</v>
          </cell>
          <cell r="H386" t="str">
            <v>A02AD01</v>
          </cell>
          <cell r="I386"/>
          <cell r="J386">
            <v>12.57</v>
          </cell>
          <cell r="K386" t="str">
            <v>120 ML</v>
          </cell>
        </row>
        <row r="387">
          <cell r="D387" t="str">
            <v>L-01-19</v>
          </cell>
          <cell r="E387" t="str">
            <v>Hidroxiurea</v>
          </cell>
          <cell r="F387" t="str">
            <v>Cápsula</v>
          </cell>
          <cell r="G387" t="str">
            <v>500 mg</v>
          </cell>
          <cell r="H387" t="str">
            <v>L01XX05</v>
          </cell>
          <cell r="I387"/>
          <cell r="J387">
            <v>3.3391666666666699</v>
          </cell>
          <cell r="K387"/>
        </row>
        <row r="388">
          <cell r="D388" t="str">
            <v>B-03-04</v>
          </cell>
          <cell r="E388" t="str">
            <v>Hierro</v>
          </cell>
          <cell r="F388" t="str">
            <v>Inyectable</v>
          </cell>
          <cell r="G388" t="str">
            <v>100 mg - IM o IV</v>
          </cell>
          <cell r="H388" t="str">
            <v>B03AC02</v>
          </cell>
          <cell r="I388"/>
          <cell r="J388">
            <v>34.514444444444401</v>
          </cell>
          <cell r="K388"/>
        </row>
        <row r="389">
          <cell r="D389" t="str">
            <v>B-03-12</v>
          </cell>
          <cell r="E389" t="str">
            <v>Hierro (como bisglicina quelato)</v>
          </cell>
          <cell r="F389" t="str">
            <v xml:space="preserve">Suspensión </v>
          </cell>
          <cell r="G389" t="str">
            <v xml:space="preserve">30 mg/5 mL </v>
          </cell>
          <cell r="H389" t="str">
            <v>B03AA01</v>
          </cell>
          <cell r="I389"/>
          <cell r="J389">
            <v>69.3</v>
          </cell>
          <cell r="K389" t="str">
            <v>120 ML</v>
          </cell>
        </row>
        <row r="390">
          <cell r="D390" t="str">
            <v>D-08-05</v>
          </cell>
          <cell r="E390" t="str">
            <v>Hipoclorito de sodio</v>
          </cell>
          <cell r="F390" t="str">
            <v>Solución</v>
          </cell>
          <cell r="G390">
            <v>0.08</v>
          </cell>
          <cell r="H390" t="str">
            <v>D08AX07</v>
          </cell>
          <cell r="I390"/>
          <cell r="J390">
            <v>14.71</v>
          </cell>
          <cell r="K390"/>
        </row>
        <row r="391">
          <cell r="D391" t="str">
            <v>C-01-14</v>
          </cell>
          <cell r="E391" t="str">
            <v>Ibuprofeno</v>
          </cell>
          <cell r="F391" t="str">
            <v>Inyectable</v>
          </cell>
          <cell r="G391" t="str">
            <v xml:space="preserve">5 mg/ml </v>
          </cell>
          <cell r="H391" t="str">
            <v>C01EB16</v>
          </cell>
          <cell r="I391"/>
          <cell r="J391">
            <v>34.65</v>
          </cell>
          <cell r="K391"/>
        </row>
        <row r="392">
          <cell r="D392" t="str">
            <v>M-01-04</v>
          </cell>
          <cell r="E392" t="str">
            <v>Ibuprofeno</v>
          </cell>
          <cell r="F392" t="str">
            <v>Suspensión</v>
          </cell>
          <cell r="G392" t="str">
            <v>100 mg/5 ml</v>
          </cell>
          <cell r="H392" t="str">
            <v>M01AE01</v>
          </cell>
          <cell r="I392"/>
          <cell r="J392">
            <v>9.77</v>
          </cell>
          <cell r="K392" t="str">
            <v>100ML</v>
          </cell>
        </row>
        <row r="393">
          <cell r="D393" t="str">
            <v>M-01-05</v>
          </cell>
          <cell r="E393" t="str">
            <v>Ibuprofeno</v>
          </cell>
          <cell r="F393" t="str">
            <v>Comprimido</v>
          </cell>
          <cell r="G393" t="str">
            <v>400 mg</v>
          </cell>
          <cell r="H393" t="str">
            <v>M01AE01</v>
          </cell>
          <cell r="I393"/>
          <cell r="J393">
            <v>0.31</v>
          </cell>
          <cell r="K393"/>
        </row>
        <row r="394">
          <cell r="D394" t="str">
            <v>L-01-20</v>
          </cell>
          <cell r="E394" t="str">
            <v>Ifosfamida</v>
          </cell>
          <cell r="F394" t="str">
            <v>Inyectable</v>
          </cell>
          <cell r="G394" t="str">
            <v>1 g</v>
          </cell>
          <cell r="H394" t="str">
            <v>L01AA06</v>
          </cell>
          <cell r="I394"/>
          <cell r="J394">
            <v>131.333333333333</v>
          </cell>
          <cell r="K394"/>
        </row>
        <row r="395">
          <cell r="D395" t="str">
            <v>L-01-49</v>
          </cell>
          <cell r="E395" t="str">
            <v>Imatinib</v>
          </cell>
          <cell r="F395" t="str">
            <v>Comprimido</v>
          </cell>
          <cell r="G395" t="str">
            <v>100 mg</v>
          </cell>
          <cell r="H395" t="str">
            <v>L01XE01</v>
          </cell>
          <cell r="I395" t="str">
            <v>R</v>
          </cell>
          <cell r="J395">
            <v>43.69</v>
          </cell>
          <cell r="K395"/>
        </row>
        <row r="396">
          <cell r="D396" t="str">
            <v>L-01-50</v>
          </cell>
          <cell r="E396" t="str">
            <v>Imatinib</v>
          </cell>
          <cell r="F396" t="str">
            <v>Comprimido</v>
          </cell>
          <cell r="G396" t="str">
            <v>400 mg</v>
          </cell>
          <cell r="H396" t="str">
            <v>L01XE01</v>
          </cell>
          <cell r="I396" t="str">
            <v>R</v>
          </cell>
          <cell r="J396">
            <v>314</v>
          </cell>
          <cell r="K396"/>
        </row>
        <row r="397">
          <cell r="D397" t="str">
            <v>J-01-50</v>
          </cell>
          <cell r="E397" t="str">
            <v>Imipenem + Cilastatina</v>
          </cell>
          <cell r="F397" t="str">
            <v>Inyectable</v>
          </cell>
          <cell r="G397" t="str">
            <v>500 mg + 500 mg</v>
          </cell>
          <cell r="H397" t="str">
            <v>J01DH51</v>
          </cell>
          <cell r="I397" t="str">
            <v>R</v>
          </cell>
          <cell r="J397">
            <v>68.3</v>
          </cell>
          <cell r="K397"/>
        </row>
        <row r="398">
          <cell r="D398" t="str">
            <v>N-06-05</v>
          </cell>
          <cell r="E398" t="str">
            <v>Imipramina clorhidrato</v>
          </cell>
          <cell r="F398" t="str">
            <v>Comprimido</v>
          </cell>
          <cell r="G398" t="str">
            <v>25 mg</v>
          </cell>
          <cell r="H398" t="str">
            <v>N06AA02</v>
          </cell>
          <cell r="I398"/>
          <cell r="J398">
            <v>0.62</v>
          </cell>
          <cell r="K398"/>
        </row>
        <row r="399">
          <cell r="D399" t="str">
            <v>M-01-06</v>
          </cell>
          <cell r="E399" t="str">
            <v>Indometacina</v>
          </cell>
          <cell r="F399" t="str">
            <v>Cápsula o Comprimido</v>
          </cell>
          <cell r="G399" t="str">
            <v>25 mg</v>
          </cell>
          <cell r="H399" t="str">
            <v>M01AB01</v>
          </cell>
          <cell r="I399"/>
          <cell r="J399">
            <v>0.26</v>
          </cell>
          <cell r="K399"/>
        </row>
        <row r="400">
          <cell r="D400" t="str">
            <v>M-01-07</v>
          </cell>
          <cell r="E400" t="str">
            <v>Indometacina</v>
          </cell>
          <cell r="F400" t="str">
            <v>Supositorio</v>
          </cell>
          <cell r="G400" t="str">
            <v>100 mg</v>
          </cell>
          <cell r="H400" t="str">
            <v>M01AB01</v>
          </cell>
          <cell r="I400"/>
          <cell r="J400">
            <v>1.68</v>
          </cell>
          <cell r="K400"/>
        </row>
        <row r="401">
          <cell r="D401" t="str">
            <v>J-06-02</v>
          </cell>
          <cell r="E401" t="str">
            <v>Inmunoglobulina anti D (RH +)</v>
          </cell>
          <cell r="F401" t="str">
            <v>Inyectable</v>
          </cell>
          <cell r="G401" t="str">
            <v>0,1 mg/ml a  0,2 mg/ml</v>
          </cell>
          <cell r="H401" t="str">
            <v>J06BB01</v>
          </cell>
          <cell r="I401"/>
          <cell r="J401">
            <v>830.85</v>
          </cell>
          <cell r="K401"/>
        </row>
        <row r="402">
          <cell r="D402" t="str">
            <v>J-06-03</v>
          </cell>
          <cell r="E402" t="str">
            <v>Inmunoglobulina humana normal</v>
          </cell>
          <cell r="F402" t="str">
            <v>Inyectable</v>
          </cell>
          <cell r="G402" t="str">
            <v>5 g IV</v>
          </cell>
          <cell r="H402" t="str">
            <v>J06BA02</v>
          </cell>
          <cell r="I402"/>
          <cell r="J402">
            <v>2500</v>
          </cell>
          <cell r="K402"/>
        </row>
        <row r="403">
          <cell r="D403" t="str">
            <v>A-10-05</v>
          </cell>
          <cell r="E403" t="str">
            <v>Insulina Glargina</v>
          </cell>
          <cell r="F403" t="str">
            <v>Inyectable</v>
          </cell>
          <cell r="G403" t="str">
            <v>100 U.I/ml</v>
          </cell>
          <cell r="H403" t="str">
            <v>A10AE04</v>
          </cell>
          <cell r="I403"/>
          <cell r="J403">
            <v>411.01650000000001</v>
          </cell>
          <cell r="K403" t="str">
            <v>10 ML</v>
          </cell>
        </row>
        <row r="404">
          <cell r="D404" t="str">
            <v>A-10-06</v>
          </cell>
          <cell r="E404" t="str">
            <v>Insulina Glulisina</v>
          </cell>
          <cell r="F404" t="str">
            <v>Inyectable</v>
          </cell>
          <cell r="G404" t="str">
            <v>100 U.I/ml</v>
          </cell>
          <cell r="H404" t="str">
            <v>A10AB06</v>
          </cell>
          <cell r="I404"/>
          <cell r="J404">
            <v>325</v>
          </cell>
          <cell r="K404" t="str">
            <v>10 ML</v>
          </cell>
        </row>
        <row r="405">
          <cell r="D405" t="str">
            <v>A-10-02</v>
          </cell>
          <cell r="E405" t="str">
            <v>Insulina recombinante humana NPH</v>
          </cell>
          <cell r="F405" t="str">
            <v>Inyectable</v>
          </cell>
          <cell r="G405" t="str">
            <v>100 UI/ml</v>
          </cell>
          <cell r="H405" t="str">
            <v>A10AC01</v>
          </cell>
          <cell r="I405"/>
          <cell r="J405">
            <v>125</v>
          </cell>
          <cell r="K405"/>
        </row>
        <row r="406">
          <cell r="D406" t="str">
            <v>A-10-03</v>
          </cell>
          <cell r="E406" t="str">
            <v>Insulina zinc cristalina  recombinante humana</v>
          </cell>
          <cell r="F406" t="str">
            <v>Inyectable</v>
          </cell>
          <cell r="G406" t="str">
            <v>100 UI/ml</v>
          </cell>
          <cell r="H406" t="str">
            <v>A10AB01</v>
          </cell>
          <cell r="I406"/>
          <cell r="J406">
            <v>95.842083333333306</v>
          </cell>
          <cell r="K406" t="str">
            <v>10 ML</v>
          </cell>
        </row>
        <row r="407">
          <cell r="D407" t="str">
            <v>L-03-02</v>
          </cell>
          <cell r="E407" t="str">
            <v>Interferon alfa 2 b recombinante</v>
          </cell>
          <cell r="F407" t="str">
            <v>Inyectable</v>
          </cell>
          <cell r="G407" t="str">
            <v>10.000.000 UI con diluyente (1 ml)</v>
          </cell>
          <cell r="H407" t="str">
            <v>L03AB05</v>
          </cell>
          <cell r="I407"/>
          <cell r="J407">
            <v>195.31</v>
          </cell>
          <cell r="K407"/>
        </row>
        <row r="408">
          <cell r="D408" t="str">
            <v>L-03-03</v>
          </cell>
          <cell r="E408" t="str">
            <v>Interferon alfa 2 b recombinante</v>
          </cell>
          <cell r="F408" t="str">
            <v>Inyectable</v>
          </cell>
          <cell r="G408" t="str">
            <v>3.000.000 UI con diluyente (1 ml)</v>
          </cell>
          <cell r="H408" t="str">
            <v>L03AB05</v>
          </cell>
          <cell r="I408"/>
          <cell r="J408">
            <v>90</v>
          </cell>
          <cell r="K408"/>
        </row>
        <row r="409">
          <cell r="D409" t="str">
            <v>L-03-04</v>
          </cell>
          <cell r="E409" t="str">
            <v>Interferon beta</v>
          </cell>
          <cell r="F409" t="str">
            <v>Inyectable</v>
          </cell>
          <cell r="G409" t="str">
            <v>0,3 mg</v>
          </cell>
          <cell r="H409" t="str">
            <v>L03AB07</v>
          </cell>
          <cell r="I409"/>
          <cell r="J409">
            <v>535.44749999999999</v>
          </cell>
          <cell r="K409" t="str">
            <v>1 L</v>
          </cell>
        </row>
        <row r="410">
          <cell r="D410" t="str">
            <v>D-08-06</v>
          </cell>
          <cell r="E410" t="str">
            <v>Iodo (Yodo)</v>
          </cell>
          <cell r="F410" t="str">
            <v>Solución hidroalcohólica</v>
          </cell>
          <cell r="G410">
            <v>0.02</v>
          </cell>
          <cell r="H410" t="str">
            <v>D08AG03</v>
          </cell>
          <cell r="I410"/>
          <cell r="J410">
            <v>86.82</v>
          </cell>
          <cell r="K410" t="str">
            <v>1 L</v>
          </cell>
        </row>
        <row r="411">
          <cell r="D411" t="str">
            <v>D-08-07</v>
          </cell>
          <cell r="E411" t="str">
            <v>Iodo povidona (Yodopovidona)</v>
          </cell>
          <cell r="F411" t="str">
            <v>Crema o Pomada</v>
          </cell>
          <cell r="G411" t="str">
            <v xml:space="preserve">10% ( 500 g ) </v>
          </cell>
          <cell r="H411" t="str">
            <v>D08AG02</v>
          </cell>
          <cell r="I411"/>
          <cell r="J411">
            <v>120.75</v>
          </cell>
          <cell r="K411"/>
        </row>
        <row r="412">
          <cell r="D412" t="str">
            <v>D-08-08</v>
          </cell>
          <cell r="E412" t="str">
            <v>Iodo povidona (Yodopovidona)</v>
          </cell>
          <cell r="F412" t="str">
            <v>Solución</v>
          </cell>
          <cell r="G412">
            <v>0.1</v>
          </cell>
          <cell r="H412" t="str">
            <v>D08AG02</v>
          </cell>
          <cell r="I412"/>
          <cell r="J412">
            <v>81.16</v>
          </cell>
          <cell r="K412" t="str">
            <v>1 L</v>
          </cell>
        </row>
        <row r="413">
          <cell r="D413" t="str">
            <v>V-03-06</v>
          </cell>
          <cell r="E413" t="str">
            <v>Ipecacuana</v>
          </cell>
          <cell r="F413" t="str">
            <v>Jarabe</v>
          </cell>
          <cell r="G413">
            <v>7.0000000000000007E-2</v>
          </cell>
          <cell r="H413" t="str">
            <v>V03AB01</v>
          </cell>
          <cell r="I413"/>
          <cell r="J413">
            <v>19.22</v>
          </cell>
          <cell r="K413"/>
        </row>
        <row r="414">
          <cell r="D414" t="str">
            <v>R-03-09</v>
          </cell>
          <cell r="E414" t="str">
            <v>Ipratropio bromuro</v>
          </cell>
          <cell r="F414" t="str">
            <v>Aerosol</v>
          </cell>
          <cell r="G414" t="str">
            <v>20 mcg/dosis</v>
          </cell>
          <cell r="H414" t="str">
            <v>R03BB01</v>
          </cell>
          <cell r="I414"/>
          <cell r="J414">
            <v>138.41999999999999</v>
          </cell>
          <cell r="K414" t="str">
            <v>200 dosis</v>
          </cell>
        </row>
        <row r="415">
          <cell r="D415" t="str">
            <v>L-01-40</v>
          </cell>
          <cell r="E415" t="str">
            <v>Irinotecan</v>
          </cell>
          <cell r="F415" t="str">
            <v>Inyectable</v>
          </cell>
          <cell r="G415" t="str">
            <v>100 mg /5 ml</v>
          </cell>
          <cell r="H415" t="str">
            <v>L01XX19</v>
          </cell>
          <cell r="I415" t="str">
            <v>R</v>
          </cell>
          <cell r="J415">
            <v>480.83749999999998</v>
          </cell>
          <cell r="K415"/>
        </row>
        <row r="416">
          <cell r="D416" t="str">
            <v>J-04-07</v>
          </cell>
          <cell r="E416" t="str">
            <v>Isoniazida (INH)</v>
          </cell>
          <cell r="F416" t="str">
            <v>Comprimido</v>
          </cell>
          <cell r="G416" t="str">
            <v>100 mg</v>
          </cell>
          <cell r="H416" t="str">
            <v>J04AC01</v>
          </cell>
          <cell r="I416" t="str">
            <v>R</v>
          </cell>
          <cell r="J416">
            <v>0.13</v>
          </cell>
          <cell r="K416"/>
        </row>
        <row r="417">
          <cell r="D417" t="str">
            <v>C-01-11</v>
          </cell>
          <cell r="E417" t="str">
            <v>Isosorbida Mononitrato</v>
          </cell>
          <cell r="F417" t="str">
            <v>Comprimido</v>
          </cell>
          <cell r="G417" t="str">
            <v>20 mg</v>
          </cell>
          <cell r="H417" t="str">
            <v>C01DA14</v>
          </cell>
          <cell r="I417"/>
          <cell r="J417">
            <v>2.1507142857142898</v>
          </cell>
          <cell r="K417"/>
        </row>
        <row r="418">
          <cell r="D418" t="str">
            <v>P-02-13</v>
          </cell>
          <cell r="E418" t="str">
            <v>Ivermectina</v>
          </cell>
          <cell r="F418" t="str">
            <v>Comprimido</v>
          </cell>
          <cell r="G418" t="str">
            <v>3 mg</v>
          </cell>
          <cell r="H418" t="str">
            <v>P02CF01</v>
          </cell>
          <cell r="I418"/>
          <cell r="J418">
            <v>8.4499999999999993</v>
          </cell>
          <cell r="K418"/>
        </row>
        <row r="419">
          <cell r="D419" t="str">
            <v>P-02-14</v>
          </cell>
          <cell r="E419" t="str">
            <v>Ivermectina</v>
          </cell>
          <cell r="F419" t="str">
            <v>Comprimido</v>
          </cell>
          <cell r="G419" t="str">
            <v>6 mg</v>
          </cell>
          <cell r="H419" t="str">
            <v>P02CF01</v>
          </cell>
          <cell r="I419"/>
          <cell r="J419">
            <v>10</v>
          </cell>
          <cell r="K419"/>
        </row>
        <row r="420">
          <cell r="D420" t="str">
            <v>J-04-13</v>
          </cell>
          <cell r="E420" t="str">
            <v>Kanamicina</v>
          </cell>
          <cell r="F420" t="str">
            <v>Inyectable</v>
          </cell>
          <cell r="G420" t="str">
            <v>1 g</v>
          </cell>
          <cell r="H420" t="str">
            <v>J01GB04</v>
          </cell>
          <cell r="I420"/>
          <cell r="J420">
            <v>16.792523500000001</v>
          </cell>
          <cell r="K420"/>
        </row>
        <row r="421">
          <cell r="D421" t="str">
            <v>N-01-08</v>
          </cell>
          <cell r="E421" t="str">
            <v>Ketamina (Cetamina)</v>
          </cell>
          <cell r="F421" t="str">
            <v>Inyectable</v>
          </cell>
          <cell r="G421" t="str">
            <v>50 mg/ml</v>
          </cell>
          <cell r="H421" t="str">
            <v>N01AX03</v>
          </cell>
          <cell r="I421"/>
          <cell r="J421">
            <v>41.462083333333297</v>
          </cell>
          <cell r="K421" t="str">
            <v>5 ML</v>
          </cell>
        </row>
        <row r="422">
          <cell r="D422" t="str">
            <v>M-01-10</v>
          </cell>
          <cell r="E422" t="str">
            <v>Ketoprofeno</v>
          </cell>
          <cell r="F422" t="str">
            <v>Inyectable</v>
          </cell>
          <cell r="G422" t="str">
            <v>100 mg</v>
          </cell>
          <cell r="H422" t="str">
            <v>M01AE03</v>
          </cell>
          <cell r="I422"/>
          <cell r="J422">
            <v>13.8</v>
          </cell>
          <cell r="K422"/>
        </row>
        <row r="423">
          <cell r="D423" t="str">
            <v>M-01-09</v>
          </cell>
          <cell r="E423" t="str">
            <v>Ketorolaco</v>
          </cell>
          <cell r="F423" t="str">
            <v>Inyectable</v>
          </cell>
          <cell r="G423" t="str">
            <v>30 mg/ml</v>
          </cell>
          <cell r="H423" t="str">
            <v>M01AB15</v>
          </cell>
          <cell r="I423"/>
          <cell r="J423">
            <v>6.3</v>
          </cell>
          <cell r="K423" t="str">
            <v>1 ML</v>
          </cell>
        </row>
        <row r="424">
          <cell r="D424" t="str">
            <v>R-06-04</v>
          </cell>
          <cell r="E424" t="str">
            <v>Ketotifeno</v>
          </cell>
          <cell r="F424" t="str">
            <v>Comprimido</v>
          </cell>
          <cell r="G424" t="str">
            <v>1 mg</v>
          </cell>
          <cell r="H424" t="str">
            <v>R06AX17</v>
          </cell>
          <cell r="I424"/>
          <cell r="J424">
            <v>3.3079999999999998</v>
          </cell>
          <cell r="K424"/>
        </row>
        <row r="425">
          <cell r="D425" t="str">
            <v>S-01-17</v>
          </cell>
          <cell r="E425" t="str">
            <v>Ketotifeno</v>
          </cell>
          <cell r="F425" t="str">
            <v>Solución oftálmica</v>
          </cell>
          <cell r="G425" t="str">
            <v>0,25 mg/ml</v>
          </cell>
          <cell r="H425" t="str">
            <v>S01GX08</v>
          </cell>
          <cell r="I425"/>
          <cell r="J425">
            <v>118.52500000000001</v>
          </cell>
          <cell r="K425"/>
        </row>
        <row r="426">
          <cell r="D426" t="str">
            <v>C-07-07</v>
          </cell>
          <cell r="E426" t="str">
            <v>Labetalol</v>
          </cell>
          <cell r="F426" t="str">
            <v>Inyectable</v>
          </cell>
          <cell r="G426" t="str">
            <v>20 mg</v>
          </cell>
          <cell r="H426" t="str">
            <v>C07AG01</v>
          </cell>
          <cell r="I426" t="str">
            <v>R</v>
          </cell>
          <cell r="J426">
            <v>60</v>
          </cell>
          <cell r="K426"/>
        </row>
        <row r="427">
          <cell r="D427" t="str">
            <v>A-06-07</v>
          </cell>
          <cell r="E427" t="str">
            <v>Lactulosa</v>
          </cell>
          <cell r="F427" t="str">
            <v>Solución oral</v>
          </cell>
          <cell r="G427" t="str">
            <v>65% a  67%</v>
          </cell>
          <cell r="H427" t="str">
            <v>A06AD11</v>
          </cell>
          <cell r="I427"/>
          <cell r="J427">
            <v>58.279431818181799</v>
          </cell>
          <cell r="K427">
            <v>0.65</v>
          </cell>
        </row>
        <row r="428">
          <cell r="D428" t="str">
            <v>S-01-18</v>
          </cell>
          <cell r="E428" t="str">
            <v>Lágrimas artificiales</v>
          </cell>
          <cell r="F428" t="str">
            <v>Solución oftálmica</v>
          </cell>
          <cell r="G428" t="str">
            <v>0,3% o 1%</v>
          </cell>
          <cell r="H428" t="str">
            <v>S01XA20</v>
          </cell>
          <cell r="I428"/>
          <cell r="J428">
            <v>21.9</v>
          </cell>
          <cell r="K428"/>
        </row>
        <row r="429">
          <cell r="D429" t="str">
            <v>S-01-26</v>
          </cell>
          <cell r="E429" t="str">
            <v>Lágrimas artificiales</v>
          </cell>
          <cell r="F429" t="str">
            <v>Gel</v>
          </cell>
          <cell r="G429" t="str">
            <v>0,3% o 1%</v>
          </cell>
          <cell r="H429" t="str">
            <v>S01XA20</v>
          </cell>
          <cell r="I429"/>
          <cell r="J429">
            <v>60.376666666666701</v>
          </cell>
          <cell r="K429"/>
        </row>
        <row r="430">
          <cell r="D430" t="str">
            <v>J-05-15</v>
          </cell>
          <cell r="E430" t="str">
            <v>Lamivudina</v>
          </cell>
          <cell r="F430" t="str">
            <v>Comprimido</v>
          </cell>
          <cell r="G430" t="str">
            <v>150 mg</v>
          </cell>
          <cell r="H430" t="str">
            <v>J05AF05</v>
          </cell>
          <cell r="I430"/>
          <cell r="J430">
            <v>0.39</v>
          </cell>
          <cell r="K430"/>
        </row>
        <row r="431">
          <cell r="D431" t="str">
            <v>J-05-16</v>
          </cell>
          <cell r="E431" t="str">
            <v>Lamivudina</v>
          </cell>
          <cell r="F431" t="str">
            <v>Jarabe o Solución oral</v>
          </cell>
          <cell r="G431" t="str">
            <v>10 mg/ml</v>
          </cell>
          <cell r="H431" t="str">
            <v>J05AF05</v>
          </cell>
          <cell r="I431"/>
          <cell r="J431">
            <v>19.41</v>
          </cell>
          <cell r="K431"/>
        </row>
        <row r="432">
          <cell r="D432" t="str">
            <v>N-03-15</v>
          </cell>
          <cell r="E432" t="str">
            <v>Lamotrigina</v>
          </cell>
          <cell r="F432" t="str">
            <v>Comprimido</v>
          </cell>
          <cell r="G432" t="str">
            <v>25 mg</v>
          </cell>
          <cell r="H432" t="str">
            <v>N03AX09</v>
          </cell>
          <cell r="I432" t="str">
            <v>R</v>
          </cell>
          <cell r="J432">
            <v>5.62</v>
          </cell>
          <cell r="K432"/>
        </row>
        <row r="433">
          <cell r="D433" t="str">
            <v>N-03-16</v>
          </cell>
          <cell r="E433" t="str">
            <v>Lamotrigina</v>
          </cell>
          <cell r="F433" t="str">
            <v>Comprimido</v>
          </cell>
          <cell r="G433" t="str">
            <v>50 mg</v>
          </cell>
          <cell r="H433" t="str">
            <v>N03AX09</v>
          </cell>
          <cell r="I433" t="str">
            <v>R</v>
          </cell>
          <cell r="J433">
            <v>8.0574999999999992</v>
          </cell>
          <cell r="K433"/>
        </row>
        <row r="434">
          <cell r="D434" t="str">
            <v>N-03-17</v>
          </cell>
          <cell r="E434" t="str">
            <v>Lamotrigina</v>
          </cell>
          <cell r="F434" t="str">
            <v>Comprimido</v>
          </cell>
          <cell r="G434" t="str">
            <v>100 mg</v>
          </cell>
          <cell r="H434" t="str">
            <v>N03AX09</v>
          </cell>
          <cell r="I434" t="str">
            <v>R</v>
          </cell>
          <cell r="J434">
            <v>13.268750000000001</v>
          </cell>
          <cell r="K434"/>
        </row>
        <row r="435">
          <cell r="D435" t="str">
            <v>N-03-18</v>
          </cell>
          <cell r="E435" t="str">
            <v>Lamotrigina</v>
          </cell>
          <cell r="F435" t="str">
            <v>Comprimido</v>
          </cell>
          <cell r="G435" t="str">
            <v>200 mg</v>
          </cell>
          <cell r="H435" t="str">
            <v>N03AX09</v>
          </cell>
          <cell r="I435" t="str">
            <v>R</v>
          </cell>
          <cell r="J435">
            <v>11.3816666666667</v>
          </cell>
          <cell r="K435"/>
        </row>
        <row r="436">
          <cell r="D436" t="str">
            <v>S-01-27</v>
          </cell>
          <cell r="E436" t="str">
            <v>Latanoprost</v>
          </cell>
          <cell r="F436" t="str">
            <v>Solución oftálmica</v>
          </cell>
          <cell r="G436" t="str">
            <v>50 mcg/ml</v>
          </cell>
          <cell r="H436" t="str">
            <v>S01EE01</v>
          </cell>
          <cell r="I436"/>
          <cell r="J436">
            <v>83.286111111111097</v>
          </cell>
          <cell r="K436"/>
        </row>
        <row r="437">
          <cell r="D437" t="str">
            <v>J-05-46</v>
          </cell>
          <cell r="E437" t="str">
            <v>Ledipasvir + Sofosbuvir</v>
          </cell>
          <cell r="F437" t="str">
            <v>Comprimido</v>
          </cell>
          <cell r="G437" t="str">
            <v>90 mg + 400 mg</v>
          </cell>
          <cell r="H437" t="str">
            <v>J05AX65.</v>
          </cell>
          <cell r="I437" t="str">
            <v>R</v>
          </cell>
          <cell r="J437">
            <v>966.65</v>
          </cell>
          <cell r="K437"/>
        </row>
        <row r="438">
          <cell r="D438" t="str">
            <v>L-04-12</v>
          </cell>
          <cell r="E438" t="str">
            <v>Leflunomida</v>
          </cell>
          <cell r="F438" t="str">
            <v>Comprimido</v>
          </cell>
          <cell r="G438" t="str">
            <v>20 mg</v>
          </cell>
          <cell r="H438" t="str">
            <v>L04AA13</v>
          </cell>
          <cell r="I438" t="str">
            <v>R</v>
          </cell>
          <cell r="J438">
            <v>10.86</v>
          </cell>
          <cell r="K438"/>
        </row>
        <row r="439">
          <cell r="D439" t="str">
            <v>L-04-13</v>
          </cell>
          <cell r="E439" t="str">
            <v>Leflunomida</v>
          </cell>
          <cell r="F439" t="str">
            <v>Comprimido</v>
          </cell>
          <cell r="G439" t="str">
            <v>100 mg</v>
          </cell>
          <cell r="H439" t="str">
            <v>L04AA13</v>
          </cell>
          <cell r="I439" t="str">
            <v>R</v>
          </cell>
          <cell r="J439">
            <v>50</v>
          </cell>
          <cell r="K439"/>
        </row>
        <row r="440">
          <cell r="D440" t="str">
            <v>L-04-14</v>
          </cell>
          <cell r="E440" t="str">
            <v>Lenalidomida</v>
          </cell>
          <cell r="F440" t="str">
            <v>Cápsula</v>
          </cell>
          <cell r="G440" t="str">
            <v>5 mg</v>
          </cell>
          <cell r="H440" t="str">
            <v>L04AX04</v>
          </cell>
          <cell r="I440" t="str">
            <v>R</v>
          </cell>
          <cell r="J440">
            <v>280.62</v>
          </cell>
          <cell r="K440"/>
        </row>
        <row r="441">
          <cell r="D441" t="str">
            <v>L-04-15</v>
          </cell>
          <cell r="E441" t="str">
            <v>Lenalidomida</v>
          </cell>
          <cell r="F441" t="str">
            <v>Cápsula</v>
          </cell>
          <cell r="G441" t="str">
            <v>10 mg</v>
          </cell>
          <cell r="H441" t="str">
            <v>L04AX04</v>
          </cell>
          <cell r="I441" t="str">
            <v>R</v>
          </cell>
          <cell r="J441">
            <v>973.71</v>
          </cell>
          <cell r="K441"/>
        </row>
        <row r="442">
          <cell r="D442" t="str">
            <v>L-04-16</v>
          </cell>
          <cell r="E442" t="str">
            <v>Lenalidomida</v>
          </cell>
          <cell r="F442" t="str">
            <v>Cápsula</v>
          </cell>
          <cell r="G442" t="str">
            <v>15 mg</v>
          </cell>
          <cell r="H442" t="str">
            <v>L04AX04</v>
          </cell>
          <cell r="I442" t="str">
            <v>R</v>
          </cell>
          <cell r="J442">
            <v>1460</v>
          </cell>
          <cell r="K442"/>
        </row>
        <row r="443">
          <cell r="D443" t="str">
            <v>L-04-17</v>
          </cell>
          <cell r="E443" t="str">
            <v>Lenalidomida</v>
          </cell>
          <cell r="F443" t="str">
            <v>Cápsula</v>
          </cell>
          <cell r="G443" t="str">
            <v>25 mg</v>
          </cell>
          <cell r="H443" t="str">
            <v>L04AX04</v>
          </cell>
          <cell r="I443" t="str">
            <v>R</v>
          </cell>
          <cell r="J443">
            <v>1683.0066666666701</v>
          </cell>
          <cell r="K443"/>
        </row>
        <row r="444">
          <cell r="D444" t="str">
            <v>L-02-04</v>
          </cell>
          <cell r="E444" t="str">
            <v>Letrozol</v>
          </cell>
          <cell r="F444" t="str">
            <v>Comprimido</v>
          </cell>
          <cell r="G444" t="str">
            <v>2,5 mg</v>
          </cell>
          <cell r="H444" t="str">
            <v>L02BG04</v>
          </cell>
          <cell r="I444"/>
          <cell r="J444">
            <v>6.3829166666666701</v>
          </cell>
          <cell r="K444"/>
        </row>
        <row r="445">
          <cell r="D445" t="str">
            <v>V-03-07</v>
          </cell>
          <cell r="E445" t="str">
            <v>Leucovorina</v>
          </cell>
          <cell r="F445" t="str">
            <v>Inyectable</v>
          </cell>
          <cell r="G445" t="str">
            <v>50 mg</v>
          </cell>
          <cell r="H445" t="str">
            <v>V03AF03</v>
          </cell>
          <cell r="I445"/>
          <cell r="J445">
            <v>47.453333333333298</v>
          </cell>
          <cell r="K445"/>
        </row>
        <row r="446">
          <cell r="D446" t="str">
            <v>V-03-14</v>
          </cell>
          <cell r="E446" t="str">
            <v>Leucovorina (Folinato de calcio)</v>
          </cell>
          <cell r="F446" t="str">
            <v>Comprimido</v>
          </cell>
          <cell r="G446" t="str">
            <v>15 mg</v>
          </cell>
          <cell r="H446" t="str">
            <v>V03AF03</v>
          </cell>
          <cell r="I446"/>
          <cell r="J446">
            <v>36.33</v>
          </cell>
          <cell r="K446"/>
        </row>
        <row r="447">
          <cell r="D447" t="str">
            <v>L-02-10</v>
          </cell>
          <cell r="E447" t="str">
            <v>Leuprolide</v>
          </cell>
          <cell r="F447" t="str">
            <v>Inyectable</v>
          </cell>
          <cell r="G447" t="str">
            <v xml:space="preserve">7,5 mg </v>
          </cell>
          <cell r="H447" t="str">
            <v>L02AE02</v>
          </cell>
          <cell r="I447" t="str">
            <v>R</v>
          </cell>
          <cell r="J447">
            <v>1774.5</v>
          </cell>
          <cell r="K447"/>
        </row>
        <row r="448">
          <cell r="D448" t="str">
            <v>N-04-02</v>
          </cell>
          <cell r="E448" t="str">
            <v>Levodopa + Carbidopa</v>
          </cell>
          <cell r="F448" t="str">
            <v>Comprimido</v>
          </cell>
          <cell r="G448" t="str">
            <v>250 mg + 25 mg</v>
          </cell>
          <cell r="H448" t="str">
            <v>N04BA02</v>
          </cell>
          <cell r="I448"/>
          <cell r="J448">
            <v>3.45</v>
          </cell>
          <cell r="K448"/>
        </row>
        <row r="449">
          <cell r="D449" t="str">
            <v>J-01-66</v>
          </cell>
          <cell r="E449" t="str">
            <v>Levofloxacina</v>
          </cell>
          <cell r="F449" t="str">
            <v>Comprimido</v>
          </cell>
          <cell r="G449" t="str">
            <v>500 mg</v>
          </cell>
          <cell r="H449" t="str">
            <v>J01MA12</v>
          </cell>
          <cell r="I449" t="str">
            <v>R</v>
          </cell>
          <cell r="J449">
            <v>2.82</v>
          </cell>
          <cell r="K449"/>
        </row>
        <row r="450">
          <cell r="D450" t="str">
            <v>J-01-68</v>
          </cell>
          <cell r="E450" t="str">
            <v>Levofloxacina</v>
          </cell>
          <cell r="F450" t="str">
            <v>Inyectable</v>
          </cell>
          <cell r="G450" t="str">
            <v>500 mg</v>
          </cell>
          <cell r="H450" t="str">
            <v>J01MA12</v>
          </cell>
          <cell r="I450" t="str">
            <v>R</v>
          </cell>
          <cell r="J450">
            <v>46</v>
          </cell>
          <cell r="K450" t="str">
            <v>100 ML</v>
          </cell>
        </row>
        <row r="451">
          <cell r="D451" t="str">
            <v>G-03-11</v>
          </cell>
          <cell r="E451" t="str">
            <v>Levonorgestrel</v>
          </cell>
          <cell r="F451" t="str">
            <v>Comprimido</v>
          </cell>
          <cell r="G451" t="str">
            <v>0,75 mg</v>
          </cell>
          <cell r="H451" t="str">
            <v>G03AD01</v>
          </cell>
          <cell r="I451"/>
          <cell r="J451">
            <v>13.8633333333333</v>
          </cell>
          <cell r="K451"/>
        </row>
        <row r="452">
          <cell r="D452" t="str">
            <v>G-03-19</v>
          </cell>
          <cell r="E452" t="str">
            <v>Levonorgestrel</v>
          </cell>
          <cell r="F452" t="str">
            <v>Implante subdérmico</v>
          </cell>
          <cell r="G452" t="str">
            <v xml:space="preserve">150 mg </v>
          </cell>
          <cell r="H452" t="str">
            <v>G03AC03</v>
          </cell>
          <cell r="I452"/>
          <cell r="J452">
            <v>121.41</v>
          </cell>
          <cell r="K452"/>
        </row>
        <row r="453">
          <cell r="D453" t="str">
            <v>G-03-20</v>
          </cell>
          <cell r="E453" t="str">
            <v>Levonorgestrel</v>
          </cell>
          <cell r="F453" t="str">
            <v>Comprimido</v>
          </cell>
          <cell r="G453" t="str">
            <v>1,5 mg</v>
          </cell>
          <cell r="H453" t="str">
            <v>G03AD01</v>
          </cell>
          <cell r="I453"/>
          <cell r="J453">
            <v>15.276111111111099</v>
          </cell>
          <cell r="K453"/>
        </row>
        <row r="454">
          <cell r="D454" t="str">
            <v>G-03-12</v>
          </cell>
          <cell r="E454" t="str">
            <v>Levonorgestrel + Etinilestradiol</v>
          </cell>
          <cell r="F454" t="str">
            <v>Comprimido</v>
          </cell>
          <cell r="G454" t="str">
            <v>0,150 mg + 0,03 mg</v>
          </cell>
          <cell r="H454" t="str">
            <v>G03FB09</v>
          </cell>
          <cell r="I454"/>
          <cell r="J454">
            <v>5.9829355877616699</v>
          </cell>
          <cell r="K454"/>
        </row>
        <row r="455">
          <cell r="D455" t="str">
            <v>H-03-03</v>
          </cell>
          <cell r="E455" t="str">
            <v>Levotiroxina  sòdica</v>
          </cell>
          <cell r="F455" t="str">
            <v>Comprimido</v>
          </cell>
          <cell r="G455" t="str">
            <v xml:space="preserve">0,05 mg </v>
          </cell>
          <cell r="H455" t="str">
            <v>H03AA01</v>
          </cell>
          <cell r="I455"/>
          <cell r="J455">
            <v>0.4</v>
          </cell>
          <cell r="K455" t="str">
            <v>50 MCG</v>
          </cell>
        </row>
        <row r="456">
          <cell r="D456" t="str">
            <v>H-03-01</v>
          </cell>
          <cell r="E456" t="str">
            <v>Levotiroxina sódica</v>
          </cell>
          <cell r="F456" t="str">
            <v>Comprimido ranurado</v>
          </cell>
          <cell r="G456" t="str">
            <v>0,1 mg</v>
          </cell>
          <cell r="H456" t="str">
            <v>H03AA01</v>
          </cell>
          <cell r="I456"/>
          <cell r="J456">
            <v>0.501428571428571</v>
          </cell>
          <cell r="K456"/>
        </row>
        <row r="457">
          <cell r="D457" t="str">
            <v>D-04-01</v>
          </cell>
          <cell r="E457" t="str">
            <v>Lidocaína</v>
          </cell>
          <cell r="F457" t="str">
            <v>Gel o Jalea</v>
          </cell>
          <cell r="G457">
            <v>0.02</v>
          </cell>
          <cell r="H457" t="str">
            <v>D04AB01</v>
          </cell>
          <cell r="I457"/>
          <cell r="J457">
            <v>23.02</v>
          </cell>
          <cell r="K457"/>
        </row>
        <row r="458">
          <cell r="D458" t="str">
            <v>N-01-09</v>
          </cell>
          <cell r="E458" t="str">
            <v>Lidocaína</v>
          </cell>
          <cell r="F458" t="str">
            <v>Cartucho dental</v>
          </cell>
          <cell r="G458">
            <v>0.02</v>
          </cell>
          <cell r="H458" t="str">
            <v>N01BB52</v>
          </cell>
          <cell r="I458"/>
          <cell r="J458">
            <v>3.3</v>
          </cell>
          <cell r="K458"/>
        </row>
        <row r="459">
          <cell r="D459" t="str">
            <v>D-04-02</v>
          </cell>
          <cell r="E459" t="str">
            <v>Lidocaína clorhidrato</v>
          </cell>
          <cell r="F459" t="str">
            <v>Solución para atomización</v>
          </cell>
          <cell r="G459">
            <v>0.1</v>
          </cell>
          <cell r="H459" t="str">
            <v>D04AB01</v>
          </cell>
          <cell r="I459"/>
          <cell r="J459">
            <v>70.94</v>
          </cell>
          <cell r="K459"/>
        </row>
        <row r="460">
          <cell r="D460" t="str">
            <v>N-01-10</v>
          </cell>
          <cell r="E460" t="str">
            <v>Lidocaína clorhidrato + Epinefrina</v>
          </cell>
          <cell r="F460" t="str">
            <v>Inyectable</v>
          </cell>
          <cell r="G460" t="str">
            <v>2% 1:200.000</v>
          </cell>
          <cell r="H460" t="str">
            <v>N01BB52</v>
          </cell>
          <cell r="I460"/>
          <cell r="J460">
            <v>18.425000000000001</v>
          </cell>
          <cell r="K460"/>
        </row>
        <row r="461">
          <cell r="D461" t="str">
            <v>N-01-11</v>
          </cell>
          <cell r="E461" t="str">
            <v>Lidocaína clorhidrato + Epinefrina</v>
          </cell>
          <cell r="F461" t="str">
            <v>Cartucho dental</v>
          </cell>
          <cell r="G461" t="str">
            <v>2% 1:200.000</v>
          </cell>
          <cell r="H461" t="str">
            <v>N01BB52</v>
          </cell>
          <cell r="I461"/>
          <cell r="J461">
            <v>3.5</v>
          </cell>
          <cell r="K461"/>
        </row>
        <row r="462">
          <cell r="D462" t="str">
            <v>N-01-12</v>
          </cell>
          <cell r="E462" t="str">
            <v>Lidocaína clorhidrato sin conservante</v>
          </cell>
          <cell r="F462" t="str">
            <v>Inyectable</v>
          </cell>
          <cell r="G462">
            <v>0.02</v>
          </cell>
          <cell r="H462" t="str">
            <v>N01BB02</v>
          </cell>
          <cell r="I462"/>
          <cell r="J462">
            <v>10.67</v>
          </cell>
          <cell r="K462"/>
        </row>
        <row r="463">
          <cell r="D463" t="str">
            <v>J-01-70</v>
          </cell>
          <cell r="E463" t="str">
            <v>Linezolid</v>
          </cell>
          <cell r="F463" t="str">
            <v>Comprimido</v>
          </cell>
          <cell r="G463" t="str">
            <v>600 mg</v>
          </cell>
          <cell r="H463" t="str">
            <v>J01XX08</v>
          </cell>
          <cell r="I463" t="str">
            <v>R</v>
          </cell>
          <cell r="J463">
            <v>15.29</v>
          </cell>
          <cell r="K463"/>
        </row>
        <row r="464">
          <cell r="D464" t="str">
            <v>N-05-10</v>
          </cell>
          <cell r="E464" t="str">
            <v>Litio carbonato</v>
          </cell>
          <cell r="F464" t="str">
            <v>Comprimido</v>
          </cell>
          <cell r="G464" t="str">
            <v>300 mg</v>
          </cell>
          <cell r="H464" t="str">
            <v>N05AN01</v>
          </cell>
          <cell r="I464"/>
          <cell r="J464">
            <v>2.44</v>
          </cell>
          <cell r="K464"/>
        </row>
        <row r="465">
          <cell r="D465" t="str">
            <v>A-07-02</v>
          </cell>
          <cell r="E465" t="str">
            <v>Loperamida</v>
          </cell>
          <cell r="F465" t="str">
            <v>Cápsula o Comprimido</v>
          </cell>
          <cell r="G465" t="str">
            <v>2 mg</v>
          </cell>
          <cell r="H465" t="str">
            <v>A07DA03</v>
          </cell>
          <cell r="I465"/>
          <cell r="J465">
            <v>0.33</v>
          </cell>
          <cell r="K465"/>
        </row>
        <row r="466">
          <cell r="D466" t="str">
            <v>J-05-34</v>
          </cell>
          <cell r="E466" t="str">
            <v>Lopinavir + Ritonavir</v>
          </cell>
          <cell r="F466" t="str">
            <v xml:space="preserve">Comprimido </v>
          </cell>
          <cell r="G466" t="str">
            <v>200 mg + 50 mg</v>
          </cell>
          <cell r="H466" t="str">
            <v>J05AR10</v>
          </cell>
          <cell r="I466"/>
          <cell r="J466">
            <v>3.18</v>
          </cell>
          <cell r="K466"/>
        </row>
        <row r="467">
          <cell r="D467" t="str">
            <v>J-05-35</v>
          </cell>
          <cell r="E467" t="str">
            <v>Lopinavir + Ritonavir</v>
          </cell>
          <cell r="F467" t="str">
            <v>Solución oral</v>
          </cell>
          <cell r="G467" t="str">
            <v>80 mg + 20 mg/ml</v>
          </cell>
          <cell r="H467" t="str">
            <v>J05AR10</v>
          </cell>
          <cell r="I467"/>
          <cell r="J467">
            <v>5.22</v>
          </cell>
          <cell r="K467"/>
        </row>
        <row r="468">
          <cell r="D468" t="str">
            <v>C-09-02</v>
          </cell>
          <cell r="E468" t="str">
            <v>Losartán</v>
          </cell>
          <cell r="F468" t="str">
            <v>Comprimido</v>
          </cell>
          <cell r="G468" t="str">
            <v>50 mg</v>
          </cell>
          <cell r="H468" t="str">
            <v>C09CA01</v>
          </cell>
          <cell r="I468"/>
          <cell r="J468">
            <v>0.67</v>
          </cell>
          <cell r="K468" t="str">
            <v>50 MG</v>
          </cell>
        </row>
        <row r="469">
          <cell r="D469" t="str">
            <v>P-02-03</v>
          </cell>
          <cell r="E469" t="str">
            <v>Mebendazol</v>
          </cell>
          <cell r="F469" t="str">
            <v>Comprimido</v>
          </cell>
          <cell r="G469" t="str">
            <v>100 mg</v>
          </cell>
          <cell r="H469" t="str">
            <v>P02CA01</v>
          </cell>
          <cell r="I469"/>
          <cell r="J469">
            <v>0.34</v>
          </cell>
          <cell r="K469"/>
        </row>
        <row r="470">
          <cell r="D470" t="str">
            <v>P-02-04</v>
          </cell>
          <cell r="E470" t="str">
            <v>Mebendazol</v>
          </cell>
          <cell r="F470" t="str">
            <v>Suspensión</v>
          </cell>
          <cell r="G470" t="str">
            <v>100 mg/5 ml</v>
          </cell>
          <cell r="H470" t="str">
            <v>P02CA01</v>
          </cell>
          <cell r="I470"/>
          <cell r="J470">
            <v>5.95</v>
          </cell>
          <cell r="K470"/>
        </row>
        <row r="471">
          <cell r="D471" t="str">
            <v>P-02-05</v>
          </cell>
          <cell r="E471" t="str">
            <v>Mebendazol</v>
          </cell>
          <cell r="F471" t="str">
            <v>Comprimido</v>
          </cell>
          <cell r="G471" t="str">
            <v>500 mg</v>
          </cell>
          <cell r="H471" t="str">
            <v>P02CA01</v>
          </cell>
          <cell r="I471"/>
          <cell r="J471">
            <v>2.89</v>
          </cell>
          <cell r="K471"/>
        </row>
        <row r="472">
          <cell r="D472" t="str">
            <v>G-03-13</v>
          </cell>
          <cell r="E472" t="str">
            <v>Medroxiprogesterona acetato</v>
          </cell>
          <cell r="F472" t="str">
            <v>Inyectable</v>
          </cell>
          <cell r="G472" t="str">
            <v>150 mg/ml</v>
          </cell>
          <cell r="H472" t="str">
            <v>G03AC06</v>
          </cell>
          <cell r="I472"/>
          <cell r="J472">
            <v>11.4030555555556</v>
          </cell>
          <cell r="K472" t="str">
            <v>1 ML</v>
          </cell>
        </row>
        <row r="473">
          <cell r="D473" t="str">
            <v>G-03-14</v>
          </cell>
          <cell r="E473" t="str">
            <v>Medroxiprogesterona acetato</v>
          </cell>
          <cell r="F473" t="str">
            <v>Comprimido</v>
          </cell>
          <cell r="G473" t="str">
            <v>10 mg</v>
          </cell>
          <cell r="H473" t="str">
            <v>G03DA02</v>
          </cell>
          <cell r="I473"/>
          <cell r="J473">
            <v>2.3199999999999998</v>
          </cell>
          <cell r="K473"/>
        </row>
        <row r="474">
          <cell r="D474" t="str">
            <v>G-03-21</v>
          </cell>
          <cell r="E474" t="str">
            <v>Medroxiprogesterona acetato</v>
          </cell>
          <cell r="F474" t="str">
            <v>Inyectable</v>
          </cell>
          <cell r="G474" t="str">
            <v>104mg/0,65 ml</v>
          </cell>
          <cell r="H474" t="str">
            <v>G03AC06</v>
          </cell>
          <cell r="I474"/>
          <cell r="J474">
            <v>9.49</v>
          </cell>
          <cell r="K474"/>
        </row>
        <row r="475">
          <cell r="D475" t="str">
            <v>P-01-04</v>
          </cell>
          <cell r="E475" t="str">
            <v>Mefloquina (clorhidrato)</v>
          </cell>
          <cell r="F475" t="str">
            <v>Comprimido</v>
          </cell>
          <cell r="G475" t="str">
            <v>250 mg</v>
          </cell>
          <cell r="H475" t="str">
            <v>P01BC02</v>
          </cell>
          <cell r="I475"/>
          <cell r="J475">
            <v>5.99</v>
          </cell>
          <cell r="K475"/>
        </row>
        <row r="476">
          <cell r="D476" t="str">
            <v>P-01-05</v>
          </cell>
          <cell r="E476" t="str">
            <v>Meglumina antimoniato</v>
          </cell>
          <cell r="F476" t="str">
            <v>Inyectable</v>
          </cell>
          <cell r="G476" t="str">
            <v>1,5 g/5 ml</v>
          </cell>
          <cell r="H476" t="str">
            <v>P01CB01</v>
          </cell>
          <cell r="I476"/>
          <cell r="J476">
            <v>67.58</v>
          </cell>
          <cell r="K476"/>
        </row>
        <row r="477">
          <cell r="D477" t="str">
            <v>V-08-06</v>
          </cell>
          <cell r="E477" t="str">
            <v>Meglumina diatrizoato</v>
          </cell>
          <cell r="F477" t="str">
            <v>Inyectable</v>
          </cell>
          <cell r="G477" t="str">
            <v>70% o 76% (20 ml)</v>
          </cell>
          <cell r="H477" t="str">
            <v>V08AA01</v>
          </cell>
          <cell r="I477"/>
          <cell r="J477">
            <v>120.62</v>
          </cell>
          <cell r="K477"/>
        </row>
        <row r="478">
          <cell r="D478" t="str">
            <v>V-08-07</v>
          </cell>
          <cell r="E478" t="str">
            <v>Meglumina diatrizoato</v>
          </cell>
          <cell r="F478" t="str">
            <v>Inyectable</v>
          </cell>
          <cell r="G478" t="str">
            <v>70% o 76% (50 ml)</v>
          </cell>
          <cell r="H478" t="str">
            <v>V08AA01</v>
          </cell>
          <cell r="I478"/>
          <cell r="J478">
            <v>156.803636363636</v>
          </cell>
          <cell r="K478"/>
        </row>
        <row r="479">
          <cell r="D479" t="str">
            <v>L-01-22</v>
          </cell>
          <cell r="E479" t="str">
            <v>Melfalán</v>
          </cell>
          <cell r="F479" t="str">
            <v>Comprimido</v>
          </cell>
          <cell r="G479" t="str">
            <v>2 mg</v>
          </cell>
          <cell r="H479" t="str">
            <v>L01AA03</v>
          </cell>
          <cell r="I479"/>
          <cell r="J479">
            <v>23</v>
          </cell>
          <cell r="K479"/>
        </row>
        <row r="480">
          <cell r="D480" t="str">
            <v>L-01-63</v>
          </cell>
          <cell r="E480" t="str">
            <v>Melfalán</v>
          </cell>
          <cell r="F480" t="str">
            <v>Inyectable</v>
          </cell>
          <cell r="G480" t="str">
            <v>500 mg</v>
          </cell>
          <cell r="H480" t="str">
            <v>L01AA03</v>
          </cell>
          <cell r="I480" t="str">
            <v>R</v>
          </cell>
          <cell r="J480" t="str">
            <v>SPR</v>
          </cell>
          <cell r="K480"/>
        </row>
        <row r="481">
          <cell r="D481" t="str">
            <v>M-01-11</v>
          </cell>
          <cell r="E481" t="str">
            <v>Meloxicam</v>
          </cell>
          <cell r="F481" t="str">
            <v>Comprimido</v>
          </cell>
          <cell r="G481" t="str">
            <v>15 mg</v>
          </cell>
          <cell r="H481" t="str">
            <v>M01AC06</v>
          </cell>
          <cell r="I481"/>
          <cell r="J481">
            <v>3.03</v>
          </cell>
          <cell r="K481"/>
        </row>
        <row r="482">
          <cell r="D482" t="str">
            <v>L-01-23</v>
          </cell>
          <cell r="E482" t="str">
            <v>Mercaptopurina</v>
          </cell>
          <cell r="F482" t="str">
            <v>Comprimido ranurado</v>
          </cell>
          <cell r="G482" t="str">
            <v>50 mg</v>
          </cell>
          <cell r="H482" t="str">
            <v>L01BB02</v>
          </cell>
          <cell r="I482"/>
          <cell r="J482">
            <v>7.7975000000000003</v>
          </cell>
          <cell r="K482"/>
        </row>
        <row r="483">
          <cell r="D483" t="str">
            <v>J-01-69</v>
          </cell>
          <cell r="E483" t="str">
            <v>Meropenem</v>
          </cell>
          <cell r="F483" t="str">
            <v>Inyectable</v>
          </cell>
          <cell r="G483" t="str">
            <v>500 mg</v>
          </cell>
          <cell r="H483" t="str">
            <v>J01DH02</v>
          </cell>
          <cell r="I483" t="str">
            <v>R</v>
          </cell>
          <cell r="J483">
            <v>106.513597883598</v>
          </cell>
          <cell r="K483"/>
        </row>
        <row r="484">
          <cell r="D484" t="str">
            <v>A-07-07</v>
          </cell>
          <cell r="E484" t="str">
            <v>Mesalazina</v>
          </cell>
          <cell r="F484" t="str">
            <v>Comprimido</v>
          </cell>
          <cell r="G484" t="str">
            <v>500 mg</v>
          </cell>
          <cell r="H484" t="str">
            <v>A07S02</v>
          </cell>
          <cell r="I484"/>
          <cell r="J484">
            <v>8.5733333333333306</v>
          </cell>
          <cell r="K484"/>
        </row>
        <row r="485">
          <cell r="D485" t="str">
            <v>A-07-08</v>
          </cell>
          <cell r="E485" t="str">
            <v>Mesalazina</v>
          </cell>
          <cell r="F485" t="str">
            <v>Supositorio</v>
          </cell>
          <cell r="G485" t="str">
            <v>1g</v>
          </cell>
          <cell r="H485" t="str">
            <v>A07S02</v>
          </cell>
          <cell r="I485"/>
          <cell r="J485">
            <v>36.79</v>
          </cell>
          <cell r="K485"/>
        </row>
        <row r="486">
          <cell r="D486" t="str">
            <v>V-03-08</v>
          </cell>
          <cell r="E486" t="str">
            <v>Mesna (Mercapto etilsulfonato sódico)</v>
          </cell>
          <cell r="F486" t="str">
            <v>Inyectable</v>
          </cell>
          <cell r="G486" t="str">
            <v>400 mg</v>
          </cell>
          <cell r="H486" t="str">
            <v>V03AF01</v>
          </cell>
          <cell r="I486"/>
          <cell r="J486">
            <v>64.564999999999998</v>
          </cell>
          <cell r="K486"/>
        </row>
        <row r="487">
          <cell r="D487" t="str">
            <v>N-02-04</v>
          </cell>
          <cell r="E487" t="str">
            <v>Metadona</v>
          </cell>
          <cell r="F487" t="str">
            <v>Comprimido</v>
          </cell>
          <cell r="G487" t="str">
            <v>5 mg</v>
          </cell>
          <cell r="H487" t="str">
            <v>N02AC**</v>
          </cell>
          <cell r="I487"/>
          <cell r="J487">
            <v>4.25</v>
          </cell>
          <cell r="K487"/>
        </row>
        <row r="488">
          <cell r="D488" t="str">
            <v>N-02-05</v>
          </cell>
          <cell r="E488" t="str">
            <v>Metamizol (Dipirona)</v>
          </cell>
          <cell r="F488" t="str">
            <v>Inyectable</v>
          </cell>
          <cell r="G488" t="str">
            <v>1 g</v>
          </cell>
          <cell r="H488" t="str">
            <v>N02BB02</v>
          </cell>
          <cell r="I488"/>
          <cell r="J488">
            <v>1.82</v>
          </cell>
          <cell r="K488"/>
        </row>
        <row r="489">
          <cell r="D489" t="str">
            <v>A-10-04</v>
          </cell>
          <cell r="E489" t="str">
            <v>Metformina</v>
          </cell>
          <cell r="F489" t="str">
            <v>Comprimido</v>
          </cell>
          <cell r="G489" t="str">
            <v>850 mg</v>
          </cell>
          <cell r="H489" t="str">
            <v>A10BA02</v>
          </cell>
          <cell r="I489"/>
          <cell r="J489">
            <v>1.28</v>
          </cell>
          <cell r="K489"/>
        </row>
        <row r="490">
          <cell r="D490" t="str">
            <v>A-10-07</v>
          </cell>
          <cell r="E490" t="str">
            <v>Metformina</v>
          </cell>
          <cell r="F490" t="str">
            <v>Comprimido</v>
          </cell>
          <cell r="G490" t="str">
            <v>500 mg</v>
          </cell>
          <cell r="H490" t="str">
            <v>A10BA02</v>
          </cell>
          <cell r="I490"/>
          <cell r="J490">
            <v>0.68</v>
          </cell>
          <cell r="K490"/>
        </row>
        <row r="491">
          <cell r="D491" t="str">
            <v>C-02-04</v>
          </cell>
          <cell r="E491" t="str">
            <v>Metildopa (Alfametildopa)</v>
          </cell>
          <cell r="F491" t="str">
            <v>Comprimido</v>
          </cell>
          <cell r="G491" t="str">
            <v>500 mg</v>
          </cell>
          <cell r="H491" t="str">
            <v>C02AB02</v>
          </cell>
          <cell r="I491"/>
          <cell r="J491">
            <v>1.9145151515151499</v>
          </cell>
          <cell r="K491"/>
        </row>
        <row r="492">
          <cell r="D492" t="str">
            <v>N-06-06</v>
          </cell>
          <cell r="E492" t="str">
            <v>Metilfenidato</v>
          </cell>
          <cell r="F492" t="str">
            <v>Comprimido</v>
          </cell>
          <cell r="G492" t="str">
            <v>10 mg</v>
          </cell>
          <cell r="H492" t="str">
            <v>N06BA04</v>
          </cell>
          <cell r="I492"/>
          <cell r="J492">
            <v>16.448571428571402</v>
          </cell>
          <cell r="K492"/>
        </row>
        <row r="493">
          <cell r="D493" t="str">
            <v>H-02-07</v>
          </cell>
          <cell r="E493" t="str">
            <v>Metilprednisolona succinato sódico</v>
          </cell>
          <cell r="F493" t="str">
            <v>Inyectable</v>
          </cell>
          <cell r="G493" t="str">
            <v>500 mg</v>
          </cell>
          <cell r="H493" t="str">
            <v>H02AB04</v>
          </cell>
          <cell r="I493"/>
          <cell r="J493">
            <v>113.5</v>
          </cell>
          <cell r="K493"/>
        </row>
        <row r="494">
          <cell r="D494" t="str">
            <v>A-03-07</v>
          </cell>
          <cell r="E494" t="str">
            <v>Metoclopramida</v>
          </cell>
          <cell r="F494" t="str">
            <v>Comprimido</v>
          </cell>
          <cell r="G494" t="str">
            <v>10 mg</v>
          </cell>
          <cell r="H494" t="str">
            <v>A03FA01</v>
          </cell>
          <cell r="I494"/>
          <cell r="J494">
            <v>0.38</v>
          </cell>
          <cell r="K494"/>
        </row>
        <row r="495">
          <cell r="D495" t="str">
            <v>A-03-08</v>
          </cell>
          <cell r="E495" t="str">
            <v>Metoclopramida</v>
          </cell>
          <cell r="F495" t="str">
            <v>Inyectable</v>
          </cell>
          <cell r="G495" t="str">
            <v>10mg / 2ml</v>
          </cell>
          <cell r="H495" t="str">
            <v>A03FA01</v>
          </cell>
          <cell r="I495"/>
          <cell r="J495">
            <v>2.62</v>
          </cell>
          <cell r="K495" t="str">
            <v>2 ML</v>
          </cell>
        </row>
        <row r="496">
          <cell r="D496" t="str">
            <v>A-03-09</v>
          </cell>
          <cell r="E496" t="str">
            <v>Metoclopramida</v>
          </cell>
          <cell r="F496" t="str">
            <v>Solución oral gotas</v>
          </cell>
          <cell r="G496" t="str">
            <v>0,35% o 0,5%</v>
          </cell>
          <cell r="H496" t="str">
            <v>A03FA01</v>
          </cell>
          <cell r="I496"/>
          <cell r="J496">
            <v>13.28</v>
          </cell>
          <cell r="K496"/>
        </row>
        <row r="497">
          <cell r="D497" t="str">
            <v>L-01-24</v>
          </cell>
          <cell r="E497" t="str">
            <v>Metotrexato</v>
          </cell>
          <cell r="F497" t="str">
            <v>Inyectable</v>
          </cell>
          <cell r="G497" t="str">
            <v>50 mg</v>
          </cell>
          <cell r="H497" t="str">
            <v>L01BA01</v>
          </cell>
          <cell r="I497"/>
          <cell r="J497">
            <v>61.199166666666699</v>
          </cell>
          <cell r="K497"/>
        </row>
        <row r="498">
          <cell r="D498" t="str">
            <v>L-01-25</v>
          </cell>
          <cell r="E498" t="str">
            <v>Metotrexato</v>
          </cell>
          <cell r="F498" t="str">
            <v>Inyectable</v>
          </cell>
          <cell r="G498" t="str">
            <v>500 mg</v>
          </cell>
          <cell r="H498" t="str">
            <v>L01BA01</v>
          </cell>
          <cell r="I498"/>
          <cell r="J498">
            <v>132.72083333333299</v>
          </cell>
          <cell r="K498"/>
        </row>
        <row r="499">
          <cell r="D499" t="str">
            <v>L-01-26</v>
          </cell>
          <cell r="E499" t="str">
            <v>Metotrexato</v>
          </cell>
          <cell r="F499" t="str">
            <v>Comprimido</v>
          </cell>
          <cell r="G499" t="str">
            <v>2,5 mg</v>
          </cell>
          <cell r="H499" t="str">
            <v>L01BA01</v>
          </cell>
          <cell r="I499"/>
          <cell r="J499">
            <v>3.52</v>
          </cell>
          <cell r="K499"/>
        </row>
        <row r="500">
          <cell r="D500" t="str">
            <v>G-01-04</v>
          </cell>
          <cell r="E500" t="str">
            <v>Metronidazol</v>
          </cell>
          <cell r="F500" t="str">
            <v>Óvulo</v>
          </cell>
          <cell r="G500" t="str">
            <v>500 mg</v>
          </cell>
          <cell r="H500" t="str">
            <v>G01AF01</v>
          </cell>
          <cell r="I500"/>
          <cell r="J500">
            <v>1.83</v>
          </cell>
          <cell r="K500"/>
        </row>
        <row r="501">
          <cell r="D501" t="str">
            <v>P-01-06</v>
          </cell>
          <cell r="E501" t="str">
            <v>Metronidazol</v>
          </cell>
          <cell r="F501" t="str">
            <v>Suspensión</v>
          </cell>
          <cell r="G501" t="str">
            <v>250 mg/5 ml</v>
          </cell>
          <cell r="H501" t="str">
            <v>P01AB01</v>
          </cell>
          <cell r="I501"/>
          <cell r="J501">
            <v>14</v>
          </cell>
          <cell r="K501" t="str">
            <v>100 ML</v>
          </cell>
        </row>
        <row r="502">
          <cell r="D502" t="str">
            <v>P-01-07</v>
          </cell>
          <cell r="E502" t="str">
            <v>Metronidazol</v>
          </cell>
          <cell r="F502" t="str">
            <v>Inyectable</v>
          </cell>
          <cell r="G502" t="str">
            <v>500 mg</v>
          </cell>
          <cell r="H502" t="str">
            <v>P01AB01</v>
          </cell>
          <cell r="I502"/>
          <cell r="J502">
            <v>12.68</v>
          </cell>
          <cell r="K502"/>
        </row>
        <row r="503">
          <cell r="D503" t="str">
            <v>P-01-08</v>
          </cell>
          <cell r="E503" t="str">
            <v>Metronidazol</v>
          </cell>
          <cell r="F503" t="str">
            <v>Suspensión</v>
          </cell>
          <cell r="G503" t="str">
            <v>125 mg/5 ml</v>
          </cell>
          <cell r="H503" t="str">
            <v>P01AB01</v>
          </cell>
          <cell r="I503"/>
          <cell r="J503">
            <v>14.2</v>
          </cell>
          <cell r="K503"/>
        </row>
        <row r="504">
          <cell r="D504" t="str">
            <v>P-01-09</v>
          </cell>
          <cell r="E504" t="str">
            <v>Metronidazol</v>
          </cell>
          <cell r="F504" t="str">
            <v>Comprimido</v>
          </cell>
          <cell r="G504" t="str">
            <v>500 mg</v>
          </cell>
          <cell r="H504" t="str">
            <v>P01AB01</v>
          </cell>
          <cell r="I504"/>
          <cell r="J504">
            <v>0.57999999999999996</v>
          </cell>
          <cell r="K504"/>
        </row>
        <row r="505">
          <cell r="D505" t="str">
            <v>L-04-07</v>
          </cell>
          <cell r="E505" t="str">
            <v>Micofenolato de mofetilo</v>
          </cell>
          <cell r="F505" t="str">
            <v>Comprimido</v>
          </cell>
          <cell r="G505" t="str">
            <v>500 mg</v>
          </cell>
          <cell r="H505" t="str">
            <v>L04AA06</v>
          </cell>
          <cell r="I505" t="str">
            <v>R</v>
          </cell>
          <cell r="J505">
            <v>5.4682954545454496</v>
          </cell>
          <cell r="K505"/>
        </row>
        <row r="506">
          <cell r="D506" t="str">
            <v>B-03-05</v>
          </cell>
          <cell r="E506" t="str">
            <v>Micronutrientes (Vit. C + Vit A + Fe + Zn + Ac. Fólico) (Chispitas nutricionales)</v>
          </cell>
          <cell r="F506" t="str">
            <v>Polvo</v>
          </cell>
          <cell r="G506" t="str">
            <v>Según concentración estándar</v>
          </cell>
          <cell r="H506" t="str">
            <v>B03AE10</v>
          </cell>
          <cell r="I506"/>
          <cell r="J506">
            <v>0.41</v>
          </cell>
          <cell r="K506"/>
        </row>
        <row r="507">
          <cell r="D507" t="str">
            <v>N-05-11</v>
          </cell>
          <cell r="E507" t="str">
            <v>Midazolam</v>
          </cell>
          <cell r="F507" t="str">
            <v>Inyectable</v>
          </cell>
          <cell r="G507" t="str">
            <v>15 mg/3 ml</v>
          </cell>
          <cell r="H507" t="str">
            <v>N05CD08</v>
          </cell>
          <cell r="I507"/>
          <cell r="J507">
            <v>20.5</v>
          </cell>
          <cell r="K507"/>
        </row>
        <row r="508">
          <cell r="D508" t="str">
            <v>G-02-10</v>
          </cell>
          <cell r="E508" t="str">
            <v>Mifepristona</v>
          </cell>
          <cell r="F508" t="str">
            <v>Comprimido</v>
          </cell>
          <cell r="G508" t="str">
            <v>200 mg</v>
          </cell>
          <cell r="H508" t="str">
            <v>G03XB01</v>
          </cell>
          <cell r="I508"/>
          <cell r="J508">
            <v>122.5</v>
          </cell>
          <cell r="K508"/>
        </row>
        <row r="509">
          <cell r="D509" t="str">
            <v>C-01-16</v>
          </cell>
          <cell r="E509" t="str">
            <v>Milrinona</v>
          </cell>
          <cell r="F509" t="str">
            <v>Inyectable</v>
          </cell>
          <cell r="G509" t="str">
            <v>1 mg/ml</v>
          </cell>
          <cell r="H509" t="str">
            <v>C01CE02</v>
          </cell>
          <cell r="I509" t="str">
            <v>R</v>
          </cell>
          <cell r="J509">
            <v>200</v>
          </cell>
          <cell r="K509" t="str">
            <v>12 ML</v>
          </cell>
        </row>
        <row r="510">
          <cell r="D510" t="str">
            <v>J-01-73</v>
          </cell>
          <cell r="E510" t="str">
            <v xml:space="preserve">Minociclina </v>
          </cell>
          <cell r="F510" t="str">
            <v>Comprimido</v>
          </cell>
          <cell r="G510" t="str">
            <v>100 mg</v>
          </cell>
          <cell r="H510" t="str">
            <v>J01AA08</v>
          </cell>
          <cell r="I510" t="str">
            <v>R</v>
          </cell>
          <cell r="J510">
            <v>6.88</v>
          </cell>
          <cell r="K510"/>
        </row>
        <row r="511">
          <cell r="D511" t="str">
            <v>A-02-06</v>
          </cell>
          <cell r="E511" t="str">
            <v>Misoprostol</v>
          </cell>
          <cell r="F511" t="str">
            <v>Comprimido</v>
          </cell>
          <cell r="G511" t="str">
            <v>200 mcg</v>
          </cell>
          <cell r="H511" t="str">
            <v>A02BB01</v>
          </cell>
          <cell r="I511" t="str">
            <v>R</v>
          </cell>
          <cell r="J511">
            <v>7.54416666666667</v>
          </cell>
          <cell r="K511"/>
        </row>
        <row r="512">
          <cell r="D512" t="str">
            <v>G-02-08</v>
          </cell>
          <cell r="E512" t="str">
            <v>Misoprostol</v>
          </cell>
          <cell r="F512" t="str">
            <v>Comprimido vaginal</v>
          </cell>
          <cell r="G512" t="str">
            <v>25 mcg</v>
          </cell>
          <cell r="H512" t="str">
            <v>G02AD06</v>
          </cell>
          <cell r="I512" t="str">
            <v>R</v>
          </cell>
          <cell r="J512">
            <v>5.9</v>
          </cell>
          <cell r="K512"/>
        </row>
        <row r="513">
          <cell r="D513" t="str">
            <v>L-01-27</v>
          </cell>
          <cell r="E513" t="str">
            <v>Mitomicina</v>
          </cell>
          <cell r="F513" t="str">
            <v>Inyectable</v>
          </cell>
          <cell r="G513" t="str">
            <v>20 mg</v>
          </cell>
          <cell r="H513" t="str">
            <v>L01DC03</v>
          </cell>
          <cell r="I513"/>
          <cell r="J513">
            <v>325.75</v>
          </cell>
          <cell r="K513"/>
        </row>
        <row r="514">
          <cell r="D514" t="str">
            <v>M-03-02</v>
          </cell>
          <cell r="E514" t="str">
            <v>Mivacuronio</v>
          </cell>
          <cell r="F514" t="str">
            <v>Inyectable</v>
          </cell>
          <cell r="G514" t="str">
            <v>2 mg/ml</v>
          </cell>
          <cell r="H514" t="str">
            <v>M03AC10</v>
          </cell>
          <cell r="I514"/>
          <cell r="J514">
            <v>118.83</v>
          </cell>
          <cell r="K514"/>
        </row>
        <row r="515">
          <cell r="D515" t="str">
            <v>R-03-13</v>
          </cell>
          <cell r="E515" t="str">
            <v>Montelukast</v>
          </cell>
          <cell r="F515" t="str">
            <v>Comprimido o Cápsula</v>
          </cell>
          <cell r="G515" t="str">
            <v>10 mg</v>
          </cell>
          <cell r="H515" t="str">
            <v>R03DC03</v>
          </cell>
          <cell r="I515"/>
          <cell r="J515">
            <v>5.84</v>
          </cell>
          <cell r="K515"/>
        </row>
        <row r="516">
          <cell r="D516" t="str">
            <v>R-03-14</v>
          </cell>
          <cell r="E516" t="str">
            <v>Montelukast</v>
          </cell>
          <cell r="F516" t="str">
            <v>Comprimido</v>
          </cell>
          <cell r="G516" t="str">
            <v>5 mg</v>
          </cell>
          <cell r="H516" t="str">
            <v>R03DC03</v>
          </cell>
          <cell r="I516"/>
          <cell r="J516">
            <v>4.7</v>
          </cell>
          <cell r="K516"/>
        </row>
        <row r="517">
          <cell r="D517" t="str">
            <v>N-02-06</v>
          </cell>
          <cell r="E517" t="str">
            <v>Morfina</v>
          </cell>
          <cell r="F517" t="str">
            <v>Cápsula o Comprimido</v>
          </cell>
          <cell r="G517" t="str">
            <v>10 mg</v>
          </cell>
          <cell r="H517" t="str">
            <v>N02AA01</v>
          </cell>
          <cell r="I517"/>
          <cell r="J517">
            <v>2</v>
          </cell>
          <cell r="K517"/>
        </row>
        <row r="518">
          <cell r="D518" t="str">
            <v>N-02-07</v>
          </cell>
          <cell r="E518" t="str">
            <v>Morfina (con y sin conservante)</v>
          </cell>
          <cell r="F518" t="str">
            <v>Inyectable</v>
          </cell>
          <cell r="G518" t="str">
            <v>10 mg/ml</v>
          </cell>
          <cell r="H518" t="str">
            <v>N02AA01</v>
          </cell>
          <cell r="I518"/>
          <cell r="J518">
            <v>15</v>
          </cell>
          <cell r="K518" t="str">
            <v>1 ML</v>
          </cell>
        </row>
        <row r="519">
          <cell r="D519" t="str">
            <v>J-01-72</v>
          </cell>
          <cell r="E519" t="str">
            <v>Moxifloxacina</v>
          </cell>
          <cell r="F519" t="str">
            <v>Comprimido</v>
          </cell>
          <cell r="G519" t="str">
            <v>400 mg</v>
          </cell>
          <cell r="H519" t="str">
            <v>J01MA14</v>
          </cell>
          <cell r="I519" t="str">
            <v>R</v>
          </cell>
          <cell r="J519">
            <v>3.45</v>
          </cell>
          <cell r="K519"/>
        </row>
        <row r="520">
          <cell r="D520" t="str">
            <v>A-11-09</v>
          </cell>
          <cell r="E520" t="str">
            <v>Multivitaminas</v>
          </cell>
          <cell r="F520" t="str">
            <v>Comprimido</v>
          </cell>
          <cell r="G520" t="str">
            <v>Según concentración estándar</v>
          </cell>
          <cell r="H520" t="str">
            <v>A11AA03</v>
          </cell>
          <cell r="I520"/>
          <cell r="J520">
            <v>0.45</v>
          </cell>
          <cell r="K520"/>
        </row>
        <row r="521">
          <cell r="D521" t="str">
            <v>A-11-10</v>
          </cell>
          <cell r="E521" t="str">
            <v>Multivitaminas</v>
          </cell>
          <cell r="F521" t="str">
            <v>Jarabe</v>
          </cell>
          <cell r="G521" t="str">
            <v>Según concentración estándar</v>
          </cell>
          <cell r="H521" t="str">
            <v>A11AA03</v>
          </cell>
          <cell r="I521"/>
          <cell r="J521">
            <v>16.5575625</v>
          </cell>
          <cell r="K521" t="str">
            <v>100 ML</v>
          </cell>
        </row>
        <row r="522">
          <cell r="D522" t="str">
            <v>A-11-20</v>
          </cell>
          <cell r="E522" t="str">
            <v>Multivitaminas</v>
          </cell>
          <cell r="F522" t="str">
            <v>Polvo liofilizado</v>
          </cell>
          <cell r="G522" t="str">
            <v>Según disponibilidad</v>
          </cell>
          <cell r="H522" t="str">
            <v>A11AA03</v>
          </cell>
          <cell r="I522"/>
          <cell r="J522">
            <v>50</v>
          </cell>
          <cell r="K522"/>
        </row>
        <row r="523">
          <cell r="D523" t="str">
            <v>S-01-19</v>
          </cell>
          <cell r="E523" t="str">
            <v>Nafazolina clorhidrato</v>
          </cell>
          <cell r="F523" t="str">
            <v>Solución oftálmica</v>
          </cell>
          <cell r="G523" t="str">
            <v>0,1%</v>
          </cell>
          <cell r="H523" t="str">
            <v>S01GA01</v>
          </cell>
          <cell r="I523"/>
          <cell r="J523">
            <v>19.7</v>
          </cell>
          <cell r="K523" t="str">
            <v>15 ML</v>
          </cell>
        </row>
        <row r="524">
          <cell r="D524" t="str">
            <v>V-03-09</v>
          </cell>
          <cell r="E524" t="str">
            <v>Naloxona</v>
          </cell>
          <cell r="F524" t="str">
            <v>Inyectable</v>
          </cell>
          <cell r="G524" t="str">
            <v>0,4 mg/ml</v>
          </cell>
          <cell r="H524" t="str">
            <v>V03AB15</v>
          </cell>
          <cell r="I524"/>
          <cell r="J524">
            <v>63</v>
          </cell>
          <cell r="K524"/>
        </row>
        <row r="525">
          <cell r="D525" t="str">
            <v>N-02-16</v>
          </cell>
          <cell r="E525" t="str">
            <v>Naratriptan</v>
          </cell>
          <cell r="F525" t="str">
            <v>Comprimido</v>
          </cell>
          <cell r="G525" t="str">
            <v>2,5 mg</v>
          </cell>
          <cell r="H525" t="str">
            <v>N02CC02</v>
          </cell>
          <cell r="I525"/>
          <cell r="J525">
            <v>12.5</v>
          </cell>
          <cell r="K525"/>
        </row>
        <row r="526">
          <cell r="D526" t="str">
            <v>N-07-05</v>
          </cell>
          <cell r="E526" t="str">
            <v>Neostigmina</v>
          </cell>
          <cell r="F526" t="str">
            <v>Inyectable</v>
          </cell>
          <cell r="G526" t="str">
            <v>0,5 mg/ml</v>
          </cell>
          <cell r="H526" t="str">
            <v>N07AA01</v>
          </cell>
          <cell r="I526"/>
          <cell r="J526">
            <v>6</v>
          </cell>
          <cell r="K526"/>
        </row>
        <row r="527">
          <cell r="D527" t="str">
            <v>J-05-20</v>
          </cell>
          <cell r="E527" t="str">
            <v>Nevirapina</v>
          </cell>
          <cell r="F527" t="str">
            <v>Comprimido</v>
          </cell>
          <cell r="G527" t="str">
            <v>200 mg</v>
          </cell>
          <cell r="H527" t="str">
            <v>J05AG01</v>
          </cell>
          <cell r="I527"/>
          <cell r="J527">
            <v>0.45</v>
          </cell>
          <cell r="K527"/>
        </row>
        <row r="528">
          <cell r="D528" t="str">
            <v>J-05-21</v>
          </cell>
          <cell r="E528" t="str">
            <v>Nevirapina</v>
          </cell>
          <cell r="F528" t="str">
            <v>Suspensión</v>
          </cell>
          <cell r="G528" t="str">
            <v>10 mg/ml</v>
          </cell>
          <cell r="H528" t="str">
            <v>J05AG01</v>
          </cell>
          <cell r="I528"/>
          <cell r="J528">
            <v>20.75</v>
          </cell>
          <cell r="K528"/>
        </row>
        <row r="529">
          <cell r="D529" t="str">
            <v>P-02-06</v>
          </cell>
          <cell r="E529" t="str">
            <v>Niclosamida</v>
          </cell>
          <cell r="F529" t="str">
            <v>Comprimido</v>
          </cell>
          <cell r="G529" t="str">
            <v>500 mg</v>
          </cell>
          <cell r="H529" t="str">
            <v>P02DA01</v>
          </cell>
          <cell r="I529"/>
          <cell r="J529">
            <v>7.58</v>
          </cell>
          <cell r="K529"/>
        </row>
        <row r="530">
          <cell r="D530" t="str">
            <v>C-08-08</v>
          </cell>
          <cell r="E530" t="str">
            <v>Nifedipino</v>
          </cell>
          <cell r="F530" t="str">
            <v>Comprimido o Cápsula</v>
          </cell>
          <cell r="G530" t="str">
            <v>10 mg</v>
          </cell>
          <cell r="H530" t="str">
            <v>C08CA05</v>
          </cell>
          <cell r="I530"/>
          <cell r="J530">
            <v>0.51229090909090902</v>
          </cell>
          <cell r="K530"/>
        </row>
        <row r="531">
          <cell r="D531" t="str">
            <v>P-01-10</v>
          </cell>
          <cell r="E531" t="str">
            <v>Nifurtimox</v>
          </cell>
          <cell r="F531" t="str">
            <v>Comprimido</v>
          </cell>
          <cell r="G531" t="str">
            <v>120 mg</v>
          </cell>
          <cell r="H531" t="str">
            <v>P01CC01</v>
          </cell>
          <cell r="I531"/>
          <cell r="J531">
            <v>17.05</v>
          </cell>
          <cell r="K531"/>
        </row>
        <row r="532">
          <cell r="D532" t="str">
            <v>P-01-29</v>
          </cell>
          <cell r="E532" t="str">
            <v>Nifurtimox</v>
          </cell>
          <cell r="F532" t="str">
            <v>Comprimido</v>
          </cell>
          <cell r="G532" t="str">
            <v>30 mg</v>
          </cell>
          <cell r="H532" t="str">
            <v>P01CC01</v>
          </cell>
          <cell r="I532"/>
          <cell r="J532">
            <v>0.6</v>
          </cell>
          <cell r="K532"/>
        </row>
        <row r="533">
          <cell r="D533" t="str">
            <v>P-01-30</v>
          </cell>
          <cell r="E533" t="str">
            <v>Nifurtimox</v>
          </cell>
          <cell r="F533" t="str">
            <v>Comprimido</v>
          </cell>
          <cell r="G533" t="str">
            <v>250 mg</v>
          </cell>
          <cell r="H533" t="str">
            <v>P01CC01</v>
          </cell>
          <cell r="I533"/>
          <cell r="J533">
            <v>2.02</v>
          </cell>
          <cell r="K533"/>
        </row>
        <row r="534">
          <cell r="D534" t="str">
            <v>C-08-02</v>
          </cell>
          <cell r="E534" t="str">
            <v>Nimodipina</v>
          </cell>
          <cell r="F534" t="str">
            <v>Comprimido</v>
          </cell>
          <cell r="G534" t="str">
            <v>30 mg</v>
          </cell>
          <cell r="H534" t="str">
            <v>C08CA06</v>
          </cell>
          <cell r="I534"/>
          <cell r="J534">
            <v>0.93</v>
          </cell>
          <cell r="K534"/>
        </row>
        <row r="535">
          <cell r="D535" t="str">
            <v>C-08-03</v>
          </cell>
          <cell r="E535" t="str">
            <v>Nimodipina</v>
          </cell>
          <cell r="F535" t="str">
            <v>Inyectable</v>
          </cell>
          <cell r="G535" t="str">
            <v>0,2 mg/ml</v>
          </cell>
          <cell r="H535" t="str">
            <v>C08CA06</v>
          </cell>
          <cell r="I535"/>
          <cell r="J535">
            <v>172.53444999999999</v>
          </cell>
          <cell r="K535" t="str">
            <v>50 ML</v>
          </cell>
        </row>
        <row r="536">
          <cell r="D536" t="str">
            <v>L-01-54</v>
          </cell>
          <cell r="E536" t="str">
            <v>Nimotuzumab</v>
          </cell>
          <cell r="F536" t="str">
            <v>Inyectable</v>
          </cell>
          <cell r="G536" t="str">
            <v>50 mg</v>
          </cell>
          <cell r="H536" t="str">
            <v>L01XC99</v>
          </cell>
          <cell r="I536" t="str">
            <v>R</v>
          </cell>
          <cell r="J536">
            <v>68.97</v>
          </cell>
          <cell r="K536"/>
        </row>
        <row r="537">
          <cell r="D537" t="str">
            <v>A-07-03</v>
          </cell>
          <cell r="E537" t="str">
            <v>Nistatina</v>
          </cell>
          <cell r="F537" t="str">
            <v>Comprimido</v>
          </cell>
          <cell r="G537" t="str">
            <v>500.000 UI</v>
          </cell>
          <cell r="H537" t="str">
            <v>A07AA02</v>
          </cell>
          <cell r="I537"/>
          <cell r="J537">
            <v>0.61</v>
          </cell>
          <cell r="K537"/>
        </row>
        <row r="538">
          <cell r="D538" t="str">
            <v>A-07-04</v>
          </cell>
          <cell r="E538" t="str">
            <v>Nistatina</v>
          </cell>
          <cell r="F538" t="str">
            <v>Suspensión</v>
          </cell>
          <cell r="G538" t="str">
            <v>500.000 UI/5 ml</v>
          </cell>
          <cell r="H538" t="str">
            <v>A07AA02</v>
          </cell>
          <cell r="I538"/>
          <cell r="J538">
            <v>19</v>
          </cell>
          <cell r="K538"/>
        </row>
        <row r="539">
          <cell r="D539" t="str">
            <v>D-01-04</v>
          </cell>
          <cell r="E539" t="str">
            <v>Nistatina</v>
          </cell>
          <cell r="F539" t="str">
            <v>Crema o Pomada</v>
          </cell>
          <cell r="G539" t="str">
            <v>100.000 UI/g</v>
          </cell>
          <cell r="H539" t="str">
            <v>D01AA01</v>
          </cell>
          <cell r="I539"/>
          <cell r="J539">
            <v>10.766059523809499</v>
          </cell>
          <cell r="K539" t="str">
            <v>10 G</v>
          </cell>
        </row>
        <row r="540">
          <cell r="D540" t="str">
            <v>G-01-05</v>
          </cell>
          <cell r="E540" t="str">
            <v>Nistatina</v>
          </cell>
          <cell r="F540" t="str">
            <v>Óvulo</v>
          </cell>
          <cell r="G540" t="str">
            <v>100.000 UI</v>
          </cell>
          <cell r="H540" t="str">
            <v>G01AA01</v>
          </cell>
          <cell r="I540"/>
          <cell r="J540">
            <v>1.145</v>
          </cell>
          <cell r="K540"/>
        </row>
        <row r="541">
          <cell r="D541" t="str">
            <v>P-01-11</v>
          </cell>
          <cell r="E541" t="str">
            <v>Nitazoxanida</v>
          </cell>
          <cell r="F541" t="str">
            <v>Comprimido</v>
          </cell>
          <cell r="G541" t="str">
            <v>500 mg</v>
          </cell>
          <cell r="H541" t="str">
            <v>P01AX11</v>
          </cell>
          <cell r="I541"/>
          <cell r="J541">
            <v>6.1</v>
          </cell>
          <cell r="K541"/>
        </row>
        <row r="542">
          <cell r="D542" t="str">
            <v>P-01-26</v>
          </cell>
          <cell r="E542" t="str">
            <v>Nitazoxanida</v>
          </cell>
          <cell r="F542" t="str">
            <v>Jarabe</v>
          </cell>
          <cell r="G542" t="str">
            <v>100 mg / 5 ml</v>
          </cell>
          <cell r="H542" t="str">
            <v>P01AX11</v>
          </cell>
          <cell r="I542"/>
          <cell r="J542">
            <v>15</v>
          </cell>
          <cell r="K542"/>
        </row>
        <row r="543">
          <cell r="D543" t="str">
            <v>D-08-09</v>
          </cell>
          <cell r="E543" t="str">
            <v>Nitrofural (Nitrofurazona)</v>
          </cell>
          <cell r="F543" t="str">
            <v>Crema o Pomada</v>
          </cell>
          <cell r="G543" t="str">
            <v>0,2% (450 g)</v>
          </cell>
          <cell r="H543" t="str">
            <v>D08AF01</v>
          </cell>
          <cell r="I543"/>
          <cell r="J543">
            <v>107.5</v>
          </cell>
          <cell r="K543"/>
        </row>
        <row r="544">
          <cell r="D544" t="str">
            <v>J-01-51</v>
          </cell>
          <cell r="E544" t="str">
            <v>Nitrofurantoína</v>
          </cell>
          <cell r="F544" t="str">
            <v>Comprimido</v>
          </cell>
          <cell r="G544" t="str">
            <v>100 mg</v>
          </cell>
          <cell r="H544" t="str">
            <v>J01XE01</v>
          </cell>
          <cell r="I544"/>
          <cell r="J544">
            <v>1.50045299145299</v>
          </cell>
          <cell r="K544"/>
        </row>
        <row r="545">
          <cell r="D545" t="str">
            <v>J-01-52</v>
          </cell>
          <cell r="E545" t="str">
            <v>Nitrofurantoína</v>
          </cell>
          <cell r="F545" t="str">
            <v>Suspensión</v>
          </cell>
          <cell r="G545" t="str">
            <v>25 mg/5 ml</v>
          </cell>
          <cell r="H545" t="str">
            <v>J01XE01</v>
          </cell>
          <cell r="I545"/>
          <cell r="J545">
            <v>14.7</v>
          </cell>
          <cell r="K545"/>
        </row>
        <row r="546">
          <cell r="D546" t="str">
            <v>C-01-12</v>
          </cell>
          <cell r="E546" t="str">
            <v>Nitroglicerina (Trinitrato de glicerol)</v>
          </cell>
          <cell r="F546" t="str">
            <v>Inyectable</v>
          </cell>
          <cell r="G546" t="str">
            <v>5 mg/ml</v>
          </cell>
          <cell r="H546" t="str">
            <v>C01DA02</v>
          </cell>
          <cell r="I546"/>
          <cell r="J546">
            <v>61.72</v>
          </cell>
          <cell r="K546" t="str">
            <v>10 ML</v>
          </cell>
        </row>
        <row r="547">
          <cell r="D547" t="str">
            <v>C-02-05</v>
          </cell>
          <cell r="E547" t="str">
            <v>Nitroprusiato de sodio</v>
          </cell>
          <cell r="F547" t="str">
            <v>Inyectable</v>
          </cell>
          <cell r="G547" t="str">
            <v>25 mg/ml</v>
          </cell>
          <cell r="H547" t="str">
            <v>C02DD01</v>
          </cell>
          <cell r="I547"/>
          <cell r="J547">
            <v>200</v>
          </cell>
          <cell r="K547" t="str">
            <v>2 ML</v>
          </cell>
        </row>
        <row r="548">
          <cell r="D548" t="str">
            <v>C-01-15</v>
          </cell>
          <cell r="E548" t="str">
            <v xml:space="preserve">Noradrenalina </v>
          </cell>
          <cell r="F548" t="str">
            <v>Inyectable</v>
          </cell>
          <cell r="G548" t="str">
            <v>1 mg/ml</v>
          </cell>
          <cell r="H548" t="str">
            <v>C01CA03</v>
          </cell>
          <cell r="I548"/>
          <cell r="J548">
            <v>28.796666666666699</v>
          </cell>
          <cell r="K548"/>
        </row>
        <row r="549">
          <cell r="D549" t="str">
            <v>G-03-15</v>
          </cell>
          <cell r="E549" t="str">
            <v>Noretisterona</v>
          </cell>
          <cell r="F549" t="str">
            <v>Comprimido</v>
          </cell>
          <cell r="G549" t="str">
            <v>5 mg</v>
          </cell>
          <cell r="H549" t="str">
            <v>G03DC02</v>
          </cell>
          <cell r="I549"/>
          <cell r="J549">
            <v>1.06</v>
          </cell>
          <cell r="K549"/>
        </row>
        <row r="550">
          <cell r="D550" t="str">
            <v>G-03-16</v>
          </cell>
          <cell r="E550" t="str">
            <v>Norgestrel + Etinilestradiol</v>
          </cell>
          <cell r="F550" t="str">
            <v>Comprimido</v>
          </cell>
          <cell r="G550" t="str">
            <v>0,3 mg + 0,03 mg ó 0,5 mg + 0,05 mg</v>
          </cell>
          <cell r="H550" t="str">
            <v>G03FB01</v>
          </cell>
          <cell r="I550"/>
          <cell r="J550">
            <v>6.32</v>
          </cell>
          <cell r="K550"/>
        </row>
        <row r="551">
          <cell r="D551" t="str">
            <v>J-01-53</v>
          </cell>
          <cell r="E551" t="str">
            <v>Ofloxacina</v>
          </cell>
          <cell r="F551" t="str">
            <v>Comprimido</v>
          </cell>
          <cell r="G551" t="str">
            <v>400 mg</v>
          </cell>
          <cell r="H551" t="str">
            <v>J01MA01</v>
          </cell>
          <cell r="I551" t="str">
            <v>R</v>
          </cell>
          <cell r="J551">
            <v>0.82</v>
          </cell>
          <cell r="K551"/>
        </row>
        <row r="552">
          <cell r="D552" t="str">
            <v>J-01-59</v>
          </cell>
          <cell r="E552" t="str">
            <v>Ofloxacina</v>
          </cell>
          <cell r="F552" t="str">
            <v>Comprimido</v>
          </cell>
          <cell r="G552" t="str">
            <v>200 mg</v>
          </cell>
          <cell r="H552" t="str">
            <v>J01MA01</v>
          </cell>
          <cell r="I552" t="str">
            <v>R</v>
          </cell>
          <cell r="J552">
            <v>0.71</v>
          </cell>
          <cell r="K552"/>
        </row>
        <row r="553">
          <cell r="D553" t="str">
            <v>B-05-11</v>
          </cell>
          <cell r="E553" t="str">
            <v>Oligoelementos para nutricion parenteral</v>
          </cell>
          <cell r="F553" t="str">
            <v>Solución parenteral de gran volúmen</v>
          </cell>
          <cell r="G553" t="str">
            <v>Según disponibilidad</v>
          </cell>
          <cell r="H553" t="str">
            <v>B05BA10</v>
          </cell>
          <cell r="I553"/>
          <cell r="J553">
            <v>45.83</v>
          </cell>
          <cell r="K553"/>
        </row>
        <row r="554">
          <cell r="D554" t="str">
            <v>A-02-02</v>
          </cell>
          <cell r="E554" t="str">
            <v>Omeprazol</v>
          </cell>
          <cell r="F554" t="str">
            <v>Cápsula</v>
          </cell>
          <cell r="G554" t="str">
            <v>20 mg</v>
          </cell>
          <cell r="H554" t="str">
            <v>A02BC01</v>
          </cell>
          <cell r="I554"/>
          <cell r="J554">
            <v>0.56999999999999995</v>
          </cell>
          <cell r="K554"/>
        </row>
        <row r="555">
          <cell r="D555" t="str">
            <v>A-02-05</v>
          </cell>
          <cell r="E555" t="str">
            <v>Omeprazol</v>
          </cell>
          <cell r="F555" t="str">
            <v>Inyectable</v>
          </cell>
          <cell r="G555" t="str">
            <v>40 mg/ml</v>
          </cell>
          <cell r="H555" t="str">
            <v>A02BC01</v>
          </cell>
          <cell r="I555"/>
          <cell r="J555">
            <v>14.006008852258899</v>
          </cell>
          <cell r="K555" t="str">
            <v>10 ML</v>
          </cell>
        </row>
        <row r="556">
          <cell r="D556" t="str">
            <v>A-04-01</v>
          </cell>
          <cell r="E556" t="str">
            <v>Ondansetrón</v>
          </cell>
          <cell r="F556" t="str">
            <v>Inyectable</v>
          </cell>
          <cell r="G556" t="str">
            <v>8 mg</v>
          </cell>
          <cell r="H556" t="str">
            <v>A04AA01</v>
          </cell>
          <cell r="I556"/>
          <cell r="J556">
            <v>15.609059829059801</v>
          </cell>
          <cell r="K556"/>
        </row>
        <row r="557">
          <cell r="D557" t="str">
            <v>A-04-02</v>
          </cell>
          <cell r="E557" t="str">
            <v>Ondansetrón</v>
          </cell>
          <cell r="F557" t="str">
            <v>Comprimido</v>
          </cell>
          <cell r="G557" t="str">
            <v>8 mg</v>
          </cell>
          <cell r="H557" t="str">
            <v>A04AA01</v>
          </cell>
          <cell r="I557"/>
          <cell r="J557">
            <v>9.74</v>
          </cell>
          <cell r="K557"/>
        </row>
        <row r="558">
          <cell r="D558" t="str">
            <v>J-05-36</v>
          </cell>
          <cell r="E558" t="str">
            <v>Oseltamivir</v>
          </cell>
          <cell r="F558" t="str">
            <v>Cápsula</v>
          </cell>
          <cell r="G558" t="str">
            <v>75 mg</v>
          </cell>
          <cell r="H558" t="str">
            <v>J05AH02</v>
          </cell>
          <cell r="I558" t="str">
            <v>R</v>
          </cell>
          <cell r="J558">
            <v>23.75</v>
          </cell>
          <cell r="K558"/>
        </row>
        <row r="559">
          <cell r="D559" t="str">
            <v>J-05-47</v>
          </cell>
          <cell r="E559" t="str">
            <v>Oseltamivir</v>
          </cell>
          <cell r="F559" t="str">
            <v>Suspensión</v>
          </cell>
          <cell r="G559" t="str">
            <v>30 mg/5 ml</v>
          </cell>
          <cell r="H559" t="str">
            <v>J05AH02</v>
          </cell>
          <cell r="I559" t="str">
            <v>R</v>
          </cell>
          <cell r="J559">
            <v>22.55</v>
          </cell>
          <cell r="K559"/>
        </row>
        <row r="560">
          <cell r="D560" t="str">
            <v>J-05-48</v>
          </cell>
          <cell r="E560" t="str">
            <v>Oseltamivir</v>
          </cell>
          <cell r="F560" t="str">
            <v>Suspensión</v>
          </cell>
          <cell r="G560" t="str">
            <v>12 mg/ml</v>
          </cell>
          <cell r="H560" t="str">
            <v>J05AH02</v>
          </cell>
          <cell r="I560" t="str">
            <v>R</v>
          </cell>
          <cell r="J560">
            <v>13.53</v>
          </cell>
          <cell r="K560"/>
        </row>
        <row r="561">
          <cell r="D561" t="str">
            <v>L-01-34</v>
          </cell>
          <cell r="E561" t="str">
            <v>Oxaliplatino</v>
          </cell>
          <cell r="F561" t="str">
            <v>Inyectable</v>
          </cell>
          <cell r="G561" t="str">
            <v>50 mg</v>
          </cell>
          <cell r="H561" t="str">
            <v>L01XA03</v>
          </cell>
          <cell r="I561"/>
          <cell r="J561">
            <v>211.69499999999999</v>
          </cell>
          <cell r="K561"/>
        </row>
        <row r="562">
          <cell r="D562" t="str">
            <v>L-01-35</v>
          </cell>
          <cell r="E562" t="str">
            <v>Oxaliplatino</v>
          </cell>
          <cell r="F562" t="str">
            <v>Inyectable</v>
          </cell>
          <cell r="G562" t="str">
            <v>100 mg</v>
          </cell>
          <cell r="H562" t="str">
            <v>L01XA03</v>
          </cell>
          <cell r="I562"/>
          <cell r="J562">
            <v>301.71749999999997</v>
          </cell>
          <cell r="K562"/>
        </row>
        <row r="563">
          <cell r="D563" t="str">
            <v>D-02-02</v>
          </cell>
          <cell r="E563" t="str">
            <v>Oxido de Zinc con o sin aceite</v>
          </cell>
          <cell r="F563" t="str">
            <v>Pasta o Pomada</v>
          </cell>
          <cell r="G563" t="str">
            <v>Según disponibilidad</v>
          </cell>
          <cell r="H563" t="str">
            <v>D02AB**</v>
          </cell>
          <cell r="I563"/>
          <cell r="J563">
            <v>16.25</v>
          </cell>
          <cell r="K563" t="str">
            <v>30 G</v>
          </cell>
        </row>
        <row r="564">
          <cell r="D564" t="str">
            <v>V-03-10</v>
          </cell>
          <cell r="E564" t="str">
            <v>Oxígeno</v>
          </cell>
          <cell r="F564" t="str">
            <v>Gas</v>
          </cell>
          <cell r="G564" t="str">
            <v>93% - 99%</v>
          </cell>
          <cell r="H564" t="str">
            <v>V03AN01</v>
          </cell>
          <cell r="I564"/>
          <cell r="J564">
            <v>18</v>
          </cell>
          <cell r="K564" t="str">
            <v>m3</v>
          </cell>
        </row>
        <row r="565">
          <cell r="D565" t="str">
            <v>G-02-09</v>
          </cell>
          <cell r="E565" t="str">
            <v xml:space="preserve">Oxitocina </v>
          </cell>
          <cell r="F565" t="str">
            <v>Inyectable</v>
          </cell>
          <cell r="G565" t="str">
            <v>5 UI/ml o 10 UI/ml</v>
          </cell>
          <cell r="H565" t="str">
            <v>G02AX**</v>
          </cell>
          <cell r="I565"/>
          <cell r="J565">
            <v>2.67</v>
          </cell>
          <cell r="K565" t="str">
            <v>10 UI/ML</v>
          </cell>
        </row>
        <row r="566">
          <cell r="D566" t="str">
            <v>L-01-60</v>
          </cell>
          <cell r="E566" t="str">
            <v xml:space="preserve">Paclitaxel </v>
          </cell>
          <cell r="F566" t="str">
            <v>Inyectable</v>
          </cell>
          <cell r="G566" t="str">
            <v xml:space="preserve">300 mg/50 ml
</v>
          </cell>
          <cell r="H566" t="str">
            <v>L01CD01</v>
          </cell>
          <cell r="I566" t="str">
            <v>R</v>
          </cell>
          <cell r="J566">
            <v>621</v>
          </cell>
          <cell r="K566"/>
        </row>
        <row r="567">
          <cell r="D567" t="str">
            <v>N-02-08</v>
          </cell>
          <cell r="E567" t="str">
            <v>Paracetamol (Acetaminofeno)</v>
          </cell>
          <cell r="F567" t="str">
            <v>Comprimido</v>
          </cell>
          <cell r="G567" t="str">
            <v>500 mg</v>
          </cell>
          <cell r="H567" t="str">
            <v>N02BE01</v>
          </cell>
          <cell r="I567"/>
          <cell r="J567">
            <v>0.21</v>
          </cell>
          <cell r="K567"/>
        </row>
        <row r="568">
          <cell r="D568" t="str">
            <v>N-02-09</v>
          </cell>
          <cell r="E568" t="str">
            <v>Paracetamol (Acetaminofeno)</v>
          </cell>
          <cell r="F568" t="str">
            <v>Jarabe</v>
          </cell>
          <cell r="G568" t="str">
            <v>120 mg/5 ml o 125 mg/5 ml</v>
          </cell>
          <cell r="H568" t="str">
            <v>N02BE01</v>
          </cell>
          <cell r="I568"/>
          <cell r="J568">
            <v>7.85</v>
          </cell>
          <cell r="K568"/>
        </row>
        <row r="569">
          <cell r="D569" t="str">
            <v>N-02-10</v>
          </cell>
          <cell r="E569" t="str">
            <v>Paracetamol (Acetaminofeno)</v>
          </cell>
          <cell r="F569" t="str">
            <v>Gotas</v>
          </cell>
          <cell r="G569" t="str">
            <v>100 mg/ml</v>
          </cell>
          <cell r="H569" t="str">
            <v>N02BE01</v>
          </cell>
          <cell r="I569"/>
          <cell r="J569">
            <v>5.73</v>
          </cell>
          <cell r="K569" t="str">
            <v>15 ML</v>
          </cell>
        </row>
        <row r="570">
          <cell r="D570" t="str">
            <v>N-02-11</v>
          </cell>
          <cell r="E570" t="str">
            <v>Paracetamol (Acetaminofeno)</v>
          </cell>
          <cell r="F570" t="str">
            <v>Supositorio</v>
          </cell>
          <cell r="G570" t="str">
            <v>100 mg</v>
          </cell>
          <cell r="H570" t="str">
            <v>N02BE01</v>
          </cell>
          <cell r="I570"/>
          <cell r="J570">
            <v>1.76</v>
          </cell>
          <cell r="K570"/>
        </row>
        <row r="571">
          <cell r="D571" t="str">
            <v>N-02-12</v>
          </cell>
          <cell r="E571" t="str">
            <v>Paracetamol (Acetaminofeno)</v>
          </cell>
          <cell r="F571" t="str">
            <v>Comprimido</v>
          </cell>
          <cell r="G571" t="str">
            <v>100 mg</v>
          </cell>
          <cell r="H571" t="str">
            <v>N02BE01</v>
          </cell>
          <cell r="I571"/>
          <cell r="J571">
            <v>0.147068965517241</v>
          </cell>
          <cell r="K571"/>
        </row>
        <row r="572">
          <cell r="D572" t="str">
            <v>N-02-18</v>
          </cell>
          <cell r="E572" t="str">
            <v>Paracetamol (Acetaminofeno)</v>
          </cell>
          <cell r="F572" t="str">
            <v>Inyectable</v>
          </cell>
          <cell r="G572" t="str">
            <v>1 gr</v>
          </cell>
          <cell r="H572" t="str">
            <v>N02BE01</v>
          </cell>
          <cell r="I572"/>
          <cell r="J572">
            <v>58</v>
          </cell>
          <cell r="K572" t="str">
            <v>1000MG/100ML</v>
          </cell>
        </row>
        <row r="573">
          <cell r="D573" t="str">
            <v>L-01-57</v>
          </cell>
          <cell r="E573" t="str">
            <v>Pazopanib</v>
          </cell>
          <cell r="F573" t="str">
            <v>Comprimido</v>
          </cell>
          <cell r="G573" t="str">
            <v>200 mg</v>
          </cell>
          <cell r="H573" t="str">
            <v>L01XE11</v>
          </cell>
          <cell r="I573" t="str">
            <v>R</v>
          </cell>
          <cell r="J573">
            <v>278.83</v>
          </cell>
          <cell r="K573"/>
        </row>
        <row r="574">
          <cell r="D574" t="str">
            <v>L-01-61</v>
          </cell>
          <cell r="E574" t="str">
            <v>Pegaspargasa</v>
          </cell>
          <cell r="F574" t="str">
            <v>Plegable Frasco Vial</v>
          </cell>
          <cell r="G574" t="str">
            <v xml:space="preserve">750 mg/ml </v>
          </cell>
          <cell r="H574" t="str">
            <v>L01XX24</v>
          </cell>
          <cell r="I574" t="str">
            <v>R</v>
          </cell>
          <cell r="J574">
            <v>7350</v>
          </cell>
          <cell r="K574"/>
        </row>
        <row r="575">
          <cell r="D575" t="str">
            <v>M-01-08</v>
          </cell>
          <cell r="E575" t="str">
            <v>Penicilamina</v>
          </cell>
          <cell r="F575" t="str">
            <v>Comprimido</v>
          </cell>
          <cell r="G575" t="str">
            <v>250 mg</v>
          </cell>
          <cell r="H575" t="str">
            <v>M01CC01</v>
          </cell>
          <cell r="I575"/>
          <cell r="J575">
            <v>13.04</v>
          </cell>
          <cell r="K575"/>
        </row>
        <row r="576">
          <cell r="D576" t="str">
            <v>P-01-12</v>
          </cell>
          <cell r="E576" t="str">
            <v>Pentamidina</v>
          </cell>
          <cell r="F576" t="str">
            <v>Inyectable</v>
          </cell>
          <cell r="G576" t="str">
            <v>200 mg</v>
          </cell>
          <cell r="H576" t="str">
            <v>P01CX01</v>
          </cell>
          <cell r="I576"/>
          <cell r="J576">
            <v>503.59</v>
          </cell>
          <cell r="K576"/>
        </row>
        <row r="577">
          <cell r="D577" t="str">
            <v>P-01-13</v>
          </cell>
          <cell r="E577" t="str">
            <v>Pentamidina</v>
          </cell>
          <cell r="F577" t="str">
            <v>Inyectable</v>
          </cell>
          <cell r="G577" t="str">
            <v>300 mg</v>
          </cell>
          <cell r="H577" t="str">
            <v>P01CX01</v>
          </cell>
          <cell r="I577"/>
          <cell r="J577">
            <v>816.69</v>
          </cell>
          <cell r="K577"/>
        </row>
        <row r="578">
          <cell r="D578" t="str">
            <v>V-03-11</v>
          </cell>
          <cell r="E578" t="str">
            <v>Permanganato de potasio</v>
          </cell>
          <cell r="F578" t="str">
            <v>Solución acuosa</v>
          </cell>
          <cell r="G578" t="str">
            <v>1:10.000</v>
          </cell>
          <cell r="H578" t="str">
            <v>V03AB18</v>
          </cell>
          <cell r="I578"/>
          <cell r="J578">
            <v>6.01</v>
          </cell>
          <cell r="K578"/>
        </row>
        <row r="579">
          <cell r="D579" t="str">
            <v>P-03-02</v>
          </cell>
          <cell r="E579" t="str">
            <v>Permetrina</v>
          </cell>
          <cell r="F579" t="str">
            <v>Loción</v>
          </cell>
          <cell r="G579">
            <v>0.01</v>
          </cell>
          <cell r="H579" t="str">
            <v>P03AC04</v>
          </cell>
          <cell r="I579"/>
          <cell r="J579">
            <v>28.43</v>
          </cell>
          <cell r="K579"/>
        </row>
        <row r="580">
          <cell r="D580" t="str">
            <v>P-03-03</v>
          </cell>
          <cell r="E580" t="str">
            <v>Permetrina</v>
          </cell>
          <cell r="F580" t="str">
            <v>Crema o Pomada</v>
          </cell>
          <cell r="G580">
            <v>0.05</v>
          </cell>
          <cell r="H580" t="str">
            <v>P03AC04</v>
          </cell>
          <cell r="I580"/>
          <cell r="J580">
            <v>61.23</v>
          </cell>
          <cell r="K580"/>
        </row>
        <row r="581">
          <cell r="D581" t="str">
            <v>D-10-02</v>
          </cell>
          <cell r="E581" t="str">
            <v>Peróxido de Benzoílo</v>
          </cell>
          <cell r="F581" t="str">
            <v>Loción</v>
          </cell>
          <cell r="G581">
            <v>0.05</v>
          </cell>
          <cell r="H581" t="str">
            <v>D10AE01</v>
          </cell>
          <cell r="I581"/>
          <cell r="J581">
            <v>85.11</v>
          </cell>
          <cell r="K581"/>
        </row>
        <row r="582">
          <cell r="D582" t="str">
            <v>D-10-03</v>
          </cell>
          <cell r="E582" t="str">
            <v>Peróxido de Benzoílo</v>
          </cell>
          <cell r="F582" t="str">
            <v>Crema, Pomada o Gel</v>
          </cell>
          <cell r="G582">
            <v>0.05</v>
          </cell>
          <cell r="H582" t="str">
            <v>D10AE01</v>
          </cell>
          <cell r="I582"/>
          <cell r="J582">
            <v>64.8</v>
          </cell>
          <cell r="K582" t="str">
            <v>90 G</v>
          </cell>
        </row>
        <row r="583">
          <cell r="D583" t="str">
            <v>D-08-10</v>
          </cell>
          <cell r="E583" t="str">
            <v>Peróxido de hidrógeno (Agua oxigenada)</v>
          </cell>
          <cell r="F583" t="str">
            <v>Solución</v>
          </cell>
          <cell r="G583" t="str">
            <v>2% o 3%</v>
          </cell>
          <cell r="H583" t="str">
            <v>D08AX01</v>
          </cell>
          <cell r="I583"/>
          <cell r="J583">
            <v>13.28</v>
          </cell>
          <cell r="K583" t="str">
            <v>1 L</v>
          </cell>
        </row>
        <row r="584">
          <cell r="D584" t="str">
            <v>L-01-58</v>
          </cell>
          <cell r="E584" t="str">
            <v>Pertuzumab</v>
          </cell>
          <cell r="F584" t="str">
            <v>Inyectable</v>
          </cell>
          <cell r="G584" t="str">
            <v>420 mg/14 ml</v>
          </cell>
          <cell r="H584" t="str">
            <v>L01XC13</v>
          </cell>
          <cell r="I584" t="str">
            <v>R</v>
          </cell>
          <cell r="J584">
            <v>18792</v>
          </cell>
          <cell r="K584"/>
        </row>
        <row r="585">
          <cell r="D585" t="str">
            <v>N-02-13</v>
          </cell>
          <cell r="E585" t="str">
            <v>Petidina (Meperidina)</v>
          </cell>
          <cell r="F585" t="str">
            <v>Inyectable</v>
          </cell>
          <cell r="G585" t="str">
            <v>100 mg</v>
          </cell>
          <cell r="H585" t="str">
            <v>N02AB02</v>
          </cell>
          <cell r="I585"/>
          <cell r="J585">
            <v>50.31</v>
          </cell>
          <cell r="K585" t="str">
            <v>2 ML</v>
          </cell>
        </row>
        <row r="586">
          <cell r="D586" t="str">
            <v>J-01-75</v>
          </cell>
          <cell r="E586" t="str">
            <v>Piperacilina + Tazobactam</v>
          </cell>
          <cell r="F586" t="str">
            <v xml:space="preserve">Inyectable </v>
          </cell>
          <cell r="G586" t="str">
            <v>4 g/500 mg</v>
          </cell>
          <cell r="H586" t="str">
            <v>J01CR05</v>
          </cell>
          <cell r="I586" t="str">
            <v>R</v>
          </cell>
          <cell r="J586">
            <v>108</v>
          </cell>
          <cell r="K586"/>
        </row>
        <row r="587">
          <cell r="D587" t="str">
            <v>P-02-07</v>
          </cell>
          <cell r="E587" t="str">
            <v>Pirantel pamoato</v>
          </cell>
          <cell r="F587" t="str">
            <v>Comprimido</v>
          </cell>
          <cell r="G587" t="str">
            <v>250 mg</v>
          </cell>
          <cell r="H587" t="str">
            <v>P02CC01</v>
          </cell>
          <cell r="I587"/>
          <cell r="J587">
            <v>2.16</v>
          </cell>
          <cell r="K587"/>
        </row>
        <row r="588">
          <cell r="D588" t="str">
            <v>P-02-08</v>
          </cell>
          <cell r="E588" t="str">
            <v>Pirantel pamoato</v>
          </cell>
          <cell r="F588" t="str">
            <v>Suspensión</v>
          </cell>
          <cell r="G588" t="str">
            <v>250 mg/5 ml</v>
          </cell>
          <cell r="H588" t="str">
            <v>P02CC01</v>
          </cell>
          <cell r="I588"/>
          <cell r="J588">
            <v>15.09</v>
          </cell>
          <cell r="K588" t="str">
            <v>15 ML</v>
          </cell>
        </row>
        <row r="589">
          <cell r="D589" t="str">
            <v>J-04-08</v>
          </cell>
          <cell r="E589" t="str">
            <v>Pirazinamida</v>
          </cell>
          <cell r="F589" t="str">
            <v>Comprimido</v>
          </cell>
          <cell r="G589" t="str">
            <v>500 mg</v>
          </cell>
          <cell r="H589" t="str">
            <v>J04AK01</v>
          </cell>
          <cell r="I589" t="str">
            <v>R</v>
          </cell>
          <cell r="J589">
            <v>0.292381</v>
          </cell>
          <cell r="K589"/>
        </row>
        <row r="590">
          <cell r="D590" t="str">
            <v>N-07-06</v>
          </cell>
          <cell r="E590" t="str">
            <v>Piridostigmina</v>
          </cell>
          <cell r="F590" t="str">
            <v>Comprimido</v>
          </cell>
          <cell r="G590" t="str">
            <v>60 mg</v>
          </cell>
          <cell r="H590" t="str">
            <v>N07AA02</v>
          </cell>
          <cell r="I590"/>
          <cell r="J590">
            <v>2.54</v>
          </cell>
          <cell r="K590"/>
        </row>
        <row r="591">
          <cell r="D591" t="str">
            <v>A-11-11</v>
          </cell>
          <cell r="E591" t="str">
            <v>Piridoxina clorhidrato (Vitamina B6)</v>
          </cell>
          <cell r="F591" t="str">
            <v>Comprimido</v>
          </cell>
          <cell r="G591" t="str">
            <v>300 mg</v>
          </cell>
          <cell r="H591" t="str">
            <v>A11HA02</v>
          </cell>
          <cell r="I591"/>
          <cell r="J591">
            <v>2.2999999999999998</v>
          </cell>
          <cell r="K591"/>
        </row>
        <row r="592">
          <cell r="D592" t="str">
            <v>A-11-12</v>
          </cell>
          <cell r="E592" t="str">
            <v>Piridoxina clorhidrato (Vitamina B6)</v>
          </cell>
          <cell r="F592" t="str">
            <v>Inyectable</v>
          </cell>
          <cell r="G592" t="str">
            <v>300 mg</v>
          </cell>
          <cell r="H592" t="str">
            <v>A11HA02</v>
          </cell>
          <cell r="I592"/>
          <cell r="J592">
            <v>5.0999999999999996</v>
          </cell>
          <cell r="K592"/>
        </row>
        <row r="593">
          <cell r="D593" t="str">
            <v>P-01-14</v>
          </cell>
          <cell r="E593" t="str">
            <v>Pirimetamina</v>
          </cell>
          <cell r="F593" t="str">
            <v>Comprimido</v>
          </cell>
          <cell r="G593" t="str">
            <v>25 mg</v>
          </cell>
          <cell r="H593" t="str">
            <v>P01BD01</v>
          </cell>
          <cell r="I593"/>
          <cell r="J593">
            <v>0.21</v>
          </cell>
          <cell r="K593"/>
        </row>
        <row r="594">
          <cell r="D594" t="str">
            <v>V-03-12</v>
          </cell>
          <cell r="E594" t="str">
            <v>Pralidoxima</v>
          </cell>
          <cell r="F594" t="str">
            <v>Inyectable</v>
          </cell>
          <cell r="G594" t="str">
            <v>1 g</v>
          </cell>
          <cell r="H594" t="str">
            <v>V03AB04</v>
          </cell>
          <cell r="I594"/>
          <cell r="J594">
            <v>2378.02</v>
          </cell>
          <cell r="K594"/>
        </row>
        <row r="595">
          <cell r="D595" t="str">
            <v>P-02-09</v>
          </cell>
          <cell r="E595" t="str">
            <v>Prazicuantel</v>
          </cell>
          <cell r="F595" t="str">
            <v>Comprimido</v>
          </cell>
          <cell r="G595" t="str">
            <v>600 mg</v>
          </cell>
          <cell r="H595" t="str">
            <v>P02BA01</v>
          </cell>
          <cell r="I595"/>
          <cell r="J595">
            <v>3.6</v>
          </cell>
          <cell r="K595"/>
        </row>
        <row r="596">
          <cell r="D596" t="str">
            <v>H-02-08</v>
          </cell>
          <cell r="E596" t="str">
            <v>Prednisona</v>
          </cell>
          <cell r="F596" t="str">
            <v>Comprimido</v>
          </cell>
          <cell r="G596" t="str">
            <v>5 mg</v>
          </cell>
          <cell r="H596" t="str">
            <v>H02AB07</v>
          </cell>
          <cell r="I596"/>
          <cell r="J596">
            <v>0.34</v>
          </cell>
          <cell r="K596"/>
        </row>
        <row r="597">
          <cell r="D597" t="str">
            <v>H-02-09</v>
          </cell>
          <cell r="E597" t="str">
            <v>Prednisona</v>
          </cell>
          <cell r="F597" t="str">
            <v>Comprimido ranurado</v>
          </cell>
          <cell r="G597" t="str">
            <v>20 mg</v>
          </cell>
          <cell r="H597" t="str">
            <v>H02AB07</v>
          </cell>
          <cell r="I597"/>
          <cell r="J597">
            <v>0.92</v>
          </cell>
          <cell r="K597"/>
        </row>
        <row r="598">
          <cell r="D598" t="str">
            <v>H-02-10</v>
          </cell>
          <cell r="E598" t="str">
            <v>Prednisona</v>
          </cell>
          <cell r="F598" t="str">
            <v>Suspensión</v>
          </cell>
          <cell r="G598" t="str">
            <v>1 mg/ml</v>
          </cell>
          <cell r="H598" t="str">
            <v>H02AB07</v>
          </cell>
          <cell r="I598"/>
          <cell r="J598">
            <v>53.71</v>
          </cell>
          <cell r="K598" t="str">
            <v>100 ML</v>
          </cell>
        </row>
        <row r="599">
          <cell r="D599" t="str">
            <v>N-03-19</v>
          </cell>
          <cell r="E599" t="str">
            <v>Pregabalina</v>
          </cell>
          <cell r="F599" t="str">
            <v>Comprimido o Cápsula</v>
          </cell>
          <cell r="G599" t="str">
            <v>50 mg</v>
          </cell>
          <cell r="H599" t="str">
            <v>N03AX16</v>
          </cell>
          <cell r="I599" t="str">
            <v>R</v>
          </cell>
          <cell r="J599">
            <v>6.54</v>
          </cell>
          <cell r="K599"/>
        </row>
        <row r="600">
          <cell r="D600" t="str">
            <v>N-03-20</v>
          </cell>
          <cell r="E600" t="str">
            <v>Pregabalina</v>
          </cell>
          <cell r="F600" t="str">
            <v>Comprimido o Cápsula</v>
          </cell>
          <cell r="G600" t="str">
            <v>75 mg</v>
          </cell>
          <cell r="H600" t="str">
            <v>N03AX16</v>
          </cell>
          <cell r="I600" t="str">
            <v>R</v>
          </cell>
          <cell r="J600">
            <v>6.68</v>
          </cell>
          <cell r="K600"/>
        </row>
        <row r="601">
          <cell r="D601" t="str">
            <v>N-03-21</v>
          </cell>
          <cell r="E601" t="str">
            <v>Pregabalina</v>
          </cell>
          <cell r="F601" t="str">
            <v>Comprimido o Cápsula</v>
          </cell>
          <cell r="G601" t="str">
            <v>150 mg</v>
          </cell>
          <cell r="H601" t="str">
            <v>N03AX16</v>
          </cell>
          <cell r="I601" t="str">
            <v>R</v>
          </cell>
          <cell r="J601">
            <v>14.08</v>
          </cell>
          <cell r="K601"/>
        </row>
        <row r="602">
          <cell r="D602" t="str">
            <v>P-01-15</v>
          </cell>
          <cell r="E602" t="str">
            <v>Primaquina (base)</v>
          </cell>
          <cell r="F602" t="str">
            <v>Comprimido</v>
          </cell>
          <cell r="G602" t="str">
            <v>15 mg</v>
          </cell>
          <cell r="H602" t="str">
            <v>P01BA03</v>
          </cell>
          <cell r="I602"/>
          <cell r="J602">
            <v>0.16402600000000001</v>
          </cell>
          <cell r="K602"/>
        </row>
        <row r="603">
          <cell r="D603" t="str">
            <v>P-01-16</v>
          </cell>
          <cell r="E603" t="str">
            <v>Primaquina (base)</v>
          </cell>
          <cell r="F603" t="str">
            <v>Suspensión</v>
          </cell>
          <cell r="G603" t="str">
            <v>15 mg/5 ml</v>
          </cell>
          <cell r="H603" t="str">
            <v>P01BA03</v>
          </cell>
          <cell r="I603"/>
          <cell r="J603">
            <v>31.59</v>
          </cell>
          <cell r="K603"/>
        </row>
        <row r="604">
          <cell r="D604" t="str">
            <v>P-01-20</v>
          </cell>
          <cell r="E604" t="str">
            <v>Primaquina (base)</v>
          </cell>
          <cell r="F604" t="str">
            <v>Comprimido</v>
          </cell>
          <cell r="G604" t="str">
            <v>5 mg</v>
          </cell>
          <cell r="H604" t="str">
            <v>P01BA03</v>
          </cell>
          <cell r="I604"/>
          <cell r="J604">
            <v>0.12</v>
          </cell>
          <cell r="K604"/>
        </row>
        <row r="605">
          <cell r="D605" t="str">
            <v>G-03-22</v>
          </cell>
          <cell r="E605" t="str">
            <v xml:space="preserve">Progesterona </v>
          </cell>
          <cell r="F605" t="str">
            <v>Cápsula</v>
          </cell>
          <cell r="G605" t="str">
            <v>200 mg</v>
          </cell>
          <cell r="H605" t="str">
            <v>G03DA04</v>
          </cell>
          <cell r="I605"/>
          <cell r="J605">
            <v>6.75</v>
          </cell>
          <cell r="K605"/>
        </row>
        <row r="606">
          <cell r="D606" t="str">
            <v>H-03-02</v>
          </cell>
          <cell r="E606" t="str">
            <v>Propiltiouracilo</v>
          </cell>
          <cell r="F606" t="str">
            <v>Comprimido</v>
          </cell>
          <cell r="G606" t="str">
            <v>50 mg</v>
          </cell>
          <cell r="H606" t="str">
            <v>H03BA02</v>
          </cell>
          <cell r="I606"/>
          <cell r="J606">
            <v>1.2250000000000001</v>
          </cell>
          <cell r="K606"/>
        </row>
        <row r="607">
          <cell r="D607" t="str">
            <v>A-03-10</v>
          </cell>
          <cell r="E607" t="str">
            <v>Propinoxato</v>
          </cell>
          <cell r="F607" t="str">
            <v>Comprimido</v>
          </cell>
          <cell r="G607" t="str">
            <v>10 mg</v>
          </cell>
          <cell r="H607" t="str">
            <v>A03AC**</v>
          </cell>
          <cell r="I607"/>
          <cell r="J607">
            <v>1.9</v>
          </cell>
          <cell r="K607"/>
        </row>
        <row r="608">
          <cell r="D608" t="str">
            <v>A-03-11</v>
          </cell>
          <cell r="E608" t="str">
            <v>Propinoxato</v>
          </cell>
          <cell r="F608" t="str">
            <v>Inyectable</v>
          </cell>
          <cell r="G608" t="str">
            <v>5 mg/ml</v>
          </cell>
          <cell r="H608" t="str">
            <v>A03AC**</v>
          </cell>
          <cell r="I608"/>
          <cell r="J608">
            <v>8.59</v>
          </cell>
          <cell r="K608" t="str">
            <v>2 ML</v>
          </cell>
        </row>
        <row r="609">
          <cell r="D609" t="str">
            <v>N-01-13</v>
          </cell>
          <cell r="E609" t="str">
            <v>Propofol</v>
          </cell>
          <cell r="F609" t="str">
            <v>Inyectable</v>
          </cell>
          <cell r="G609" t="str">
            <v>10 mg/ml</v>
          </cell>
          <cell r="H609" t="str">
            <v>N01AX10</v>
          </cell>
          <cell r="I609"/>
          <cell r="J609">
            <v>41.008095238095201</v>
          </cell>
          <cell r="K609" t="str">
            <v>20 ML</v>
          </cell>
        </row>
        <row r="610">
          <cell r="D610" t="str">
            <v>C-07-02</v>
          </cell>
          <cell r="E610" t="str">
            <v>Propranolol</v>
          </cell>
          <cell r="F610" t="str">
            <v>Comprimido</v>
          </cell>
          <cell r="G610" t="str">
            <v>40 mg</v>
          </cell>
          <cell r="H610" t="str">
            <v>C07AA05</v>
          </cell>
          <cell r="I610"/>
          <cell r="J610">
            <v>0.33250000000000002</v>
          </cell>
          <cell r="K610"/>
        </row>
        <row r="611">
          <cell r="D611" t="str">
            <v>C-07-03</v>
          </cell>
          <cell r="E611" t="str">
            <v>Propranolol</v>
          </cell>
          <cell r="F611" t="str">
            <v>Inyectable</v>
          </cell>
          <cell r="G611" t="str">
            <v>1 mg/ml</v>
          </cell>
          <cell r="H611" t="str">
            <v>C07AA05</v>
          </cell>
          <cell r="I611"/>
          <cell r="J611">
            <v>37.659999999999997</v>
          </cell>
          <cell r="K611"/>
        </row>
        <row r="612">
          <cell r="D612" t="str">
            <v>V-03-13</v>
          </cell>
          <cell r="E612" t="str">
            <v>Protamina Sulfato</v>
          </cell>
          <cell r="F612" t="str">
            <v>Inyectable</v>
          </cell>
          <cell r="G612" t="str">
            <v>10 mg/ml</v>
          </cell>
          <cell r="H612" t="str">
            <v>V03AB14</v>
          </cell>
          <cell r="I612"/>
          <cell r="J612">
            <v>135.52000000000001</v>
          </cell>
          <cell r="K612"/>
        </row>
        <row r="613">
          <cell r="D613" t="str">
            <v>V-06-01</v>
          </cell>
          <cell r="E613" t="str">
            <v>Proteinas para alimentación enteral (alimento)</v>
          </cell>
          <cell r="F613" t="str">
            <v>Polvo</v>
          </cell>
          <cell r="G613" t="str">
            <v>Según disponibilidad</v>
          </cell>
          <cell r="H613" t="str">
            <v>V06DB**</v>
          </cell>
          <cell r="I613"/>
          <cell r="J613">
            <v>85.357916666666696</v>
          </cell>
          <cell r="K613"/>
        </row>
        <row r="614">
          <cell r="D614" t="str">
            <v>S-01-20</v>
          </cell>
          <cell r="E614" t="str">
            <v>Proximetacaina (Proparacaina)</v>
          </cell>
          <cell r="F614" t="str">
            <v>Solución oftálmica</v>
          </cell>
          <cell r="G614" t="str">
            <v>0,5%</v>
          </cell>
          <cell r="H614" t="str">
            <v>S01HA04</v>
          </cell>
          <cell r="I614"/>
          <cell r="J614">
            <v>78.944999999999993</v>
          </cell>
          <cell r="K614"/>
        </row>
        <row r="615">
          <cell r="D615" t="str">
            <v>N-05-18</v>
          </cell>
          <cell r="E615" t="str">
            <v>Quetiapina</v>
          </cell>
          <cell r="F615" t="str">
            <v>Comprimido</v>
          </cell>
          <cell r="G615" t="str">
            <v>100 mg</v>
          </cell>
          <cell r="H615" t="str">
            <v>N05AH04</v>
          </cell>
          <cell r="I615" t="str">
            <v>R</v>
          </cell>
          <cell r="J615">
            <v>9.7411111111111097</v>
          </cell>
          <cell r="K615"/>
        </row>
        <row r="616">
          <cell r="D616" t="str">
            <v>P-01-17</v>
          </cell>
          <cell r="E616" t="str">
            <v>Quinina (bisulfato o sulfato)</v>
          </cell>
          <cell r="F616" t="str">
            <v>Comprimido</v>
          </cell>
          <cell r="G616" t="str">
            <v>300 mg</v>
          </cell>
          <cell r="H616" t="str">
            <v>P01BC01</v>
          </cell>
          <cell r="I616"/>
          <cell r="J616">
            <v>0.83</v>
          </cell>
          <cell r="K616"/>
        </row>
        <row r="617">
          <cell r="D617" t="str">
            <v>P-01-18</v>
          </cell>
          <cell r="E617" t="str">
            <v>Quinina (diclorhidrato)</v>
          </cell>
          <cell r="F617" t="str">
            <v>Inyectable</v>
          </cell>
          <cell r="G617" t="str">
            <v>600 mg</v>
          </cell>
          <cell r="H617" t="str">
            <v>P01BC01</v>
          </cell>
          <cell r="I617"/>
          <cell r="J617">
            <v>27.51</v>
          </cell>
          <cell r="K617"/>
        </row>
        <row r="618">
          <cell r="D618" t="str">
            <v>J-05-37</v>
          </cell>
          <cell r="E618" t="str">
            <v>Raltegravir (potasico)</v>
          </cell>
          <cell r="F618" t="str">
            <v>Comprimido</v>
          </cell>
          <cell r="G618" t="str">
            <v>400 mg</v>
          </cell>
          <cell r="H618" t="str">
            <v>J05AX08</v>
          </cell>
          <cell r="I618" t="str">
            <v>R</v>
          </cell>
          <cell r="J618">
            <v>77.72</v>
          </cell>
          <cell r="K618"/>
        </row>
        <row r="619">
          <cell r="D619" t="str">
            <v>A-02-03</v>
          </cell>
          <cell r="E619" t="str">
            <v>Ranitidina</v>
          </cell>
          <cell r="F619" t="str">
            <v>Comprimido</v>
          </cell>
          <cell r="G619" t="str">
            <v>150 mg</v>
          </cell>
          <cell r="H619" t="str">
            <v>A02BA02</v>
          </cell>
          <cell r="I619"/>
          <cell r="J619">
            <v>0.4</v>
          </cell>
          <cell r="K619"/>
        </row>
        <row r="620">
          <cell r="D620" t="str">
            <v>A-02-04</v>
          </cell>
          <cell r="E620" t="str">
            <v>Ranitidina</v>
          </cell>
          <cell r="F620" t="str">
            <v>Inyectable</v>
          </cell>
          <cell r="G620" t="str">
            <v>50 mg</v>
          </cell>
          <cell r="H620" t="str">
            <v>A02BA02</v>
          </cell>
          <cell r="I620"/>
          <cell r="J620">
            <v>1.82</v>
          </cell>
          <cell r="K620" t="str">
            <v>5 ML</v>
          </cell>
        </row>
        <row r="621">
          <cell r="D621" t="str">
            <v>N-01-16</v>
          </cell>
          <cell r="E621" t="str">
            <v>Remifentanilo</v>
          </cell>
          <cell r="F621" t="str">
            <v>Inyectable</v>
          </cell>
          <cell r="G621" t="str">
            <v>5 mg</v>
          </cell>
          <cell r="H621" t="str">
            <v>N01AH06</v>
          </cell>
          <cell r="I621"/>
          <cell r="J621">
            <v>130.61500000000001</v>
          </cell>
          <cell r="K621"/>
        </row>
        <row r="622">
          <cell r="D622" t="str">
            <v>D-06-01</v>
          </cell>
          <cell r="E622" t="str">
            <v>Resina de Podofilo (Podofilina)</v>
          </cell>
          <cell r="F622" t="str">
            <v>Solución tópica</v>
          </cell>
          <cell r="G622" t="str">
            <v>10% o 25%</v>
          </cell>
          <cell r="H622" t="str">
            <v>D06BB04</v>
          </cell>
          <cell r="I622"/>
          <cell r="J622">
            <v>35</v>
          </cell>
          <cell r="K622" t="str">
            <v>25% 15ML</v>
          </cell>
        </row>
        <row r="623">
          <cell r="D623" t="str">
            <v>D-10-04</v>
          </cell>
          <cell r="E623" t="str">
            <v>Resorcinol</v>
          </cell>
          <cell r="F623" t="str">
            <v>Crema o Pomada</v>
          </cell>
          <cell r="G623">
            <v>0.1</v>
          </cell>
          <cell r="H623" t="str">
            <v>D10AX02</v>
          </cell>
          <cell r="I623"/>
          <cell r="J623">
            <v>22.67</v>
          </cell>
          <cell r="K623" t="str">
            <v>10 G</v>
          </cell>
        </row>
        <row r="624">
          <cell r="D624" t="str">
            <v>A-11-13</v>
          </cell>
          <cell r="E624" t="str">
            <v>Retinol (Vitamina A)</v>
          </cell>
          <cell r="F624" t="str">
            <v>Cápsula o Perla</v>
          </cell>
          <cell r="G624" t="str">
            <v>10.000 UI</v>
          </cell>
          <cell r="H624" t="str">
            <v>A11CA01</v>
          </cell>
          <cell r="I624"/>
          <cell r="J624">
            <v>0.8</v>
          </cell>
          <cell r="K624"/>
        </row>
        <row r="625">
          <cell r="D625" t="str">
            <v>A-11-14</v>
          </cell>
          <cell r="E625" t="str">
            <v>Retinol (Vitamina A)</v>
          </cell>
          <cell r="F625" t="str">
            <v>Cápsula o Perla</v>
          </cell>
          <cell r="G625" t="str">
            <v>25.000 UI</v>
          </cell>
          <cell r="H625" t="str">
            <v>A11CA01</v>
          </cell>
          <cell r="I625"/>
          <cell r="J625">
            <v>0.89</v>
          </cell>
          <cell r="K625"/>
        </row>
        <row r="626">
          <cell r="D626" t="str">
            <v>A-11-15</v>
          </cell>
          <cell r="E626" t="str">
            <v>Retinol (Vitamina A)</v>
          </cell>
          <cell r="F626" t="str">
            <v>Cápsula o Perla</v>
          </cell>
          <cell r="G626" t="str">
            <v>100.000 UI</v>
          </cell>
          <cell r="H626" t="str">
            <v>A11CA01</v>
          </cell>
          <cell r="I626"/>
          <cell r="J626">
            <v>1.4591111111111099</v>
          </cell>
          <cell r="K626"/>
        </row>
        <row r="627">
          <cell r="D627" t="str">
            <v>A-11-16</v>
          </cell>
          <cell r="E627" t="str">
            <v>Retinol (Vitamina A)</v>
          </cell>
          <cell r="F627" t="str">
            <v>Cápsula o Perla</v>
          </cell>
          <cell r="G627" t="str">
            <v>200.000 UI</v>
          </cell>
          <cell r="H627" t="str">
            <v>A11CA01</v>
          </cell>
          <cell r="I627"/>
          <cell r="J627">
            <v>1.0833333333333299</v>
          </cell>
          <cell r="K627"/>
        </row>
        <row r="628">
          <cell r="D628" t="str">
            <v>J-04-09</v>
          </cell>
          <cell r="E628" t="str">
            <v>Rifampicina</v>
          </cell>
          <cell r="F628" t="str">
            <v>Suspensión</v>
          </cell>
          <cell r="G628" t="str">
            <v>100 mg/5 ml</v>
          </cell>
          <cell r="H628" t="str">
            <v>J04AB02</v>
          </cell>
          <cell r="I628"/>
          <cell r="J628">
            <v>28.6</v>
          </cell>
          <cell r="K628"/>
        </row>
        <row r="629">
          <cell r="D629" t="str">
            <v>J-04-10</v>
          </cell>
          <cell r="E629" t="str">
            <v>Rifampicina</v>
          </cell>
          <cell r="F629" t="str">
            <v>Cápsula o Comprimido</v>
          </cell>
          <cell r="G629" t="str">
            <v>300 mg</v>
          </cell>
          <cell r="H629" t="str">
            <v>J04AB02</v>
          </cell>
          <cell r="I629"/>
          <cell r="J629">
            <v>1.7292860000000001</v>
          </cell>
          <cell r="K629"/>
        </row>
        <row r="630">
          <cell r="D630" t="str">
            <v>J-04-17</v>
          </cell>
          <cell r="E630" t="str">
            <v>Rifampicina</v>
          </cell>
          <cell r="F630" t="str">
            <v>Cápsula o Comprimido</v>
          </cell>
          <cell r="G630" t="str">
            <v>150 mg</v>
          </cell>
          <cell r="H630" t="str">
            <v>J04AB02</v>
          </cell>
          <cell r="I630" t="str">
            <v>R</v>
          </cell>
          <cell r="J630">
            <v>1.25</v>
          </cell>
          <cell r="K630"/>
        </row>
        <row r="631">
          <cell r="D631" t="str">
            <v>J-04-14</v>
          </cell>
          <cell r="E631" t="str">
            <v>Rifampicina + Isoniazida (INH)</v>
          </cell>
          <cell r="F631" t="str">
            <v>Comprimido</v>
          </cell>
          <cell r="G631" t="str">
            <v>300 mg + 150 mg</v>
          </cell>
          <cell r="H631" t="str">
            <v>J04AM02</v>
          </cell>
          <cell r="I631" t="str">
            <v>R</v>
          </cell>
          <cell r="J631">
            <v>0.24402599999999999</v>
          </cell>
          <cell r="K631"/>
        </row>
        <row r="632">
          <cell r="D632" t="str">
            <v>J-04-22</v>
          </cell>
          <cell r="E632" t="str">
            <v>Rifampicina, Clofazimina, Dapsona</v>
          </cell>
          <cell r="F632" t="str">
            <v>Comprimido</v>
          </cell>
          <cell r="G632" t="str">
            <v>300 mg + 50 mg + 50 mg</v>
          </cell>
          <cell r="H632" t="str">
            <v>104BA</v>
          </cell>
          <cell r="I632" t="str">
            <v>R</v>
          </cell>
          <cell r="J632">
            <v>13.4</v>
          </cell>
          <cell r="K632"/>
        </row>
        <row r="633">
          <cell r="D633" t="str">
            <v>J-04-23</v>
          </cell>
          <cell r="E633" t="str">
            <v>Rifampicina, Clofazimina, Dapsona</v>
          </cell>
          <cell r="F633" t="str">
            <v>Comprimido</v>
          </cell>
          <cell r="G633" t="str">
            <v>300 mg + 100 mg + 100 mg</v>
          </cell>
          <cell r="H633" t="str">
            <v>J04BA</v>
          </cell>
          <cell r="I633" t="str">
            <v>R</v>
          </cell>
          <cell r="J633">
            <v>22.22</v>
          </cell>
          <cell r="K633"/>
        </row>
        <row r="634">
          <cell r="D634" t="str">
            <v>J-04-20</v>
          </cell>
          <cell r="E634" t="str">
            <v>Rifampicina, Dapsona</v>
          </cell>
          <cell r="F634" t="str">
            <v>Comprimido</v>
          </cell>
          <cell r="G634" t="str">
            <v>300 mg + 50 mg</v>
          </cell>
          <cell r="H634" t="str">
            <v>J04BA</v>
          </cell>
          <cell r="I634" t="str">
            <v>R</v>
          </cell>
          <cell r="J634">
            <v>2</v>
          </cell>
          <cell r="K634"/>
        </row>
        <row r="635">
          <cell r="D635" t="str">
            <v>J-04-21</v>
          </cell>
          <cell r="E635" t="str">
            <v>Rifampicina, Dapsona</v>
          </cell>
          <cell r="F635" t="str">
            <v>Comprimido</v>
          </cell>
          <cell r="G635" t="str">
            <v>300 mg + 100 mg</v>
          </cell>
          <cell r="H635" t="str">
            <v>J04BA</v>
          </cell>
          <cell r="I635" t="str">
            <v>R</v>
          </cell>
          <cell r="J635">
            <v>1.99</v>
          </cell>
          <cell r="K635"/>
        </row>
        <row r="636">
          <cell r="D636" t="str">
            <v>N-05-12</v>
          </cell>
          <cell r="E636" t="str">
            <v>Risperidona</v>
          </cell>
          <cell r="F636" t="str">
            <v>Comprimido</v>
          </cell>
          <cell r="G636" t="str">
            <v>3 mg</v>
          </cell>
          <cell r="H636" t="str">
            <v>N05AX08</v>
          </cell>
          <cell r="I636"/>
          <cell r="J636">
            <v>4.45</v>
          </cell>
          <cell r="K636"/>
        </row>
        <row r="637">
          <cell r="D637" t="str">
            <v>G-02-06</v>
          </cell>
          <cell r="E637" t="str">
            <v>Ritodrina</v>
          </cell>
          <cell r="F637" t="str">
            <v>Comprimido</v>
          </cell>
          <cell r="G637" t="str">
            <v>10 mg</v>
          </cell>
          <cell r="H637" t="str">
            <v>G02CA01</v>
          </cell>
          <cell r="I637"/>
          <cell r="J637">
            <v>8.24</v>
          </cell>
          <cell r="K637"/>
        </row>
        <row r="638">
          <cell r="D638" t="str">
            <v>G-02-07</v>
          </cell>
          <cell r="E638" t="str">
            <v>Ritodrina</v>
          </cell>
          <cell r="F638" t="str">
            <v>Inyectable</v>
          </cell>
          <cell r="G638" t="str">
            <v>10 mg/ml</v>
          </cell>
          <cell r="H638" t="str">
            <v>G02CA01</v>
          </cell>
          <cell r="I638"/>
          <cell r="J638">
            <v>82.45</v>
          </cell>
          <cell r="K638"/>
        </row>
        <row r="639">
          <cell r="D639" t="str">
            <v>J-05-22</v>
          </cell>
          <cell r="E639" t="str">
            <v>Ritonavir</v>
          </cell>
          <cell r="F639" t="str">
            <v>Cápsula blanda</v>
          </cell>
          <cell r="G639" t="str">
            <v>100 mg</v>
          </cell>
          <cell r="H639" t="str">
            <v>J05AE03</v>
          </cell>
          <cell r="I639"/>
          <cell r="J639">
            <v>17.86</v>
          </cell>
          <cell r="K639"/>
        </row>
        <row r="640">
          <cell r="D640" t="str">
            <v>L-01-41</v>
          </cell>
          <cell r="E640" t="str">
            <v>Rituximab</v>
          </cell>
          <cell r="F640" t="str">
            <v>Inyectable</v>
          </cell>
          <cell r="G640" t="str">
            <v>500 mg/50 ml</v>
          </cell>
          <cell r="H640" t="str">
            <v>L01XC02</v>
          </cell>
          <cell r="I640" t="str">
            <v>R</v>
          </cell>
          <cell r="J640">
            <v>10287.700000000001</v>
          </cell>
          <cell r="K640"/>
        </row>
        <row r="641">
          <cell r="D641" t="str">
            <v>L-01-56</v>
          </cell>
          <cell r="E641" t="str">
            <v>Rituximab</v>
          </cell>
          <cell r="F641" t="str">
            <v>Inyectable</v>
          </cell>
          <cell r="G641" t="str">
            <v>100 mg/10ml</v>
          </cell>
          <cell r="H641" t="str">
            <v>L01XC02</v>
          </cell>
          <cell r="I641" t="str">
            <v>R</v>
          </cell>
          <cell r="J641">
            <v>6612.8</v>
          </cell>
          <cell r="K641"/>
        </row>
        <row r="642">
          <cell r="D642" t="str">
            <v>B-01-07</v>
          </cell>
          <cell r="E642" t="str">
            <v>Rivaroxabán</v>
          </cell>
          <cell r="F642" t="str">
            <v>Comprimido</v>
          </cell>
          <cell r="G642" t="str">
            <v>10 mg</v>
          </cell>
          <cell r="H642" t="str">
            <v>B01AX06</v>
          </cell>
          <cell r="I642" t="str">
            <v>R</v>
          </cell>
          <cell r="J642">
            <v>25.42</v>
          </cell>
          <cell r="K642"/>
        </row>
        <row r="643">
          <cell r="D643" t="str">
            <v>M-03-03</v>
          </cell>
          <cell r="E643" t="str">
            <v>Rocuronio bromuro</v>
          </cell>
          <cell r="F643" t="str">
            <v>Inyectable</v>
          </cell>
          <cell r="G643" t="str">
            <v>10 mg/ml</v>
          </cell>
          <cell r="H643" t="str">
            <v>M03AC09</v>
          </cell>
          <cell r="I643"/>
          <cell r="J643">
            <v>79.702500000000001</v>
          </cell>
          <cell r="K643"/>
        </row>
        <row r="644">
          <cell r="D644" t="str">
            <v>C-10-03</v>
          </cell>
          <cell r="E644" t="str">
            <v>Rosuvastatina</v>
          </cell>
          <cell r="F644" t="str">
            <v>Comprimido</v>
          </cell>
          <cell r="G644" t="str">
            <v>20 mg</v>
          </cell>
          <cell r="H644" t="str">
            <v>C10AA07</v>
          </cell>
          <cell r="I644"/>
          <cell r="J644">
            <v>12.02</v>
          </cell>
          <cell r="K644"/>
        </row>
        <row r="645">
          <cell r="D645" t="str">
            <v>R-03-04</v>
          </cell>
          <cell r="E645" t="str">
            <v>Salbutamol</v>
          </cell>
          <cell r="F645" t="str">
            <v>Solución para nebulización</v>
          </cell>
          <cell r="G645" t="str">
            <v>5 mg/ml</v>
          </cell>
          <cell r="H645" t="str">
            <v>R03AC02</v>
          </cell>
          <cell r="I645"/>
          <cell r="J645">
            <v>29.206666666666699</v>
          </cell>
          <cell r="K645"/>
        </row>
        <row r="646">
          <cell r="D646" t="str">
            <v>R-03-05</v>
          </cell>
          <cell r="E646" t="str">
            <v>Salbutamol</v>
          </cell>
          <cell r="F646" t="str">
            <v>Comprimido</v>
          </cell>
          <cell r="G646" t="str">
            <v>4 mg</v>
          </cell>
          <cell r="H646" t="str">
            <v>R03CC02</v>
          </cell>
          <cell r="I646"/>
          <cell r="J646">
            <v>0.48</v>
          </cell>
          <cell r="K646"/>
        </row>
        <row r="647">
          <cell r="D647" t="str">
            <v>R-03-06</v>
          </cell>
          <cell r="E647" t="str">
            <v>Salbutamol</v>
          </cell>
          <cell r="F647" t="str">
            <v>Aerosol</v>
          </cell>
          <cell r="G647" t="str">
            <v>0,1 mg/inhalación</v>
          </cell>
          <cell r="H647" t="str">
            <v>R03AC02</v>
          </cell>
          <cell r="I647"/>
          <cell r="J647">
            <v>19.687874999999998</v>
          </cell>
          <cell r="K647" t="str">
            <v>200 dósis</v>
          </cell>
        </row>
        <row r="648">
          <cell r="D648" t="str">
            <v>A-07-06</v>
          </cell>
          <cell r="E648" t="str">
            <v>Sales de rehidratación oral (SRO) baja osmolaridad</v>
          </cell>
          <cell r="F648" t="str">
            <v>Sobres</v>
          </cell>
          <cell r="G648" t="str">
            <v>Según concentración estándar</v>
          </cell>
          <cell r="H648" t="str">
            <v>A07CA**</v>
          </cell>
          <cell r="I648"/>
          <cell r="J648">
            <v>1.96</v>
          </cell>
          <cell r="K648"/>
        </row>
        <row r="649">
          <cell r="D649" t="str">
            <v>R-03-11</v>
          </cell>
          <cell r="E649" t="str">
            <v>Salmeterol + Fluticasona</v>
          </cell>
          <cell r="F649" t="str">
            <v>Aerosol</v>
          </cell>
          <cell r="G649" t="str">
            <v>25 mcg + 125 mcg</v>
          </cell>
          <cell r="H649" t="str">
            <v>R03AK06</v>
          </cell>
          <cell r="I649"/>
          <cell r="J649">
            <v>109.664444444444</v>
          </cell>
          <cell r="K649" t="str">
            <v>120 dósis</v>
          </cell>
        </row>
        <row r="650">
          <cell r="D650" t="str">
            <v>N-01-14</v>
          </cell>
          <cell r="E650" t="str">
            <v>Sevoflurano (Trifluorometil etil)</v>
          </cell>
          <cell r="F650" t="str">
            <v>Solución</v>
          </cell>
          <cell r="G650" t="str">
            <v>250 ml</v>
          </cell>
          <cell r="H650" t="str">
            <v>N01AB08</v>
          </cell>
          <cell r="I650"/>
          <cell r="J650">
            <v>1093.5925925925901</v>
          </cell>
          <cell r="K650"/>
        </row>
        <row r="651">
          <cell r="D651" t="str">
            <v>C-02-08</v>
          </cell>
          <cell r="E651" t="str">
            <v>Sildenafilo</v>
          </cell>
          <cell r="F651" t="str">
            <v>Comprimido</v>
          </cell>
          <cell r="G651" t="str">
            <v>50 mg</v>
          </cell>
          <cell r="H651" t="str">
            <v>C02KX</v>
          </cell>
          <cell r="I651"/>
          <cell r="J651">
            <v>2.82</v>
          </cell>
          <cell r="K651"/>
        </row>
        <row r="652">
          <cell r="D652" t="str">
            <v>A-03-12</v>
          </cell>
          <cell r="E652" t="str">
            <v>Simeticona</v>
          </cell>
          <cell r="F652" t="str">
            <v>Suspensión</v>
          </cell>
          <cell r="G652" t="str">
            <v>3% o 4%</v>
          </cell>
          <cell r="H652" t="str">
            <v>A03AX13</v>
          </cell>
          <cell r="I652"/>
          <cell r="J652">
            <v>22.35</v>
          </cell>
          <cell r="K652" t="str">
            <v>30ML</v>
          </cell>
        </row>
        <row r="653">
          <cell r="D653" t="str">
            <v>A-03-13</v>
          </cell>
          <cell r="E653" t="str">
            <v>Simeticona</v>
          </cell>
          <cell r="F653" t="str">
            <v>Comprimido</v>
          </cell>
          <cell r="G653" t="str">
            <v>100 mg</v>
          </cell>
          <cell r="H653" t="str">
            <v>A03AX13</v>
          </cell>
          <cell r="I653"/>
          <cell r="J653">
            <v>1.1499999999999999</v>
          </cell>
          <cell r="K653"/>
        </row>
        <row r="654">
          <cell r="D654" t="str">
            <v>J-05-41</v>
          </cell>
          <cell r="E654" t="str">
            <v>Sofosbuvir</v>
          </cell>
          <cell r="F654" t="str">
            <v>Comprimido</v>
          </cell>
          <cell r="G654" t="str">
            <v>400 mg</v>
          </cell>
          <cell r="H654" t="str">
            <v>J05AX15</v>
          </cell>
          <cell r="I654"/>
          <cell r="J654">
            <v>380.51</v>
          </cell>
          <cell r="K654"/>
        </row>
        <row r="655">
          <cell r="D655" t="str">
            <v>B-05-13</v>
          </cell>
          <cell r="E655" t="str">
            <v>Solucion Acida</v>
          </cell>
          <cell r="F655" t="str">
            <v>Solución</v>
          </cell>
          <cell r="G655" t="str">
            <v>Según disponibilidad</v>
          </cell>
          <cell r="H655" t="str">
            <v>B05Z**</v>
          </cell>
          <cell r="I655"/>
          <cell r="J655">
            <v>120.89</v>
          </cell>
          <cell r="K655" t="str">
            <v>10 L</v>
          </cell>
        </row>
        <row r="656">
          <cell r="D656" t="str">
            <v>B-05-14</v>
          </cell>
          <cell r="E656" t="str">
            <v>Solución Básica</v>
          </cell>
          <cell r="F656" t="str">
            <v>Solución</v>
          </cell>
          <cell r="G656" t="str">
            <v>Según disponibilidad</v>
          </cell>
          <cell r="H656" t="str">
            <v>B05Z**</v>
          </cell>
          <cell r="I656"/>
          <cell r="J656">
            <v>120.97</v>
          </cell>
          <cell r="K656" t="str">
            <v>10 L</v>
          </cell>
        </row>
        <row r="657">
          <cell r="D657" t="str">
            <v>B-05-15</v>
          </cell>
          <cell r="E657" t="str">
            <v>Solución de glucosa</v>
          </cell>
          <cell r="F657" t="str">
            <v>Solución parenteral de gran volumen</v>
          </cell>
          <cell r="G657" t="str">
            <v>5% (500 ml)</v>
          </cell>
          <cell r="H657" t="str">
            <v>B05CX01</v>
          </cell>
          <cell r="I657"/>
          <cell r="J657">
            <v>8.5891453030303104</v>
          </cell>
          <cell r="K657"/>
        </row>
        <row r="658">
          <cell r="D658" t="str">
            <v>B-05-16</v>
          </cell>
          <cell r="E658" t="str">
            <v>Solución de glucosa</v>
          </cell>
          <cell r="F658" t="str">
            <v>Solución parenteral de gran volumen</v>
          </cell>
          <cell r="G658" t="str">
            <v>5% (1.000 ml)</v>
          </cell>
          <cell r="H658" t="str">
            <v>B05CX01</v>
          </cell>
          <cell r="I658"/>
          <cell r="J658">
            <v>13.44</v>
          </cell>
          <cell r="K658"/>
        </row>
        <row r="659">
          <cell r="D659" t="str">
            <v>B-05-17</v>
          </cell>
          <cell r="E659" t="str">
            <v>Solución de glucosa</v>
          </cell>
          <cell r="F659" t="str">
            <v>Solución parenteral de gran volumen</v>
          </cell>
          <cell r="G659" t="str">
            <v>10% (500 ml)</v>
          </cell>
          <cell r="H659" t="str">
            <v>B05CX01</v>
          </cell>
          <cell r="I659"/>
          <cell r="J659">
            <v>8.8699999999999992</v>
          </cell>
          <cell r="K659"/>
        </row>
        <row r="660">
          <cell r="D660" t="str">
            <v>B-05-18</v>
          </cell>
          <cell r="E660" t="str">
            <v>Solución de glucosa</v>
          </cell>
          <cell r="F660" t="str">
            <v>Solución parenteral de gran volumen</v>
          </cell>
          <cell r="G660" t="str">
            <v>10% (1.000 ml)</v>
          </cell>
          <cell r="H660" t="str">
            <v>B05CX01</v>
          </cell>
          <cell r="I660"/>
          <cell r="J660">
            <v>10.400833333333299</v>
          </cell>
          <cell r="K660"/>
        </row>
        <row r="661">
          <cell r="D661" t="str">
            <v>B-05-19</v>
          </cell>
          <cell r="E661" t="str">
            <v>Solución de glucosa</v>
          </cell>
          <cell r="F661" t="str">
            <v>Solución parenteral de gran volumen</v>
          </cell>
          <cell r="G661" t="str">
            <v>50% (500 ml)</v>
          </cell>
          <cell r="H661" t="str">
            <v>B05CX01</v>
          </cell>
          <cell r="I661"/>
          <cell r="J661">
            <v>19.399999999999999</v>
          </cell>
          <cell r="K661"/>
        </row>
        <row r="662">
          <cell r="D662" t="str">
            <v>B-05-20</v>
          </cell>
          <cell r="E662" t="str">
            <v>Solución de glucosa</v>
          </cell>
          <cell r="F662" t="str">
            <v>Inyectable</v>
          </cell>
          <cell r="G662" t="str">
            <v>50% (20 ml)</v>
          </cell>
          <cell r="H662" t="str">
            <v>B05CX01</v>
          </cell>
          <cell r="I662"/>
          <cell r="J662">
            <v>6.76</v>
          </cell>
          <cell r="K662"/>
        </row>
        <row r="663">
          <cell r="D663" t="str">
            <v>B-05-36</v>
          </cell>
          <cell r="E663" t="str">
            <v xml:space="preserve">Solución de glucosa </v>
          </cell>
          <cell r="F663" t="str">
            <v>Solución parenteral</v>
          </cell>
          <cell r="G663" t="str">
            <v>10% (250 ml)</v>
          </cell>
          <cell r="H663" t="str">
            <v>B05CX01</v>
          </cell>
          <cell r="I663"/>
          <cell r="J663">
            <v>9</v>
          </cell>
          <cell r="K663"/>
        </row>
        <row r="664">
          <cell r="D664" t="str">
            <v>B-05-21</v>
          </cell>
          <cell r="E664" t="str">
            <v>Solución de Manitol</v>
          </cell>
          <cell r="F664" t="str">
            <v>Solución parenteral de gran volumen</v>
          </cell>
          <cell r="G664" t="str">
            <v>20% (500 ml)</v>
          </cell>
          <cell r="H664" t="str">
            <v>B05CX04</v>
          </cell>
          <cell r="I664"/>
          <cell r="J664">
            <v>23.9</v>
          </cell>
          <cell r="K664"/>
        </row>
        <row r="665">
          <cell r="D665" t="str">
            <v>V-07-01</v>
          </cell>
          <cell r="E665" t="str">
            <v>Solución de preservación de órganos sòlidos HTK</v>
          </cell>
          <cell r="F665" t="str">
            <v>Soluciòn</v>
          </cell>
          <cell r="G665" t="str">
            <v>Según disponibilidad</v>
          </cell>
          <cell r="H665" t="str">
            <v>V07AB</v>
          </cell>
          <cell r="I665" t="str">
            <v>R</v>
          </cell>
          <cell r="J665">
            <v>2440</v>
          </cell>
          <cell r="K665"/>
        </row>
        <row r="666">
          <cell r="D666" t="str">
            <v>B-05-22</v>
          </cell>
          <cell r="E666" t="str">
            <v>Solución Fisiológica</v>
          </cell>
          <cell r="F666" t="str">
            <v>Solución parenteral de gran volumen</v>
          </cell>
          <cell r="G666" t="str">
            <v>0,9% (500 ml)</v>
          </cell>
          <cell r="H666" t="str">
            <v>B05CB01</v>
          </cell>
          <cell r="I666"/>
          <cell r="J666">
            <v>9</v>
          </cell>
          <cell r="K666"/>
        </row>
        <row r="667">
          <cell r="D667" t="str">
            <v>B-05-23</v>
          </cell>
          <cell r="E667" t="str">
            <v>Solución Fisiológica</v>
          </cell>
          <cell r="F667" t="str">
            <v>Solución parenteral de gran volumen</v>
          </cell>
          <cell r="G667" t="str">
            <v>0,9% (1.000 ml)</v>
          </cell>
          <cell r="H667" t="str">
            <v>B05CB01</v>
          </cell>
          <cell r="I667"/>
          <cell r="J667">
            <v>10.71</v>
          </cell>
          <cell r="K667"/>
        </row>
        <row r="668">
          <cell r="D668" t="str">
            <v>B-05-34</v>
          </cell>
          <cell r="E668" t="str">
            <v>Solución Fisiológica</v>
          </cell>
          <cell r="F668" t="str">
            <v xml:space="preserve">Solución parenteral </v>
          </cell>
          <cell r="G668" t="str">
            <v>0,9% (150 ml)</v>
          </cell>
          <cell r="H668" t="str">
            <v>B05CB01</v>
          </cell>
          <cell r="I668"/>
          <cell r="J668">
            <v>7.6449999999999996</v>
          </cell>
          <cell r="K668"/>
        </row>
        <row r="669">
          <cell r="D669" t="str">
            <v>S-01-21</v>
          </cell>
          <cell r="E669" t="str">
            <v>Solución Fisiológica</v>
          </cell>
          <cell r="F669" t="str">
            <v>Solución Nasal</v>
          </cell>
          <cell r="G669" t="str">
            <v>0,9% (15 a 30 ml)</v>
          </cell>
          <cell r="H669" t="str">
            <v>S01X**</v>
          </cell>
          <cell r="I669"/>
          <cell r="J669">
            <v>17.52</v>
          </cell>
          <cell r="K669" t="str">
            <v>15 ML</v>
          </cell>
        </row>
        <row r="670">
          <cell r="D670" t="str">
            <v>B-05-37</v>
          </cell>
          <cell r="E670" t="str">
            <v>Solución Fisiológica</v>
          </cell>
          <cell r="F670" t="str">
            <v>Solución parenteral</v>
          </cell>
          <cell r="G670" t="str">
            <v>0,9% (100 ml)</v>
          </cell>
          <cell r="H670" t="str">
            <v>B05CB01</v>
          </cell>
          <cell r="I670"/>
          <cell r="J670">
            <v>7.05</v>
          </cell>
          <cell r="K670"/>
        </row>
        <row r="671">
          <cell r="D671" t="str">
            <v>B-05-24</v>
          </cell>
          <cell r="E671" t="str">
            <v>Solución glucosada clorurada</v>
          </cell>
          <cell r="F671" t="str">
            <v>Solución parenteral de gran volumen</v>
          </cell>
          <cell r="G671" t="str">
            <v>500 ml</v>
          </cell>
          <cell r="H671" t="str">
            <v>B05CB10</v>
          </cell>
          <cell r="I671"/>
          <cell r="J671">
            <v>7.0519999999999996</v>
          </cell>
          <cell r="K671"/>
        </row>
        <row r="672">
          <cell r="D672" t="str">
            <v>B-05-25</v>
          </cell>
          <cell r="E672" t="str">
            <v>Solución glucosada clorurada</v>
          </cell>
          <cell r="F672" t="str">
            <v>Solución parenteral de gran volumen</v>
          </cell>
          <cell r="G672" t="str">
            <v>1.000 ml</v>
          </cell>
          <cell r="H672" t="str">
            <v>B05CB10</v>
          </cell>
          <cell r="I672"/>
          <cell r="J672">
            <v>10.54</v>
          </cell>
          <cell r="K672" t="str">
            <v>1.000 ML</v>
          </cell>
        </row>
        <row r="673">
          <cell r="D673" t="str">
            <v>B-05-35</v>
          </cell>
          <cell r="E673" t="str">
            <v>Solucion para dialisis intraperitoneal (de acuerdo a composicion apropiada)</v>
          </cell>
          <cell r="F673" t="str">
            <v xml:space="preserve">Solución parenteral </v>
          </cell>
          <cell r="G673" t="str">
            <v>Según disponibilidad</v>
          </cell>
          <cell r="H673" t="str">
            <v>B05D**</v>
          </cell>
          <cell r="I673" t="str">
            <v>R</v>
          </cell>
          <cell r="J673">
            <v>59.5</v>
          </cell>
          <cell r="K673" t="str">
            <v>59,50 bs(2000ML); 79,90bs (6000ML)</v>
          </cell>
        </row>
        <row r="674">
          <cell r="D674" t="str">
            <v>B-05-26</v>
          </cell>
          <cell r="E674" t="str">
            <v>Solución para dialisis peritoneal I</v>
          </cell>
          <cell r="F674" t="str">
            <v>Solución parenteral de gran volumen</v>
          </cell>
          <cell r="G674" t="str">
            <v>1.000 ml</v>
          </cell>
          <cell r="H674" t="str">
            <v>B05DB**</v>
          </cell>
          <cell r="I674"/>
          <cell r="J674">
            <v>14.42</v>
          </cell>
          <cell r="K674"/>
        </row>
        <row r="675">
          <cell r="D675" t="str">
            <v>B-05-27</v>
          </cell>
          <cell r="E675" t="str">
            <v>Solución para dialisis peritoneal II</v>
          </cell>
          <cell r="F675" t="str">
            <v>Solución parenteral de gran volumen</v>
          </cell>
          <cell r="G675" t="str">
            <v>1.000 ml</v>
          </cell>
          <cell r="H675" t="str">
            <v>B05DB**</v>
          </cell>
          <cell r="I675"/>
          <cell r="J675">
            <v>18.425000000000001</v>
          </cell>
          <cell r="K675"/>
        </row>
        <row r="676">
          <cell r="D676" t="str">
            <v>B-05-29</v>
          </cell>
          <cell r="E676" t="str">
            <v>Solución ringer lactato</v>
          </cell>
          <cell r="F676" t="str">
            <v>Solución parenteral de gran volumen</v>
          </cell>
          <cell r="G676" t="str">
            <v>500 ml</v>
          </cell>
          <cell r="H676" t="str">
            <v>B05XA30</v>
          </cell>
          <cell r="I676"/>
          <cell r="J676">
            <v>8.0102597402597393</v>
          </cell>
          <cell r="K676"/>
        </row>
        <row r="677">
          <cell r="D677" t="str">
            <v>B-05-30</v>
          </cell>
          <cell r="E677" t="str">
            <v>Solución ringer lactato</v>
          </cell>
          <cell r="F677" t="str">
            <v>Solución parenteral de gran volumen</v>
          </cell>
          <cell r="G677" t="str">
            <v>1.000 ml</v>
          </cell>
          <cell r="H677" t="str">
            <v>B05XA30</v>
          </cell>
          <cell r="I677"/>
          <cell r="J677">
            <v>11</v>
          </cell>
          <cell r="K677"/>
        </row>
        <row r="678">
          <cell r="D678" t="str">
            <v>B-05-31</v>
          </cell>
          <cell r="E678" t="str">
            <v>Solución ringer normal</v>
          </cell>
          <cell r="F678" t="str">
            <v>Solución parenteral de gran volumen</v>
          </cell>
          <cell r="G678" t="str">
            <v>500 ml</v>
          </cell>
          <cell r="H678" t="str">
            <v>B05XA30</v>
          </cell>
          <cell r="I678"/>
          <cell r="J678">
            <v>8.8000000000000007</v>
          </cell>
          <cell r="K678"/>
        </row>
        <row r="679">
          <cell r="D679" t="str">
            <v>B-05-32</v>
          </cell>
          <cell r="E679" t="str">
            <v>Solución ringer normal</v>
          </cell>
          <cell r="F679" t="str">
            <v>Solución parenteral de gran volumen</v>
          </cell>
          <cell r="G679" t="str">
            <v>1.000 ml</v>
          </cell>
          <cell r="H679" t="str">
            <v>B05XA30</v>
          </cell>
          <cell r="I679"/>
          <cell r="J679">
            <v>11.8</v>
          </cell>
          <cell r="K679"/>
        </row>
        <row r="680">
          <cell r="D680" t="str">
            <v>H-01-04</v>
          </cell>
          <cell r="E680" t="str">
            <v xml:space="preserve">Somatropina </v>
          </cell>
          <cell r="F680" t="str">
            <v>Inyectable</v>
          </cell>
          <cell r="G680" t="str">
            <v>4UI (1,33 mg)</v>
          </cell>
          <cell r="H680" t="str">
            <v>H01AC01</v>
          </cell>
          <cell r="I680" t="str">
            <v>R</v>
          </cell>
          <cell r="J680" t="str">
            <v>SPR</v>
          </cell>
          <cell r="K680"/>
        </row>
        <row r="681">
          <cell r="D681" t="str">
            <v>A-02-07</v>
          </cell>
          <cell r="E681" t="str">
            <v>Sucralfato</v>
          </cell>
          <cell r="F681" t="str">
            <v>Suspensión</v>
          </cell>
          <cell r="G681" t="str">
            <v>1g/5 ml</v>
          </cell>
          <cell r="H681" t="str">
            <v>A02BX02</v>
          </cell>
          <cell r="I681"/>
          <cell r="J681">
            <v>68.3</v>
          </cell>
          <cell r="K681" t="str">
            <v>200 ML</v>
          </cell>
        </row>
        <row r="682">
          <cell r="D682" t="str">
            <v>J-06-10</v>
          </cell>
          <cell r="E682" t="str">
            <v>Suero Antiescorpionico</v>
          </cell>
          <cell r="F682" t="str">
            <v>Inyectable</v>
          </cell>
          <cell r="G682" t="str">
            <v>Según disponibilidad</v>
          </cell>
          <cell r="H682" t="str">
            <v>J06B**</v>
          </cell>
          <cell r="I682"/>
          <cell r="J682">
            <v>60</v>
          </cell>
          <cell r="K682"/>
        </row>
        <row r="683">
          <cell r="D683" t="str">
            <v>J-06-06</v>
          </cell>
          <cell r="E683" t="str">
            <v>Suero Antilatrodectus</v>
          </cell>
          <cell r="F683" t="str">
            <v>Inyectable</v>
          </cell>
          <cell r="G683" t="str">
            <v>Según disponibilidad</v>
          </cell>
          <cell r="H683" t="str">
            <v>J06****</v>
          </cell>
          <cell r="I683"/>
          <cell r="J683">
            <v>60</v>
          </cell>
          <cell r="K683"/>
        </row>
        <row r="684">
          <cell r="D684" t="str">
            <v>J-06-07</v>
          </cell>
          <cell r="E684" t="str">
            <v>Suero Antiofídico Botrópico Crotàlico</v>
          </cell>
          <cell r="F684" t="str">
            <v>Inyectable</v>
          </cell>
          <cell r="G684" t="str">
            <v>Según disponibilidad</v>
          </cell>
          <cell r="H684" t="str">
            <v>J06AA03</v>
          </cell>
          <cell r="I684"/>
          <cell r="J684">
            <v>135</v>
          </cell>
          <cell r="K684"/>
        </row>
        <row r="685">
          <cell r="D685" t="str">
            <v>J-06-08</v>
          </cell>
          <cell r="E685" t="str">
            <v>Suero Antiofídico Botrópico Laquésico</v>
          </cell>
          <cell r="F685" t="str">
            <v>Inyectable</v>
          </cell>
          <cell r="G685" t="str">
            <v>Según disponibilidad</v>
          </cell>
          <cell r="H685" t="str">
            <v>J06AA03</v>
          </cell>
          <cell r="I685"/>
          <cell r="J685">
            <v>135</v>
          </cell>
          <cell r="K685"/>
        </row>
        <row r="686">
          <cell r="D686" t="str">
            <v>J-06-09</v>
          </cell>
          <cell r="E686" t="str">
            <v>Suero Antirràbico (heterólogo)</v>
          </cell>
          <cell r="F686" t="str">
            <v>Inyectable</v>
          </cell>
          <cell r="G686" t="str">
            <v>Según disponibilidad</v>
          </cell>
          <cell r="H686" t="str">
            <v>J06AA06</v>
          </cell>
          <cell r="I686"/>
          <cell r="J686">
            <v>90</v>
          </cell>
          <cell r="K686"/>
        </row>
        <row r="687">
          <cell r="D687" t="str">
            <v>D-06-02</v>
          </cell>
          <cell r="E687" t="str">
            <v>Sulfadiazina de plata</v>
          </cell>
          <cell r="F687" t="str">
            <v>Crema o Pomada</v>
          </cell>
          <cell r="G687">
            <v>0.01</v>
          </cell>
          <cell r="H687" t="str">
            <v>D06BA01</v>
          </cell>
          <cell r="I687"/>
          <cell r="J687">
            <v>48.1</v>
          </cell>
          <cell r="K687" t="str">
            <v>60 G Bs 48.10.  500 G Bs 202</v>
          </cell>
        </row>
        <row r="688">
          <cell r="D688" t="str">
            <v>P-01-19</v>
          </cell>
          <cell r="E688" t="str">
            <v>Sulfadoxina + Pirimetamina</v>
          </cell>
          <cell r="F688" t="str">
            <v>Comprimido</v>
          </cell>
          <cell r="G688" t="str">
            <v>500 mg + 25 mg</v>
          </cell>
          <cell r="H688" t="str">
            <v>P01BD51</v>
          </cell>
          <cell r="I688"/>
          <cell r="J688">
            <v>0.32</v>
          </cell>
          <cell r="K688"/>
        </row>
        <row r="689">
          <cell r="D689" t="str">
            <v>V-08-08</v>
          </cell>
          <cell r="E689" t="str">
            <v>Sulfato de Bario</v>
          </cell>
          <cell r="F689" t="str">
            <v>Suspensión</v>
          </cell>
          <cell r="G689" t="str">
            <v>Según disponibilidad</v>
          </cell>
          <cell r="H689" t="str">
            <v>V08BA02</v>
          </cell>
          <cell r="I689"/>
          <cell r="J689">
            <v>235</v>
          </cell>
          <cell r="K689"/>
        </row>
        <row r="690">
          <cell r="D690" t="str">
            <v>V-08-09</v>
          </cell>
          <cell r="E690" t="str">
            <v>Sulfato de Bario</v>
          </cell>
          <cell r="F690" t="str">
            <v>Polvo para enema</v>
          </cell>
          <cell r="G690" t="str">
            <v>Según disponibilidad</v>
          </cell>
          <cell r="H690" t="str">
            <v>V08BA02</v>
          </cell>
          <cell r="I690"/>
          <cell r="J690">
            <v>321.5</v>
          </cell>
          <cell r="K690"/>
        </row>
        <row r="691">
          <cell r="D691" t="str">
            <v>A-06-08</v>
          </cell>
          <cell r="E691" t="str">
            <v>Sulfato de Magnesio</v>
          </cell>
          <cell r="F691" t="str">
            <v>Granulado</v>
          </cell>
          <cell r="G691" t="str">
            <v>20 g a 30 g</v>
          </cell>
          <cell r="H691" t="str">
            <v>A06AD04</v>
          </cell>
          <cell r="I691"/>
          <cell r="J691">
            <v>2.08</v>
          </cell>
          <cell r="K691" t="str">
            <v>30 G</v>
          </cell>
        </row>
        <row r="692">
          <cell r="D692" t="str">
            <v>B-05-33</v>
          </cell>
          <cell r="E692" t="str">
            <v>Sulfato de Magnesio</v>
          </cell>
          <cell r="F692" t="str">
            <v>Inyectable</v>
          </cell>
          <cell r="G692">
            <v>0.1</v>
          </cell>
          <cell r="H692" t="str">
            <v>B05XA05</v>
          </cell>
          <cell r="I692"/>
          <cell r="J692">
            <v>5.2</v>
          </cell>
          <cell r="K692" t="str">
            <v>10 ML</v>
          </cell>
        </row>
        <row r="693">
          <cell r="D693" t="str">
            <v>B-03-06</v>
          </cell>
          <cell r="E693" t="str">
            <v>Sulfato ferroso</v>
          </cell>
          <cell r="F693" t="str">
            <v>Comprimido</v>
          </cell>
          <cell r="G693" t="str">
            <v>200 mg</v>
          </cell>
          <cell r="H693" t="str">
            <v>B03AA07</v>
          </cell>
          <cell r="I693"/>
          <cell r="J693">
            <v>0.37</v>
          </cell>
          <cell r="K693"/>
        </row>
        <row r="694">
          <cell r="D694" t="str">
            <v>B-03-07</v>
          </cell>
          <cell r="E694" t="str">
            <v>Sulfato ferroso</v>
          </cell>
          <cell r="F694" t="str">
            <v>Solución oral</v>
          </cell>
          <cell r="G694" t="str">
            <v>125 mg/ml</v>
          </cell>
          <cell r="H694" t="str">
            <v>B03AA07</v>
          </cell>
          <cell r="I694"/>
          <cell r="J694">
            <v>12.86</v>
          </cell>
          <cell r="K694"/>
        </row>
        <row r="695">
          <cell r="D695" t="str">
            <v>B-03-08</v>
          </cell>
          <cell r="E695" t="str">
            <v>Sulfato ferroso + Ac. Fólico + Vitamina C</v>
          </cell>
          <cell r="F695" t="str">
            <v>Comprimido</v>
          </cell>
          <cell r="G695" t="str">
            <v>200 mg + 0,5 mg + 150 mg</v>
          </cell>
          <cell r="H695" t="str">
            <v>B03AE10</v>
          </cell>
          <cell r="I695"/>
          <cell r="J695">
            <v>0.45</v>
          </cell>
          <cell r="K695"/>
        </row>
        <row r="696">
          <cell r="D696" t="str">
            <v>B-03-09</v>
          </cell>
          <cell r="E696" t="str">
            <v>Sulfato ferroso + Ac. Fólico + Vitamina C</v>
          </cell>
          <cell r="F696" t="str">
            <v>Solución oral</v>
          </cell>
          <cell r="G696" t="str">
            <v>125 mg + 0,25 mg + 30 mg</v>
          </cell>
          <cell r="H696" t="str">
            <v>B03AE10</v>
          </cell>
          <cell r="I696"/>
          <cell r="J696">
            <v>7.35</v>
          </cell>
          <cell r="K696" t="str">
            <v>30 ML</v>
          </cell>
        </row>
        <row r="697">
          <cell r="D697" t="str">
            <v>R-07-01</v>
          </cell>
          <cell r="E697" t="str">
            <v>Surfactante pulmonar</v>
          </cell>
          <cell r="F697" t="str">
            <v>Inyectable</v>
          </cell>
          <cell r="G697" t="str">
            <v>25 a 35 mg/ml</v>
          </cell>
          <cell r="H697" t="str">
            <v>R07AA02</v>
          </cell>
          <cell r="I697"/>
          <cell r="J697">
            <v>1444.05555555556</v>
          </cell>
          <cell r="K697" t="str">
            <v>5 ML</v>
          </cell>
        </row>
        <row r="698">
          <cell r="D698" t="str">
            <v>M-03-04</v>
          </cell>
          <cell r="E698" t="str">
            <v>Suxametonio (Succinil colina)</v>
          </cell>
          <cell r="F698" t="str">
            <v>Inyectable</v>
          </cell>
          <cell r="G698" t="str">
            <v>500 mg</v>
          </cell>
          <cell r="H698" t="str">
            <v>M03AB01</v>
          </cell>
          <cell r="I698"/>
          <cell r="J698">
            <v>64.081111111111099</v>
          </cell>
          <cell r="K698"/>
        </row>
        <row r="699">
          <cell r="D699" t="str">
            <v>L-04-10</v>
          </cell>
          <cell r="E699" t="str">
            <v>Tacrolimus</v>
          </cell>
          <cell r="F699" t="str">
            <v>Cápsula</v>
          </cell>
          <cell r="G699" t="str">
            <v>1 mg</v>
          </cell>
          <cell r="H699" t="str">
            <v>L04AA05</v>
          </cell>
          <cell r="I699" t="str">
            <v>R</v>
          </cell>
          <cell r="J699">
            <v>10.0914444444444</v>
          </cell>
          <cell r="K699"/>
        </row>
        <row r="700">
          <cell r="D700" t="str">
            <v>L-04-08</v>
          </cell>
          <cell r="E700" t="str">
            <v>Talidomida</v>
          </cell>
          <cell r="F700" t="str">
            <v>Comprimido</v>
          </cell>
          <cell r="G700" t="str">
            <v>100 mg</v>
          </cell>
          <cell r="H700" t="str">
            <v>L04AX02</v>
          </cell>
          <cell r="I700" t="str">
            <v>R</v>
          </cell>
          <cell r="J700">
            <v>16.133333333333301</v>
          </cell>
          <cell r="K700"/>
        </row>
        <row r="701">
          <cell r="D701" t="str">
            <v>L-02-05</v>
          </cell>
          <cell r="E701" t="str">
            <v>Tamoxifeno</v>
          </cell>
          <cell r="F701" t="str">
            <v>Comprimido</v>
          </cell>
          <cell r="G701" t="str">
            <v>20 mg</v>
          </cell>
          <cell r="H701" t="str">
            <v>L02BA01</v>
          </cell>
          <cell r="I701"/>
          <cell r="J701">
            <v>2.9738888888888901</v>
          </cell>
          <cell r="K701"/>
        </row>
        <row r="702">
          <cell r="D702" t="str">
            <v>L-01-51</v>
          </cell>
          <cell r="E702" t="str">
            <v>Temozolomida</v>
          </cell>
          <cell r="F702" t="str">
            <v>Cápsula</v>
          </cell>
          <cell r="G702" t="str">
            <v>20 mg</v>
          </cell>
          <cell r="H702" t="str">
            <v>L01AX03</v>
          </cell>
          <cell r="I702" t="str">
            <v>R</v>
          </cell>
          <cell r="J702">
            <v>68.5</v>
          </cell>
          <cell r="K702"/>
        </row>
        <row r="703">
          <cell r="D703" t="str">
            <v>L-01-52</v>
          </cell>
          <cell r="E703" t="str">
            <v>Temozolomida</v>
          </cell>
          <cell r="F703" t="str">
            <v>Cápsula</v>
          </cell>
          <cell r="G703" t="str">
            <v>100 mg</v>
          </cell>
          <cell r="H703" t="str">
            <v>L01AX04</v>
          </cell>
          <cell r="I703" t="str">
            <v>R</v>
          </cell>
          <cell r="J703">
            <v>222.26666666666699</v>
          </cell>
          <cell r="K703"/>
        </row>
        <row r="704">
          <cell r="D704" t="str">
            <v>L-01-53</v>
          </cell>
          <cell r="E704" t="str">
            <v>Temozolomida</v>
          </cell>
          <cell r="F704" t="str">
            <v>Cápsula</v>
          </cell>
          <cell r="G704" t="str">
            <v>250 mg</v>
          </cell>
          <cell r="H704" t="str">
            <v>L01AX05</v>
          </cell>
          <cell r="I704" t="str">
            <v>R</v>
          </cell>
          <cell r="J704">
            <v>754.5</v>
          </cell>
          <cell r="K704"/>
        </row>
        <row r="705">
          <cell r="D705" t="str">
            <v>B-01-08</v>
          </cell>
          <cell r="E705" t="str">
            <v xml:space="preserve">Tenecteplasa  </v>
          </cell>
          <cell r="F705" t="str">
            <v>Polvo para Inyectable</v>
          </cell>
          <cell r="G705" t="str">
            <v>50 mg</v>
          </cell>
          <cell r="H705" t="str">
            <v>B01AD11</v>
          </cell>
          <cell r="I705" t="str">
            <v>R</v>
          </cell>
          <cell r="J705">
            <v>6626.77</v>
          </cell>
          <cell r="K705"/>
        </row>
        <row r="706">
          <cell r="D706" t="str">
            <v>J-05-28</v>
          </cell>
          <cell r="E706" t="str">
            <v>Tenofovir disoproxilo</v>
          </cell>
          <cell r="F706" t="str">
            <v>Comprimido</v>
          </cell>
          <cell r="G706" t="str">
            <v>245 mg (Equiv. a 300  mg como fumarato)</v>
          </cell>
          <cell r="H706" t="str">
            <v>J05AF07</v>
          </cell>
          <cell r="I706"/>
          <cell r="J706">
            <v>2.36</v>
          </cell>
          <cell r="K706"/>
        </row>
        <row r="707">
          <cell r="D707" t="str">
            <v>J-05-38</v>
          </cell>
          <cell r="E707" t="str">
            <v>Tenofovir disoproxilo + Efavirenz + Lamivudina</v>
          </cell>
          <cell r="F707" t="str">
            <v>Comprimido</v>
          </cell>
          <cell r="G707" t="str">
            <v xml:space="preserve">300 mg + 600 mg + 300 mg </v>
          </cell>
          <cell r="H707" t="str">
            <v>J05AR11</v>
          </cell>
          <cell r="I707"/>
          <cell r="J707">
            <v>3.15</v>
          </cell>
          <cell r="K707"/>
        </row>
        <row r="708">
          <cell r="D708" t="str">
            <v>R-03-08</v>
          </cell>
          <cell r="E708" t="str">
            <v>Teofilina</v>
          </cell>
          <cell r="F708" t="str">
            <v>Comprimido</v>
          </cell>
          <cell r="G708" t="str">
            <v>300 mg</v>
          </cell>
          <cell r="H708" t="str">
            <v>R03DA04</v>
          </cell>
          <cell r="I708"/>
          <cell r="J708">
            <v>4.3133333333333299</v>
          </cell>
          <cell r="K708"/>
        </row>
        <row r="709">
          <cell r="D709" t="str">
            <v>D-01-08</v>
          </cell>
          <cell r="E709" t="str">
            <v>Terbinafina</v>
          </cell>
          <cell r="F709" t="str">
            <v>Comprimido</v>
          </cell>
          <cell r="G709" t="str">
            <v>250 mg</v>
          </cell>
          <cell r="H709" t="str">
            <v>D01AE15</v>
          </cell>
          <cell r="I709"/>
          <cell r="J709">
            <v>12.27</v>
          </cell>
          <cell r="K709"/>
        </row>
        <row r="710">
          <cell r="D710" t="str">
            <v>H-01-03</v>
          </cell>
          <cell r="E710" t="str">
            <v>Terlipresina</v>
          </cell>
          <cell r="F710" t="str">
            <v>Inyectable</v>
          </cell>
          <cell r="G710" t="str">
            <v>1 mg</v>
          </cell>
          <cell r="H710" t="str">
            <v>H01BA04</v>
          </cell>
          <cell r="I710" t="str">
            <v>R</v>
          </cell>
          <cell r="J710">
            <v>561</v>
          </cell>
          <cell r="K710"/>
        </row>
        <row r="711">
          <cell r="D711" t="str">
            <v>G-03-18</v>
          </cell>
          <cell r="E711" t="str">
            <v>Testosterona undecanoato</v>
          </cell>
          <cell r="F711" t="str">
            <v>Inyectable</v>
          </cell>
          <cell r="G711" t="str">
            <v>1.000 mg</v>
          </cell>
          <cell r="H711" t="str">
            <v>G03BA03</v>
          </cell>
          <cell r="I711"/>
          <cell r="J711">
            <v>1220.48166666667</v>
          </cell>
          <cell r="K711"/>
        </row>
        <row r="712">
          <cell r="D712" t="str">
            <v>J-01-54</v>
          </cell>
          <cell r="E712" t="str">
            <v>Tetraciclina</v>
          </cell>
          <cell r="F712" t="str">
            <v>Cápsula o Comprimido</v>
          </cell>
          <cell r="G712" t="str">
            <v>500 mg</v>
          </cell>
          <cell r="H712" t="str">
            <v>J01AA07</v>
          </cell>
          <cell r="I712"/>
          <cell r="J712">
            <v>0.71</v>
          </cell>
          <cell r="K712"/>
        </row>
        <row r="713">
          <cell r="D713" t="str">
            <v>D-01-05</v>
          </cell>
          <cell r="E713" t="str">
            <v>Tiabendazol</v>
          </cell>
          <cell r="F713" t="str">
            <v>Crema o Pomada</v>
          </cell>
          <cell r="G713">
            <v>0.05</v>
          </cell>
          <cell r="H713" t="str">
            <v>D01AC06</v>
          </cell>
          <cell r="I713"/>
          <cell r="J713">
            <v>15.37</v>
          </cell>
          <cell r="K713" t="str">
            <v>20 G</v>
          </cell>
        </row>
        <row r="714">
          <cell r="D714" t="str">
            <v>P-02-10</v>
          </cell>
          <cell r="E714" t="str">
            <v>Tiabendazol</v>
          </cell>
          <cell r="F714" t="str">
            <v>Comprimido</v>
          </cell>
          <cell r="G714" t="str">
            <v>500 mg</v>
          </cell>
          <cell r="H714" t="str">
            <v>P02CA02</v>
          </cell>
          <cell r="I714"/>
          <cell r="J714">
            <v>2.1</v>
          </cell>
          <cell r="K714"/>
        </row>
        <row r="715">
          <cell r="D715" t="str">
            <v>P-02-11</v>
          </cell>
          <cell r="E715" t="str">
            <v>Tiabendazol</v>
          </cell>
          <cell r="F715" t="str">
            <v>Suspensión</v>
          </cell>
          <cell r="G715" t="str">
            <v>500 mg/5 ml</v>
          </cell>
          <cell r="H715" t="str">
            <v>P02CA02</v>
          </cell>
          <cell r="I715"/>
          <cell r="J715">
            <v>24</v>
          </cell>
          <cell r="K715" t="str">
            <v>30 ML</v>
          </cell>
        </row>
        <row r="716">
          <cell r="D716" t="str">
            <v>H-03-04</v>
          </cell>
          <cell r="E716" t="str">
            <v xml:space="preserve">Tiamazol (Metimazol) </v>
          </cell>
          <cell r="F716" t="str">
            <v>Comprimido</v>
          </cell>
          <cell r="G716" t="str">
            <v>20 mg</v>
          </cell>
          <cell r="H716" t="str">
            <v>H03BB02</v>
          </cell>
          <cell r="I716"/>
          <cell r="J716">
            <v>2.06</v>
          </cell>
          <cell r="K716"/>
        </row>
        <row r="717">
          <cell r="D717" t="str">
            <v>A-11-17</v>
          </cell>
          <cell r="E717" t="str">
            <v>Tiamina (Vitamina B 1)</v>
          </cell>
          <cell r="F717" t="str">
            <v>Comprimido</v>
          </cell>
          <cell r="G717" t="str">
            <v>300 mg</v>
          </cell>
          <cell r="H717" t="str">
            <v>A11DA01</v>
          </cell>
          <cell r="I717"/>
          <cell r="J717">
            <v>1.0900000000000001</v>
          </cell>
          <cell r="K717"/>
        </row>
        <row r="718">
          <cell r="D718" t="str">
            <v>A-11-18</v>
          </cell>
          <cell r="E718" t="str">
            <v>Tiamina (Vitamina B 1)</v>
          </cell>
          <cell r="F718" t="str">
            <v>Inyectable</v>
          </cell>
          <cell r="G718" t="str">
            <v>100 mg/ml</v>
          </cell>
          <cell r="H718" t="str">
            <v>A11DA01</v>
          </cell>
          <cell r="I718"/>
          <cell r="J718">
            <v>3.04</v>
          </cell>
          <cell r="K718"/>
        </row>
        <row r="719">
          <cell r="D719" t="str">
            <v>S-01-22</v>
          </cell>
          <cell r="E719" t="str">
            <v>Timolol maleato</v>
          </cell>
          <cell r="F719" t="str">
            <v>Solución oftálmica</v>
          </cell>
          <cell r="G719" t="str">
            <v>0,5%</v>
          </cell>
          <cell r="H719" t="str">
            <v>S01ED01</v>
          </cell>
          <cell r="I719"/>
          <cell r="J719">
            <v>24.31</v>
          </cell>
          <cell r="K719"/>
        </row>
        <row r="720">
          <cell r="D720" t="str">
            <v>N-01-15</v>
          </cell>
          <cell r="E720" t="str">
            <v>Tiopental sódico</v>
          </cell>
          <cell r="F720" t="str">
            <v>Inyectable</v>
          </cell>
          <cell r="G720" t="str">
            <v>1 g</v>
          </cell>
          <cell r="H720" t="str">
            <v>N01AF03</v>
          </cell>
          <cell r="I720"/>
          <cell r="J720">
            <v>36.848222222222198</v>
          </cell>
          <cell r="K720"/>
        </row>
        <row r="721">
          <cell r="D721" t="str">
            <v>N-05-13</v>
          </cell>
          <cell r="E721" t="str">
            <v>Tioridazina</v>
          </cell>
          <cell r="F721" t="str">
            <v>Suspensión</v>
          </cell>
          <cell r="G721" t="str">
            <v>100 mg/5 ml</v>
          </cell>
          <cell r="H721" t="str">
            <v>N05AC02</v>
          </cell>
          <cell r="I721"/>
          <cell r="J721">
            <v>33.71</v>
          </cell>
          <cell r="K721"/>
        </row>
        <row r="722">
          <cell r="D722" t="str">
            <v>N-05-14</v>
          </cell>
          <cell r="E722" t="str">
            <v>Tioridazina</v>
          </cell>
          <cell r="F722" t="str">
            <v>Comprimido</v>
          </cell>
          <cell r="G722" t="str">
            <v>100 mg</v>
          </cell>
          <cell r="H722" t="str">
            <v>N05AC02</v>
          </cell>
          <cell r="I722"/>
          <cell r="J722">
            <v>4.2</v>
          </cell>
          <cell r="K722"/>
        </row>
        <row r="723">
          <cell r="D723" t="str">
            <v>A-11-19</v>
          </cell>
          <cell r="E723" t="str">
            <v>Tocoferol (Vitamina E)</v>
          </cell>
          <cell r="F723" t="str">
            <v>Cápsula blanda</v>
          </cell>
          <cell r="G723" t="str">
            <v>1.000 UI</v>
          </cell>
          <cell r="H723" t="str">
            <v>A11HA03</v>
          </cell>
          <cell r="I723"/>
          <cell r="J723">
            <v>1.6390384615384599</v>
          </cell>
          <cell r="K723"/>
        </row>
        <row r="724">
          <cell r="D724" t="str">
            <v>D-01-06</v>
          </cell>
          <cell r="E724" t="str">
            <v>Tolnaftato</v>
          </cell>
          <cell r="F724" t="str">
            <v>Solución</v>
          </cell>
          <cell r="G724">
            <v>0.01</v>
          </cell>
          <cell r="H724" t="str">
            <v>D01AE18</v>
          </cell>
          <cell r="I724"/>
          <cell r="J724">
            <v>23.15</v>
          </cell>
          <cell r="K724"/>
        </row>
        <row r="725">
          <cell r="D725" t="str">
            <v>J-07-01</v>
          </cell>
          <cell r="E725" t="str">
            <v>Toxoide tetánico adsorbido</v>
          </cell>
          <cell r="F725" t="str">
            <v>Inyectable</v>
          </cell>
          <cell r="G725" t="str">
            <v>120 UI/ml</v>
          </cell>
          <cell r="H725" t="str">
            <v>J07AM01</v>
          </cell>
          <cell r="I725"/>
          <cell r="J725">
            <v>20</v>
          </cell>
          <cell r="K725"/>
        </row>
        <row r="726">
          <cell r="D726" t="str">
            <v>N-02-15</v>
          </cell>
          <cell r="E726" t="str">
            <v>Tramadol</v>
          </cell>
          <cell r="F726" t="str">
            <v>Comprimido</v>
          </cell>
          <cell r="G726" t="str">
            <v>50 mg</v>
          </cell>
          <cell r="H726" t="str">
            <v>N02AX02</v>
          </cell>
          <cell r="I726"/>
          <cell r="J726">
            <v>2</v>
          </cell>
          <cell r="K726"/>
        </row>
        <row r="727">
          <cell r="D727" t="str">
            <v>N-02-14</v>
          </cell>
          <cell r="E727" t="str">
            <v xml:space="preserve">Tramadol </v>
          </cell>
          <cell r="F727" t="str">
            <v>Inyectable</v>
          </cell>
          <cell r="G727" t="str">
            <v>100 mg/2 ml</v>
          </cell>
          <cell r="H727" t="str">
            <v>N02AX02</v>
          </cell>
          <cell r="I727"/>
          <cell r="J727">
            <v>9.1</v>
          </cell>
          <cell r="K727"/>
        </row>
        <row r="728">
          <cell r="D728" t="str">
            <v>N-02-17</v>
          </cell>
          <cell r="E728" t="str">
            <v xml:space="preserve">Tramadol </v>
          </cell>
          <cell r="F728" t="str">
            <v>Solución para gotas orales</v>
          </cell>
          <cell r="G728" t="str">
            <v>100 mg/ml</v>
          </cell>
          <cell r="H728" t="str">
            <v>N02AX02</v>
          </cell>
          <cell r="I728"/>
          <cell r="J728">
            <v>55.191666666666698</v>
          </cell>
          <cell r="K728"/>
        </row>
        <row r="729">
          <cell r="D729" t="str">
            <v>L-01-42</v>
          </cell>
          <cell r="E729" t="str">
            <v>Trastuzumab</v>
          </cell>
          <cell r="F729" t="str">
            <v>Inyectable</v>
          </cell>
          <cell r="G729" t="str">
            <v>440 mg</v>
          </cell>
          <cell r="H729" t="str">
            <v>L01XC03</v>
          </cell>
          <cell r="I729" t="str">
            <v>R</v>
          </cell>
          <cell r="J729">
            <v>5500</v>
          </cell>
          <cell r="K729" t="str">
            <v>20 ML</v>
          </cell>
        </row>
        <row r="730">
          <cell r="D730" t="str">
            <v>L-01-43</v>
          </cell>
          <cell r="E730" t="str">
            <v>Trastuzumab</v>
          </cell>
          <cell r="F730" t="str">
            <v>Inyectable</v>
          </cell>
          <cell r="G730" t="str">
            <v>600 mg</v>
          </cell>
          <cell r="H730" t="str">
            <v>L01XC03</v>
          </cell>
          <cell r="I730" t="str">
            <v>R</v>
          </cell>
          <cell r="J730">
            <v>15835.36</v>
          </cell>
          <cell r="K730" t="str">
            <v>5 ML</v>
          </cell>
        </row>
        <row r="731">
          <cell r="D731" t="str">
            <v>P-02-12</v>
          </cell>
          <cell r="E731" t="str">
            <v>Triclabendazol</v>
          </cell>
          <cell r="F731" t="str">
            <v>Comprimido</v>
          </cell>
          <cell r="G731" t="str">
            <v>250 mg</v>
          </cell>
          <cell r="H731" t="str">
            <v>P02BX04</v>
          </cell>
          <cell r="I731"/>
          <cell r="J731">
            <v>343.15</v>
          </cell>
          <cell r="K731"/>
        </row>
        <row r="732">
          <cell r="D732" t="str">
            <v>L-02-07</v>
          </cell>
          <cell r="E732" t="str">
            <v>Triptorelina</v>
          </cell>
          <cell r="F732" t="str">
            <v>Inyectable</v>
          </cell>
          <cell r="G732" t="str">
            <v>11,25 mg</v>
          </cell>
          <cell r="H732" t="str">
            <v>L02AE04</v>
          </cell>
          <cell r="I732"/>
          <cell r="J732">
            <v>4759.1818181818198</v>
          </cell>
          <cell r="K732"/>
        </row>
        <row r="733">
          <cell r="D733" t="str">
            <v>L-02-08</v>
          </cell>
          <cell r="E733" t="str">
            <v>Triptorelina</v>
          </cell>
          <cell r="F733" t="str">
            <v>Inyectable</v>
          </cell>
          <cell r="G733" t="str">
            <v>22,5 mg</v>
          </cell>
          <cell r="H733" t="str">
            <v>L02AE04</v>
          </cell>
          <cell r="I733" t="str">
            <v>R</v>
          </cell>
          <cell r="J733">
            <v>9380.1990000000005</v>
          </cell>
          <cell r="K733"/>
        </row>
        <row r="734">
          <cell r="D734" t="str">
            <v>D-03-01</v>
          </cell>
          <cell r="E734" t="str">
            <v xml:space="preserve">Trolamina </v>
          </cell>
          <cell r="F734" t="str">
            <v>Emulsión dermica</v>
          </cell>
          <cell r="G734" t="str">
            <v>0,67%</v>
          </cell>
          <cell r="H734" t="str">
            <v>D03AX12</v>
          </cell>
          <cell r="I734" t="str">
            <v>R</v>
          </cell>
          <cell r="J734">
            <v>183</v>
          </cell>
          <cell r="K734"/>
        </row>
        <row r="735">
          <cell r="D735" t="str">
            <v>S-01-23</v>
          </cell>
          <cell r="E735" t="str">
            <v>Tropicamida</v>
          </cell>
          <cell r="F735" t="str">
            <v>Solución oftálmica</v>
          </cell>
          <cell r="G735">
            <v>0.01</v>
          </cell>
          <cell r="H735" t="str">
            <v>S01FA06</v>
          </cell>
          <cell r="I735"/>
          <cell r="J735">
            <v>82.45</v>
          </cell>
          <cell r="K735"/>
        </row>
        <row r="736">
          <cell r="D736" t="str">
            <v>D-02-03</v>
          </cell>
          <cell r="E736" t="str">
            <v>Ungüento dérmico eucalipto mentol</v>
          </cell>
          <cell r="F736" t="str">
            <v>Ungüento o crema</v>
          </cell>
          <cell r="G736" t="str">
            <v>Según disponibilidad</v>
          </cell>
          <cell r="H736" t="str">
            <v>D02AX**</v>
          </cell>
          <cell r="I736"/>
          <cell r="J736">
            <v>6.8550757575757597</v>
          </cell>
          <cell r="K736"/>
        </row>
        <row r="737">
          <cell r="D737" t="str">
            <v>J-07-02</v>
          </cell>
          <cell r="E737" t="str">
            <v>Vacuna antiamarílica</v>
          </cell>
          <cell r="F737" t="str">
            <v>Inyectable</v>
          </cell>
          <cell r="G737" t="str">
            <v>Norma PAI (20 dosis)</v>
          </cell>
          <cell r="H737" t="str">
            <v>J07BL01</v>
          </cell>
          <cell r="I737"/>
          <cell r="J737">
            <v>10.14</v>
          </cell>
          <cell r="K737"/>
        </row>
        <row r="738">
          <cell r="D738" t="str">
            <v>J-07-03</v>
          </cell>
          <cell r="E738" t="str">
            <v>Vacuna antiamarílica</v>
          </cell>
          <cell r="F738" t="str">
            <v>Inyectable</v>
          </cell>
          <cell r="G738" t="str">
            <v>Norma PAI (10 dosis)</v>
          </cell>
          <cell r="H738" t="str">
            <v>J07BL01</v>
          </cell>
          <cell r="I738"/>
          <cell r="J738">
            <v>9.89</v>
          </cell>
          <cell r="K738"/>
        </row>
        <row r="739">
          <cell r="D739" t="str">
            <v>J-07-04</v>
          </cell>
          <cell r="E739" t="str">
            <v>Vacuna antiamarílica</v>
          </cell>
          <cell r="F739" t="str">
            <v>Inyectable</v>
          </cell>
          <cell r="G739" t="str">
            <v>Norma PAI (5 dosis)</v>
          </cell>
          <cell r="H739" t="str">
            <v>J07BL01</v>
          </cell>
          <cell r="I739"/>
          <cell r="J739">
            <v>8.75</v>
          </cell>
          <cell r="K739"/>
        </row>
        <row r="740">
          <cell r="D740" t="str">
            <v>J-07-05</v>
          </cell>
          <cell r="E740" t="str">
            <v>Vacuna antihepatitis B</v>
          </cell>
          <cell r="F740" t="str">
            <v>Inyectable</v>
          </cell>
          <cell r="G740" t="str">
            <v>Norma PAI</v>
          </cell>
          <cell r="H740" t="str">
            <v>J07BC01</v>
          </cell>
          <cell r="I740"/>
          <cell r="J740">
            <v>2.96</v>
          </cell>
          <cell r="K740"/>
        </row>
        <row r="741">
          <cell r="D741" t="str">
            <v>J-07-22</v>
          </cell>
          <cell r="E741" t="str">
            <v>Vacuna antineumococo  (13 valente)</v>
          </cell>
          <cell r="F741" t="str">
            <v>Inyectable</v>
          </cell>
          <cell r="G741" t="str">
            <v>Norma PAI (Unidosis)</v>
          </cell>
          <cell r="H741" t="str">
            <v>J07AL02</v>
          </cell>
          <cell r="I741"/>
          <cell r="J741">
            <v>63.46</v>
          </cell>
          <cell r="K741"/>
        </row>
        <row r="742">
          <cell r="D742" t="str">
            <v>J-07-23</v>
          </cell>
          <cell r="E742" t="str">
            <v>Vacuna antipoliomielítica bivalente</v>
          </cell>
          <cell r="F742" t="str">
            <v>Solución oral</v>
          </cell>
          <cell r="G742" t="str">
            <v xml:space="preserve">Norma PAI </v>
          </cell>
          <cell r="H742" t="str">
            <v>J07BF04</v>
          </cell>
          <cell r="I742"/>
          <cell r="J742">
            <v>1.1299999999999999</v>
          </cell>
          <cell r="K742"/>
        </row>
        <row r="743">
          <cell r="D743" t="str">
            <v>J-07-24</v>
          </cell>
          <cell r="E743" t="str">
            <v>Vacuna antipoliomielítica inactivada</v>
          </cell>
          <cell r="F743" t="str">
            <v>Inyectable</v>
          </cell>
          <cell r="G743" t="str">
            <v>Norma PAI</v>
          </cell>
          <cell r="H743" t="str">
            <v>J07BF03 </v>
          </cell>
          <cell r="I743"/>
          <cell r="J743">
            <v>17.22</v>
          </cell>
          <cell r="K743"/>
        </row>
        <row r="744">
          <cell r="D744" t="str">
            <v>J-07-18</v>
          </cell>
          <cell r="E744" t="str">
            <v>Vacuna Antirotavírica</v>
          </cell>
          <cell r="F744" t="str">
            <v>Solución oral</v>
          </cell>
          <cell r="G744" t="str">
            <v>Norma PAI Multidosis</v>
          </cell>
          <cell r="H744" t="str">
            <v>J07BH01</v>
          </cell>
          <cell r="I744"/>
          <cell r="J744">
            <v>66.53</v>
          </cell>
          <cell r="K744"/>
        </row>
        <row r="745">
          <cell r="D745" t="str">
            <v>J-07-19</v>
          </cell>
          <cell r="E745" t="str">
            <v>Vacuna Antirotavírica</v>
          </cell>
          <cell r="F745" t="str">
            <v>Solución oral</v>
          </cell>
          <cell r="G745" t="str">
            <v>Norma PAI (Unidosis)</v>
          </cell>
          <cell r="H745" t="str">
            <v>J07BH01</v>
          </cell>
          <cell r="I745"/>
          <cell r="J745">
            <v>58.93</v>
          </cell>
          <cell r="K745"/>
        </row>
        <row r="746">
          <cell r="D746" t="str">
            <v>J-07-08</v>
          </cell>
          <cell r="E746" t="str">
            <v>Vacuna Antirrábica</v>
          </cell>
          <cell r="F746" t="str">
            <v>Inyectable</v>
          </cell>
          <cell r="G746" t="str">
            <v>1 UI/ml</v>
          </cell>
          <cell r="H746" t="str">
            <v>J07BG01</v>
          </cell>
          <cell r="I746"/>
          <cell r="J746">
            <v>70</v>
          </cell>
          <cell r="K746" t="str">
            <v>10 dósis</v>
          </cell>
        </row>
        <row r="747">
          <cell r="D747" t="str">
            <v>J-07-25</v>
          </cell>
          <cell r="E747" t="str">
            <v>Vacuna Antirrábica de uso Humano (Cultivo Celular)</v>
          </cell>
          <cell r="F747" t="str">
            <v>Inyectable</v>
          </cell>
          <cell r="G747" t="str">
            <v>2,5 U.I./0,5 ml</v>
          </cell>
          <cell r="H747" t="str">
            <v>J07BG01</v>
          </cell>
          <cell r="I747"/>
          <cell r="J747">
            <v>219.8</v>
          </cell>
          <cell r="K747"/>
        </row>
        <row r="748">
          <cell r="D748" t="str">
            <v>J-07-11</v>
          </cell>
          <cell r="E748" t="str">
            <v>Vacuna BCG</v>
          </cell>
          <cell r="F748" t="str">
            <v>Inyectable</v>
          </cell>
          <cell r="G748" t="str">
            <v>Norma PAI</v>
          </cell>
          <cell r="H748" t="str">
            <v>J07AN01</v>
          </cell>
          <cell r="I748"/>
          <cell r="J748">
            <v>1.31</v>
          </cell>
          <cell r="K748"/>
        </row>
        <row r="749">
          <cell r="D749" t="str">
            <v>J-07-27</v>
          </cell>
          <cell r="E749" t="str">
            <v>Vacuna contra COVID-19</v>
          </cell>
          <cell r="F749" t="str">
            <v>Inyectable</v>
          </cell>
          <cell r="G749" t="str">
            <v>Norma PAI</v>
          </cell>
          <cell r="H749" t="str">
            <v>J07BX03</v>
          </cell>
          <cell r="I749"/>
          <cell r="J749" t="str">
            <v>SPR</v>
          </cell>
          <cell r="K749"/>
        </row>
        <row r="750">
          <cell r="D750" t="str">
            <v>J-07-21</v>
          </cell>
          <cell r="E750" t="str">
            <v>Vacuna contra Influenza (Adulto)</v>
          </cell>
          <cell r="F750" t="str">
            <v>Inyectable</v>
          </cell>
          <cell r="G750" t="str">
            <v>Norma PAI (10 dosis)</v>
          </cell>
          <cell r="H750" t="str">
            <v>J07BB</v>
          </cell>
          <cell r="I750"/>
          <cell r="J750">
            <v>25.38</v>
          </cell>
          <cell r="K750"/>
        </row>
        <row r="751">
          <cell r="D751" t="str">
            <v>J-07-20</v>
          </cell>
          <cell r="E751" t="str">
            <v>Vacuna contra Influenza (Pediátrica)</v>
          </cell>
          <cell r="F751" t="str">
            <v>Inyectable</v>
          </cell>
          <cell r="G751" t="str">
            <v>Norma PAI (10 dosis)</v>
          </cell>
          <cell r="H751" t="str">
            <v>J07BB</v>
          </cell>
          <cell r="I751"/>
          <cell r="J751">
            <v>12.69</v>
          </cell>
          <cell r="K751"/>
        </row>
        <row r="752">
          <cell r="D752" t="str">
            <v>J-07-26</v>
          </cell>
          <cell r="E752" t="str">
            <v>Vacuna cuadrivalente recombinante contra el Virus del Papiloma Humano</v>
          </cell>
          <cell r="F752" t="str">
            <v>Inyectable</v>
          </cell>
          <cell r="G752" t="str">
            <v>Norma PAI</v>
          </cell>
          <cell r="H752" t="str">
            <v>J07BM01</v>
          </cell>
          <cell r="I752"/>
          <cell r="J752">
            <v>40.79</v>
          </cell>
          <cell r="K752"/>
        </row>
        <row r="753">
          <cell r="D753" t="str">
            <v>J-07-12</v>
          </cell>
          <cell r="E753" t="str">
            <v>Vacuna doble dT (difteria, Tétanos)</v>
          </cell>
          <cell r="F753" t="str">
            <v>Inyectable</v>
          </cell>
          <cell r="G753" t="str">
            <v>Norma PAI</v>
          </cell>
          <cell r="H753" t="str">
            <v>J07AM51</v>
          </cell>
          <cell r="I753"/>
          <cell r="J753">
            <v>1</v>
          </cell>
          <cell r="K753"/>
        </row>
        <row r="754">
          <cell r="D754" t="str">
            <v>J-07-13</v>
          </cell>
          <cell r="E754" t="str">
            <v>Vacuna pentavalente (DPT + Hep. B + H. Influenzae B)</v>
          </cell>
          <cell r="F754" t="str">
            <v>Inyectable</v>
          </cell>
          <cell r="G754" t="str">
            <v>Norma PAI</v>
          </cell>
          <cell r="H754" t="str">
            <v>J07X**</v>
          </cell>
          <cell r="I754"/>
          <cell r="J754">
            <v>19.04</v>
          </cell>
          <cell r="K754"/>
        </row>
        <row r="755">
          <cell r="D755" t="str">
            <v>J-07-14</v>
          </cell>
          <cell r="E755" t="str">
            <v>Vacuna SR (Sarampión, Rubeola)</v>
          </cell>
          <cell r="F755" t="str">
            <v>Inyectable</v>
          </cell>
          <cell r="G755" t="str">
            <v>Norma PAI</v>
          </cell>
          <cell r="H755" t="str">
            <v>J07BD53</v>
          </cell>
          <cell r="I755"/>
          <cell r="J755">
            <v>20.399999999999999</v>
          </cell>
          <cell r="K755"/>
        </row>
        <row r="756">
          <cell r="D756" t="str">
            <v>J-07-15</v>
          </cell>
          <cell r="E756" t="str">
            <v>Vacuna SRP (Sarampión, Rubeola; Paperas)</v>
          </cell>
          <cell r="F756" t="str">
            <v>Inyectable</v>
          </cell>
          <cell r="G756" t="str">
            <v>Norma PAI Multidosis</v>
          </cell>
          <cell r="H756" t="str">
            <v>J07BD01</v>
          </cell>
          <cell r="I756"/>
          <cell r="J756">
            <v>11.66</v>
          </cell>
          <cell r="K756"/>
        </row>
        <row r="757">
          <cell r="D757" t="str">
            <v>J-07-16</v>
          </cell>
          <cell r="E757" t="str">
            <v>Vacuna SRP (Sarampión, Rubeola; Paperas)</v>
          </cell>
          <cell r="F757" t="str">
            <v>Inyectable</v>
          </cell>
          <cell r="G757" t="str">
            <v>Norma PAI (Unidosis)</v>
          </cell>
          <cell r="H757" t="str">
            <v>J07BD01</v>
          </cell>
          <cell r="I757"/>
          <cell r="J757">
            <v>21.48</v>
          </cell>
          <cell r="K757"/>
        </row>
        <row r="758">
          <cell r="D758" t="str">
            <v>J-07-17</v>
          </cell>
          <cell r="E758" t="str">
            <v>Vacuna Triple DPT (Difteria, Pertusis, Tetanos)</v>
          </cell>
          <cell r="F758" t="str">
            <v>Inyectable</v>
          </cell>
          <cell r="G758" t="str">
            <v>Norma PAI</v>
          </cell>
          <cell r="H758" t="str">
            <v>J07X**</v>
          </cell>
          <cell r="I758"/>
          <cell r="J758">
            <v>2.0299999999999998</v>
          </cell>
          <cell r="K758"/>
        </row>
        <row r="759">
          <cell r="D759" t="str">
            <v>J-05-29</v>
          </cell>
          <cell r="E759" t="str">
            <v>Valganciclovir</v>
          </cell>
          <cell r="F759" t="str">
            <v>Comprimido</v>
          </cell>
          <cell r="G759" t="str">
            <v>450 mg</v>
          </cell>
          <cell r="H759" t="str">
            <v>J05AB14</v>
          </cell>
          <cell r="I759" t="str">
            <v>R</v>
          </cell>
          <cell r="J759">
            <v>300.48</v>
          </cell>
          <cell r="K759"/>
        </row>
        <row r="760">
          <cell r="D760" t="str">
            <v>J-01-55</v>
          </cell>
          <cell r="E760" t="str">
            <v>Vancomicina</v>
          </cell>
          <cell r="F760" t="str">
            <v>Inyectable</v>
          </cell>
          <cell r="G760" t="str">
            <v>500 mg</v>
          </cell>
          <cell r="H760" t="str">
            <v>J01XA01</v>
          </cell>
          <cell r="I760" t="str">
            <v>R</v>
          </cell>
          <cell r="J760">
            <v>25.89</v>
          </cell>
          <cell r="K760"/>
        </row>
        <row r="761">
          <cell r="D761" t="str">
            <v>D-02-04</v>
          </cell>
          <cell r="E761" t="str">
            <v>Vaselina liquida</v>
          </cell>
          <cell r="F761" t="str">
            <v>Solución 1 l</v>
          </cell>
          <cell r="G761" t="str">
            <v xml:space="preserve">Según disponibilidad </v>
          </cell>
          <cell r="H761" t="str">
            <v>D02AC**</v>
          </cell>
          <cell r="I761"/>
          <cell r="J761">
            <v>55.33</v>
          </cell>
          <cell r="K761" t="str">
            <v>1 L</v>
          </cell>
        </row>
        <row r="762">
          <cell r="D762" t="str">
            <v>D-02-05</v>
          </cell>
          <cell r="E762" t="str">
            <v>Vaselina sólida</v>
          </cell>
          <cell r="F762" t="str">
            <v>Pasta 1 kg</v>
          </cell>
          <cell r="G762" t="str">
            <v>Según disponibilidad</v>
          </cell>
          <cell r="H762" t="str">
            <v>D02AC**</v>
          </cell>
          <cell r="I762"/>
          <cell r="J762">
            <v>60</v>
          </cell>
          <cell r="K762"/>
        </row>
        <row r="763">
          <cell r="D763" t="str">
            <v>C-08-04</v>
          </cell>
          <cell r="E763" t="str">
            <v>Verapamilo</v>
          </cell>
          <cell r="F763" t="str">
            <v>Comprimido</v>
          </cell>
          <cell r="G763" t="str">
            <v>80 mg</v>
          </cell>
          <cell r="H763" t="str">
            <v>C08DA01</v>
          </cell>
          <cell r="I763"/>
          <cell r="J763">
            <v>0.6</v>
          </cell>
          <cell r="K763"/>
        </row>
        <row r="764">
          <cell r="D764" t="str">
            <v>C-08-05</v>
          </cell>
          <cell r="E764" t="str">
            <v>Verapamilo</v>
          </cell>
          <cell r="F764" t="str">
            <v>Inyectable</v>
          </cell>
          <cell r="G764" t="str">
            <v>2,5 mg/ml</v>
          </cell>
          <cell r="H764" t="str">
            <v>C08DA01</v>
          </cell>
          <cell r="I764"/>
          <cell r="J764">
            <v>28.11</v>
          </cell>
          <cell r="K764"/>
        </row>
        <row r="765">
          <cell r="D765" t="str">
            <v>C-08-06</v>
          </cell>
          <cell r="E765" t="str">
            <v>Verapamilo</v>
          </cell>
          <cell r="F765" t="str">
            <v>Comprimido</v>
          </cell>
          <cell r="G765" t="str">
            <v>40 mg</v>
          </cell>
          <cell r="H765" t="str">
            <v>C08DA01</v>
          </cell>
          <cell r="I765"/>
          <cell r="J765">
            <v>0.61</v>
          </cell>
          <cell r="K765"/>
        </row>
        <row r="766">
          <cell r="D766" t="str">
            <v>L-01-39</v>
          </cell>
          <cell r="E766" t="str">
            <v>Vinblastina</v>
          </cell>
          <cell r="F766" t="str">
            <v>Inyectable</v>
          </cell>
          <cell r="G766" t="str">
            <v>10 mg</v>
          </cell>
          <cell r="H766" t="str">
            <v>L01CA01</v>
          </cell>
          <cell r="I766"/>
          <cell r="J766">
            <v>310.5</v>
          </cell>
          <cell r="K766"/>
        </row>
        <row r="767">
          <cell r="D767" t="str">
            <v>L-01-30</v>
          </cell>
          <cell r="E767" t="str">
            <v>Vincristina</v>
          </cell>
          <cell r="F767" t="str">
            <v>Inyectable</v>
          </cell>
          <cell r="G767" t="str">
            <v>1 mg/ml</v>
          </cell>
          <cell r="H767" t="str">
            <v>L01CA02</v>
          </cell>
          <cell r="I767"/>
          <cell r="J767">
            <v>64.926666666666705</v>
          </cell>
          <cell r="K767" t="str">
            <v xml:space="preserve">1 ML </v>
          </cell>
        </row>
        <row r="768">
          <cell r="D768" t="str">
            <v>L-01-31</v>
          </cell>
          <cell r="E768" t="str">
            <v>Vinorelbina</v>
          </cell>
          <cell r="F768" t="str">
            <v>Inyectable</v>
          </cell>
          <cell r="G768" t="str">
            <v>50 mg</v>
          </cell>
          <cell r="H768" t="str">
            <v>L01CA04</v>
          </cell>
          <cell r="I768"/>
          <cell r="J768">
            <v>855</v>
          </cell>
          <cell r="K768"/>
        </row>
        <row r="769">
          <cell r="D769" t="str">
            <v>D-01-07</v>
          </cell>
          <cell r="E769" t="str">
            <v>Violeta de genciana (Cloruro de metilrosanilina)</v>
          </cell>
          <cell r="F769" t="str">
            <v>Solución</v>
          </cell>
          <cell r="G769">
            <v>0.01</v>
          </cell>
          <cell r="H769" t="str">
            <v>D01AE02</v>
          </cell>
          <cell r="I769"/>
          <cell r="J769">
            <v>2.85</v>
          </cell>
          <cell r="K769" t="str">
            <v>30 ML</v>
          </cell>
        </row>
        <row r="770">
          <cell r="D770" t="str">
            <v>J-02-09</v>
          </cell>
          <cell r="E770" t="str">
            <v>Voriconazol</v>
          </cell>
          <cell r="F770" t="str">
            <v>Polvo para inyectable</v>
          </cell>
          <cell r="G770" t="str">
            <v>200 mg</v>
          </cell>
          <cell r="H770" t="str">
            <v>J02AC03</v>
          </cell>
          <cell r="I770" t="str">
            <v>R</v>
          </cell>
          <cell r="J770">
            <v>600</v>
          </cell>
          <cell r="K770"/>
        </row>
        <row r="771">
          <cell r="D771" t="str">
            <v>B-01-05</v>
          </cell>
          <cell r="E771" t="str">
            <v>Warfarina</v>
          </cell>
          <cell r="F771" t="str">
            <v>Comprimido ranurado</v>
          </cell>
          <cell r="G771" t="str">
            <v>5 mg</v>
          </cell>
          <cell r="H771" t="str">
            <v>B01AA03</v>
          </cell>
          <cell r="I771"/>
          <cell r="J771">
            <v>0.77013888888888904</v>
          </cell>
          <cell r="K771"/>
        </row>
        <row r="772">
          <cell r="D772" t="str">
            <v>J-05-24</v>
          </cell>
          <cell r="E772" t="str">
            <v>Zidovudina</v>
          </cell>
          <cell r="F772" t="str">
            <v>Inyectable</v>
          </cell>
          <cell r="G772" t="str">
            <v>10 mg/ml</v>
          </cell>
          <cell r="H772" t="str">
            <v>J05AF01</v>
          </cell>
          <cell r="I772"/>
          <cell r="J772">
            <v>88.33</v>
          </cell>
          <cell r="K772"/>
        </row>
        <row r="773">
          <cell r="D773" t="str">
            <v>J-05-25</v>
          </cell>
          <cell r="E773" t="str">
            <v>Zidovudina</v>
          </cell>
          <cell r="F773" t="str">
            <v>Suspensión oral</v>
          </cell>
          <cell r="G773" t="str">
            <v>10 mg/ml</v>
          </cell>
          <cell r="H773" t="str">
            <v>J05AF01</v>
          </cell>
          <cell r="I773"/>
          <cell r="J773">
            <v>42.064999999999998</v>
          </cell>
          <cell r="K773"/>
        </row>
        <row r="774">
          <cell r="D774" t="str">
            <v>J-05-27</v>
          </cell>
          <cell r="E774" t="str">
            <v>Zidovudina + Lamivudina</v>
          </cell>
          <cell r="F774" t="str">
            <v>Comprimido</v>
          </cell>
          <cell r="G774" t="str">
            <v>300 mg + 150 mg</v>
          </cell>
          <cell r="H774" t="str">
            <v>J05AF30</v>
          </cell>
          <cell r="I774"/>
          <cell r="J774">
            <v>1.48</v>
          </cell>
          <cell r="K774"/>
        </row>
        <row r="775">
          <cell r="D775" t="str">
            <v>A-12-05</v>
          </cell>
          <cell r="E775" t="str">
            <v>Zinc (como sulfato)</v>
          </cell>
          <cell r="F775" t="str">
            <v>Jarabe</v>
          </cell>
          <cell r="G775" t="str">
            <v xml:space="preserve">20 mg/5 ml </v>
          </cell>
          <cell r="H775" t="str">
            <v>A12CB01</v>
          </cell>
          <cell r="I775"/>
          <cell r="J775">
            <v>15.23</v>
          </cell>
          <cell r="K775"/>
        </row>
        <row r="776">
          <cell r="D776" t="str">
            <v>A-12-06</v>
          </cell>
          <cell r="E776" t="str">
            <v>Zinc (como sulfato)</v>
          </cell>
          <cell r="F776" t="str">
            <v>Comprimido</v>
          </cell>
          <cell r="G776" t="str">
            <v>20 mg</v>
          </cell>
          <cell r="H776" t="str">
            <v>A12CB01</v>
          </cell>
          <cell r="I776"/>
          <cell r="J776">
            <v>0.65</v>
          </cell>
          <cell r="K776"/>
        </row>
        <row r="777">
          <cell r="D777" t="str">
            <v>L-01-28</v>
          </cell>
          <cell r="E777" t="str">
            <v>Paclitaxel</v>
          </cell>
          <cell r="F777" t="str">
            <v>Inyectable</v>
          </cell>
          <cell r="G777" t="str">
            <v>30 mg/5 ml</v>
          </cell>
          <cell r="H777" t="str">
            <v>L01CD01</v>
          </cell>
          <cell r="I777"/>
          <cell r="J777">
            <v>155.095</v>
          </cell>
          <cell r="K777"/>
        </row>
        <row r="778">
          <cell r="D778" t="str">
            <v>L-02-03</v>
          </cell>
          <cell r="E778" t="str">
            <v>Flutamida</v>
          </cell>
          <cell r="F778" t="str">
            <v>Comprimido</v>
          </cell>
          <cell r="G778" t="str">
            <v>250 mg</v>
          </cell>
          <cell r="H778" t="str">
            <v>L02BB01</v>
          </cell>
          <cell r="I778"/>
          <cell r="J778">
            <v>3.2349999999999999</v>
          </cell>
          <cell r="K778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D1" t="str">
            <v>Codigo</v>
          </cell>
          <cell r="E1" t="str">
            <v>Medicamento</v>
          </cell>
          <cell r="F1" t="str">
            <v>Forma Farmacéutica</v>
          </cell>
          <cell r="G1" t="str">
            <v>Concentración</v>
          </cell>
          <cell r="H1" t="str">
            <v>Clasific. A.T.Q.</v>
          </cell>
          <cell r="I1" t="str">
            <v>Uso Restrin- gido</v>
          </cell>
          <cell r="J1" t="str">
            <v>Precio Referencial Septiembre
2023</v>
          </cell>
          <cell r="K1" t="str">
            <v>Aclaración de Particularidades</v>
          </cell>
        </row>
        <row r="2">
          <cell r="D2" t="str">
            <v>J-05-01</v>
          </cell>
          <cell r="E2" t="str">
            <v>Abacavir</v>
          </cell>
          <cell r="F2" t="str">
            <v>Comprimido</v>
          </cell>
          <cell r="G2" t="str">
            <v>300 mg</v>
          </cell>
          <cell r="H2" t="str">
            <v>J05AF06</v>
          </cell>
          <cell r="I2"/>
          <cell r="J2">
            <v>2.89</v>
          </cell>
          <cell r="K2"/>
        </row>
        <row r="3">
          <cell r="D3" t="str">
            <v>L-02-09</v>
          </cell>
          <cell r="E3" t="str">
            <v>Abiraterona Acetato</v>
          </cell>
          <cell r="F3" t="str">
            <v>Comprimido</v>
          </cell>
          <cell r="G3" t="str">
            <v>250 mg</v>
          </cell>
          <cell r="H3" t="str">
            <v>L02BX03</v>
          </cell>
          <cell r="I3" t="str">
            <v>R</v>
          </cell>
          <cell r="J3">
            <v>114.22</v>
          </cell>
          <cell r="K3"/>
        </row>
        <row r="4">
          <cell r="D4" t="str">
            <v>A-06-01</v>
          </cell>
          <cell r="E4" t="str">
            <v>Aceite mineral</v>
          </cell>
          <cell r="F4" t="str">
            <v>Emulsión oral</v>
          </cell>
          <cell r="G4">
            <v>0.4</v>
          </cell>
          <cell r="H4" t="str">
            <v>A06AG06</v>
          </cell>
          <cell r="I4"/>
          <cell r="J4">
            <v>14.9</v>
          </cell>
          <cell r="K4" t="str">
            <v>100 ML</v>
          </cell>
        </row>
        <row r="5">
          <cell r="D5" t="str">
            <v>A-11-01</v>
          </cell>
          <cell r="E5" t="str">
            <v>Aceite vitaminado (alimento)</v>
          </cell>
          <cell r="F5" t="str">
            <v>Emulsión oral</v>
          </cell>
          <cell r="G5" t="str">
            <v>Según disponibilidad</v>
          </cell>
          <cell r="H5" t="str">
            <v>A11CB**</v>
          </cell>
          <cell r="I5"/>
          <cell r="J5">
            <v>10.453636363636363</v>
          </cell>
          <cell r="K5" t="str">
            <v>1 L</v>
          </cell>
        </row>
        <row r="6">
          <cell r="D6" t="str">
            <v>C-03-01</v>
          </cell>
          <cell r="E6" t="str">
            <v>Acetazolamida</v>
          </cell>
          <cell r="F6" t="str">
            <v>Comprimido</v>
          </cell>
          <cell r="G6" t="str">
            <v>250 mg</v>
          </cell>
          <cell r="H6" t="str">
            <v>C03**</v>
          </cell>
          <cell r="I6"/>
          <cell r="J6">
            <v>1.66</v>
          </cell>
          <cell r="K6"/>
        </row>
        <row r="7">
          <cell r="D7" t="str">
            <v>V-03-01</v>
          </cell>
          <cell r="E7" t="str">
            <v>Acetil Cisteina</v>
          </cell>
          <cell r="F7" t="str">
            <v>Inyectable</v>
          </cell>
          <cell r="G7">
            <v>0.1</v>
          </cell>
          <cell r="H7" t="str">
            <v>V03AB23</v>
          </cell>
          <cell r="I7"/>
          <cell r="J7">
            <v>13.393781055900622</v>
          </cell>
          <cell r="K7" t="str">
            <v>3 ML</v>
          </cell>
        </row>
        <row r="8">
          <cell r="D8" t="str">
            <v>D-06-03</v>
          </cell>
          <cell r="E8" t="str">
            <v>Aciclovir</v>
          </cell>
          <cell r="F8" t="str">
            <v xml:space="preserve">Crema dérmica </v>
          </cell>
          <cell r="G8">
            <v>0.05</v>
          </cell>
          <cell r="H8" t="str">
            <v>D06BB03</v>
          </cell>
          <cell r="I8"/>
          <cell r="J8">
            <v>16.8</v>
          </cell>
          <cell r="K8" t="str">
            <v xml:space="preserve">5 G </v>
          </cell>
        </row>
        <row r="9">
          <cell r="D9" t="str">
            <v>J-05-04</v>
          </cell>
          <cell r="E9" t="str">
            <v>Aciclovir</v>
          </cell>
          <cell r="F9" t="str">
            <v>Comprimido</v>
          </cell>
          <cell r="G9" t="str">
            <v>400 mg</v>
          </cell>
          <cell r="H9" t="str">
            <v>J05AB01</v>
          </cell>
          <cell r="I9"/>
          <cell r="J9">
            <v>1.4</v>
          </cell>
          <cell r="K9"/>
        </row>
        <row r="10">
          <cell r="D10" t="str">
            <v>J-05-30</v>
          </cell>
          <cell r="E10" t="str">
            <v>Aciclovir</v>
          </cell>
          <cell r="F10" t="str">
            <v>Suspensión</v>
          </cell>
          <cell r="G10" t="str">
            <v>200 mg/5 ml</v>
          </cell>
          <cell r="H10" t="str">
            <v>J05AB01</v>
          </cell>
          <cell r="I10"/>
          <cell r="J10">
            <v>70.67</v>
          </cell>
          <cell r="K10" t="str">
            <v>100 ML</v>
          </cell>
        </row>
        <row r="11">
          <cell r="D11" t="str">
            <v>J-05-42</v>
          </cell>
          <cell r="E11" t="str">
            <v>Aciclovir</v>
          </cell>
          <cell r="F11" t="str">
            <v>Comprimido</v>
          </cell>
          <cell r="G11" t="str">
            <v>200 mg</v>
          </cell>
          <cell r="H11" t="str">
            <v>J05AB01</v>
          </cell>
          <cell r="I11"/>
          <cell r="J11">
            <v>2.2999999999999998</v>
          </cell>
          <cell r="K11"/>
        </row>
        <row r="12">
          <cell r="D12" t="str">
            <v>J-05-43</v>
          </cell>
          <cell r="E12" t="str">
            <v>Aciclovir</v>
          </cell>
          <cell r="F12" t="str">
            <v>Comprimido</v>
          </cell>
          <cell r="G12" t="str">
            <v>800 mg</v>
          </cell>
          <cell r="H12" t="str">
            <v>J05AB01</v>
          </cell>
          <cell r="I12"/>
          <cell r="J12">
            <v>7.75</v>
          </cell>
          <cell r="K12"/>
        </row>
        <row r="13">
          <cell r="D13" t="str">
            <v>J-05-44</v>
          </cell>
          <cell r="E13" t="str">
            <v>Aciclovir</v>
          </cell>
          <cell r="F13" t="str">
            <v>Inyectable</v>
          </cell>
          <cell r="G13" t="str">
            <v>250 mg</v>
          </cell>
          <cell r="H13" t="str">
            <v>J05AB01</v>
          </cell>
          <cell r="I13"/>
          <cell r="J13">
            <v>47.5</v>
          </cell>
          <cell r="K13"/>
        </row>
        <row r="14">
          <cell r="D14" t="str">
            <v>J-05-45</v>
          </cell>
          <cell r="E14" t="str">
            <v>Aciclovir</v>
          </cell>
          <cell r="F14" t="str">
            <v>Inyectable</v>
          </cell>
          <cell r="G14" t="str">
            <v>500 mg</v>
          </cell>
          <cell r="H14" t="str">
            <v>J05AB01</v>
          </cell>
          <cell r="I14"/>
          <cell r="J14">
            <v>47.5</v>
          </cell>
          <cell r="K14"/>
        </row>
        <row r="15">
          <cell r="D15" t="str">
            <v>S-01-01</v>
          </cell>
          <cell r="E15" t="str">
            <v>Aciclovir</v>
          </cell>
          <cell r="F15" t="str">
            <v>Crema o Pomada oftálmica</v>
          </cell>
          <cell r="G15">
            <v>0.03</v>
          </cell>
          <cell r="H15" t="str">
            <v>S01AD03</v>
          </cell>
          <cell r="I15"/>
          <cell r="J15">
            <v>40.566111111111105</v>
          </cell>
          <cell r="K15" t="str">
            <v>5 G</v>
          </cell>
        </row>
        <row r="16">
          <cell r="D16" t="str">
            <v>G-01-01</v>
          </cell>
          <cell r="E16" t="str">
            <v>Ácido acético (Ácido tricloroacético)</v>
          </cell>
          <cell r="F16" t="str">
            <v>Solución tópica</v>
          </cell>
          <cell r="G16">
            <v>0.5</v>
          </cell>
          <cell r="H16" t="str">
            <v>G01AD02</v>
          </cell>
          <cell r="I16"/>
          <cell r="J16">
            <v>74.06</v>
          </cell>
          <cell r="K16" t="str">
            <v>5 ML</v>
          </cell>
        </row>
        <row r="17">
          <cell r="D17" t="str">
            <v>B-01-01</v>
          </cell>
          <cell r="E17" t="str">
            <v>Ácido acetil salicílico</v>
          </cell>
          <cell r="F17" t="str">
            <v>Comprimido</v>
          </cell>
          <cell r="G17" t="str">
            <v>100 mg</v>
          </cell>
          <cell r="H17" t="str">
            <v>B01AC06</v>
          </cell>
          <cell r="I17"/>
          <cell r="J17">
            <v>0.37</v>
          </cell>
          <cell r="K17"/>
        </row>
        <row r="18">
          <cell r="D18" t="str">
            <v>N-02-01</v>
          </cell>
          <cell r="E18" t="str">
            <v>Ácido acetil salicílico</v>
          </cell>
          <cell r="F18" t="str">
            <v>Comprimido</v>
          </cell>
          <cell r="G18" t="str">
            <v>500 mg</v>
          </cell>
          <cell r="H18" t="str">
            <v>N02BA01</v>
          </cell>
          <cell r="I18"/>
          <cell r="J18">
            <v>0.32</v>
          </cell>
          <cell r="K18"/>
        </row>
        <row r="19">
          <cell r="D19" t="str">
            <v>M-05-03</v>
          </cell>
          <cell r="E19" t="str">
            <v>Ácido Alendrónico (Alendronato)</v>
          </cell>
          <cell r="F19" t="str">
            <v>Comprimido</v>
          </cell>
          <cell r="G19" t="str">
            <v>70 mg</v>
          </cell>
          <cell r="H19" t="str">
            <v>M05BA04</v>
          </cell>
          <cell r="I19"/>
          <cell r="J19">
            <v>6.65</v>
          </cell>
          <cell r="K19"/>
        </row>
        <row r="20">
          <cell r="D20" t="str">
            <v>B-02-01</v>
          </cell>
          <cell r="E20" t="str">
            <v>Ácido aminocapróico</v>
          </cell>
          <cell r="F20" t="str">
            <v>Inyectable</v>
          </cell>
          <cell r="G20" t="str">
            <v>2g /10 ml</v>
          </cell>
          <cell r="H20" t="str">
            <v>B02AA01</v>
          </cell>
          <cell r="I20"/>
          <cell r="J20">
            <v>60.32</v>
          </cell>
          <cell r="K20" t="str">
            <v>10 ML</v>
          </cell>
        </row>
        <row r="21">
          <cell r="D21" t="str">
            <v>A-11-02</v>
          </cell>
          <cell r="E21" t="str">
            <v>Ácido Ascorbico (Vitamina C)</v>
          </cell>
          <cell r="F21" t="str">
            <v>Inyectable</v>
          </cell>
          <cell r="G21" t="str">
            <v>500 mg/ml (2 ml)</v>
          </cell>
          <cell r="H21" t="str">
            <v>A11GA01</v>
          </cell>
          <cell r="I21"/>
          <cell r="J21">
            <v>2.2000000000000002</v>
          </cell>
          <cell r="K21" t="str">
            <v>1 ML</v>
          </cell>
        </row>
        <row r="22">
          <cell r="D22" t="str">
            <v>A-11-03</v>
          </cell>
          <cell r="E22" t="str">
            <v>Ácido Ascórbico (Vitamina C)</v>
          </cell>
          <cell r="F22" t="str">
            <v>Solución oral gotas</v>
          </cell>
          <cell r="G22" t="str">
            <v>Según disponibilidad</v>
          </cell>
          <cell r="H22" t="str">
            <v>A11GA01</v>
          </cell>
          <cell r="I22"/>
          <cell r="J22">
            <v>20.3</v>
          </cell>
          <cell r="K22" t="str">
            <v>30 ML</v>
          </cell>
        </row>
        <row r="23">
          <cell r="D23" t="str">
            <v>B-03-01</v>
          </cell>
          <cell r="E23" t="str">
            <v>Ácido fólico</v>
          </cell>
          <cell r="F23" t="str">
            <v>Comprimido</v>
          </cell>
          <cell r="G23" t="str">
            <v>5 mg</v>
          </cell>
          <cell r="H23" t="str">
            <v>B03BB01</v>
          </cell>
          <cell r="I23"/>
          <cell r="J23">
            <v>0.46</v>
          </cell>
          <cell r="K23"/>
        </row>
        <row r="24">
          <cell r="D24" t="str">
            <v>B-03-10</v>
          </cell>
          <cell r="E24" t="str">
            <v>Ácido Fólico</v>
          </cell>
          <cell r="F24" t="str">
            <v>Comprimido</v>
          </cell>
          <cell r="G24" t="str">
            <v>800 mcg</v>
          </cell>
          <cell r="H24" t="str">
            <v>B03BB01</v>
          </cell>
          <cell r="I24"/>
          <cell r="J24">
            <v>0.57999999999999996</v>
          </cell>
          <cell r="K24"/>
        </row>
        <row r="25">
          <cell r="D25" t="str">
            <v>V-08-12</v>
          </cell>
          <cell r="E25" t="str">
            <v>Ácido Gadotérico</v>
          </cell>
          <cell r="F25" t="str">
            <v>Inyectable</v>
          </cell>
          <cell r="G25" t="str">
            <v>0.5 mmol/ml</v>
          </cell>
          <cell r="H25" t="str">
            <v>V08CA02</v>
          </cell>
          <cell r="I25"/>
          <cell r="J25">
            <v>390</v>
          </cell>
          <cell r="K25" t="str">
            <v> 15 ml</v>
          </cell>
        </row>
        <row r="26">
          <cell r="D26" t="str">
            <v>J-01-01</v>
          </cell>
          <cell r="E26" t="str">
            <v>Ácido nalidíxico</v>
          </cell>
          <cell r="F26" t="str">
            <v>Comprimido</v>
          </cell>
          <cell r="G26" t="str">
            <v>500 mg</v>
          </cell>
          <cell r="H26" t="str">
            <v>J01MB02</v>
          </cell>
          <cell r="I26"/>
          <cell r="J26">
            <v>1.66</v>
          </cell>
          <cell r="K26"/>
        </row>
        <row r="27">
          <cell r="D27" t="str">
            <v>J-01-02</v>
          </cell>
          <cell r="E27" t="str">
            <v>Ácido nalidíxico</v>
          </cell>
          <cell r="F27" t="str">
            <v>Suspensión</v>
          </cell>
          <cell r="G27" t="str">
            <v>250 mg/5 ml</v>
          </cell>
          <cell r="H27" t="str">
            <v>J01MB02</v>
          </cell>
          <cell r="I27"/>
          <cell r="J27">
            <v>29.16</v>
          </cell>
          <cell r="K27" t="str">
            <v>120 ML</v>
          </cell>
        </row>
        <row r="28">
          <cell r="D28" t="str">
            <v>J-01-03</v>
          </cell>
          <cell r="E28" t="str">
            <v>Ácido nalidíxico</v>
          </cell>
          <cell r="F28" t="str">
            <v>Suspensión</v>
          </cell>
          <cell r="G28" t="str">
            <v>125 mg/5 ml</v>
          </cell>
          <cell r="H28" t="str">
            <v>J01MB02</v>
          </cell>
          <cell r="I28"/>
          <cell r="J28">
            <v>20</v>
          </cell>
          <cell r="K28" t="str">
            <v>120 ML</v>
          </cell>
        </row>
        <row r="29">
          <cell r="D29" t="str">
            <v>J-04-11</v>
          </cell>
          <cell r="E29" t="str">
            <v>Acido p-aminosalicilico</v>
          </cell>
          <cell r="F29" t="str">
            <v>Polvo para solución oral</v>
          </cell>
          <cell r="G29" t="str">
            <v>4 g</v>
          </cell>
          <cell r="H29" t="str">
            <v>J04AA01</v>
          </cell>
          <cell r="I29"/>
          <cell r="J29">
            <v>14.33</v>
          </cell>
          <cell r="K29"/>
        </row>
        <row r="30">
          <cell r="D30" t="str">
            <v>D-01-01</v>
          </cell>
          <cell r="E30" t="str">
            <v>Ácido salicílico</v>
          </cell>
          <cell r="F30" t="str">
            <v>Solución tópica</v>
          </cell>
          <cell r="G30">
            <v>0.05</v>
          </cell>
          <cell r="H30" t="str">
            <v>D01AE12</v>
          </cell>
          <cell r="I30"/>
          <cell r="J30">
            <v>27.102499999999999</v>
          </cell>
          <cell r="K30"/>
        </row>
        <row r="31">
          <cell r="D31" t="str">
            <v>B-02-06</v>
          </cell>
          <cell r="E31" t="str">
            <v>Ácido Tranexámico</v>
          </cell>
          <cell r="F31" t="str">
            <v>Inyectable</v>
          </cell>
          <cell r="G31" t="str">
            <v xml:space="preserve">500 mg </v>
          </cell>
          <cell r="H31" t="str">
            <v>B02AA02</v>
          </cell>
          <cell r="I31" t="str">
            <v>R</v>
          </cell>
          <cell r="J31">
            <v>26.574285714285715</v>
          </cell>
          <cell r="K31"/>
        </row>
        <row r="32">
          <cell r="D32" t="str">
            <v>B-02-07</v>
          </cell>
          <cell r="E32" t="str">
            <v>Ácido Tranexámico</v>
          </cell>
          <cell r="F32" t="str">
            <v>Comprimido</v>
          </cell>
          <cell r="G32" t="str">
            <v>500 mg</v>
          </cell>
          <cell r="H32" t="str">
            <v>B02AA02</v>
          </cell>
          <cell r="I32"/>
          <cell r="J32">
            <v>10</v>
          </cell>
          <cell r="K32"/>
        </row>
        <row r="33">
          <cell r="D33" t="str">
            <v>A-05-01</v>
          </cell>
          <cell r="E33" t="str">
            <v>Ácido Ursodeoxicólico</v>
          </cell>
          <cell r="F33" t="str">
            <v>Cápsula</v>
          </cell>
          <cell r="G33" t="str">
            <v>250 mg</v>
          </cell>
          <cell r="H33" t="str">
            <v>A05AA02</v>
          </cell>
          <cell r="I33"/>
          <cell r="J33">
            <v>9.27</v>
          </cell>
          <cell r="K33"/>
        </row>
        <row r="34">
          <cell r="D34" t="str">
            <v>N-03-01</v>
          </cell>
          <cell r="E34" t="str">
            <v>Ácido Valpróico ó Valproato sódico</v>
          </cell>
          <cell r="F34" t="str">
            <v>Jarabe o Solución oral</v>
          </cell>
          <cell r="G34" t="str">
            <v>200 mg/5 ml</v>
          </cell>
          <cell r="H34" t="str">
            <v>N03AG01</v>
          </cell>
          <cell r="I34"/>
          <cell r="J34">
            <v>73.104666666666674</v>
          </cell>
          <cell r="K34" t="str">
            <v>40 ML</v>
          </cell>
        </row>
        <row r="35">
          <cell r="D35" t="str">
            <v>N-03-02</v>
          </cell>
          <cell r="E35" t="str">
            <v>Ácido Valpróico ó Valproato sódico</v>
          </cell>
          <cell r="F35" t="str">
            <v>Jarabe o Solución oral</v>
          </cell>
          <cell r="G35" t="str">
            <v>250 mg/5 ml</v>
          </cell>
          <cell r="H35" t="str">
            <v>N03AG01</v>
          </cell>
          <cell r="I35"/>
          <cell r="J35">
            <v>90.72</v>
          </cell>
          <cell r="K35" t="str">
            <v>100 ML</v>
          </cell>
        </row>
        <row r="36">
          <cell r="D36" t="str">
            <v>N-03-03</v>
          </cell>
          <cell r="E36" t="str">
            <v>Ácido Valpróico ó Valproato sódico</v>
          </cell>
          <cell r="F36" t="str">
            <v>Cápsula o Comprimido</v>
          </cell>
          <cell r="G36" t="str">
            <v>500 mg</v>
          </cell>
          <cell r="H36" t="str">
            <v>N03AG01</v>
          </cell>
          <cell r="I36"/>
          <cell r="J36">
            <v>3.9435555555555553</v>
          </cell>
          <cell r="K36"/>
        </row>
        <row r="37">
          <cell r="D37" t="str">
            <v>N-03-22</v>
          </cell>
          <cell r="E37" t="str">
            <v>Ácido Valpróico ó Valproato sódico</v>
          </cell>
          <cell r="F37" t="str">
            <v>Jarabe o Solución Oral</v>
          </cell>
          <cell r="G37" t="str">
            <v>200 mg/ml</v>
          </cell>
          <cell r="H37" t="str">
            <v>N03AG01</v>
          </cell>
          <cell r="I37"/>
          <cell r="J37">
            <v>99.06</v>
          </cell>
          <cell r="K37" t="str">
            <v>40 ML</v>
          </cell>
        </row>
        <row r="38">
          <cell r="D38" t="str">
            <v>M-05-04</v>
          </cell>
          <cell r="E38" t="str">
            <v>Ácido Zoledrónico</v>
          </cell>
          <cell r="F38" t="str">
            <v>Inyectable</v>
          </cell>
          <cell r="G38" t="str">
            <v>4 mg</v>
          </cell>
          <cell r="H38" t="str">
            <v>M05BA08</v>
          </cell>
          <cell r="I38" t="str">
            <v>R</v>
          </cell>
          <cell r="J38">
            <v>486.30916666666667</v>
          </cell>
          <cell r="K38"/>
        </row>
        <row r="39">
          <cell r="D39" t="str">
            <v>C-01-01</v>
          </cell>
          <cell r="E39" t="str">
            <v>Adenosina</v>
          </cell>
          <cell r="F39" t="str">
            <v>Inyectable</v>
          </cell>
          <cell r="G39" t="str">
            <v>6 mg/2 ml</v>
          </cell>
          <cell r="H39" t="str">
            <v>C01EB10</v>
          </cell>
          <cell r="I39"/>
          <cell r="J39">
            <v>85.39</v>
          </cell>
          <cell r="K39"/>
        </row>
        <row r="40">
          <cell r="D40" t="str">
            <v>B-05-12</v>
          </cell>
          <cell r="E40" t="str">
            <v>Agentes con gelatina</v>
          </cell>
          <cell r="F40" t="str">
            <v>Solución parenteral de gran volúmen</v>
          </cell>
          <cell r="G40" t="str">
            <v>Según disponibilidad</v>
          </cell>
          <cell r="H40" t="str">
            <v>B05AA06</v>
          </cell>
          <cell r="I40"/>
          <cell r="J40">
            <v>197.08875</v>
          </cell>
          <cell r="K40" t="str">
            <v>500 ML</v>
          </cell>
        </row>
        <row r="41">
          <cell r="D41" t="str">
            <v>B-05-01</v>
          </cell>
          <cell r="E41" t="str">
            <v>Agua para inyección</v>
          </cell>
          <cell r="F41" t="str">
            <v>Inyectable</v>
          </cell>
          <cell r="G41" t="str">
            <v>5 ml</v>
          </cell>
          <cell r="H41" t="str">
            <v>B05X**</v>
          </cell>
          <cell r="I41"/>
          <cell r="J41">
            <v>1</v>
          </cell>
          <cell r="K41"/>
        </row>
        <row r="42">
          <cell r="D42" t="str">
            <v>P-02-01</v>
          </cell>
          <cell r="E42" t="str">
            <v>Albendazol</v>
          </cell>
          <cell r="F42" t="str">
            <v>Comprimido</v>
          </cell>
          <cell r="G42" t="str">
            <v>200 mg</v>
          </cell>
          <cell r="H42" t="str">
            <v>P02CA03</v>
          </cell>
          <cell r="I42"/>
          <cell r="J42">
            <v>1.21</v>
          </cell>
          <cell r="K42"/>
        </row>
        <row r="43">
          <cell r="D43" t="str">
            <v>P-02-02</v>
          </cell>
          <cell r="E43" t="str">
            <v>Albendazol</v>
          </cell>
          <cell r="F43" t="str">
            <v>Suspensión</v>
          </cell>
          <cell r="G43" t="str">
            <v>200 mg/5 ml</v>
          </cell>
          <cell r="H43" t="str">
            <v>P02CA03</v>
          </cell>
          <cell r="I43"/>
          <cell r="J43">
            <v>9.81</v>
          </cell>
          <cell r="K43" t="str">
            <v>10 ML</v>
          </cell>
        </row>
        <row r="44">
          <cell r="D44" t="str">
            <v>B-05-02</v>
          </cell>
          <cell r="E44" t="str">
            <v>Albúmina humana</v>
          </cell>
          <cell r="F44" t="str">
            <v>Inyectable</v>
          </cell>
          <cell r="G44">
            <v>0.2</v>
          </cell>
          <cell r="H44" t="str">
            <v>B05AA01</v>
          </cell>
          <cell r="I44"/>
          <cell r="J44">
            <v>305</v>
          </cell>
          <cell r="K44"/>
        </row>
        <row r="45">
          <cell r="D45" t="str">
            <v>D-08-01</v>
          </cell>
          <cell r="E45" t="str">
            <v>Alcohol etílico (Etanol)</v>
          </cell>
          <cell r="F45" t="str">
            <v>Solución 1 l</v>
          </cell>
          <cell r="G45" t="str">
            <v>70% a 95%</v>
          </cell>
          <cell r="H45" t="str">
            <v>D08AX08</v>
          </cell>
          <cell r="I45"/>
          <cell r="J45">
            <v>22.68</v>
          </cell>
          <cell r="K45" t="str">
            <v>1 L</v>
          </cell>
        </row>
        <row r="46">
          <cell r="D46" t="str">
            <v>V-06-02</v>
          </cell>
          <cell r="E46" t="str">
            <v>Alimentos Terapéutico Listo para Uso (ATLU)</v>
          </cell>
          <cell r="F46" t="str">
            <v>Polvo, pasta o Granulado según disponibilidad</v>
          </cell>
          <cell r="G46" t="str">
            <v>Según concentración estándar</v>
          </cell>
          <cell r="H46" t="str">
            <v>V06DB**</v>
          </cell>
          <cell r="I46"/>
          <cell r="J46">
            <v>9.7152000000000012</v>
          </cell>
          <cell r="K46"/>
        </row>
        <row r="47">
          <cell r="D47" t="str">
            <v>M-04-01</v>
          </cell>
          <cell r="E47" t="str">
            <v>Alopurinol</v>
          </cell>
          <cell r="F47" t="str">
            <v>Comprimido</v>
          </cell>
          <cell r="G47" t="str">
            <v>300 mg</v>
          </cell>
          <cell r="H47" t="str">
            <v>M04AA01</v>
          </cell>
          <cell r="I47"/>
          <cell r="J47">
            <v>0.89</v>
          </cell>
          <cell r="K47"/>
        </row>
        <row r="48">
          <cell r="D48" t="str">
            <v>N-05-01</v>
          </cell>
          <cell r="E48" t="str">
            <v>Alprazolam</v>
          </cell>
          <cell r="F48" t="str">
            <v>Comprimido ranurado</v>
          </cell>
          <cell r="G48" t="str">
            <v>0,5 mg</v>
          </cell>
          <cell r="H48" t="str">
            <v>N05BA12</v>
          </cell>
          <cell r="I48"/>
          <cell r="J48">
            <v>0.94</v>
          </cell>
          <cell r="K48"/>
        </row>
        <row r="49">
          <cell r="D49" t="str">
            <v>J-02-01</v>
          </cell>
          <cell r="E49" t="str">
            <v>Amfotericina B</v>
          </cell>
          <cell r="F49" t="str">
            <v>Inyectable</v>
          </cell>
          <cell r="G49" t="str">
            <v>50 mg</v>
          </cell>
          <cell r="H49" t="str">
            <v>J02AA01</v>
          </cell>
          <cell r="I49"/>
          <cell r="J49">
            <v>135.97175900000002</v>
          </cell>
          <cell r="K49"/>
        </row>
        <row r="50">
          <cell r="D50" t="str">
            <v>J-01-04</v>
          </cell>
          <cell r="E50" t="str">
            <v>Amikacina</v>
          </cell>
          <cell r="F50" t="str">
            <v>Inyectable</v>
          </cell>
          <cell r="G50" t="str">
            <v>500mg /2 ml</v>
          </cell>
          <cell r="H50" t="str">
            <v>J01GB06</v>
          </cell>
          <cell r="I50"/>
          <cell r="J50">
            <v>6.17</v>
          </cell>
          <cell r="K50" t="str">
            <v>2 ML</v>
          </cell>
        </row>
        <row r="51">
          <cell r="D51" t="str">
            <v>B-05-03</v>
          </cell>
          <cell r="E51" t="str">
            <v>Aminoácidos</v>
          </cell>
          <cell r="F51" t="str">
            <v>Solución parenteral de gran volumen</v>
          </cell>
          <cell r="G51">
            <v>0.1</v>
          </cell>
          <cell r="H51" t="str">
            <v>B05BA01</v>
          </cell>
          <cell r="I51"/>
          <cell r="J51">
            <v>161.05000000000001</v>
          </cell>
          <cell r="K51" t="str">
            <v xml:space="preserve"> 500ML</v>
          </cell>
        </row>
        <row r="52">
          <cell r="D52" t="str">
            <v>R-03-01</v>
          </cell>
          <cell r="E52" t="str">
            <v>Aminofilina</v>
          </cell>
          <cell r="F52" t="str">
            <v>Inyectable</v>
          </cell>
          <cell r="G52" t="str">
            <v>250 mg / 10 ml</v>
          </cell>
          <cell r="H52" t="str">
            <v>R03DA05</v>
          </cell>
          <cell r="I52"/>
          <cell r="J52">
            <v>8.1245238095238097</v>
          </cell>
          <cell r="K52"/>
        </row>
        <row r="53">
          <cell r="D53" t="str">
            <v>R-03-02</v>
          </cell>
          <cell r="E53" t="str">
            <v>Aminofilina</v>
          </cell>
          <cell r="F53" t="str">
            <v>Comprimido</v>
          </cell>
          <cell r="G53" t="str">
            <v>200 mg</v>
          </cell>
          <cell r="H53" t="str">
            <v>R03DA05</v>
          </cell>
          <cell r="I53"/>
          <cell r="J53">
            <v>1</v>
          </cell>
          <cell r="K53"/>
        </row>
        <row r="54">
          <cell r="D54" t="str">
            <v>C-01-02</v>
          </cell>
          <cell r="E54" t="str">
            <v>Amiodarona (clorhidrato)</v>
          </cell>
          <cell r="F54" t="str">
            <v>Comprimido</v>
          </cell>
          <cell r="G54" t="str">
            <v>200 mg</v>
          </cell>
          <cell r="H54" t="str">
            <v>C01BD01</v>
          </cell>
          <cell r="I54"/>
          <cell r="J54">
            <v>2.57</v>
          </cell>
          <cell r="K54"/>
        </row>
        <row r="55">
          <cell r="D55" t="str">
            <v>C-01-03</v>
          </cell>
          <cell r="E55" t="str">
            <v>Amiodarona (clorhidrato)</v>
          </cell>
          <cell r="F55" t="str">
            <v>Inyectable</v>
          </cell>
          <cell r="G55" t="str">
            <v>50 mg/ml</v>
          </cell>
          <cell r="H55" t="str">
            <v>C01BD01</v>
          </cell>
          <cell r="I55"/>
          <cell r="J55">
            <v>7.01</v>
          </cell>
          <cell r="K55"/>
        </row>
        <row r="56">
          <cell r="D56" t="str">
            <v>N-06-01</v>
          </cell>
          <cell r="E56" t="str">
            <v>Amitriptilina</v>
          </cell>
          <cell r="F56" t="str">
            <v>Comprimido ranurado</v>
          </cell>
          <cell r="G56" t="str">
            <v>25 mg</v>
          </cell>
          <cell r="H56" t="str">
            <v>N06AA09</v>
          </cell>
          <cell r="I56"/>
          <cell r="J56">
            <v>0.47</v>
          </cell>
          <cell r="K56"/>
        </row>
        <row r="57">
          <cell r="D57" t="str">
            <v>C-08-07</v>
          </cell>
          <cell r="E57" t="str">
            <v>Amlodipina</v>
          </cell>
          <cell r="F57" t="str">
            <v>Comprimido</v>
          </cell>
          <cell r="G57" t="str">
            <v>10 mg</v>
          </cell>
          <cell r="H57" t="str">
            <v>C08CA01</v>
          </cell>
          <cell r="I57"/>
          <cell r="J57">
            <v>0.63</v>
          </cell>
          <cell r="K57"/>
        </row>
        <row r="58">
          <cell r="D58" t="str">
            <v>J-01-05</v>
          </cell>
          <cell r="E58" t="str">
            <v>Amoxicilina</v>
          </cell>
          <cell r="F58" t="str">
            <v>Comprimido</v>
          </cell>
          <cell r="G58" t="str">
            <v>1 g</v>
          </cell>
          <cell r="H58" t="str">
            <v>J01CA04</v>
          </cell>
          <cell r="I58"/>
          <cell r="J58">
            <v>1.22</v>
          </cell>
          <cell r="K58" t="str">
            <v>1 G</v>
          </cell>
        </row>
        <row r="59">
          <cell r="D59" t="str">
            <v>J-01-06</v>
          </cell>
          <cell r="E59" t="str">
            <v>Amoxicilina</v>
          </cell>
          <cell r="F59" t="str">
            <v>Comprimido</v>
          </cell>
          <cell r="G59" t="str">
            <v>500 mg</v>
          </cell>
          <cell r="H59" t="str">
            <v>J01CA05</v>
          </cell>
          <cell r="I59"/>
          <cell r="J59">
            <v>0.57999999999999996</v>
          </cell>
          <cell r="K59"/>
        </row>
        <row r="60">
          <cell r="D60" t="str">
            <v>J-01-08</v>
          </cell>
          <cell r="E60" t="str">
            <v>Amoxicilina</v>
          </cell>
          <cell r="F60" t="str">
            <v>Inyectable</v>
          </cell>
          <cell r="G60" t="str">
            <v>1 g</v>
          </cell>
          <cell r="H60" t="str">
            <v>J01CA06</v>
          </cell>
          <cell r="I60"/>
          <cell r="J60">
            <v>8.08</v>
          </cell>
          <cell r="K60"/>
        </row>
        <row r="61">
          <cell r="D61" t="str">
            <v>J-01-57</v>
          </cell>
          <cell r="E61" t="str">
            <v>Amoxicilina</v>
          </cell>
          <cell r="F61" t="str">
            <v>Suspensión</v>
          </cell>
          <cell r="G61" t="str">
            <v>500 mg/5 ml</v>
          </cell>
          <cell r="H61" t="str">
            <v>J01CA07</v>
          </cell>
          <cell r="I61"/>
          <cell r="J61">
            <v>12.72</v>
          </cell>
          <cell r="K61" t="str">
            <v>60 ML</v>
          </cell>
        </row>
        <row r="62">
          <cell r="D62" t="str">
            <v>J-01-09</v>
          </cell>
          <cell r="E62" t="str">
            <v>Amoxicilina + inhibidor betalactamasa</v>
          </cell>
          <cell r="F62" t="str">
            <v>Comprimido</v>
          </cell>
          <cell r="G62" t="str">
            <v>500 mg + Según disponibilidad</v>
          </cell>
          <cell r="H62" t="str">
            <v>J01CR02</v>
          </cell>
          <cell r="I62"/>
          <cell r="J62">
            <v>6.36</v>
          </cell>
          <cell r="K62" t="str">
            <v>500 MG/125 MG</v>
          </cell>
        </row>
        <row r="63">
          <cell r="D63" t="str">
            <v>J-01-10</v>
          </cell>
          <cell r="E63" t="str">
            <v>Amoxicilina + inhibidor betalactamasa</v>
          </cell>
          <cell r="F63" t="str">
            <v>Suspensión</v>
          </cell>
          <cell r="G63" t="str">
            <v>250 mg + Según disponibilidad</v>
          </cell>
          <cell r="H63" t="str">
            <v>J01CR02</v>
          </cell>
          <cell r="I63"/>
          <cell r="J63">
            <v>56.36</v>
          </cell>
          <cell r="K63" t="str">
            <v>100 ML</v>
          </cell>
        </row>
        <row r="64">
          <cell r="D64" t="str">
            <v>J-01-11</v>
          </cell>
          <cell r="E64" t="str">
            <v>Amoxicilina + inhibidor betalactamasa</v>
          </cell>
          <cell r="F64" t="str">
            <v>Inyectable</v>
          </cell>
          <cell r="G64" t="str">
            <v>1 g + Según disponibilidad</v>
          </cell>
          <cell r="H64" t="str">
            <v>J01CR02</v>
          </cell>
          <cell r="I64"/>
          <cell r="J64">
            <v>24.11</v>
          </cell>
          <cell r="K64" t="str">
            <v>1 G + 500 MG</v>
          </cell>
        </row>
        <row r="65">
          <cell r="D65" t="str">
            <v>J-01-71</v>
          </cell>
          <cell r="E65" t="str">
            <v>Amoxicilina + inhibidor betalactamasa</v>
          </cell>
          <cell r="F65" t="str">
            <v>Comprimido</v>
          </cell>
          <cell r="G65" t="str">
            <v>875 mg + Según disponibilidad</v>
          </cell>
          <cell r="H65" t="str">
            <v>J01CR03</v>
          </cell>
          <cell r="I65"/>
          <cell r="J65">
            <v>6.9</v>
          </cell>
          <cell r="K65"/>
        </row>
        <row r="66">
          <cell r="D66" t="str">
            <v>J-01-12</v>
          </cell>
          <cell r="E66" t="str">
            <v>Ampicilina</v>
          </cell>
          <cell r="F66" t="str">
            <v>Inyectable</v>
          </cell>
          <cell r="G66" t="str">
            <v>1 g</v>
          </cell>
          <cell r="H66" t="str">
            <v>J01CA01</v>
          </cell>
          <cell r="I66"/>
          <cell r="J66">
            <v>5</v>
          </cell>
          <cell r="K66"/>
        </row>
        <row r="67">
          <cell r="D67" t="str">
            <v>L-02-01</v>
          </cell>
          <cell r="E67" t="str">
            <v>Anastrozol</v>
          </cell>
          <cell r="F67" t="str">
            <v>Comprimido</v>
          </cell>
          <cell r="G67" t="str">
            <v>1 mg</v>
          </cell>
          <cell r="H67" t="str">
            <v>L02BG03</v>
          </cell>
          <cell r="I67"/>
          <cell r="J67">
            <v>10.448809523809524</v>
          </cell>
          <cell r="K67"/>
        </row>
        <row r="68">
          <cell r="D68" t="str">
            <v>R-05-01</v>
          </cell>
          <cell r="E68" t="str">
            <v>Antigripal (Paracetamol + Antihistamínico + Vasoconstrictor con o sin Cafeína)</v>
          </cell>
          <cell r="F68" t="str">
            <v>Comprimido</v>
          </cell>
          <cell r="G68" t="str">
            <v>Según disponibilidad</v>
          </cell>
          <cell r="H68" t="str">
            <v>R05X**</v>
          </cell>
          <cell r="I68"/>
          <cell r="J68">
            <v>0.54</v>
          </cell>
          <cell r="K68"/>
        </row>
        <row r="69">
          <cell r="D69" t="str">
            <v>J-06-01</v>
          </cell>
          <cell r="E69" t="str">
            <v>Antitóxina tetánica</v>
          </cell>
          <cell r="F69" t="str">
            <v>Inyectable</v>
          </cell>
          <cell r="G69" t="str">
            <v>Norma PAI según disponibilidad</v>
          </cell>
          <cell r="H69" t="str">
            <v>J06AA02</v>
          </cell>
          <cell r="I69"/>
          <cell r="J69">
            <v>50.24</v>
          </cell>
          <cell r="K69"/>
        </row>
        <row r="70">
          <cell r="D70" t="str">
            <v>N-05-15</v>
          </cell>
          <cell r="E70" t="str">
            <v>Aripiprazol</v>
          </cell>
          <cell r="F70" t="str">
            <v>Comprimido</v>
          </cell>
          <cell r="G70" t="str">
            <v>10 mg</v>
          </cell>
          <cell r="H70" t="str">
            <v>N05AX12</v>
          </cell>
          <cell r="I70" t="str">
            <v>R</v>
          </cell>
          <cell r="J70">
            <v>9.2650000000000006</v>
          </cell>
          <cell r="K70"/>
        </row>
        <row r="71">
          <cell r="D71" t="str">
            <v>N-05-16</v>
          </cell>
          <cell r="E71" t="str">
            <v>Aripiprazol</v>
          </cell>
          <cell r="F71" t="str">
            <v>Comprimido</v>
          </cell>
          <cell r="G71" t="str">
            <v>15 mg</v>
          </cell>
          <cell r="H71" t="str">
            <v>N05AX12</v>
          </cell>
          <cell r="I71" t="str">
            <v>R</v>
          </cell>
          <cell r="J71">
            <v>11.342499999999999</v>
          </cell>
          <cell r="K71"/>
        </row>
        <row r="72">
          <cell r="D72" t="str">
            <v>P-01-23</v>
          </cell>
          <cell r="E72" t="str">
            <v>Artemeter + Lumefantrina</v>
          </cell>
          <cell r="F72" t="str">
            <v>Comprimido</v>
          </cell>
          <cell r="G72" t="str">
            <v>20 mg + 120 mg</v>
          </cell>
          <cell r="H72" t="str">
            <v>P01BF01</v>
          </cell>
          <cell r="I72"/>
          <cell r="J72">
            <v>0.3</v>
          </cell>
          <cell r="K72"/>
        </row>
        <row r="73">
          <cell r="D73" t="str">
            <v>P-01-01</v>
          </cell>
          <cell r="E73" t="str">
            <v>Artesunato</v>
          </cell>
          <cell r="F73" t="str">
            <v>Comprimido</v>
          </cell>
          <cell r="G73" t="str">
            <v>50 mg</v>
          </cell>
          <cell r="H73" t="str">
            <v>P01BE03</v>
          </cell>
          <cell r="I73"/>
          <cell r="J73">
            <v>3.67</v>
          </cell>
          <cell r="K73"/>
        </row>
        <row r="74">
          <cell r="D74" t="str">
            <v>P-01-24</v>
          </cell>
          <cell r="E74" t="str">
            <v xml:space="preserve">Artesunato </v>
          </cell>
          <cell r="F74" t="str">
            <v>Inyectable</v>
          </cell>
          <cell r="G74" t="str">
            <v>60 mg</v>
          </cell>
          <cell r="H74" t="str">
            <v>P01BE03</v>
          </cell>
          <cell r="I74"/>
          <cell r="J74">
            <v>3.31</v>
          </cell>
          <cell r="K74"/>
        </row>
        <row r="75">
          <cell r="D75" t="str">
            <v>P-01-21</v>
          </cell>
          <cell r="E75" t="str">
            <v>Artesunato + Mefloquina</v>
          </cell>
          <cell r="F75" t="str">
            <v>Comprimido</v>
          </cell>
          <cell r="G75" t="str">
            <v>25 mg + 55 mg</v>
          </cell>
          <cell r="H75" t="str">
            <v>P01BE03</v>
          </cell>
          <cell r="I75"/>
          <cell r="J75">
            <v>1.1499999999999999</v>
          </cell>
          <cell r="K75"/>
        </row>
        <row r="76">
          <cell r="D76" t="str">
            <v>P-01-22</v>
          </cell>
          <cell r="E76" t="str">
            <v>Artesunato + Mefloquina</v>
          </cell>
          <cell r="F76" t="str">
            <v>Comprimido</v>
          </cell>
          <cell r="G76" t="str">
            <v>100 mg + 220 mg</v>
          </cell>
          <cell r="H76" t="str">
            <v>P01BE03</v>
          </cell>
          <cell r="I76"/>
          <cell r="J76">
            <v>2.33</v>
          </cell>
          <cell r="K76"/>
        </row>
        <row r="77">
          <cell r="D77" t="str">
            <v>L-01-21</v>
          </cell>
          <cell r="E77" t="str">
            <v>Asparaginasa</v>
          </cell>
          <cell r="F77" t="str">
            <v>Inyectable</v>
          </cell>
          <cell r="G77" t="str">
            <v>10.000 UI</v>
          </cell>
          <cell r="H77" t="str">
            <v>L01XX02</v>
          </cell>
          <cell r="I77"/>
          <cell r="J77">
            <v>1626.2474999999999</v>
          </cell>
          <cell r="K77"/>
        </row>
        <row r="78">
          <cell r="D78" t="str">
            <v>J-05-31</v>
          </cell>
          <cell r="E78" t="str">
            <v>Atazanavir (sulfato)</v>
          </cell>
          <cell r="F78" t="str">
            <v>Cápsula o Comprimido</v>
          </cell>
          <cell r="G78" t="str">
            <v>300 mg</v>
          </cell>
          <cell r="H78" t="str">
            <v>J05AE08</v>
          </cell>
          <cell r="I78" t="str">
            <v>R</v>
          </cell>
          <cell r="J78">
            <v>7.47</v>
          </cell>
          <cell r="K78"/>
        </row>
        <row r="79">
          <cell r="D79" t="str">
            <v>J-05-39</v>
          </cell>
          <cell r="E79" t="str">
            <v>Atazanavir + Ritonavir</v>
          </cell>
          <cell r="F79" t="str">
            <v>Cápsula o Comprimido</v>
          </cell>
          <cell r="G79" t="str">
            <v>300 mg + 100 mg</v>
          </cell>
          <cell r="H79" t="str">
            <v>J05AR**</v>
          </cell>
          <cell r="I79"/>
          <cell r="J79">
            <v>6.07</v>
          </cell>
          <cell r="K79"/>
        </row>
        <row r="80">
          <cell r="D80" t="str">
            <v>C-07-01</v>
          </cell>
          <cell r="E80" t="str">
            <v>Atenolol</v>
          </cell>
          <cell r="F80" t="str">
            <v>Comprimido ranurado</v>
          </cell>
          <cell r="G80" t="str">
            <v>100 mg</v>
          </cell>
          <cell r="H80" t="str">
            <v>C07AB03</v>
          </cell>
          <cell r="I80"/>
          <cell r="J80">
            <v>0.57999999999999996</v>
          </cell>
          <cell r="K80"/>
        </row>
        <row r="81">
          <cell r="D81" t="str">
            <v>C-10-01</v>
          </cell>
          <cell r="E81" t="str">
            <v>Atorvastatina</v>
          </cell>
          <cell r="F81" t="str">
            <v>Comprimido</v>
          </cell>
          <cell r="G81" t="str">
            <v>10 mg</v>
          </cell>
          <cell r="H81" t="str">
            <v>C10AA05</v>
          </cell>
          <cell r="I81"/>
          <cell r="J81">
            <v>0.97</v>
          </cell>
          <cell r="K81"/>
        </row>
        <row r="82">
          <cell r="D82" t="str">
            <v>C-10-05</v>
          </cell>
          <cell r="E82" t="str">
            <v>Atorvastatina</v>
          </cell>
          <cell r="F82" t="str">
            <v>Comprimido</v>
          </cell>
          <cell r="G82" t="str">
            <v>20 mg</v>
          </cell>
          <cell r="H82" t="str">
            <v>C10AA05</v>
          </cell>
          <cell r="I82"/>
          <cell r="J82">
            <v>1.17</v>
          </cell>
          <cell r="K82"/>
        </row>
        <row r="83">
          <cell r="D83" t="str">
            <v>M-03-01</v>
          </cell>
          <cell r="E83" t="str">
            <v>Atracurio besilato</v>
          </cell>
          <cell r="F83" t="str">
            <v>Inyectable</v>
          </cell>
          <cell r="G83" t="str">
            <v>10 mg/ml</v>
          </cell>
          <cell r="H83" t="str">
            <v>M03AC04</v>
          </cell>
          <cell r="I83"/>
          <cell r="J83">
            <v>27</v>
          </cell>
          <cell r="K83"/>
        </row>
        <row r="84">
          <cell r="D84" t="str">
            <v>A-03-01</v>
          </cell>
          <cell r="E84" t="str">
            <v>Atropina sulfato</v>
          </cell>
          <cell r="F84" t="str">
            <v>Inyectable</v>
          </cell>
          <cell r="G84" t="str">
            <v>1 mg/ml</v>
          </cell>
          <cell r="H84" t="str">
            <v>A03BA01</v>
          </cell>
          <cell r="I84"/>
          <cell r="J84">
            <v>3.63</v>
          </cell>
          <cell r="K84"/>
        </row>
        <row r="85">
          <cell r="D85" t="str">
            <v>S-01-02</v>
          </cell>
          <cell r="E85" t="str">
            <v>Atropina sulfato</v>
          </cell>
          <cell r="F85" t="str">
            <v>Solución oftálmica</v>
          </cell>
          <cell r="G85">
            <v>0.01</v>
          </cell>
          <cell r="H85" t="str">
            <v>S01FA01</v>
          </cell>
          <cell r="I85"/>
          <cell r="J85">
            <v>29.6</v>
          </cell>
          <cell r="K85"/>
        </row>
        <row r="86">
          <cell r="D86" t="str">
            <v>L-04-01</v>
          </cell>
          <cell r="E86" t="str">
            <v>Azatioprina</v>
          </cell>
          <cell r="F86" t="str">
            <v>Comprimido</v>
          </cell>
          <cell r="G86" t="str">
            <v>50 mg</v>
          </cell>
          <cell r="H86" t="str">
            <v>L04AX01</v>
          </cell>
          <cell r="I86"/>
          <cell r="J86">
            <v>3.3867857142857138</v>
          </cell>
          <cell r="K86"/>
        </row>
        <row r="87">
          <cell r="D87" t="str">
            <v>L-04-02</v>
          </cell>
          <cell r="E87" t="str">
            <v>Azatioprina</v>
          </cell>
          <cell r="F87" t="str">
            <v>Inyectable</v>
          </cell>
          <cell r="G87" t="str">
            <v>20 mg/ml</v>
          </cell>
          <cell r="H87" t="str">
            <v>L04AX01</v>
          </cell>
          <cell r="I87"/>
          <cell r="J87">
            <v>214.77</v>
          </cell>
          <cell r="K87"/>
        </row>
        <row r="88">
          <cell r="D88" t="str">
            <v>J-01-13</v>
          </cell>
          <cell r="E88" t="str">
            <v>Azitromicina</v>
          </cell>
          <cell r="F88" t="str">
            <v>Comprimido</v>
          </cell>
          <cell r="G88" t="str">
            <v>500 mg</v>
          </cell>
          <cell r="H88" t="str">
            <v>J01FA10</v>
          </cell>
          <cell r="I88"/>
          <cell r="J88">
            <v>5.56</v>
          </cell>
          <cell r="K88"/>
        </row>
        <row r="89">
          <cell r="D89" t="str">
            <v>J-01-62</v>
          </cell>
          <cell r="E89" t="str">
            <v>Azitromicina</v>
          </cell>
          <cell r="F89" t="str">
            <v>Suspensión</v>
          </cell>
          <cell r="G89" t="str">
            <v>200 mg/5 ml</v>
          </cell>
          <cell r="H89" t="str">
            <v>J01FA10</v>
          </cell>
          <cell r="I89"/>
          <cell r="J89">
            <v>32.11</v>
          </cell>
          <cell r="K89" t="str">
            <v>30 ML</v>
          </cell>
        </row>
        <row r="90">
          <cell r="D90" t="str">
            <v>D-01-02</v>
          </cell>
          <cell r="E90" t="str">
            <v>Bacitracina + Neomicina sulfato</v>
          </cell>
          <cell r="F90" t="str">
            <v>Crema o Pomada</v>
          </cell>
          <cell r="G90" t="str">
            <v>500 UI + 5 mg/g</v>
          </cell>
          <cell r="H90" t="str">
            <v>D01AA20</v>
          </cell>
          <cell r="I90"/>
          <cell r="J90">
            <v>6.9</v>
          </cell>
          <cell r="K90" t="str">
            <v>10 G</v>
          </cell>
        </row>
        <row r="91">
          <cell r="D91" t="str">
            <v>L-04-09</v>
          </cell>
          <cell r="E91" t="str">
            <v>Basiliximab</v>
          </cell>
          <cell r="F91" t="str">
            <v>Polvo para inyectable</v>
          </cell>
          <cell r="G91" t="str">
            <v>20 mg</v>
          </cell>
          <cell r="H91" t="str">
            <v>L04AA09</v>
          </cell>
          <cell r="I91" t="str">
            <v>R</v>
          </cell>
          <cell r="J91">
            <v>16013.62</v>
          </cell>
          <cell r="K91"/>
        </row>
        <row r="92">
          <cell r="D92" t="str">
            <v>R-03-03</v>
          </cell>
          <cell r="E92" t="str">
            <v>Beclometasona dipropionato</v>
          </cell>
          <cell r="F92" t="str">
            <v>Aerosol</v>
          </cell>
          <cell r="G92" t="str">
            <v>50 mcg/inhalación</v>
          </cell>
          <cell r="H92" t="str">
            <v>R03BA01</v>
          </cell>
          <cell r="I92"/>
          <cell r="J92">
            <v>67.691000000000003</v>
          </cell>
          <cell r="K92" t="str">
            <v>200 dósis</v>
          </cell>
        </row>
        <row r="93">
          <cell r="D93" t="str">
            <v>J-04-18</v>
          </cell>
          <cell r="E93" t="str">
            <v xml:space="preserve">Bedaquilina </v>
          </cell>
          <cell r="F93" t="str">
            <v xml:space="preserve">Comprimido </v>
          </cell>
          <cell r="G93" t="str">
            <v>100 mg</v>
          </cell>
          <cell r="H93" t="str">
            <v>J04AK05</v>
          </cell>
          <cell r="I93"/>
          <cell r="J93">
            <v>53.05</v>
          </cell>
          <cell r="K93"/>
        </row>
        <row r="94">
          <cell r="D94" t="str">
            <v>J-01-14</v>
          </cell>
          <cell r="E94" t="str">
            <v>Bencilpenicilina benzatínica</v>
          </cell>
          <cell r="F94" t="str">
            <v>Inyectable</v>
          </cell>
          <cell r="G94" t="str">
            <v>600.000 UI</v>
          </cell>
          <cell r="H94" t="str">
            <v>J01CE08</v>
          </cell>
          <cell r="I94"/>
          <cell r="J94">
            <v>5.09</v>
          </cell>
          <cell r="K94"/>
        </row>
        <row r="95">
          <cell r="D95" t="str">
            <v>J-01-15</v>
          </cell>
          <cell r="E95" t="str">
            <v>Bencilpenicilina benzatínica</v>
          </cell>
          <cell r="F95" t="str">
            <v>Inyectable</v>
          </cell>
          <cell r="G95" t="str">
            <v>1.200.000 UI</v>
          </cell>
          <cell r="H95" t="str">
            <v>J01CE09</v>
          </cell>
          <cell r="I95"/>
          <cell r="J95">
            <v>6</v>
          </cell>
          <cell r="K95"/>
        </row>
        <row r="96">
          <cell r="D96" t="str">
            <v>J-01-16</v>
          </cell>
          <cell r="E96" t="str">
            <v>Bencilpenicilina benzatínica</v>
          </cell>
          <cell r="F96" t="str">
            <v>Inyectable</v>
          </cell>
          <cell r="G96" t="str">
            <v>2.400.000 UI</v>
          </cell>
          <cell r="H96" t="str">
            <v>J01CE10</v>
          </cell>
          <cell r="I96"/>
          <cell r="J96">
            <v>11.22</v>
          </cell>
          <cell r="K96"/>
        </row>
        <row r="97">
          <cell r="D97" t="str">
            <v>J-01-17</v>
          </cell>
          <cell r="E97" t="str">
            <v>Bencilpenicilina procaínica</v>
          </cell>
          <cell r="F97" t="str">
            <v>Inyectable</v>
          </cell>
          <cell r="G97" t="str">
            <v>400.000 UI</v>
          </cell>
          <cell r="H97" t="str">
            <v>J01CE09</v>
          </cell>
          <cell r="I97"/>
          <cell r="J97">
            <v>5.83</v>
          </cell>
          <cell r="K97"/>
        </row>
        <row r="98">
          <cell r="D98" t="str">
            <v>J-01-18</v>
          </cell>
          <cell r="E98" t="str">
            <v>Bencilpenicilina procaínica</v>
          </cell>
          <cell r="F98" t="str">
            <v>Inyectable</v>
          </cell>
          <cell r="G98" t="str">
            <v>800.000 UI</v>
          </cell>
          <cell r="H98" t="str">
            <v>J01CE10</v>
          </cell>
          <cell r="I98"/>
          <cell r="J98">
            <v>6.84</v>
          </cell>
          <cell r="K98"/>
        </row>
        <row r="99">
          <cell r="D99" t="str">
            <v>J-01-19</v>
          </cell>
          <cell r="E99" t="str">
            <v>Bencilpenicilina sódica</v>
          </cell>
          <cell r="F99" t="str">
            <v>Inyectable</v>
          </cell>
          <cell r="G99" t="str">
            <v>1.000.000 UI</v>
          </cell>
          <cell r="H99" t="str">
            <v>J01CE01</v>
          </cell>
          <cell r="I99"/>
          <cell r="J99">
            <v>5.4</v>
          </cell>
          <cell r="K99"/>
        </row>
        <row r="100">
          <cell r="D100" t="str">
            <v>J-01-20</v>
          </cell>
          <cell r="E100" t="str">
            <v>Bencilpenicilina sódica</v>
          </cell>
          <cell r="F100" t="str">
            <v>Inyectable</v>
          </cell>
          <cell r="G100" t="str">
            <v>30.000.000 UI</v>
          </cell>
          <cell r="H100" t="str">
            <v>J01CE01</v>
          </cell>
          <cell r="I100"/>
          <cell r="J100">
            <v>35.6</v>
          </cell>
          <cell r="K100"/>
        </row>
        <row r="101">
          <cell r="D101" t="str">
            <v>P-01-02</v>
          </cell>
          <cell r="E101" t="str">
            <v>Benznidazol</v>
          </cell>
          <cell r="F101" t="str">
            <v>Comprimido</v>
          </cell>
          <cell r="G101" t="str">
            <v>100 mg</v>
          </cell>
          <cell r="H101" t="str">
            <v>P01CA02</v>
          </cell>
          <cell r="I101"/>
          <cell r="J101">
            <v>8.5350000000000001</v>
          </cell>
          <cell r="K101"/>
        </row>
        <row r="102">
          <cell r="D102" t="str">
            <v>P-01-25</v>
          </cell>
          <cell r="E102" t="str">
            <v>Benznidazol</v>
          </cell>
          <cell r="F102" t="str">
            <v>Comprimido</v>
          </cell>
          <cell r="G102" t="str">
            <v>12,5 mg</v>
          </cell>
          <cell r="H102" t="str">
            <v>P01CA02</v>
          </cell>
          <cell r="I102"/>
          <cell r="J102">
            <v>1.07</v>
          </cell>
          <cell r="K102"/>
        </row>
        <row r="103">
          <cell r="D103" t="str">
            <v>P-01-28</v>
          </cell>
          <cell r="E103" t="str">
            <v>Benznidazol</v>
          </cell>
          <cell r="F103" t="str">
            <v>Comprimido</v>
          </cell>
          <cell r="G103" t="str">
            <v>50 mg</v>
          </cell>
          <cell r="H103" t="str">
            <v>P01CA02</v>
          </cell>
          <cell r="I103"/>
          <cell r="J103">
            <v>4.1500000000000004</v>
          </cell>
          <cell r="K103"/>
        </row>
        <row r="104">
          <cell r="D104" t="str">
            <v>P-03-01</v>
          </cell>
          <cell r="E104" t="str">
            <v>Benzoato de bencilo</v>
          </cell>
          <cell r="F104" t="str">
            <v>Solución o Loción</v>
          </cell>
          <cell r="G104" t="str">
            <v>20% o 25%</v>
          </cell>
          <cell r="H104" t="str">
            <v>P03AX01</v>
          </cell>
          <cell r="I104"/>
          <cell r="J104">
            <v>9.3800000000000008</v>
          </cell>
          <cell r="K104" t="str">
            <v>100 ML</v>
          </cell>
        </row>
        <row r="105">
          <cell r="D105" t="str">
            <v>H-02-01</v>
          </cell>
          <cell r="E105" t="str">
            <v>Betametasona (fosfato)</v>
          </cell>
          <cell r="F105" t="str">
            <v>Inyectable</v>
          </cell>
          <cell r="G105" t="str">
            <v>4 mg</v>
          </cell>
          <cell r="H105" t="str">
            <v>H02AB01</v>
          </cell>
          <cell r="I105"/>
          <cell r="J105">
            <v>6.5</v>
          </cell>
          <cell r="K105"/>
        </row>
        <row r="106">
          <cell r="D106" t="str">
            <v>D-07-01</v>
          </cell>
          <cell r="E106" t="str">
            <v>Betametasona (valerato)</v>
          </cell>
          <cell r="F106" t="str">
            <v>Crema o Pomada</v>
          </cell>
          <cell r="G106" t="str">
            <v>0,1%</v>
          </cell>
          <cell r="H106" t="str">
            <v>D07AC01</v>
          </cell>
          <cell r="I106"/>
          <cell r="J106">
            <v>9.48</v>
          </cell>
          <cell r="K106" t="str">
            <v>15 G</v>
          </cell>
        </row>
        <row r="107">
          <cell r="D107" t="str">
            <v>L-01-36</v>
          </cell>
          <cell r="E107" t="str">
            <v>Bevacizumab</v>
          </cell>
          <cell r="F107" t="str">
            <v>Inyectable</v>
          </cell>
          <cell r="G107" t="str">
            <v>25 mg/ml</v>
          </cell>
          <cell r="H107" t="str">
            <v>L01XC07</v>
          </cell>
          <cell r="I107"/>
          <cell r="J107">
            <v>5782.7371250000006</v>
          </cell>
          <cell r="K107"/>
        </row>
        <row r="108">
          <cell r="D108" t="str">
            <v>L-02-12</v>
          </cell>
          <cell r="E108" t="str">
            <v>Bicalutamida</v>
          </cell>
          <cell r="F108" t="str">
            <v>Comprimido</v>
          </cell>
          <cell r="G108" t="str">
            <v>50 mg</v>
          </cell>
          <cell r="H108" t="str">
            <v>L02BB03</v>
          </cell>
          <cell r="I108" t="str">
            <v>R</v>
          </cell>
          <cell r="J108">
            <v>8.33</v>
          </cell>
          <cell r="K108"/>
        </row>
        <row r="109">
          <cell r="D109" t="str">
            <v>A-01-01</v>
          </cell>
          <cell r="E109" t="str">
            <v>Bicarbonato de sodio</v>
          </cell>
          <cell r="F109" t="str">
            <v>Polvo</v>
          </cell>
          <cell r="G109" t="str">
            <v>20 g</v>
          </cell>
          <cell r="H109" t="str">
            <v>A01AB11</v>
          </cell>
          <cell r="I109"/>
          <cell r="J109">
            <v>2.11</v>
          </cell>
          <cell r="K109"/>
        </row>
        <row r="110">
          <cell r="D110" t="str">
            <v>B-05-04</v>
          </cell>
          <cell r="E110" t="str">
            <v>Bicarbonato de sodio</v>
          </cell>
          <cell r="F110" t="str">
            <v>Inyectable</v>
          </cell>
          <cell r="G110">
            <v>0.08</v>
          </cell>
          <cell r="H110" t="str">
            <v>B05XA02</v>
          </cell>
          <cell r="I110"/>
          <cell r="J110">
            <v>8.06</v>
          </cell>
          <cell r="K110"/>
        </row>
        <row r="111">
          <cell r="D111" t="str">
            <v>B-05-05</v>
          </cell>
          <cell r="E111" t="str">
            <v>Bicarbonato de sodio p/hemodiálisis</v>
          </cell>
          <cell r="F111" t="str">
            <v>Polvo</v>
          </cell>
          <cell r="G111" t="str">
            <v>Frasco por 720 g</v>
          </cell>
          <cell r="H111" t="str">
            <v>B05CB04</v>
          </cell>
          <cell r="I111"/>
          <cell r="J111">
            <v>189.42</v>
          </cell>
          <cell r="K111"/>
        </row>
        <row r="112">
          <cell r="D112" t="str">
            <v>N-04-01</v>
          </cell>
          <cell r="E112" t="str">
            <v>Biperideno clorhidrato</v>
          </cell>
          <cell r="F112" t="str">
            <v>Comprimido</v>
          </cell>
          <cell r="G112" t="str">
            <v>4 mg</v>
          </cell>
          <cell r="H112" t="str">
            <v>N04AA02</v>
          </cell>
          <cell r="I112"/>
          <cell r="J112">
            <v>4.2</v>
          </cell>
          <cell r="K112"/>
        </row>
        <row r="113">
          <cell r="D113" t="str">
            <v>A-06-02</v>
          </cell>
          <cell r="E113" t="str">
            <v>Bisacodilo</v>
          </cell>
          <cell r="F113" t="str">
            <v>Comprimido</v>
          </cell>
          <cell r="G113" t="str">
            <v>5 mg</v>
          </cell>
          <cell r="H113" t="str">
            <v>A06AB02</v>
          </cell>
          <cell r="I113"/>
          <cell r="J113">
            <v>0.97</v>
          </cell>
          <cell r="K113"/>
        </row>
        <row r="114">
          <cell r="D114" t="str">
            <v>C-07-06</v>
          </cell>
          <cell r="E114" t="str">
            <v>Bisoprolol</v>
          </cell>
          <cell r="F114" t="str">
            <v>Comprimido</v>
          </cell>
          <cell r="G114" t="str">
            <v xml:space="preserve">5 mg </v>
          </cell>
          <cell r="H114" t="str">
            <v>C07AB07</v>
          </cell>
          <cell r="I114"/>
          <cell r="J114">
            <v>2.96</v>
          </cell>
          <cell r="K114"/>
        </row>
        <row r="115">
          <cell r="D115" t="str">
            <v>L-01-01</v>
          </cell>
          <cell r="E115" t="str">
            <v>Bleomicina</v>
          </cell>
          <cell r="F115" t="str">
            <v>Inyectable</v>
          </cell>
          <cell r="G115" t="str">
            <v>15 UI</v>
          </cell>
          <cell r="H115" t="str">
            <v>L01DC01</v>
          </cell>
          <cell r="I115"/>
          <cell r="J115">
            <v>304.60833333333335</v>
          </cell>
          <cell r="K115"/>
        </row>
        <row r="116">
          <cell r="D116" t="str">
            <v>L-01-55</v>
          </cell>
          <cell r="E116" t="str">
            <v xml:space="preserve">Bortezomib </v>
          </cell>
          <cell r="F116" t="str">
            <v>Polvo para inyectable</v>
          </cell>
          <cell r="G116" t="str">
            <v>3,5 mg</v>
          </cell>
          <cell r="H116" t="str">
            <v>L01XX32</v>
          </cell>
          <cell r="I116" t="str">
            <v>R</v>
          </cell>
          <cell r="J116">
            <v>13800</v>
          </cell>
          <cell r="K116"/>
        </row>
        <row r="117">
          <cell r="D117" t="str">
            <v>G-02-01</v>
          </cell>
          <cell r="E117" t="str">
            <v>Bromocriptina</v>
          </cell>
          <cell r="F117" t="str">
            <v>Comprimido</v>
          </cell>
          <cell r="G117" t="str">
            <v>2,5 mg</v>
          </cell>
          <cell r="H117" t="str">
            <v>G02CB01</v>
          </cell>
          <cell r="I117"/>
          <cell r="J117">
            <v>4.47</v>
          </cell>
          <cell r="K117"/>
        </row>
        <row r="118">
          <cell r="D118" t="str">
            <v>G-02-02</v>
          </cell>
          <cell r="E118" t="str">
            <v>Bromocriptina</v>
          </cell>
          <cell r="F118" t="str">
            <v>Comprimido</v>
          </cell>
          <cell r="G118" t="str">
            <v>5 mg</v>
          </cell>
          <cell r="H118" t="str">
            <v>G02CB01</v>
          </cell>
          <cell r="I118"/>
          <cell r="J118">
            <v>7.2</v>
          </cell>
          <cell r="K118"/>
        </row>
        <row r="119">
          <cell r="D119" t="str">
            <v>R-03-12</v>
          </cell>
          <cell r="E119" t="str">
            <v>Budesonida</v>
          </cell>
          <cell r="F119" t="str">
            <v>Aerosol</v>
          </cell>
          <cell r="G119" t="str">
            <v>100 mcg</v>
          </cell>
          <cell r="H119" t="str">
            <v>R03BA02</v>
          </cell>
          <cell r="I119"/>
          <cell r="J119">
            <v>129.655</v>
          </cell>
          <cell r="K119" t="str">
            <v>20 ML</v>
          </cell>
        </row>
        <row r="120">
          <cell r="D120" t="str">
            <v>N-01-01</v>
          </cell>
          <cell r="E120" t="str">
            <v>Bupivacaina clorhidrato</v>
          </cell>
          <cell r="F120" t="str">
            <v>Inyectable</v>
          </cell>
          <cell r="G120" t="str">
            <v>0,5%</v>
          </cell>
          <cell r="H120" t="str">
            <v>N01BB01</v>
          </cell>
          <cell r="I120"/>
          <cell r="J120">
            <v>18</v>
          </cell>
          <cell r="K120"/>
        </row>
        <row r="121">
          <cell r="D121" t="str">
            <v>N-01-02</v>
          </cell>
          <cell r="E121" t="str">
            <v>Bupivacaina clorhidrato (pesada)</v>
          </cell>
          <cell r="F121" t="str">
            <v>Inyectable</v>
          </cell>
          <cell r="G121" t="str">
            <v>0,5%</v>
          </cell>
          <cell r="H121" t="str">
            <v>N01BB01</v>
          </cell>
          <cell r="I121"/>
          <cell r="J121">
            <v>13.322628205128204</v>
          </cell>
          <cell r="K121"/>
        </row>
        <row r="122">
          <cell r="D122" t="str">
            <v>N-01-03</v>
          </cell>
          <cell r="E122" t="str">
            <v>Bupivacaina clorhidrato con Epinefrina sin conservante</v>
          </cell>
          <cell r="F122" t="str">
            <v>Inyectable</v>
          </cell>
          <cell r="G122" t="str">
            <v xml:space="preserve">0,5% 1:200.000 </v>
          </cell>
          <cell r="H122" t="str">
            <v>N01BB51</v>
          </cell>
          <cell r="I122"/>
          <cell r="J122">
            <v>24</v>
          </cell>
          <cell r="K122" t="str">
            <v>20 ML</v>
          </cell>
        </row>
        <row r="123">
          <cell r="D123" t="str">
            <v>L-01-02</v>
          </cell>
          <cell r="E123" t="str">
            <v>Busulfano</v>
          </cell>
          <cell r="F123" t="str">
            <v>Comprimido</v>
          </cell>
          <cell r="G123" t="str">
            <v>2 mg</v>
          </cell>
          <cell r="H123" t="str">
            <v>L01AB01</v>
          </cell>
          <cell r="I123"/>
          <cell r="J123">
            <v>9.39</v>
          </cell>
          <cell r="K123"/>
        </row>
        <row r="124">
          <cell r="D124" t="str">
            <v>A-03-02</v>
          </cell>
          <cell r="E124" t="str">
            <v>Butilbromuro de Hioscina (Butilescopolamina)</v>
          </cell>
          <cell r="F124" t="str">
            <v>Comprimido</v>
          </cell>
          <cell r="G124" t="str">
            <v>10 mg</v>
          </cell>
          <cell r="H124" t="str">
            <v>A03BB01</v>
          </cell>
          <cell r="I124"/>
          <cell r="J124">
            <v>1.55</v>
          </cell>
          <cell r="K124"/>
        </row>
        <row r="125">
          <cell r="D125" t="str">
            <v>A-03-03</v>
          </cell>
          <cell r="E125" t="str">
            <v>Butilbromuro de Hioscina (Butilescopolamina)</v>
          </cell>
          <cell r="F125" t="str">
            <v>Solución oral gotas</v>
          </cell>
          <cell r="G125" t="str">
            <v>0,1%</v>
          </cell>
          <cell r="H125" t="str">
            <v>A03BB01</v>
          </cell>
          <cell r="I125"/>
          <cell r="J125">
            <v>25.4</v>
          </cell>
          <cell r="K125"/>
        </row>
        <row r="126">
          <cell r="D126" t="str">
            <v>A-03-04</v>
          </cell>
          <cell r="E126" t="str">
            <v>Butilbromuro de Hioscina (Butilescopolamina)</v>
          </cell>
          <cell r="F126" t="str">
            <v>Inyectable</v>
          </cell>
          <cell r="G126" t="str">
            <v>20 mg/ml</v>
          </cell>
          <cell r="H126" t="str">
            <v>A03BB01</v>
          </cell>
          <cell r="I126"/>
          <cell r="J126">
            <v>4.79</v>
          </cell>
          <cell r="K126"/>
        </row>
        <row r="127">
          <cell r="D127" t="str">
            <v>G-02-11</v>
          </cell>
          <cell r="E127" t="str">
            <v>Cabergolina</v>
          </cell>
          <cell r="F127" t="str">
            <v>Comprimido</v>
          </cell>
          <cell r="G127" t="str">
            <v>0,5 mg</v>
          </cell>
          <cell r="H127" t="str">
            <v>G02CB03</v>
          </cell>
          <cell r="I127"/>
          <cell r="J127">
            <v>42.637499999999996</v>
          </cell>
          <cell r="K127"/>
        </row>
        <row r="128">
          <cell r="D128" t="str">
            <v>N-06-09</v>
          </cell>
          <cell r="E128" t="str">
            <v>Cafeína Citrato</v>
          </cell>
          <cell r="F128" t="str">
            <v>Inyectable</v>
          </cell>
          <cell r="G128" t="str">
            <v>20 mg/ml</v>
          </cell>
          <cell r="H128" t="str">
            <v>N06BC01</v>
          </cell>
          <cell r="I128"/>
          <cell r="J128">
            <v>120</v>
          </cell>
          <cell r="K128" t="str">
            <v>3 ML</v>
          </cell>
        </row>
        <row r="129">
          <cell r="D129" t="str">
            <v>A-12-01</v>
          </cell>
          <cell r="E129" t="str">
            <v>Calcio (carbonato o citrato)</v>
          </cell>
          <cell r="F129" t="str">
            <v>Comprimido</v>
          </cell>
          <cell r="G129" t="str">
            <v>500 mg (ión calcio)</v>
          </cell>
          <cell r="H129" t="str">
            <v>A12AA04</v>
          </cell>
          <cell r="I129"/>
          <cell r="J129">
            <v>2.0699999999999998</v>
          </cell>
          <cell r="K129"/>
        </row>
        <row r="130">
          <cell r="D130" t="str">
            <v>A-12-02</v>
          </cell>
          <cell r="E130" t="str">
            <v>Calcio + Vitamina D</v>
          </cell>
          <cell r="F130" t="str">
            <v>Comprimido o Cápsula</v>
          </cell>
          <cell r="G130" t="str">
            <v>500 mg (ión calcio); Según disponibilidad</v>
          </cell>
          <cell r="H130" t="str">
            <v>A12AX**</v>
          </cell>
          <cell r="I130"/>
          <cell r="J130">
            <v>0.62</v>
          </cell>
          <cell r="K130"/>
        </row>
        <row r="131">
          <cell r="D131" t="str">
            <v>L-01-03</v>
          </cell>
          <cell r="E131" t="str">
            <v>Capecitabine</v>
          </cell>
          <cell r="F131" t="str">
            <v>Comprimido</v>
          </cell>
          <cell r="G131" t="str">
            <v>500 mg</v>
          </cell>
          <cell r="H131" t="str">
            <v>L01BC06</v>
          </cell>
          <cell r="I131"/>
          <cell r="J131">
            <v>13.392142857142858</v>
          </cell>
          <cell r="K131"/>
        </row>
        <row r="132">
          <cell r="D132" t="str">
            <v>J-04-12</v>
          </cell>
          <cell r="E132" t="str">
            <v>Capreomicina</v>
          </cell>
          <cell r="F132" t="str">
            <v>Inyectable</v>
          </cell>
          <cell r="G132" t="str">
            <v>1 g</v>
          </cell>
          <cell r="H132" t="str">
            <v>J04AB30</v>
          </cell>
          <cell r="I132"/>
          <cell r="J132">
            <v>41.48</v>
          </cell>
          <cell r="K132"/>
        </row>
        <row r="133">
          <cell r="D133" t="str">
            <v>N-03-04</v>
          </cell>
          <cell r="E133" t="str">
            <v>Carbamazepina</v>
          </cell>
          <cell r="F133" t="str">
            <v>Comprimido</v>
          </cell>
          <cell r="G133" t="str">
            <v>200 mg</v>
          </cell>
          <cell r="H133" t="str">
            <v>N03AF01</v>
          </cell>
          <cell r="I133"/>
          <cell r="J133">
            <v>0.47</v>
          </cell>
          <cell r="K133"/>
        </row>
        <row r="134">
          <cell r="D134" t="str">
            <v>N-03-05</v>
          </cell>
          <cell r="E134" t="str">
            <v>Carbamazepina</v>
          </cell>
          <cell r="F134" t="str">
            <v>Suspensión o Jarabe</v>
          </cell>
          <cell r="G134" t="str">
            <v>2% (100 mg/5 ml)</v>
          </cell>
          <cell r="H134" t="str">
            <v>N03AF01</v>
          </cell>
          <cell r="I134"/>
          <cell r="J134">
            <v>50.79</v>
          </cell>
          <cell r="K134"/>
        </row>
        <row r="135">
          <cell r="D135" t="str">
            <v>H-01-05</v>
          </cell>
          <cell r="E135" t="str">
            <v>Carbetocina</v>
          </cell>
          <cell r="F135" t="str">
            <v>Inyectable</v>
          </cell>
          <cell r="G135" t="str">
            <v>100 mcg/ml</v>
          </cell>
          <cell r="H135" t="str">
            <v>H01BB03</v>
          </cell>
          <cell r="I135" t="str">
            <v>R</v>
          </cell>
          <cell r="J135">
            <v>261.8</v>
          </cell>
          <cell r="K135"/>
        </row>
        <row r="136">
          <cell r="D136" t="str">
            <v>A-07-01</v>
          </cell>
          <cell r="E136" t="str">
            <v>Carbón medicinal activado</v>
          </cell>
          <cell r="F136" t="str">
            <v>Polvo</v>
          </cell>
          <cell r="G136" t="str">
            <v>Según disponibilidad</v>
          </cell>
          <cell r="H136" t="str">
            <v>A07BA01</v>
          </cell>
          <cell r="I136"/>
          <cell r="J136">
            <v>2.77</v>
          </cell>
          <cell r="K136"/>
        </row>
        <row r="137">
          <cell r="D137" t="str">
            <v>L-01-04</v>
          </cell>
          <cell r="E137" t="str">
            <v>Carboplatino</v>
          </cell>
          <cell r="F137" t="str">
            <v>Inyectable</v>
          </cell>
          <cell r="G137" t="str">
            <v>450 mg</v>
          </cell>
          <cell r="H137" t="str">
            <v>L01XA02</v>
          </cell>
          <cell r="I137"/>
          <cell r="J137">
            <v>426.09500000000003</v>
          </cell>
          <cell r="K137"/>
        </row>
        <row r="138">
          <cell r="D138" t="str">
            <v>L-01-32</v>
          </cell>
          <cell r="E138" t="str">
            <v>Carboplatino</v>
          </cell>
          <cell r="F138" t="str">
            <v>Inyectable</v>
          </cell>
          <cell r="G138" t="str">
            <v>150 mg</v>
          </cell>
          <cell r="H138" t="str">
            <v>L01XA02</v>
          </cell>
          <cell r="I138"/>
          <cell r="J138">
            <v>208.34375</v>
          </cell>
          <cell r="K138"/>
        </row>
        <row r="139">
          <cell r="D139" t="str">
            <v>C-07-04</v>
          </cell>
          <cell r="E139" t="str">
            <v>Carvedilol</v>
          </cell>
          <cell r="F139" t="str">
            <v>Comprimido</v>
          </cell>
          <cell r="G139" t="str">
            <v>6,25 mg</v>
          </cell>
          <cell r="H139" t="str">
            <v>C07AG02</v>
          </cell>
          <cell r="I139"/>
          <cell r="J139">
            <v>1.93</v>
          </cell>
          <cell r="K139"/>
        </row>
        <row r="140">
          <cell r="D140" t="str">
            <v>C-07-05</v>
          </cell>
          <cell r="E140" t="str">
            <v>Carvedilol</v>
          </cell>
          <cell r="F140" t="str">
            <v>Comprimido</v>
          </cell>
          <cell r="G140" t="str">
            <v>12,5 mg</v>
          </cell>
          <cell r="H140" t="str">
            <v>C07AG02</v>
          </cell>
          <cell r="I140"/>
          <cell r="J140">
            <v>2.12</v>
          </cell>
          <cell r="K140"/>
        </row>
        <row r="141">
          <cell r="D141" t="str">
            <v>J-01-21</v>
          </cell>
          <cell r="E141" t="str">
            <v>Cefazolina</v>
          </cell>
          <cell r="F141" t="str">
            <v>Inyectable</v>
          </cell>
          <cell r="G141" t="str">
            <v>1 g</v>
          </cell>
          <cell r="H141" t="str">
            <v>J01DB04</v>
          </cell>
          <cell r="I141"/>
          <cell r="J141">
            <v>10.78</v>
          </cell>
          <cell r="K141"/>
        </row>
        <row r="142">
          <cell r="D142" t="str">
            <v>J-01-74</v>
          </cell>
          <cell r="E142" t="str">
            <v xml:space="preserve">Cefepima </v>
          </cell>
          <cell r="F142" t="str">
            <v>Inyectable</v>
          </cell>
          <cell r="G142" t="str">
            <v>1g</v>
          </cell>
          <cell r="H142" t="str">
            <v>J01DE01</v>
          </cell>
          <cell r="I142"/>
          <cell r="J142">
            <v>120</v>
          </cell>
          <cell r="K142" t="str">
            <v>15 ML</v>
          </cell>
        </row>
        <row r="143">
          <cell r="D143" t="str">
            <v>J-01-58</v>
          </cell>
          <cell r="E143" t="str">
            <v>Cefixima</v>
          </cell>
          <cell r="F143" t="str">
            <v>Comprimido o Cápsula</v>
          </cell>
          <cell r="G143" t="str">
            <v>400 mg</v>
          </cell>
          <cell r="H143" t="str">
            <v>J01DD08</v>
          </cell>
          <cell r="I143" t="str">
            <v>R</v>
          </cell>
          <cell r="J143">
            <v>7.38</v>
          </cell>
          <cell r="K143"/>
        </row>
        <row r="144">
          <cell r="D144" t="str">
            <v>J-01-63</v>
          </cell>
          <cell r="E144" t="str">
            <v>Cefixima</v>
          </cell>
          <cell r="F144" t="str">
            <v>Suspensión</v>
          </cell>
          <cell r="G144" t="str">
            <v>100 mg/5 ml</v>
          </cell>
          <cell r="H144" t="str">
            <v>J01DD08</v>
          </cell>
          <cell r="I144"/>
          <cell r="J144">
            <v>38.58</v>
          </cell>
          <cell r="K144" t="str">
            <v>50 ML</v>
          </cell>
        </row>
        <row r="145">
          <cell r="D145" t="str">
            <v>J-01-22</v>
          </cell>
          <cell r="E145" t="str">
            <v>Cefotaxima</v>
          </cell>
          <cell r="F145" t="str">
            <v>Inyectable</v>
          </cell>
          <cell r="G145" t="str">
            <v>1 g</v>
          </cell>
          <cell r="H145" t="str">
            <v>J01DD01</v>
          </cell>
          <cell r="I145"/>
          <cell r="J145">
            <v>7.35</v>
          </cell>
          <cell r="K145"/>
        </row>
        <row r="146">
          <cell r="D146" t="str">
            <v>J-01-23</v>
          </cell>
          <cell r="E146" t="str">
            <v>Cefradina</v>
          </cell>
          <cell r="F146" t="str">
            <v>Cápsula o Comprimido</v>
          </cell>
          <cell r="G146" t="str">
            <v>500 mg</v>
          </cell>
          <cell r="H146" t="str">
            <v>J01DB09</v>
          </cell>
          <cell r="I146"/>
          <cell r="J146">
            <v>2.23</v>
          </cell>
          <cell r="K146"/>
        </row>
        <row r="147">
          <cell r="D147" t="str">
            <v>J-01-24</v>
          </cell>
          <cell r="E147" t="str">
            <v>Cefradina</v>
          </cell>
          <cell r="F147" t="str">
            <v>Suspensión</v>
          </cell>
          <cell r="G147" t="str">
            <v>250 mg/5 ml</v>
          </cell>
          <cell r="H147" t="str">
            <v>J01DB09</v>
          </cell>
          <cell r="I147"/>
          <cell r="J147">
            <v>32.4</v>
          </cell>
          <cell r="K147" t="str">
            <v>60 ML</v>
          </cell>
        </row>
        <row r="148">
          <cell r="D148" t="str">
            <v>J-01-25</v>
          </cell>
          <cell r="E148" t="str">
            <v>Ceftazidima</v>
          </cell>
          <cell r="F148" t="str">
            <v>Inyectable</v>
          </cell>
          <cell r="G148" t="str">
            <v>1 g</v>
          </cell>
          <cell r="H148" t="str">
            <v>J01DD02</v>
          </cell>
          <cell r="I148"/>
          <cell r="J148">
            <v>20.87</v>
          </cell>
          <cell r="K148"/>
        </row>
        <row r="149">
          <cell r="D149" t="str">
            <v>J-01-26</v>
          </cell>
          <cell r="E149" t="str">
            <v>Ceftriaxona</v>
          </cell>
          <cell r="F149" t="str">
            <v>Inyectable</v>
          </cell>
          <cell r="G149" t="str">
            <v>1 g</v>
          </cell>
          <cell r="H149" t="str">
            <v>J01DD04</v>
          </cell>
          <cell r="I149"/>
          <cell r="J149">
            <v>10.27</v>
          </cell>
          <cell r="K149"/>
        </row>
        <row r="150">
          <cell r="D150" t="str">
            <v>R-06-07</v>
          </cell>
          <cell r="E150" t="str">
            <v>Cetirizina</v>
          </cell>
          <cell r="F150" t="str">
            <v xml:space="preserve">Cápsula o Comprimido </v>
          </cell>
          <cell r="G150" t="str">
            <v>10 mg</v>
          </cell>
          <cell r="H150" t="str">
            <v>R06AE07</v>
          </cell>
          <cell r="I150"/>
          <cell r="J150">
            <v>0.76</v>
          </cell>
          <cell r="K150"/>
        </row>
        <row r="151">
          <cell r="D151" t="str">
            <v>R-06-08</v>
          </cell>
          <cell r="E151" t="str">
            <v>Cetirizina</v>
          </cell>
          <cell r="F151" t="str">
            <v>Jarabe</v>
          </cell>
          <cell r="G151" t="str">
            <v>5 mg/5 ml</v>
          </cell>
          <cell r="H151" t="str">
            <v>R06AE07</v>
          </cell>
          <cell r="I151"/>
          <cell r="J151">
            <v>17.77</v>
          </cell>
          <cell r="K151" t="str">
            <v>100 ML</v>
          </cell>
        </row>
        <row r="152">
          <cell r="D152" t="str">
            <v>A-11-04</v>
          </cell>
          <cell r="E152" t="str">
            <v>Cianocobalamina (Vitamina B12)</v>
          </cell>
          <cell r="F152" t="str">
            <v>Inyectable</v>
          </cell>
          <cell r="G152" t="str">
            <v>1 mg/ml</v>
          </cell>
          <cell r="H152" t="str">
            <v>A11EA**</v>
          </cell>
          <cell r="I152"/>
          <cell r="J152">
            <v>4.8899999999999997</v>
          </cell>
          <cell r="K152" t="str">
            <v>1ML</v>
          </cell>
        </row>
        <row r="153">
          <cell r="D153" t="str">
            <v>L-01-05</v>
          </cell>
          <cell r="E153" t="str">
            <v>Ciclofosfamida</v>
          </cell>
          <cell r="F153" t="str">
            <v>Inyectable</v>
          </cell>
          <cell r="G153" t="str">
            <v>500 mg</v>
          </cell>
          <cell r="H153" t="str">
            <v>L01AA01</v>
          </cell>
          <cell r="I153"/>
          <cell r="J153">
            <v>164.59</v>
          </cell>
          <cell r="K153"/>
        </row>
        <row r="154">
          <cell r="D154" t="str">
            <v>L-01-06</v>
          </cell>
          <cell r="E154" t="str">
            <v>Ciclofosfamida</v>
          </cell>
          <cell r="F154" t="str">
            <v>Inyectable</v>
          </cell>
          <cell r="G154" t="str">
            <v>1 g</v>
          </cell>
          <cell r="H154" t="str">
            <v>L01AA01</v>
          </cell>
          <cell r="I154"/>
          <cell r="J154">
            <v>216.9</v>
          </cell>
          <cell r="K154" t="str">
            <v>50 ML</v>
          </cell>
        </row>
        <row r="155">
          <cell r="D155" t="str">
            <v>L-01-07</v>
          </cell>
          <cell r="E155" t="str">
            <v>Ciclofosfamida</v>
          </cell>
          <cell r="F155" t="str">
            <v>Comprimido</v>
          </cell>
          <cell r="G155" t="str">
            <v>50 mg</v>
          </cell>
          <cell r="H155" t="str">
            <v>L01AA01</v>
          </cell>
          <cell r="I155"/>
          <cell r="J155">
            <v>5.59</v>
          </cell>
          <cell r="K155"/>
        </row>
        <row r="156">
          <cell r="D156" t="str">
            <v>J-04-01</v>
          </cell>
          <cell r="E156" t="str">
            <v>Cicloserina</v>
          </cell>
          <cell r="F156" t="str">
            <v>Cápsula</v>
          </cell>
          <cell r="G156" t="str">
            <v>250 mg</v>
          </cell>
          <cell r="H156" t="str">
            <v>J04AB01</v>
          </cell>
          <cell r="I156"/>
          <cell r="J156">
            <v>2.99</v>
          </cell>
          <cell r="K156"/>
        </row>
        <row r="157">
          <cell r="D157" t="str">
            <v>L-04-03</v>
          </cell>
          <cell r="E157" t="str">
            <v>Ciclosporina</v>
          </cell>
          <cell r="F157" t="str">
            <v>Solución oral</v>
          </cell>
          <cell r="G157" t="str">
            <v>100 mg/ml</v>
          </cell>
          <cell r="H157" t="str">
            <v>L04AA01</v>
          </cell>
          <cell r="I157"/>
          <cell r="J157">
            <v>1321.799</v>
          </cell>
          <cell r="K157"/>
        </row>
        <row r="158">
          <cell r="D158" t="str">
            <v>L-04-04</v>
          </cell>
          <cell r="E158" t="str">
            <v>Ciclosporina</v>
          </cell>
          <cell r="F158" t="str">
            <v>Cápsula blanda</v>
          </cell>
          <cell r="G158" t="str">
            <v>100 mg</v>
          </cell>
          <cell r="H158" t="str">
            <v>L04AA01</v>
          </cell>
          <cell r="I158"/>
          <cell r="J158">
            <v>15.8</v>
          </cell>
          <cell r="K158"/>
        </row>
        <row r="159">
          <cell r="D159" t="str">
            <v>L-04-05</v>
          </cell>
          <cell r="E159" t="str">
            <v>Ciclosporina</v>
          </cell>
          <cell r="F159" t="str">
            <v>Cápsula blanda</v>
          </cell>
          <cell r="G159" t="str">
            <v>25 mg</v>
          </cell>
          <cell r="H159" t="str">
            <v>L04AA01</v>
          </cell>
          <cell r="I159"/>
          <cell r="J159">
            <v>6.625</v>
          </cell>
          <cell r="K159"/>
        </row>
        <row r="160">
          <cell r="D160" t="str">
            <v>L-04-06</v>
          </cell>
          <cell r="E160" t="str">
            <v>Ciclosporina</v>
          </cell>
          <cell r="F160" t="str">
            <v>Cápsula blanda</v>
          </cell>
          <cell r="G160" t="str">
            <v>50 mg</v>
          </cell>
          <cell r="H160" t="str">
            <v>L04AA01</v>
          </cell>
          <cell r="I160"/>
          <cell r="J160">
            <v>8.9499999999999993</v>
          </cell>
          <cell r="K160"/>
        </row>
        <row r="161">
          <cell r="D161" t="str">
            <v>S-01-03</v>
          </cell>
          <cell r="E161" t="str">
            <v>Ciclosporina</v>
          </cell>
          <cell r="F161" t="str">
            <v>Solución oftálmica</v>
          </cell>
          <cell r="G161">
            <v>1E-3</v>
          </cell>
          <cell r="H161" t="str">
            <v>S01XA18</v>
          </cell>
          <cell r="I161"/>
          <cell r="J161">
            <v>221.30642499999999</v>
          </cell>
          <cell r="K161"/>
        </row>
        <row r="162">
          <cell r="D162" t="str">
            <v>J-01-27</v>
          </cell>
          <cell r="E162" t="str">
            <v>Ciprofloxacina</v>
          </cell>
          <cell r="F162" t="str">
            <v>Comprimido</v>
          </cell>
          <cell r="G162" t="str">
            <v>500 mg</v>
          </cell>
          <cell r="H162" t="str">
            <v>J01MA02</v>
          </cell>
          <cell r="I162"/>
          <cell r="J162">
            <v>0.7</v>
          </cell>
          <cell r="K162"/>
        </row>
        <row r="163">
          <cell r="D163" t="str">
            <v>J-01-28</v>
          </cell>
          <cell r="E163" t="str">
            <v>Ciprofloxacina</v>
          </cell>
          <cell r="F163" t="str">
            <v>Inyectable</v>
          </cell>
          <cell r="G163" t="str">
            <v>200 mg</v>
          </cell>
          <cell r="H163" t="str">
            <v>J01MA02</v>
          </cell>
          <cell r="I163"/>
          <cell r="J163">
            <v>11.64</v>
          </cell>
          <cell r="K163"/>
        </row>
        <row r="164">
          <cell r="D164" t="str">
            <v>J-01-61</v>
          </cell>
          <cell r="E164" t="str">
            <v>Ciprofloxacina</v>
          </cell>
          <cell r="F164" t="str">
            <v>Comprimido</v>
          </cell>
          <cell r="G164" t="str">
            <v>250 mg</v>
          </cell>
          <cell r="H164" t="str">
            <v>J01MA02</v>
          </cell>
          <cell r="I164"/>
          <cell r="J164">
            <v>1.1100000000000001</v>
          </cell>
          <cell r="K164"/>
        </row>
        <row r="165">
          <cell r="D165" t="str">
            <v>S-01-04</v>
          </cell>
          <cell r="E165" t="str">
            <v>Ciprofloxacina</v>
          </cell>
          <cell r="F165" t="str">
            <v>Solución oftálmica</v>
          </cell>
          <cell r="G165" t="str">
            <v>0,3%</v>
          </cell>
          <cell r="H165" t="str">
            <v>S01AX13</v>
          </cell>
          <cell r="I165"/>
          <cell r="J165">
            <v>22</v>
          </cell>
          <cell r="K165"/>
        </row>
        <row r="166">
          <cell r="D166" t="str">
            <v>L-02-02</v>
          </cell>
          <cell r="E166" t="str">
            <v>Ciproterona (acetato)</v>
          </cell>
          <cell r="F166" t="str">
            <v>Comprimido</v>
          </cell>
          <cell r="G166" t="str">
            <v>50 mg</v>
          </cell>
          <cell r="H166" t="str">
            <v>L02AX**</v>
          </cell>
          <cell r="I166"/>
          <cell r="J166">
            <v>6.5</v>
          </cell>
          <cell r="K166"/>
        </row>
        <row r="167">
          <cell r="D167" t="str">
            <v>G-03-01</v>
          </cell>
          <cell r="E167" t="str">
            <v>Ciproterona acetato + Estradiol valerato</v>
          </cell>
          <cell r="F167" t="str">
            <v>Comprimido</v>
          </cell>
          <cell r="G167" t="str">
            <v>2 mg + 1 mg</v>
          </cell>
          <cell r="H167" t="str">
            <v>G03HA01</v>
          </cell>
          <cell r="I167"/>
          <cell r="J167">
            <v>126</v>
          </cell>
          <cell r="K167" t="str">
            <v>Por cicLo</v>
          </cell>
        </row>
        <row r="168">
          <cell r="D168" t="str">
            <v>G-03-02</v>
          </cell>
          <cell r="E168" t="str">
            <v>Ciproterona acetato + Estradiol valerato</v>
          </cell>
          <cell r="F168" t="str">
            <v>Comprimido</v>
          </cell>
          <cell r="G168" t="str">
            <v xml:space="preserve">2 mg + 0,035 mg  </v>
          </cell>
          <cell r="H168" t="str">
            <v>G03HA01</v>
          </cell>
          <cell r="I168"/>
          <cell r="J168">
            <v>59.49</v>
          </cell>
          <cell r="K168" t="str">
            <v>Por cicLo</v>
          </cell>
        </row>
        <row r="169">
          <cell r="D169" t="str">
            <v>L-01-08</v>
          </cell>
          <cell r="E169" t="str">
            <v>Cisplatino</v>
          </cell>
          <cell r="F169" t="str">
            <v>Inyectable</v>
          </cell>
          <cell r="G169" t="str">
            <v>10 mg</v>
          </cell>
          <cell r="H169" t="str">
            <v>L01XA01</v>
          </cell>
          <cell r="I169"/>
          <cell r="J169">
            <v>75.599999999999994</v>
          </cell>
          <cell r="K169"/>
        </row>
        <row r="170">
          <cell r="D170" t="str">
            <v>L-01-09</v>
          </cell>
          <cell r="E170" t="str">
            <v>Cisplatino</v>
          </cell>
          <cell r="F170" t="str">
            <v>Inyectable</v>
          </cell>
          <cell r="G170" t="str">
            <v>50 mg</v>
          </cell>
          <cell r="H170" t="str">
            <v>L01XA01</v>
          </cell>
          <cell r="I170"/>
          <cell r="J170">
            <v>119.04166666666666</v>
          </cell>
          <cell r="K170"/>
        </row>
        <row r="171">
          <cell r="D171" t="str">
            <v>L-01-10</v>
          </cell>
          <cell r="E171" t="str">
            <v>Citarabina</v>
          </cell>
          <cell r="F171" t="str">
            <v>Inyectable</v>
          </cell>
          <cell r="G171" t="str">
            <v>100 mg</v>
          </cell>
          <cell r="H171" t="str">
            <v>L01BC01</v>
          </cell>
          <cell r="I171"/>
          <cell r="J171">
            <v>56.575000000000003</v>
          </cell>
          <cell r="K171"/>
        </row>
        <row r="172">
          <cell r="D172" t="str">
            <v>L-01-11</v>
          </cell>
          <cell r="E172" t="str">
            <v>Citarabina</v>
          </cell>
          <cell r="F172" t="str">
            <v>Inyectable</v>
          </cell>
          <cell r="G172" t="str">
            <v>500 mg</v>
          </cell>
          <cell r="H172" t="str">
            <v>L01BC01</v>
          </cell>
          <cell r="I172"/>
          <cell r="J172">
            <v>180.35</v>
          </cell>
          <cell r="K172"/>
        </row>
        <row r="173">
          <cell r="D173" t="str">
            <v>J-01-29</v>
          </cell>
          <cell r="E173" t="str">
            <v>Claritromicina</v>
          </cell>
          <cell r="F173" t="str">
            <v>Comprimido</v>
          </cell>
          <cell r="G173" t="str">
            <v>500 mg</v>
          </cell>
          <cell r="H173" t="str">
            <v>J01FA09</v>
          </cell>
          <cell r="I173" t="str">
            <v>R</v>
          </cell>
          <cell r="J173">
            <v>4.12</v>
          </cell>
          <cell r="K173"/>
        </row>
        <row r="174">
          <cell r="D174" t="str">
            <v>J-01-30</v>
          </cell>
          <cell r="E174" t="str">
            <v>Claritromicina</v>
          </cell>
          <cell r="F174" t="str">
            <v>Suspensión</v>
          </cell>
          <cell r="G174" t="str">
            <v>250 mg/5 ml</v>
          </cell>
          <cell r="H174" t="str">
            <v>J01FA09</v>
          </cell>
          <cell r="I174" t="str">
            <v>R</v>
          </cell>
          <cell r="J174">
            <v>81.55</v>
          </cell>
          <cell r="K174" t="str">
            <v>80 ML</v>
          </cell>
        </row>
        <row r="175">
          <cell r="D175" t="str">
            <v>J-01-31</v>
          </cell>
          <cell r="E175" t="str">
            <v>Clindamicina</v>
          </cell>
          <cell r="F175" t="str">
            <v>Suspensión o Jarabe</v>
          </cell>
          <cell r="G175" t="str">
            <v>75 mg/5 ml</v>
          </cell>
          <cell r="H175" t="str">
            <v>J01FF01</v>
          </cell>
          <cell r="I175" t="str">
            <v>R</v>
          </cell>
          <cell r="J175">
            <v>145.25</v>
          </cell>
          <cell r="K175"/>
        </row>
        <row r="176">
          <cell r="D176" t="str">
            <v>J-01-56</v>
          </cell>
          <cell r="E176" t="str">
            <v>Clindamicina</v>
          </cell>
          <cell r="F176" t="str">
            <v>Cápsula o comprimido</v>
          </cell>
          <cell r="G176" t="str">
            <v>300 mg</v>
          </cell>
          <cell r="H176" t="str">
            <v>J01FF01</v>
          </cell>
          <cell r="I176" t="str">
            <v>R</v>
          </cell>
          <cell r="J176">
            <v>10.174583333333333</v>
          </cell>
          <cell r="K176"/>
        </row>
        <row r="177">
          <cell r="D177" t="str">
            <v>J-01-64</v>
          </cell>
          <cell r="E177" t="str">
            <v>Clindamicina</v>
          </cell>
          <cell r="F177" t="str">
            <v>Inyectable</v>
          </cell>
          <cell r="G177" t="str">
            <v>600 mg</v>
          </cell>
          <cell r="H177" t="str">
            <v>J01FF01</v>
          </cell>
          <cell r="I177"/>
          <cell r="J177">
            <v>17.2</v>
          </cell>
          <cell r="K177"/>
        </row>
        <row r="178">
          <cell r="D178" t="str">
            <v>D-07-02</v>
          </cell>
          <cell r="E178" t="str">
            <v>Clobetasol</v>
          </cell>
          <cell r="F178" t="str">
            <v>Crema o Pomada</v>
          </cell>
          <cell r="G178" t="str">
            <v>0,05%</v>
          </cell>
          <cell r="H178" t="str">
            <v>D07AD01</v>
          </cell>
          <cell r="I178"/>
          <cell r="J178">
            <v>13.31</v>
          </cell>
          <cell r="K178" t="str">
            <v>25 G</v>
          </cell>
        </row>
        <row r="179">
          <cell r="D179" t="str">
            <v>D-07-03</v>
          </cell>
          <cell r="E179" t="str">
            <v>Clobetasol</v>
          </cell>
          <cell r="F179" t="str">
            <v>Solución</v>
          </cell>
          <cell r="G179" t="str">
            <v>0,05%</v>
          </cell>
          <cell r="H179" t="str">
            <v>D07AD01</v>
          </cell>
          <cell r="I179"/>
          <cell r="J179">
            <v>56.9</v>
          </cell>
          <cell r="K179"/>
        </row>
        <row r="180">
          <cell r="D180" t="str">
            <v>J-04-02</v>
          </cell>
          <cell r="E180" t="str">
            <v>Clofazimina</v>
          </cell>
          <cell r="F180" t="str">
            <v>Cápsula</v>
          </cell>
          <cell r="G180" t="str">
            <v>50 mg</v>
          </cell>
          <cell r="H180" t="str">
            <v>J04BA01</v>
          </cell>
          <cell r="I180"/>
          <cell r="J180">
            <v>5.69</v>
          </cell>
          <cell r="K180"/>
        </row>
        <row r="181">
          <cell r="D181" t="str">
            <v>J-04-15</v>
          </cell>
          <cell r="E181" t="str">
            <v>Clofazimina</v>
          </cell>
          <cell r="F181" t="str">
            <v>Cápsula</v>
          </cell>
          <cell r="G181" t="str">
            <v>100 mg</v>
          </cell>
          <cell r="H181" t="str">
            <v>J04BA01</v>
          </cell>
          <cell r="I181" t="str">
            <v>R</v>
          </cell>
          <cell r="J181">
            <v>10.94</v>
          </cell>
          <cell r="K181"/>
        </row>
        <row r="182">
          <cell r="D182" t="str">
            <v>G-03-03</v>
          </cell>
          <cell r="E182" t="str">
            <v>Clomifeno citrato</v>
          </cell>
          <cell r="F182" t="str">
            <v>Comprimido</v>
          </cell>
          <cell r="G182" t="str">
            <v>50 mg</v>
          </cell>
          <cell r="H182" t="str">
            <v>G03GB02</v>
          </cell>
          <cell r="I182"/>
          <cell r="J182">
            <v>3.77</v>
          </cell>
          <cell r="K182"/>
        </row>
        <row r="183">
          <cell r="D183" t="str">
            <v>N-06-02</v>
          </cell>
          <cell r="E183" t="str">
            <v>Clomipramina</v>
          </cell>
          <cell r="F183" t="str">
            <v>Comprimido</v>
          </cell>
          <cell r="G183" t="str">
            <v>75 mg</v>
          </cell>
          <cell r="H183" t="str">
            <v>N06AA04</v>
          </cell>
          <cell r="I183"/>
          <cell r="J183">
            <v>5</v>
          </cell>
          <cell r="K183"/>
        </row>
        <row r="184">
          <cell r="D184" t="str">
            <v>N-06-03</v>
          </cell>
          <cell r="E184" t="str">
            <v>Clomipramina (clorhidrato)</v>
          </cell>
          <cell r="F184" t="str">
            <v>Inyectable</v>
          </cell>
          <cell r="G184" t="str">
            <v>25 mg/2 ml</v>
          </cell>
          <cell r="H184" t="str">
            <v>N06AA04</v>
          </cell>
          <cell r="I184"/>
          <cell r="J184">
            <v>15.21</v>
          </cell>
          <cell r="K184"/>
        </row>
        <row r="185">
          <cell r="D185" t="str">
            <v>N-03-06</v>
          </cell>
          <cell r="E185" t="str">
            <v>Clonazepam</v>
          </cell>
          <cell r="F185" t="str">
            <v>Comprimido ranurado</v>
          </cell>
          <cell r="G185" t="str">
            <v>2 mg</v>
          </cell>
          <cell r="H185" t="str">
            <v>N03AE01</v>
          </cell>
          <cell r="I185"/>
          <cell r="J185">
            <v>2.3199999999999998</v>
          </cell>
          <cell r="K185"/>
        </row>
        <row r="186">
          <cell r="D186" t="str">
            <v>N-03-12</v>
          </cell>
          <cell r="E186" t="str">
            <v>Clonazepam</v>
          </cell>
          <cell r="F186" t="str">
            <v>Solución oral</v>
          </cell>
          <cell r="G186" t="str">
            <v>2,5 mg/ml</v>
          </cell>
          <cell r="H186" t="str">
            <v>N03AE01</v>
          </cell>
          <cell r="I186"/>
          <cell r="J186">
            <v>70.38</v>
          </cell>
          <cell r="K186" t="str">
            <v>30 ML</v>
          </cell>
        </row>
        <row r="187">
          <cell r="D187" t="str">
            <v>B-01-06</v>
          </cell>
          <cell r="E187" t="str">
            <v>Clopidogrel</v>
          </cell>
          <cell r="F187" t="str">
            <v>Comprimido</v>
          </cell>
          <cell r="G187" t="str">
            <v>75 mg</v>
          </cell>
          <cell r="H187" t="str">
            <v>B01AC04</v>
          </cell>
          <cell r="I187" t="str">
            <v>R</v>
          </cell>
          <cell r="J187">
            <v>3.66</v>
          </cell>
          <cell r="K187"/>
        </row>
        <row r="188">
          <cell r="D188" t="str">
            <v>J-01-32</v>
          </cell>
          <cell r="E188" t="str">
            <v>Cloranfenicol</v>
          </cell>
          <cell r="F188" t="str">
            <v>Cápsula</v>
          </cell>
          <cell r="G188" t="str">
            <v>500 mg</v>
          </cell>
          <cell r="H188" t="str">
            <v>J01BA01</v>
          </cell>
          <cell r="I188"/>
          <cell r="J188">
            <v>1.29</v>
          </cell>
          <cell r="K188"/>
        </row>
        <row r="189">
          <cell r="D189" t="str">
            <v>S-01-05</v>
          </cell>
          <cell r="E189" t="str">
            <v>Cloranfenicol</v>
          </cell>
          <cell r="F189" t="str">
            <v>Solución oftálmica</v>
          </cell>
          <cell r="G189" t="str">
            <v>0,5%</v>
          </cell>
          <cell r="H189" t="str">
            <v>S01AA01</v>
          </cell>
          <cell r="I189"/>
          <cell r="J189">
            <v>11.46</v>
          </cell>
          <cell r="K189"/>
        </row>
        <row r="190">
          <cell r="D190" t="str">
            <v>S-01-06</v>
          </cell>
          <cell r="E190" t="str">
            <v>Cloranfenicol</v>
          </cell>
          <cell r="F190" t="str">
            <v>Ungüento oftálmico</v>
          </cell>
          <cell r="G190">
            <v>0.01</v>
          </cell>
          <cell r="H190" t="str">
            <v>S01AA01</v>
          </cell>
          <cell r="I190"/>
          <cell r="J190">
            <v>17.510000000000002</v>
          </cell>
          <cell r="K190" t="str">
            <v>5 G</v>
          </cell>
        </row>
        <row r="191">
          <cell r="D191" t="str">
            <v>J-01-33</v>
          </cell>
          <cell r="E191" t="str">
            <v>Cloranfenicol succinato sódico</v>
          </cell>
          <cell r="F191" t="str">
            <v>Inyectable</v>
          </cell>
          <cell r="G191" t="str">
            <v>1 g</v>
          </cell>
          <cell r="H191" t="str">
            <v>J01BA01</v>
          </cell>
          <cell r="I191"/>
          <cell r="J191">
            <v>4.49</v>
          </cell>
          <cell r="K191"/>
        </row>
        <row r="192">
          <cell r="D192" t="str">
            <v>R-06-01</v>
          </cell>
          <cell r="E192" t="str">
            <v>Clorfenamina (Clorfeniramina)</v>
          </cell>
          <cell r="F192" t="str">
            <v>Comprimido</v>
          </cell>
          <cell r="G192" t="str">
            <v>4 mg</v>
          </cell>
          <cell r="H192" t="str">
            <v>R06AB04</v>
          </cell>
          <cell r="I192"/>
          <cell r="J192">
            <v>0.28999999999999998</v>
          </cell>
          <cell r="K192"/>
        </row>
        <row r="193">
          <cell r="D193" t="str">
            <v>R-06-02</v>
          </cell>
          <cell r="E193" t="str">
            <v>Clorfenamina (Clorfeniramina)</v>
          </cell>
          <cell r="F193" t="str">
            <v>Jarabe</v>
          </cell>
          <cell r="G193" t="str">
            <v>2 mg/5 ml</v>
          </cell>
          <cell r="H193" t="str">
            <v>R06AB04</v>
          </cell>
          <cell r="I193"/>
          <cell r="J193">
            <v>8.9600000000000009</v>
          </cell>
          <cell r="K193"/>
        </row>
        <row r="194">
          <cell r="D194" t="str">
            <v>R-06-03</v>
          </cell>
          <cell r="E194" t="str">
            <v>Clorfenamina (Clorfeniramina)</v>
          </cell>
          <cell r="F194" t="str">
            <v>Inyectable</v>
          </cell>
          <cell r="G194" t="str">
            <v>10 mg/ml</v>
          </cell>
          <cell r="H194" t="str">
            <v>R06AB04</v>
          </cell>
          <cell r="I194"/>
          <cell r="J194">
            <v>2.0499999999999998</v>
          </cell>
          <cell r="K194"/>
        </row>
        <row r="195">
          <cell r="D195" t="str">
            <v>D-08-02</v>
          </cell>
          <cell r="E195" t="str">
            <v>Clorhexidina gluconato</v>
          </cell>
          <cell r="F195" t="str">
            <v>Solución</v>
          </cell>
          <cell r="G195" t="str">
            <v>Según disponibilidad</v>
          </cell>
          <cell r="H195" t="str">
            <v>D08AC02</v>
          </cell>
          <cell r="I195"/>
          <cell r="J195">
            <v>146.53</v>
          </cell>
          <cell r="K195" t="str">
            <v>1 L</v>
          </cell>
        </row>
        <row r="196">
          <cell r="D196" t="str">
            <v>P-01-03</v>
          </cell>
          <cell r="E196" t="str">
            <v>Cloroquina fosfato</v>
          </cell>
          <cell r="F196" t="str">
            <v>Comprimido</v>
          </cell>
          <cell r="G196" t="str">
            <v>250 mg (150 mg base)</v>
          </cell>
          <cell r="H196" t="str">
            <v>P01BA01</v>
          </cell>
          <cell r="I196"/>
          <cell r="J196">
            <v>0.37</v>
          </cell>
          <cell r="K196"/>
        </row>
        <row r="197">
          <cell r="D197" t="str">
            <v>N-05-02</v>
          </cell>
          <cell r="E197" t="str">
            <v>Clorpromazina</v>
          </cell>
          <cell r="F197" t="str">
            <v>Comprimido</v>
          </cell>
          <cell r="G197" t="str">
            <v>100 mg</v>
          </cell>
          <cell r="H197" t="str">
            <v>N05AA01</v>
          </cell>
          <cell r="I197"/>
          <cell r="J197">
            <v>1.7</v>
          </cell>
          <cell r="K197"/>
        </row>
        <row r="198">
          <cell r="D198" t="str">
            <v>N-05-03</v>
          </cell>
          <cell r="E198" t="str">
            <v>Clorpromazina</v>
          </cell>
          <cell r="F198" t="str">
            <v>Inyectable</v>
          </cell>
          <cell r="G198" t="str">
            <v>12,5 mg/ml</v>
          </cell>
          <cell r="H198" t="str">
            <v>N05AA01</v>
          </cell>
          <cell r="I198"/>
          <cell r="J198">
            <v>3.8118945000000002</v>
          </cell>
          <cell r="K198" t="str">
            <v xml:space="preserve">2 ML </v>
          </cell>
        </row>
        <row r="199">
          <cell r="D199" t="str">
            <v>A-12-03</v>
          </cell>
          <cell r="E199" t="str">
            <v>Cloruro de potasio</v>
          </cell>
          <cell r="F199" t="str">
            <v>Solución oral</v>
          </cell>
          <cell r="G199" t="str">
            <v>1,3 mEq/ml</v>
          </cell>
          <cell r="H199" t="str">
            <v>A12BA01</v>
          </cell>
          <cell r="I199"/>
          <cell r="J199">
            <v>29.67</v>
          </cell>
          <cell r="K199"/>
        </row>
        <row r="200">
          <cell r="D200" t="str">
            <v>B-05-06</v>
          </cell>
          <cell r="E200" t="str">
            <v>Cloruro de potasio</v>
          </cell>
          <cell r="F200" t="str">
            <v>Inyectable</v>
          </cell>
          <cell r="G200">
            <v>0.2</v>
          </cell>
          <cell r="H200" t="str">
            <v>B05XA01</v>
          </cell>
          <cell r="I200"/>
          <cell r="J200">
            <v>3.55</v>
          </cell>
          <cell r="K200"/>
        </row>
        <row r="201">
          <cell r="D201" t="str">
            <v>B-05-07</v>
          </cell>
          <cell r="E201" t="str">
            <v>Cloruro de sodio</v>
          </cell>
          <cell r="F201" t="str">
            <v>Inyectable</v>
          </cell>
          <cell r="G201">
            <v>0.2</v>
          </cell>
          <cell r="H201" t="str">
            <v>B05CB01</v>
          </cell>
          <cell r="I201"/>
          <cell r="J201">
            <v>3.53</v>
          </cell>
          <cell r="K201"/>
        </row>
        <row r="202">
          <cell r="D202" t="str">
            <v>D-01-03</v>
          </cell>
          <cell r="E202" t="str">
            <v>Clotrimazol</v>
          </cell>
          <cell r="F202" t="str">
            <v>Crema o Pomada</v>
          </cell>
          <cell r="G202">
            <v>0.01</v>
          </cell>
          <cell r="H202" t="str">
            <v>D01AC01</v>
          </cell>
          <cell r="I202"/>
          <cell r="J202">
            <v>7.51</v>
          </cell>
          <cell r="K202" t="str">
            <v>20 G</v>
          </cell>
        </row>
        <row r="203">
          <cell r="D203" t="str">
            <v>G-01-02</v>
          </cell>
          <cell r="E203" t="str">
            <v>Clotrimazol</v>
          </cell>
          <cell r="F203" t="str">
            <v>Óvulo</v>
          </cell>
          <cell r="G203" t="str">
            <v>100 mg</v>
          </cell>
          <cell r="H203" t="str">
            <v>G01AF02</v>
          </cell>
          <cell r="I203"/>
          <cell r="J203">
            <v>1.57</v>
          </cell>
          <cell r="K203"/>
        </row>
        <row r="204">
          <cell r="D204" t="str">
            <v>G-01-03</v>
          </cell>
          <cell r="E204" t="str">
            <v>Clotrimazol</v>
          </cell>
          <cell r="F204" t="str">
            <v>Crema vaginal</v>
          </cell>
          <cell r="G204">
            <v>0.01</v>
          </cell>
          <cell r="H204" t="str">
            <v>G01AF02</v>
          </cell>
          <cell r="I204"/>
          <cell r="J204">
            <v>10.51</v>
          </cell>
          <cell r="K204" t="str">
            <v>30 G</v>
          </cell>
        </row>
        <row r="205">
          <cell r="D205" t="str">
            <v>J-01-34</v>
          </cell>
          <cell r="E205" t="str">
            <v>Cloxacilina</v>
          </cell>
          <cell r="F205" t="str">
            <v>Inyectable</v>
          </cell>
          <cell r="G205" t="str">
            <v>500 mg</v>
          </cell>
          <cell r="H205" t="str">
            <v>J01CF02</v>
          </cell>
          <cell r="I205"/>
          <cell r="J205">
            <v>6.88</v>
          </cell>
          <cell r="K205"/>
        </row>
        <row r="206">
          <cell r="D206" t="str">
            <v>J-01-36</v>
          </cell>
          <cell r="E206" t="str">
            <v>Cloxacilina</v>
          </cell>
          <cell r="F206" t="str">
            <v>Inyectable</v>
          </cell>
          <cell r="G206" t="str">
            <v>1 g</v>
          </cell>
          <cell r="H206" t="str">
            <v>J01CF02</v>
          </cell>
          <cell r="I206"/>
          <cell r="J206">
            <v>9.25</v>
          </cell>
          <cell r="K206"/>
        </row>
        <row r="207">
          <cell r="D207" t="str">
            <v>N-02-02</v>
          </cell>
          <cell r="E207" t="str">
            <v>Codeína</v>
          </cell>
          <cell r="F207" t="str">
            <v>Comprimido</v>
          </cell>
          <cell r="G207" t="str">
            <v>30 mg</v>
          </cell>
          <cell r="H207" t="str">
            <v>N02AA07</v>
          </cell>
          <cell r="I207"/>
          <cell r="J207">
            <v>3.79</v>
          </cell>
          <cell r="K207"/>
        </row>
        <row r="208">
          <cell r="D208" t="str">
            <v>R-05-02</v>
          </cell>
          <cell r="E208" t="str">
            <v>Codeína</v>
          </cell>
          <cell r="F208" t="str">
            <v>Jarabe</v>
          </cell>
          <cell r="G208" t="str">
            <v>10 mg/5 ml</v>
          </cell>
          <cell r="H208" t="str">
            <v>R05DA04</v>
          </cell>
          <cell r="I208"/>
          <cell r="J208">
            <v>17.809999999999999</v>
          </cell>
          <cell r="K208"/>
        </row>
        <row r="209">
          <cell r="D209" t="str">
            <v>M-04-02</v>
          </cell>
          <cell r="E209" t="str">
            <v>Colchicina</v>
          </cell>
          <cell r="F209" t="str">
            <v>Comprimido</v>
          </cell>
          <cell r="G209" t="str">
            <v>0,5 mg</v>
          </cell>
          <cell r="H209" t="str">
            <v>M04AC01</v>
          </cell>
          <cell r="I209"/>
          <cell r="J209">
            <v>1.2</v>
          </cell>
          <cell r="K209"/>
        </row>
        <row r="210">
          <cell r="D210" t="str">
            <v>A-11-05</v>
          </cell>
          <cell r="E210" t="str">
            <v>Colecalciferol (Vitamina D3)</v>
          </cell>
          <cell r="F210" t="str">
            <v>Comprimido o Cápsula blanda</v>
          </cell>
          <cell r="G210" t="str">
            <v>0,25 mcg</v>
          </cell>
          <cell r="H210" t="str">
            <v>A11CC05</v>
          </cell>
          <cell r="I210"/>
          <cell r="J210">
            <v>2.1691025641025639</v>
          </cell>
          <cell r="K210"/>
        </row>
        <row r="211">
          <cell r="D211" t="str">
            <v>J-01-67</v>
          </cell>
          <cell r="E211" t="str">
            <v>Colistina</v>
          </cell>
          <cell r="F211" t="str">
            <v>Inyectable</v>
          </cell>
          <cell r="G211" t="str">
            <v>100 mg</v>
          </cell>
          <cell r="H211" t="str">
            <v>J01XB01</v>
          </cell>
          <cell r="I211" t="str">
            <v>R</v>
          </cell>
          <cell r="J211">
            <v>116.97619047619048</v>
          </cell>
          <cell r="K211"/>
        </row>
        <row r="212">
          <cell r="D212" t="str">
            <v>A-11-06</v>
          </cell>
          <cell r="E212" t="str">
            <v>Complejo  B (B1 + B6 + B12)</v>
          </cell>
          <cell r="F212" t="str">
            <v>Comprimido</v>
          </cell>
          <cell r="G212" t="str">
            <v>Según concentración estándar</v>
          </cell>
          <cell r="H212" t="str">
            <v>A11DB**</v>
          </cell>
          <cell r="I212"/>
          <cell r="J212">
            <v>0.22</v>
          </cell>
          <cell r="K212"/>
        </row>
        <row r="213">
          <cell r="D213" t="str">
            <v>A-11-07</v>
          </cell>
          <cell r="E213" t="str">
            <v>Complejo  B (B1 + B6 + B12)</v>
          </cell>
          <cell r="F213" t="str">
            <v>Inyectable</v>
          </cell>
          <cell r="G213" t="str">
            <v>Según concentración estándar</v>
          </cell>
          <cell r="H213" t="str">
            <v>A11DB**</v>
          </cell>
          <cell r="I213"/>
          <cell r="J213">
            <v>3.1</v>
          </cell>
          <cell r="K213"/>
        </row>
        <row r="214">
          <cell r="D214" t="str">
            <v>A-11-08</v>
          </cell>
          <cell r="E214" t="str">
            <v>Complejo de vitaminas y minerales (Uso pediatría) CMV</v>
          </cell>
          <cell r="F214" t="str">
            <v>Polvo para solución oral</v>
          </cell>
          <cell r="G214" t="str">
            <v>Según disponibilidad</v>
          </cell>
          <cell r="H214" t="str">
            <v>A11JC**</v>
          </cell>
          <cell r="I214"/>
          <cell r="J214">
            <v>395</v>
          </cell>
          <cell r="K214"/>
        </row>
        <row r="215">
          <cell r="D215" t="str">
            <v>V-06-05</v>
          </cell>
          <cell r="E215" t="str">
            <v xml:space="preserve">Complemento nutricional </v>
          </cell>
          <cell r="F215" t="str">
            <v>Polvo</v>
          </cell>
          <cell r="G215" t="str">
            <v>Según concentración estándar</v>
          </cell>
          <cell r="H215" t="str">
            <v>V06DB**</v>
          </cell>
          <cell r="I215"/>
          <cell r="J215">
            <v>179</v>
          </cell>
          <cell r="K215" t="str">
            <v>1000 G</v>
          </cell>
        </row>
        <row r="216">
          <cell r="D216" t="str">
            <v>V-06-04</v>
          </cell>
          <cell r="E216" t="str">
            <v>Complemento nutricional (Carmelo)</v>
          </cell>
          <cell r="F216" t="str">
            <v>Polvo</v>
          </cell>
          <cell r="G216" t="str">
            <v>Según concentración estándar</v>
          </cell>
          <cell r="H216" t="str">
            <v>V06DB**</v>
          </cell>
          <cell r="I216"/>
          <cell r="J216">
            <v>54</v>
          </cell>
          <cell r="K216"/>
        </row>
        <row r="217">
          <cell r="D217" t="str">
            <v>V-06-06</v>
          </cell>
          <cell r="E217" t="str">
            <v>Complemento nutricional (Diabético)</v>
          </cell>
          <cell r="F217" t="str">
            <v>Polvo</v>
          </cell>
          <cell r="G217" t="str">
            <v>Según concentración estándar</v>
          </cell>
          <cell r="H217" t="str">
            <v>V06DB**</v>
          </cell>
          <cell r="I217"/>
          <cell r="J217">
            <v>57.140000000000008</v>
          </cell>
          <cell r="K217" t="str">
            <v>460 GR</v>
          </cell>
        </row>
        <row r="218">
          <cell r="D218" t="str">
            <v>V-06-07</v>
          </cell>
          <cell r="E218" t="str">
            <v>Complemento nutricional (Nutri Mama   con Cañahua, probiótico y Omega-3)</v>
          </cell>
          <cell r="F218" t="str">
            <v>Polvo</v>
          </cell>
          <cell r="G218" t="str">
            <v>Según concentración estándar</v>
          </cell>
          <cell r="H218" t="str">
            <v>V06DB**</v>
          </cell>
          <cell r="I218"/>
          <cell r="J218">
            <v>65.400000000000006</v>
          </cell>
          <cell r="K218" t="str">
            <v>800g</v>
          </cell>
        </row>
        <row r="219">
          <cell r="D219" t="str">
            <v>V-06-03</v>
          </cell>
          <cell r="E219" t="str">
            <v>Complemento nutricional (Nutribebé)</v>
          </cell>
          <cell r="F219" t="str">
            <v>Polvo</v>
          </cell>
          <cell r="G219" t="str">
            <v>Según concentración estándar</v>
          </cell>
          <cell r="H219" t="str">
            <v>V06DA</v>
          </cell>
          <cell r="I219"/>
          <cell r="J219">
            <v>23.6</v>
          </cell>
          <cell r="K219" t="str">
            <v>750 G</v>
          </cell>
        </row>
        <row r="220">
          <cell r="D220" t="str">
            <v>V-08-01</v>
          </cell>
          <cell r="E220" t="str">
            <v>Contraste iodado</v>
          </cell>
          <cell r="F220" t="str">
            <v>Inyectable</v>
          </cell>
          <cell r="G220" t="str">
            <v>Según disponibilidad (10 ml)</v>
          </cell>
          <cell r="H220" t="str">
            <v>V08AB**</v>
          </cell>
          <cell r="I220"/>
          <cell r="J220">
            <v>195.16</v>
          </cell>
          <cell r="K220"/>
        </row>
        <row r="221">
          <cell r="D221" t="str">
            <v>V-08-02</v>
          </cell>
          <cell r="E221" t="str">
            <v>Contraste iodado</v>
          </cell>
          <cell r="F221" t="str">
            <v>Inyectable</v>
          </cell>
          <cell r="G221" t="str">
            <v>Según disponibilidad (50 ml)</v>
          </cell>
          <cell r="H221" t="str">
            <v>V08AB**</v>
          </cell>
          <cell r="I221"/>
          <cell r="J221">
            <v>304.88</v>
          </cell>
          <cell r="K221"/>
        </row>
        <row r="222">
          <cell r="D222" t="str">
            <v>V-08-03</v>
          </cell>
          <cell r="E222" t="str">
            <v>Contraste iodado</v>
          </cell>
          <cell r="F222" t="str">
            <v>Inyectable</v>
          </cell>
          <cell r="G222" t="str">
            <v>Según disponibilidad (100 ml o 200 ml)</v>
          </cell>
          <cell r="H222" t="str">
            <v>V08AB**</v>
          </cell>
          <cell r="I222"/>
          <cell r="J222">
            <v>312.26</v>
          </cell>
          <cell r="K222" t="str">
            <v>100 ml</v>
          </cell>
        </row>
        <row r="223">
          <cell r="D223" t="str">
            <v>C-05-01</v>
          </cell>
          <cell r="E223" t="str">
            <v>Corticoide + anestésico</v>
          </cell>
          <cell r="F223" t="str">
            <v>Supositorio</v>
          </cell>
          <cell r="G223" t="str">
            <v>Según disponibilidad</v>
          </cell>
          <cell r="H223" t="str">
            <v>C05AX03</v>
          </cell>
          <cell r="I223"/>
          <cell r="J223">
            <v>3.0282142857142857</v>
          </cell>
          <cell r="K223"/>
        </row>
        <row r="224">
          <cell r="D224" t="str">
            <v>C-05-02</v>
          </cell>
          <cell r="E224" t="str">
            <v>Corticoide + anestésico</v>
          </cell>
          <cell r="F224" t="str">
            <v>Crema o Pomada</v>
          </cell>
          <cell r="G224" t="str">
            <v>Según disponibilidad</v>
          </cell>
          <cell r="H224" t="str">
            <v>C05AX03</v>
          </cell>
          <cell r="I224"/>
          <cell r="J224">
            <v>42.05</v>
          </cell>
          <cell r="K224" t="str">
            <v>30 G</v>
          </cell>
        </row>
        <row r="225">
          <cell r="D225" t="str">
            <v>S-01-24</v>
          </cell>
          <cell r="E225" t="str">
            <v>Corticoide + antiinfeccioso de accion tópica</v>
          </cell>
          <cell r="F225" t="str">
            <v>Solución oftálmica</v>
          </cell>
          <cell r="G225" t="str">
            <v>Según disponibilidad</v>
          </cell>
          <cell r="H225" t="str">
            <v>S01CA01</v>
          </cell>
          <cell r="I225"/>
          <cell r="J225">
            <v>22.513030303030305</v>
          </cell>
          <cell r="K225"/>
        </row>
        <row r="226">
          <cell r="D226" t="str">
            <v>S-01-25</v>
          </cell>
          <cell r="E226" t="str">
            <v>Corticoide + antiinfeccioso de accion tópica</v>
          </cell>
          <cell r="F226" t="str">
            <v>Ungüento oftálmico</v>
          </cell>
          <cell r="G226" t="str">
            <v>Según disponibilidad</v>
          </cell>
          <cell r="H226" t="str">
            <v>S01CA01</v>
          </cell>
          <cell r="I226"/>
          <cell r="J226">
            <v>31.213333333333335</v>
          </cell>
          <cell r="K226"/>
        </row>
        <row r="227">
          <cell r="D227" t="str">
            <v>H-01-01</v>
          </cell>
          <cell r="E227" t="str">
            <v>Corticotrofina (ACTH)</v>
          </cell>
          <cell r="F227" t="str">
            <v>Inyectable</v>
          </cell>
          <cell r="G227" t="str">
            <v>25 UI o 40 UI</v>
          </cell>
          <cell r="H227" t="str">
            <v>H01AA01</v>
          </cell>
          <cell r="I227"/>
          <cell r="J227">
            <v>109.47</v>
          </cell>
          <cell r="K227"/>
        </row>
        <row r="228">
          <cell r="D228" t="str">
            <v>J-01-37</v>
          </cell>
          <cell r="E228" t="str">
            <v>Cotrimoxazol (Sulfametoxazol + Trimetoprima)</v>
          </cell>
          <cell r="F228" t="str">
            <v>Comprimido</v>
          </cell>
          <cell r="G228" t="str">
            <v>800 mg + 160 mg</v>
          </cell>
          <cell r="H228" t="str">
            <v>J01EE01</v>
          </cell>
          <cell r="I228"/>
          <cell r="J228">
            <v>0.75</v>
          </cell>
          <cell r="K228"/>
        </row>
        <row r="229">
          <cell r="D229" t="str">
            <v>J-01-38</v>
          </cell>
          <cell r="E229" t="str">
            <v>Cotrimoxazol (Sulfametoxazol + Trimetoprima)</v>
          </cell>
          <cell r="F229" t="str">
            <v>Suspensión</v>
          </cell>
          <cell r="G229" t="str">
            <v>200 mg + 40 mg/5 ml</v>
          </cell>
          <cell r="H229" t="str">
            <v>J01EE01</v>
          </cell>
          <cell r="I229"/>
          <cell r="J229">
            <v>9.18</v>
          </cell>
          <cell r="K229" t="str">
            <v>100 ML</v>
          </cell>
        </row>
        <row r="230">
          <cell r="D230" t="str">
            <v>J-01-39</v>
          </cell>
          <cell r="E230" t="str">
            <v>Cotrimoxazol (Sulfametoxazol + Trimetoprima)</v>
          </cell>
          <cell r="F230" t="str">
            <v>Comprimido</v>
          </cell>
          <cell r="G230" t="str">
            <v>100 mg + 20 mg</v>
          </cell>
          <cell r="H230" t="str">
            <v>J01EE01</v>
          </cell>
          <cell r="I230"/>
          <cell r="J230">
            <v>0.44999999999999996</v>
          </cell>
          <cell r="K230"/>
        </row>
        <row r="231">
          <cell r="D231" t="str">
            <v>J-01-40</v>
          </cell>
          <cell r="E231" t="str">
            <v>Cotrimoxazol (Sulfametoxazol + Trimetoprima)</v>
          </cell>
          <cell r="F231" t="str">
            <v>Comprimido</v>
          </cell>
          <cell r="G231" t="str">
            <v>400 mg + 80 mg</v>
          </cell>
          <cell r="H231" t="str">
            <v>J01EE01</v>
          </cell>
          <cell r="I231"/>
          <cell r="J231">
            <v>0.42</v>
          </cell>
          <cell r="K231"/>
        </row>
        <row r="232">
          <cell r="D232" t="str">
            <v>J-01-60</v>
          </cell>
          <cell r="E232" t="str">
            <v>Cotrimoxazol (Sulfametoxazol + Trimetoprima)</v>
          </cell>
          <cell r="F232" t="str">
            <v>Inyectable</v>
          </cell>
          <cell r="G232" t="str">
            <v>400 mg + 80 mg/5 ml</v>
          </cell>
          <cell r="H232" t="str">
            <v>J01EE01</v>
          </cell>
          <cell r="I232"/>
          <cell r="J232">
            <v>39.94</v>
          </cell>
          <cell r="K232"/>
        </row>
        <row r="233">
          <cell r="D233" t="str">
            <v>J-01-65</v>
          </cell>
          <cell r="E233" t="str">
            <v>Cotrimoxazol (Sulfametoxazol + Trimetoprima)</v>
          </cell>
          <cell r="F233" t="str">
            <v>Suspensión</v>
          </cell>
          <cell r="G233" t="str">
            <v>400 mg + 80 mg/5 ml</v>
          </cell>
          <cell r="H233" t="str">
            <v>J01EE01</v>
          </cell>
          <cell r="I233"/>
          <cell r="J233">
            <v>19.28</v>
          </cell>
          <cell r="K233" t="str">
            <v>100 ML</v>
          </cell>
        </row>
        <row r="234">
          <cell r="D234" t="str">
            <v>L-01-12</v>
          </cell>
          <cell r="E234" t="str">
            <v>Dacarbazina</v>
          </cell>
          <cell r="F234" t="str">
            <v>Inyectable</v>
          </cell>
          <cell r="G234" t="str">
            <v>200 mg</v>
          </cell>
          <cell r="H234" t="str">
            <v>L01AX04</v>
          </cell>
          <cell r="I234"/>
          <cell r="J234">
            <v>187</v>
          </cell>
          <cell r="K234"/>
        </row>
        <row r="235">
          <cell r="D235" t="str">
            <v>J-05-40</v>
          </cell>
          <cell r="E235" t="str">
            <v xml:space="preserve">Daclatasvir </v>
          </cell>
          <cell r="F235" t="str">
            <v>Cápsula o Comprimido</v>
          </cell>
          <cell r="G235" t="str">
            <v>60 mg</v>
          </cell>
          <cell r="H235" t="str">
            <v> J05AX14 </v>
          </cell>
          <cell r="I235"/>
          <cell r="J235">
            <v>471.51</v>
          </cell>
          <cell r="K235"/>
        </row>
        <row r="236">
          <cell r="D236" t="str">
            <v>L-01-13</v>
          </cell>
          <cell r="E236" t="str">
            <v>Dactinomicina</v>
          </cell>
          <cell r="F236" t="str">
            <v>Inyectable</v>
          </cell>
          <cell r="G236" t="str">
            <v>0,5 mg/ml</v>
          </cell>
          <cell r="H236" t="str">
            <v>L01DA01</v>
          </cell>
          <cell r="I236"/>
          <cell r="J236">
            <v>315.33</v>
          </cell>
          <cell r="K236"/>
        </row>
        <row r="237">
          <cell r="D237" t="str">
            <v>J-04-03</v>
          </cell>
          <cell r="E237" t="str">
            <v>Dapsona</v>
          </cell>
          <cell r="F237" t="str">
            <v>Comprimido</v>
          </cell>
          <cell r="G237" t="str">
            <v>100 mg</v>
          </cell>
          <cell r="H237" t="str">
            <v>J04BA02</v>
          </cell>
          <cell r="I237"/>
          <cell r="J237">
            <v>6.78</v>
          </cell>
          <cell r="K237"/>
        </row>
        <row r="238">
          <cell r="D238" t="str">
            <v>J-04-16</v>
          </cell>
          <cell r="E238" t="str">
            <v>Dapsona</v>
          </cell>
          <cell r="F238" t="str">
            <v>Comprimido</v>
          </cell>
          <cell r="G238" t="str">
            <v>50 mg</v>
          </cell>
          <cell r="H238" t="str">
            <v>J04BA02</v>
          </cell>
          <cell r="I238" t="str">
            <v>R</v>
          </cell>
          <cell r="J238">
            <v>2.5499999999999998</v>
          </cell>
          <cell r="K238"/>
        </row>
        <row r="239">
          <cell r="D239" t="str">
            <v>J-05-32</v>
          </cell>
          <cell r="E239" t="str">
            <v>Darunavir</v>
          </cell>
          <cell r="F239" t="str">
            <v>Comprimido</v>
          </cell>
          <cell r="G239" t="str">
            <v>600 mg</v>
          </cell>
          <cell r="H239" t="str">
            <v>J05AE10</v>
          </cell>
          <cell r="I239" t="str">
            <v>R</v>
          </cell>
          <cell r="J239">
            <v>61.466999999999999</v>
          </cell>
          <cell r="K239"/>
        </row>
        <row r="240">
          <cell r="D240" t="str">
            <v>L-01-44</v>
          </cell>
          <cell r="E240" t="str">
            <v>Dasatinib</v>
          </cell>
          <cell r="F240" t="str">
            <v>Comprimido</v>
          </cell>
          <cell r="G240" t="str">
            <v>20 mg</v>
          </cell>
          <cell r="H240" t="str">
            <v>L01XE06</v>
          </cell>
          <cell r="I240" t="str">
            <v>R</v>
          </cell>
          <cell r="J240">
            <v>41.67</v>
          </cell>
          <cell r="K240"/>
        </row>
        <row r="241">
          <cell r="D241" t="str">
            <v>L-01-45</v>
          </cell>
          <cell r="E241" t="str">
            <v>Dasatinib</v>
          </cell>
          <cell r="F241" t="str">
            <v>Comprimido</v>
          </cell>
          <cell r="G241" t="str">
            <v>50 mg</v>
          </cell>
          <cell r="H241" t="str">
            <v>L01XE06</v>
          </cell>
          <cell r="I241" t="str">
            <v>R</v>
          </cell>
          <cell r="J241">
            <v>196.63</v>
          </cell>
          <cell r="K241"/>
        </row>
        <row r="242">
          <cell r="D242" t="str">
            <v>L-01-46</v>
          </cell>
          <cell r="E242" t="str">
            <v>Dasatinib</v>
          </cell>
          <cell r="F242" t="str">
            <v>Comprimido</v>
          </cell>
          <cell r="G242" t="str">
            <v>70 mg</v>
          </cell>
          <cell r="H242" t="str">
            <v>L01XE06</v>
          </cell>
          <cell r="I242" t="str">
            <v>R</v>
          </cell>
          <cell r="J242">
            <v>209.73</v>
          </cell>
          <cell r="K242"/>
        </row>
        <row r="243">
          <cell r="D243" t="str">
            <v>L-01-47</v>
          </cell>
          <cell r="E243" t="str">
            <v>Dasatinib</v>
          </cell>
          <cell r="F243" t="str">
            <v>Comprimido</v>
          </cell>
          <cell r="G243" t="str">
            <v>100 mg</v>
          </cell>
          <cell r="H243" t="str">
            <v>L01XE06</v>
          </cell>
          <cell r="I243" t="str">
            <v>R</v>
          </cell>
          <cell r="J243">
            <v>367</v>
          </cell>
          <cell r="K243"/>
        </row>
        <row r="244">
          <cell r="D244" t="str">
            <v>L-01-37</v>
          </cell>
          <cell r="E244" t="str">
            <v xml:space="preserve">Daunorrubicina </v>
          </cell>
          <cell r="F244" t="str">
            <v>Inyectable</v>
          </cell>
          <cell r="G244" t="str">
            <v>20 mg</v>
          </cell>
          <cell r="H244" t="str">
            <v>L01DB02</v>
          </cell>
          <cell r="I244"/>
          <cell r="J244">
            <v>351</v>
          </cell>
          <cell r="K244"/>
        </row>
        <row r="245">
          <cell r="D245" t="str">
            <v>V-03-02</v>
          </cell>
          <cell r="E245" t="str">
            <v>Deferoxamina mesilato</v>
          </cell>
          <cell r="F245" t="str">
            <v>Inyectable</v>
          </cell>
          <cell r="G245" t="str">
            <v>500 mg</v>
          </cell>
          <cell r="H245" t="str">
            <v>V03AC01</v>
          </cell>
          <cell r="I245"/>
          <cell r="J245">
            <v>111.55</v>
          </cell>
          <cell r="K245"/>
        </row>
        <row r="246">
          <cell r="D246" t="str">
            <v>J-04-19</v>
          </cell>
          <cell r="E246" t="str">
            <v xml:space="preserve">Delamanid </v>
          </cell>
          <cell r="F246" t="str">
            <v xml:space="preserve">Comprimido </v>
          </cell>
          <cell r="G246" t="str">
            <v>100 mg</v>
          </cell>
          <cell r="H246" t="str">
            <v>J04AK06</v>
          </cell>
          <cell r="I246"/>
          <cell r="J246">
            <v>106</v>
          </cell>
          <cell r="K246"/>
        </row>
        <row r="247">
          <cell r="D247" t="str">
            <v>H-01-02</v>
          </cell>
          <cell r="E247" t="str">
            <v>Desmopresina acetato</v>
          </cell>
          <cell r="F247" t="str">
            <v>Solución nasal</v>
          </cell>
          <cell r="G247" t="str">
            <v>0,1 mg/ml</v>
          </cell>
          <cell r="H247" t="str">
            <v>H01BA02</v>
          </cell>
          <cell r="I247"/>
          <cell r="J247">
            <v>560.19224550000001</v>
          </cell>
          <cell r="K247" t="str">
            <v>5 ML</v>
          </cell>
        </row>
        <row r="248">
          <cell r="D248" t="str">
            <v>H-02-02</v>
          </cell>
          <cell r="E248" t="str">
            <v>Dexametasona</v>
          </cell>
          <cell r="F248" t="str">
            <v>Comprimido</v>
          </cell>
          <cell r="G248" t="str">
            <v>4 mg</v>
          </cell>
          <cell r="H248" t="str">
            <v>H02AB02</v>
          </cell>
          <cell r="I248"/>
          <cell r="J248">
            <v>0.81583333333333341</v>
          </cell>
          <cell r="K248"/>
        </row>
        <row r="249">
          <cell r="D249" t="str">
            <v>H-02-03</v>
          </cell>
          <cell r="E249" t="str">
            <v>Dexametasona</v>
          </cell>
          <cell r="F249" t="str">
            <v>Comprimido</v>
          </cell>
          <cell r="G249" t="str">
            <v>0,5 mg</v>
          </cell>
          <cell r="H249" t="str">
            <v>H02AB02</v>
          </cell>
          <cell r="I249"/>
          <cell r="J249">
            <v>0.57999999999999996</v>
          </cell>
          <cell r="K249"/>
        </row>
        <row r="250">
          <cell r="D250" t="str">
            <v>H-02-04</v>
          </cell>
          <cell r="E250" t="str">
            <v>Dexametasona</v>
          </cell>
          <cell r="F250" t="str">
            <v>Inyectable</v>
          </cell>
          <cell r="G250" t="str">
            <v>4 mg/ml</v>
          </cell>
          <cell r="H250" t="str">
            <v>H02AB02</v>
          </cell>
          <cell r="I250"/>
          <cell r="J250">
            <v>2.0499999999999998</v>
          </cell>
          <cell r="K250" t="str">
            <v>1 ML</v>
          </cell>
        </row>
        <row r="251">
          <cell r="D251" t="str">
            <v>S-01-09</v>
          </cell>
          <cell r="E251" t="str">
            <v>Dexametasona</v>
          </cell>
          <cell r="F251" t="str">
            <v>Solución oftálmica</v>
          </cell>
          <cell r="G251" t="str">
            <v>0,1%</v>
          </cell>
          <cell r="H251" t="str">
            <v>S01BA01</v>
          </cell>
          <cell r="I251"/>
          <cell r="J251">
            <v>17.22</v>
          </cell>
          <cell r="K251" t="str">
            <v>10 ML</v>
          </cell>
        </row>
        <row r="252">
          <cell r="D252" t="str">
            <v>S-01-10</v>
          </cell>
          <cell r="E252" t="str">
            <v>Dexametasona</v>
          </cell>
          <cell r="F252" t="str">
            <v>Ungüento o Pomada oftálmica</v>
          </cell>
          <cell r="G252" t="str">
            <v>0,1%</v>
          </cell>
          <cell r="H252" t="str">
            <v>S01BA01</v>
          </cell>
          <cell r="I252"/>
          <cell r="J252">
            <v>37.81</v>
          </cell>
          <cell r="K252"/>
        </row>
        <row r="253">
          <cell r="D253" t="str">
            <v>N-05-19</v>
          </cell>
          <cell r="E253" t="str">
            <v xml:space="preserve">Dexmedetomidina </v>
          </cell>
          <cell r="F253" t="str">
            <v>Inyectable</v>
          </cell>
          <cell r="G253" t="str">
            <v>100 mcg/ml</v>
          </cell>
          <cell r="H253" t="str">
            <v>N05CM18</v>
          </cell>
          <cell r="I253"/>
          <cell r="J253">
            <v>150</v>
          </cell>
          <cell r="K253"/>
        </row>
        <row r="254">
          <cell r="D254" t="str">
            <v>B-05-08</v>
          </cell>
          <cell r="E254" t="str">
            <v>Dextrán 70</v>
          </cell>
          <cell r="F254" t="str">
            <v>Solución parenteral de gran volúmen</v>
          </cell>
          <cell r="G254">
            <v>0.06</v>
          </cell>
          <cell r="H254" t="str">
            <v>B05AA05</v>
          </cell>
          <cell r="I254"/>
          <cell r="J254">
            <v>67.2</v>
          </cell>
          <cell r="K254"/>
        </row>
        <row r="255">
          <cell r="D255" t="str">
            <v>R-05-03</v>
          </cell>
          <cell r="E255" t="str">
            <v>Dextrometorfano bromhidrato</v>
          </cell>
          <cell r="F255" t="str">
            <v>Jarabe</v>
          </cell>
          <cell r="G255" t="str">
            <v>10 mg/5 ml</v>
          </cell>
          <cell r="H255" t="str">
            <v>R05DA09</v>
          </cell>
          <cell r="I255"/>
          <cell r="J255">
            <v>9.59</v>
          </cell>
          <cell r="K255"/>
        </row>
        <row r="256">
          <cell r="D256" t="str">
            <v>N-05-04</v>
          </cell>
          <cell r="E256" t="str">
            <v>Diazepam</v>
          </cell>
          <cell r="F256" t="str">
            <v>Comprimido ranurado</v>
          </cell>
          <cell r="G256" t="str">
            <v>10 mg</v>
          </cell>
          <cell r="H256" t="str">
            <v>N05BA01</v>
          </cell>
          <cell r="I256"/>
          <cell r="J256">
            <v>1.39</v>
          </cell>
          <cell r="K256"/>
        </row>
        <row r="257">
          <cell r="D257" t="str">
            <v>N-05-05</v>
          </cell>
          <cell r="E257" t="str">
            <v>Diazepam</v>
          </cell>
          <cell r="F257" t="str">
            <v>Inyectable</v>
          </cell>
          <cell r="G257" t="str">
            <v>10 mg</v>
          </cell>
          <cell r="H257" t="str">
            <v>N05BA01</v>
          </cell>
          <cell r="I257"/>
          <cell r="J257">
            <v>6.96</v>
          </cell>
          <cell r="K257"/>
        </row>
        <row r="258">
          <cell r="D258" t="str">
            <v>N-05-06</v>
          </cell>
          <cell r="E258" t="str">
            <v>Diazepam</v>
          </cell>
          <cell r="F258" t="str">
            <v>Comprimido ranurado</v>
          </cell>
          <cell r="G258" t="str">
            <v>5 mg</v>
          </cell>
          <cell r="H258" t="str">
            <v>N05BA01</v>
          </cell>
          <cell r="I258"/>
          <cell r="J258">
            <v>0.6</v>
          </cell>
          <cell r="K258"/>
        </row>
        <row r="259">
          <cell r="D259" t="str">
            <v>M-01-01</v>
          </cell>
          <cell r="E259" t="str">
            <v>Diclofenaco Sódico</v>
          </cell>
          <cell r="F259" t="str">
            <v>Pomada o Gel</v>
          </cell>
          <cell r="G259">
            <v>0.01</v>
          </cell>
          <cell r="H259" t="str">
            <v>M01AB05</v>
          </cell>
          <cell r="I259"/>
          <cell r="J259">
            <v>11.02</v>
          </cell>
          <cell r="K259" t="str">
            <v xml:space="preserve">30G </v>
          </cell>
        </row>
        <row r="260">
          <cell r="D260" t="str">
            <v>M-01-02</v>
          </cell>
          <cell r="E260" t="str">
            <v>Diclofenaco Sódico</v>
          </cell>
          <cell r="F260" t="str">
            <v>Comprimido</v>
          </cell>
          <cell r="G260" t="str">
            <v>50 mg</v>
          </cell>
          <cell r="H260" t="str">
            <v>M01AB05</v>
          </cell>
          <cell r="I260"/>
          <cell r="J260">
            <v>0.18</v>
          </cell>
          <cell r="K260"/>
        </row>
        <row r="261">
          <cell r="D261" t="str">
            <v>M-01-03</v>
          </cell>
          <cell r="E261" t="str">
            <v>Diclofenaco Sódico</v>
          </cell>
          <cell r="F261" t="str">
            <v>Inyectable</v>
          </cell>
          <cell r="G261" t="str">
            <v>75 mg</v>
          </cell>
          <cell r="H261" t="str">
            <v>M01AB05</v>
          </cell>
          <cell r="I261"/>
          <cell r="J261">
            <v>1.45</v>
          </cell>
          <cell r="K261" t="str">
            <v>3 ML</v>
          </cell>
        </row>
        <row r="262">
          <cell r="D262" t="str">
            <v>S-01-11</v>
          </cell>
          <cell r="E262" t="str">
            <v>Diclofenaco Sódico</v>
          </cell>
          <cell r="F262" t="str">
            <v>Solución oftálmica</v>
          </cell>
          <cell r="G262" t="str">
            <v>0,1%</v>
          </cell>
          <cell r="H262" t="str">
            <v>S01BC03</v>
          </cell>
          <cell r="I262"/>
          <cell r="J262">
            <v>11.85</v>
          </cell>
          <cell r="K262"/>
        </row>
        <row r="263">
          <cell r="D263" t="str">
            <v>J-01-41</v>
          </cell>
          <cell r="E263" t="str">
            <v>Dicloxacilina sódica</v>
          </cell>
          <cell r="F263" t="str">
            <v>Cápsula</v>
          </cell>
          <cell r="G263" t="str">
            <v>500 mg</v>
          </cell>
          <cell r="H263" t="str">
            <v>J01CF01</v>
          </cell>
          <cell r="I263"/>
          <cell r="J263">
            <v>1.24</v>
          </cell>
          <cell r="K263"/>
        </row>
        <row r="264">
          <cell r="D264" t="str">
            <v>J-01-42</v>
          </cell>
          <cell r="E264" t="str">
            <v>Dicloxacilina sódica</v>
          </cell>
          <cell r="F264" t="str">
            <v>Suspensión</v>
          </cell>
          <cell r="G264" t="str">
            <v>250 mg/5 ml</v>
          </cell>
          <cell r="H264" t="str">
            <v>J01CF01</v>
          </cell>
          <cell r="I264"/>
          <cell r="J264">
            <v>15.86</v>
          </cell>
          <cell r="K264" t="str">
            <v>100 ML</v>
          </cell>
        </row>
        <row r="265">
          <cell r="D265" t="str">
            <v>C-01-04</v>
          </cell>
          <cell r="E265" t="str">
            <v>Digoxina</v>
          </cell>
          <cell r="F265" t="str">
            <v>Solución oral gotas</v>
          </cell>
          <cell r="G265" t="str">
            <v>0,75 mg/ml</v>
          </cell>
          <cell r="H265" t="str">
            <v>C01AA05</v>
          </cell>
          <cell r="I265"/>
          <cell r="J265">
            <v>104.09</v>
          </cell>
          <cell r="K265" t="str">
            <v>15 ML</v>
          </cell>
        </row>
        <row r="266">
          <cell r="D266" t="str">
            <v>C-01-05</v>
          </cell>
          <cell r="E266" t="str">
            <v>Digoxina</v>
          </cell>
          <cell r="F266" t="str">
            <v>Inyectable</v>
          </cell>
          <cell r="G266" t="str">
            <v>0,25 mg/ml</v>
          </cell>
          <cell r="H266" t="str">
            <v>C01AA05</v>
          </cell>
          <cell r="I266"/>
          <cell r="J266">
            <v>7.7012499999999999</v>
          </cell>
          <cell r="K266" t="str">
            <v>2ML</v>
          </cell>
        </row>
        <row r="267">
          <cell r="D267" t="str">
            <v>C-01-06</v>
          </cell>
          <cell r="E267" t="str">
            <v>Digoxina</v>
          </cell>
          <cell r="F267" t="str">
            <v>Comprimido ranurado</v>
          </cell>
          <cell r="G267" t="str">
            <v>0,25 mg</v>
          </cell>
          <cell r="H267" t="str">
            <v>C01AA05</v>
          </cell>
          <cell r="I267"/>
          <cell r="J267">
            <v>0.54</v>
          </cell>
          <cell r="K267"/>
        </row>
        <row r="268">
          <cell r="D268" t="str">
            <v>N-07-01</v>
          </cell>
          <cell r="E268" t="str">
            <v>Dimenhidrinato</v>
          </cell>
          <cell r="F268" t="str">
            <v>Comprimido</v>
          </cell>
          <cell r="G268" t="str">
            <v>50 mg</v>
          </cell>
          <cell r="H268" t="str">
            <v>N07X**</v>
          </cell>
          <cell r="I268"/>
          <cell r="J268">
            <v>0.9</v>
          </cell>
          <cell r="K268"/>
        </row>
        <row r="269">
          <cell r="D269" t="str">
            <v>N-07-02</v>
          </cell>
          <cell r="E269" t="str">
            <v>Dimenhidrinato</v>
          </cell>
          <cell r="F269" t="str">
            <v>Supositorio</v>
          </cell>
          <cell r="G269" t="str">
            <v>50 mg</v>
          </cell>
          <cell r="H269" t="str">
            <v>N07X**</v>
          </cell>
          <cell r="I269"/>
          <cell r="J269">
            <v>4.12</v>
          </cell>
          <cell r="K269"/>
        </row>
        <row r="270">
          <cell r="D270" t="str">
            <v>N-07-03</v>
          </cell>
          <cell r="E270" t="str">
            <v>Dimenhidrinato</v>
          </cell>
          <cell r="F270" t="str">
            <v>Inyectable</v>
          </cell>
          <cell r="G270" t="str">
            <v>50 mg/ml</v>
          </cell>
          <cell r="H270" t="str">
            <v>N07X**</v>
          </cell>
          <cell r="I270"/>
          <cell r="J270">
            <v>14.908928571428572</v>
          </cell>
          <cell r="K270"/>
        </row>
        <row r="271">
          <cell r="D271" t="str">
            <v>V-03-03</v>
          </cell>
          <cell r="E271" t="str">
            <v>Dimercaprol (B.A.L.)</v>
          </cell>
          <cell r="F271" t="str">
            <v>Inyectable</v>
          </cell>
          <cell r="G271" t="str">
            <v>100 mg/ml</v>
          </cell>
          <cell r="H271" t="str">
            <v>V03AB09</v>
          </cell>
          <cell r="I271"/>
          <cell r="J271">
            <v>758.01</v>
          </cell>
          <cell r="K271"/>
        </row>
        <row r="272">
          <cell r="D272" t="str">
            <v>C-01-07</v>
          </cell>
          <cell r="E272" t="str">
            <v>Dinitrato de isosorbida (Isosorbide dinitrato)</v>
          </cell>
          <cell r="F272" t="str">
            <v>Comprimido sublingual</v>
          </cell>
          <cell r="G272" t="str">
            <v>5 mg</v>
          </cell>
          <cell r="H272" t="str">
            <v>C01DA08</v>
          </cell>
          <cell r="I272"/>
          <cell r="J272">
            <v>1.35</v>
          </cell>
          <cell r="K272"/>
        </row>
        <row r="273">
          <cell r="D273" t="str">
            <v>C-01-08</v>
          </cell>
          <cell r="E273" t="str">
            <v>Dobutamina clorhidrato</v>
          </cell>
          <cell r="F273" t="str">
            <v>Inyectable</v>
          </cell>
          <cell r="G273" t="str">
            <v>250 mg</v>
          </cell>
          <cell r="H273" t="str">
            <v>C01CA07</v>
          </cell>
          <cell r="I273"/>
          <cell r="J273">
            <v>26.47377777777778</v>
          </cell>
          <cell r="K273"/>
        </row>
        <row r="274">
          <cell r="D274" t="str">
            <v>L-01-38</v>
          </cell>
          <cell r="E274" t="str">
            <v>Docetaxel</v>
          </cell>
          <cell r="F274" t="str">
            <v>Inyectable</v>
          </cell>
          <cell r="G274" t="str">
            <v>40 mg/ml  (2ml)</v>
          </cell>
          <cell r="H274" t="str">
            <v>L01CD02</v>
          </cell>
          <cell r="I274"/>
          <cell r="J274">
            <v>543.24250000000006</v>
          </cell>
          <cell r="K274"/>
        </row>
        <row r="275">
          <cell r="D275" t="str">
            <v>A-03-06</v>
          </cell>
          <cell r="E275" t="str">
            <v>Domperidona</v>
          </cell>
          <cell r="F275" t="str">
            <v>Comprimido</v>
          </cell>
          <cell r="G275" t="str">
            <v>10 mg</v>
          </cell>
          <cell r="H275" t="str">
            <v>A03FA03</v>
          </cell>
          <cell r="I275"/>
          <cell r="J275">
            <v>0.47062962962962968</v>
          </cell>
          <cell r="K275"/>
        </row>
        <row r="276">
          <cell r="D276" t="str">
            <v>C-01-09</v>
          </cell>
          <cell r="E276" t="str">
            <v>Dopamina clorhidrato</v>
          </cell>
          <cell r="F276" t="str">
            <v>Inyectable</v>
          </cell>
          <cell r="G276" t="str">
            <v>200 mg</v>
          </cell>
          <cell r="H276" t="str">
            <v>C01CA04</v>
          </cell>
          <cell r="I276"/>
          <cell r="J276">
            <v>5.2600000000000007</v>
          </cell>
          <cell r="K276"/>
        </row>
        <row r="277">
          <cell r="D277" t="str">
            <v>S-01-12</v>
          </cell>
          <cell r="E277" t="str">
            <v>Dorzolamida</v>
          </cell>
          <cell r="F277" t="str">
            <v>Solución oftálmica</v>
          </cell>
          <cell r="G277">
            <v>0.02</v>
          </cell>
          <cell r="H277" t="str">
            <v>S01EC03</v>
          </cell>
          <cell r="I277"/>
          <cell r="J277">
            <v>95.14</v>
          </cell>
          <cell r="K277"/>
        </row>
        <row r="278">
          <cell r="D278" t="str">
            <v>J-01-44</v>
          </cell>
          <cell r="E278" t="str">
            <v>Doxiciclina</v>
          </cell>
          <cell r="F278" t="str">
            <v>Cápsula o Comprimido</v>
          </cell>
          <cell r="G278" t="str">
            <v>100 mg</v>
          </cell>
          <cell r="H278" t="str">
            <v>J01AA02</v>
          </cell>
          <cell r="I278"/>
          <cell r="J278">
            <v>0.71</v>
          </cell>
          <cell r="K278"/>
        </row>
        <row r="279">
          <cell r="D279" t="str">
            <v>L-01-48</v>
          </cell>
          <cell r="E279" t="str">
            <v>Doxorrubicina liposomal pegilada</v>
          </cell>
          <cell r="F279" t="str">
            <v>Inyectable</v>
          </cell>
          <cell r="G279" t="str">
            <v>20 mg/ 10 ml</v>
          </cell>
          <cell r="H279" t="str">
            <v>L01DB01</v>
          </cell>
          <cell r="I279" t="str">
            <v>R</v>
          </cell>
          <cell r="J279">
            <v>718.125</v>
          </cell>
          <cell r="K279" t="str">
            <v>10 ML</v>
          </cell>
        </row>
        <row r="280">
          <cell r="D280" t="str">
            <v>L-01-14</v>
          </cell>
          <cell r="E280" t="str">
            <v>Doxorubicina clorhidrato (Adriamicina clorh.)</v>
          </cell>
          <cell r="F280" t="str">
            <v>Inyectable</v>
          </cell>
          <cell r="G280" t="str">
            <v>10 mg</v>
          </cell>
          <cell r="H280" t="str">
            <v>L01DB01</v>
          </cell>
          <cell r="I280"/>
          <cell r="J280">
            <v>120</v>
          </cell>
          <cell r="K280"/>
        </row>
        <row r="281">
          <cell r="D281" t="str">
            <v>L-01-15</v>
          </cell>
          <cell r="E281" t="str">
            <v>Doxorubicina clorhidrato (Adriamicina clorh.)</v>
          </cell>
          <cell r="F281" t="str">
            <v>Inyectable</v>
          </cell>
          <cell r="G281" t="str">
            <v>50 mg</v>
          </cell>
          <cell r="H281" t="str">
            <v>L01DB01</v>
          </cell>
          <cell r="I281"/>
          <cell r="J281">
            <v>174.06874999999999</v>
          </cell>
          <cell r="K281"/>
        </row>
        <row r="282">
          <cell r="D282" t="str">
            <v>N-01-04</v>
          </cell>
          <cell r="E282" t="str">
            <v>Droperidol</v>
          </cell>
          <cell r="F282" t="str">
            <v>Inyectable</v>
          </cell>
          <cell r="G282" t="str">
            <v>2,5 mg/ml</v>
          </cell>
          <cell r="H282" t="str">
            <v>N01AX01</v>
          </cell>
          <cell r="I282"/>
          <cell r="J282">
            <v>7.61</v>
          </cell>
          <cell r="K282"/>
        </row>
        <row r="283">
          <cell r="D283" t="str">
            <v>N-06-08</v>
          </cell>
          <cell r="E283" t="str">
            <v xml:space="preserve">Duloxetina </v>
          </cell>
          <cell r="F283" t="str">
            <v>Cápsula</v>
          </cell>
          <cell r="G283" t="str">
            <v>30 mg</v>
          </cell>
          <cell r="H283" t="str">
            <v>N06AX21</v>
          </cell>
          <cell r="I283" t="str">
            <v>R</v>
          </cell>
          <cell r="J283">
            <v>8.2220000000000013</v>
          </cell>
          <cell r="K283"/>
        </row>
        <row r="284">
          <cell r="D284" t="str">
            <v>V-03-04</v>
          </cell>
          <cell r="E284" t="str">
            <v>Edetato sódico de calcio (EDTA)</v>
          </cell>
          <cell r="F284" t="str">
            <v>Inyectable</v>
          </cell>
          <cell r="G284">
            <v>0.2</v>
          </cell>
          <cell r="H284" t="str">
            <v>V03AB03</v>
          </cell>
          <cell r="I284"/>
          <cell r="J284">
            <v>122.63</v>
          </cell>
          <cell r="K284"/>
        </row>
        <row r="285">
          <cell r="D285" t="str">
            <v>J-05-10</v>
          </cell>
          <cell r="E285" t="str">
            <v>Efavirenz</v>
          </cell>
          <cell r="F285" t="str">
            <v>Comprimido</v>
          </cell>
          <cell r="G285" t="str">
            <v>600 mg</v>
          </cell>
          <cell r="H285" t="str">
            <v>J05AG03</v>
          </cell>
          <cell r="I285"/>
          <cell r="J285">
            <v>1.51</v>
          </cell>
          <cell r="K285"/>
        </row>
        <row r="286">
          <cell r="D286" t="str">
            <v>J-05-33</v>
          </cell>
          <cell r="E286" t="str">
            <v>Efavirenz</v>
          </cell>
          <cell r="F286" t="str">
            <v>Comprimido</v>
          </cell>
          <cell r="G286" t="str">
            <v>200 mg</v>
          </cell>
          <cell r="H286" t="str">
            <v>J05AG03</v>
          </cell>
          <cell r="I286"/>
          <cell r="J286">
            <v>0.73</v>
          </cell>
          <cell r="K286"/>
        </row>
        <row r="287">
          <cell r="D287" t="str">
            <v>B-05-09</v>
          </cell>
          <cell r="E287" t="str">
            <v>Emulsión de lípidos</v>
          </cell>
          <cell r="F287" t="str">
            <v>Emulsión inyectable</v>
          </cell>
          <cell r="G287" t="str">
            <v>Según disponibilidad</v>
          </cell>
          <cell r="H287" t="str">
            <v>B05BA02</v>
          </cell>
          <cell r="I287"/>
          <cell r="J287">
            <v>146.88399999999999</v>
          </cell>
          <cell r="K287"/>
        </row>
        <row r="288">
          <cell r="D288" t="str">
            <v>C-09-01</v>
          </cell>
          <cell r="E288" t="str">
            <v>Enalapril maleato</v>
          </cell>
          <cell r="F288" t="str">
            <v>Comprimido ranurado</v>
          </cell>
          <cell r="G288" t="str">
            <v>10 mg</v>
          </cell>
          <cell r="H288" t="str">
            <v>C09AA02</v>
          </cell>
          <cell r="I288"/>
          <cell r="J288">
            <v>0.24</v>
          </cell>
          <cell r="K288"/>
        </row>
        <row r="289">
          <cell r="D289" t="str">
            <v>L-02-11</v>
          </cell>
          <cell r="E289" t="str">
            <v>Enzalutamida</v>
          </cell>
          <cell r="F289" t="str">
            <v>Cápsula</v>
          </cell>
          <cell r="G289" t="str">
            <v>40 mg</v>
          </cell>
          <cell r="H289" t="str">
            <v>L02BB04</v>
          </cell>
          <cell r="I289" t="str">
            <v>R</v>
          </cell>
          <cell r="J289">
            <v>192.91666666666669</v>
          </cell>
          <cell r="K289"/>
        </row>
        <row r="290">
          <cell r="D290" t="str">
            <v>A-09-01</v>
          </cell>
          <cell r="E290" t="str">
            <v>Enzimas pancreáticas (Lipasa, Proteasa y Amilasa en combinación)</v>
          </cell>
          <cell r="F290" t="str">
            <v>Comprimido</v>
          </cell>
          <cell r="G290" t="str">
            <v>Según disponibilidad</v>
          </cell>
          <cell r="H290" t="str">
            <v>A09AA02</v>
          </cell>
          <cell r="I290"/>
          <cell r="J290">
            <v>2.1814285714285715</v>
          </cell>
          <cell r="K290" t="str">
            <v>150 MG</v>
          </cell>
        </row>
        <row r="291">
          <cell r="D291" t="str">
            <v>C-01-10</v>
          </cell>
          <cell r="E291" t="str">
            <v>Epinefrina (Adrenalina)</v>
          </cell>
          <cell r="F291" t="str">
            <v>Inyectable</v>
          </cell>
          <cell r="G291" t="str">
            <v>1 mg/ml</v>
          </cell>
          <cell r="H291" t="str">
            <v>C01CA24</v>
          </cell>
          <cell r="I291"/>
          <cell r="J291">
            <v>6.89</v>
          </cell>
          <cell r="K291"/>
        </row>
        <row r="292">
          <cell r="D292" t="str">
            <v>G-02-03</v>
          </cell>
          <cell r="E292" t="str">
            <v>Ergometrina maleato</v>
          </cell>
          <cell r="F292" t="str">
            <v>Comprimido</v>
          </cell>
          <cell r="G292" t="str">
            <v>0,2 mg</v>
          </cell>
          <cell r="H292" t="str">
            <v>G02AB03</v>
          </cell>
          <cell r="I292"/>
          <cell r="J292">
            <v>1.7853030303030302</v>
          </cell>
          <cell r="K292"/>
        </row>
        <row r="293">
          <cell r="D293" t="str">
            <v>G-02-04</v>
          </cell>
          <cell r="E293" t="str">
            <v>Ergometrina maleato</v>
          </cell>
          <cell r="F293" t="str">
            <v>Inyectable</v>
          </cell>
          <cell r="G293" t="str">
            <v>0,2 mg/ml</v>
          </cell>
          <cell r="H293" t="str">
            <v>G02AB03</v>
          </cell>
          <cell r="I293"/>
          <cell r="J293">
            <v>8.3699999999999992</v>
          </cell>
          <cell r="K293" t="str">
            <v>1 ML</v>
          </cell>
        </row>
        <row r="294">
          <cell r="D294" t="str">
            <v>N-02-03</v>
          </cell>
          <cell r="E294" t="str">
            <v>Ergotamina tartrato + Cafeína</v>
          </cell>
          <cell r="F294" t="str">
            <v>Comprimido</v>
          </cell>
          <cell r="G294" t="str">
            <v>1 mg + 100 mg</v>
          </cell>
          <cell r="H294" t="str">
            <v>N02CA72</v>
          </cell>
          <cell r="I294"/>
          <cell r="J294">
            <v>2.6</v>
          </cell>
          <cell r="K294"/>
        </row>
        <row r="295">
          <cell r="D295" t="str">
            <v>D-10-01</v>
          </cell>
          <cell r="E295" t="str">
            <v>Eritromicina</v>
          </cell>
          <cell r="F295" t="str">
            <v>Loción</v>
          </cell>
          <cell r="G295" t="str">
            <v>2% a 4%</v>
          </cell>
          <cell r="H295" t="str">
            <v>D10AF02</v>
          </cell>
          <cell r="I295"/>
          <cell r="J295">
            <v>56.63</v>
          </cell>
          <cell r="K295" t="str">
            <v>3 ML</v>
          </cell>
        </row>
        <row r="296">
          <cell r="D296" t="str">
            <v>J-01-45</v>
          </cell>
          <cell r="E296" t="str">
            <v>Eritromicina (estearato)</v>
          </cell>
          <cell r="F296" t="str">
            <v>Cápsula o Comprimido</v>
          </cell>
          <cell r="G296" t="str">
            <v>500 mg</v>
          </cell>
          <cell r="H296" t="str">
            <v>J01FA01</v>
          </cell>
          <cell r="I296"/>
          <cell r="J296">
            <v>1.39</v>
          </cell>
          <cell r="K296"/>
        </row>
        <row r="297">
          <cell r="D297" t="str">
            <v>J-01-46</v>
          </cell>
          <cell r="E297" t="str">
            <v>Eritromicina (etilsuccinato)</v>
          </cell>
          <cell r="F297" t="str">
            <v>Suspensión</v>
          </cell>
          <cell r="G297" t="str">
            <v>250 mg/5 ml</v>
          </cell>
          <cell r="H297" t="str">
            <v>J01FA01</v>
          </cell>
          <cell r="I297"/>
          <cell r="J297">
            <v>13.8</v>
          </cell>
          <cell r="K297" t="str">
            <v>100 ML</v>
          </cell>
        </row>
        <row r="298">
          <cell r="D298" t="str">
            <v>B-03-02</v>
          </cell>
          <cell r="E298" t="str">
            <v>Eritropoyetina</v>
          </cell>
          <cell r="F298" t="str">
            <v>Inyectable</v>
          </cell>
          <cell r="G298" t="str">
            <v>10.000 UI</v>
          </cell>
          <cell r="H298" t="str">
            <v>B03XA01</v>
          </cell>
          <cell r="I298"/>
          <cell r="J298">
            <v>56.724444444444451</v>
          </cell>
          <cell r="K298"/>
        </row>
        <row r="299">
          <cell r="D299" t="str">
            <v>B-03-03</v>
          </cell>
          <cell r="E299" t="str">
            <v>Eritropoyetina</v>
          </cell>
          <cell r="F299" t="str">
            <v>Inyectable</v>
          </cell>
          <cell r="G299" t="str">
            <v xml:space="preserve">2.000 UI </v>
          </cell>
          <cell r="H299" t="str">
            <v>B03XA01</v>
          </cell>
          <cell r="I299"/>
          <cell r="J299">
            <v>32.99</v>
          </cell>
          <cell r="K299"/>
        </row>
        <row r="300">
          <cell r="D300" t="str">
            <v>B-03-11</v>
          </cell>
          <cell r="E300" t="str">
            <v>Eritropoyetina</v>
          </cell>
          <cell r="F300" t="str">
            <v>Inyectable</v>
          </cell>
          <cell r="G300" t="str">
            <v>4000 UI</v>
          </cell>
          <cell r="H300" t="str">
            <v>B03XA01</v>
          </cell>
          <cell r="I300"/>
          <cell r="J300">
            <v>42.816666666666663</v>
          </cell>
          <cell r="K300"/>
        </row>
        <row r="301">
          <cell r="D301" t="str">
            <v>L-01-59</v>
          </cell>
          <cell r="E301" t="str">
            <v>Erlotinib</v>
          </cell>
          <cell r="F301" t="str">
            <v>Comprimido</v>
          </cell>
          <cell r="G301" t="str">
            <v>150 mg</v>
          </cell>
          <cell r="H301" t="str">
            <v>L01XE03</v>
          </cell>
          <cell r="I301" t="str">
            <v>R</v>
          </cell>
          <cell r="J301">
            <v>533.33000000000004</v>
          </cell>
          <cell r="K301"/>
        </row>
        <row r="302">
          <cell r="D302" t="str">
            <v>J-01-47</v>
          </cell>
          <cell r="E302" t="str">
            <v>Espiramicina</v>
          </cell>
          <cell r="F302" t="str">
            <v>Comprimido</v>
          </cell>
          <cell r="G302" t="str">
            <v>500 mg</v>
          </cell>
          <cell r="H302" t="str">
            <v>J01FA02</v>
          </cell>
          <cell r="I302"/>
          <cell r="J302">
            <v>7.58</v>
          </cell>
          <cell r="K302"/>
        </row>
        <row r="303">
          <cell r="D303" t="str">
            <v>C-03-02</v>
          </cell>
          <cell r="E303" t="str">
            <v>Espironolactona</v>
          </cell>
          <cell r="F303" t="str">
            <v>Comprimido</v>
          </cell>
          <cell r="G303" t="str">
            <v>100 mg</v>
          </cell>
          <cell r="H303" t="str">
            <v>C03DA01</v>
          </cell>
          <cell r="I303"/>
          <cell r="J303">
            <v>1.8</v>
          </cell>
          <cell r="K303"/>
        </row>
        <row r="304">
          <cell r="D304" t="str">
            <v>C-03-03</v>
          </cell>
          <cell r="E304" t="str">
            <v>Espironolactona</v>
          </cell>
          <cell r="F304" t="str">
            <v>Comprimido</v>
          </cell>
          <cell r="G304" t="str">
            <v>25 mg</v>
          </cell>
          <cell r="H304" t="str">
            <v>C03DA01</v>
          </cell>
          <cell r="I304"/>
          <cell r="J304">
            <v>0.81904761904761914</v>
          </cell>
          <cell r="K304"/>
        </row>
        <row r="305">
          <cell r="D305" t="str">
            <v>G-03-04</v>
          </cell>
          <cell r="E305" t="str">
            <v>Estradiol + Noretisterona acetato</v>
          </cell>
          <cell r="F305" t="str">
            <v>Comprimido</v>
          </cell>
          <cell r="G305" t="str">
            <v>2mg + 1mg</v>
          </cell>
          <cell r="H305" t="str">
            <v>G03FB05</v>
          </cell>
          <cell r="I305"/>
          <cell r="J305">
            <v>146.4957</v>
          </cell>
          <cell r="K305" t="str">
            <v>Por cicLo</v>
          </cell>
        </row>
        <row r="306">
          <cell r="D306" t="str">
            <v>G-03-05</v>
          </cell>
          <cell r="E306" t="str">
            <v>Estradiol valerianato + Norgestrel</v>
          </cell>
          <cell r="F306" t="str">
            <v>Comprimido</v>
          </cell>
          <cell r="G306" t="str">
            <v>2 mg + 0,5 mg</v>
          </cell>
          <cell r="H306" t="str">
            <v>G03FA10</v>
          </cell>
          <cell r="I306"/>
          <cell r="J306">
            <v>95.09</v>
          </cell>
          <cell r="K306" t="str">
            <v>por cicLo</v>
          </cell>
        </row>
        <row r="307">
          <cell r="D307" t="str">
            <v>G-03-06</v>
          </cell>
          <cell r="E307" t="str">
            <v>Estradiol valerianato + Prasterona enantato</v>
          </cell>
          <cell r="F307" t="str">
            <v>Inyectable</v>
          </cell>
          <cell r="G307" t="str">
            <v>4 mg + 200 mg/ml</v>
          </cell>
          <cell r="H307" t="str">
            <v>G03EA03</v>
          </cell>
          <cell r="I307"/>
          <cell r="J307">
            <v>113.355</v>
          </cell>
          <cell r="K307"/>
        </row>
        <row r="308">
          <cell r="D308" t="str">
            <v>J-04-04</v>
          </cell>
          <cell r="E308" t="str">
            <v>Estreptomicina sulfato</v>
          </cell>
          <cell r="F308" t="str">
            <v>Inyectable</v>
          </cell>
          <cell r="G308" t="str">
            <v>1 g</v>
          </cell>
          <cell r="H308" t="str">
            <v>J04AM**</v>
          </cell>
          <cell r="I308"/>
          <cell r="J308">
            <v>5.1268514999999999</v>
          </cell>
          <cell r="K308"/>
        </row>
        <row r="309">
          <cell r="D309" t="str">
            <v>B-01-02</v>
          </cell>
          <cell r="E309" t="str">
            <v>Estreptoquinasa</v>
          </cell>
          <cell r="F309" t="str">
            <v>Inyectable</v>
          </cell>
          <cell r="G309" t="str">
            <v>1.500.000 UI</v>
          </cell>
          <cell r="H309" t="str">
            <v>B01AD01</v>
          </cell>
          <cell r="I309"/>
          <cell r="J309">
            <v>1074.3499999999999</v>
          </cell>
          <cell r="K309"/>
        </row>
        <row r="310">
          <cell r="D310" t="str">
            <v>G-03-07</v>
          </cell>
          <cell r="E310" t="str">
            <v>Estrógenos conjugados</v>
          </cell>
          <cell r="F310" t="str">
            <v>Comprimido</v>
          </cell>
          <cell r="G310" t="str">
            <v>0,625 mg</v>
          </cell>
          <cell r="H310" t="str">
            <v>G03CA57</v>
          </cell>
          <cell r="I310"/>
          <cell r="J310">
            <v>4.74</v>
          </cell>
          <cell r="K310"/>
        </row>
        <row r="311">
          <cell r="D311" t="str">
            <v>G-03-08</v>
          </cell>
          <cell r="E311" t="str">
            <v>Estrógenos conjugados</v>
          </cell>
          <cell r="F311" t="str">
            <v>Comprimido</v>
          </cell>
          <cell r="G311" t="str">
            <v>1,25 mg</v>
          </cell>
          <cell r="H311" t="str">
            <v>G03CA57</v>
          </cell>
          <cell r="I311"/>
          <cell r="J311">
            <v>5.05</v>
          </cell>
          <cell r="K311"/>
        </row>
        <row r="312">
          <cell r="D312" t="str">
            <v>G-03-09</v>
          </cell>
          <cell r="E312" t="str">
            <v>Estrógenos conjugados</v>
          </cell>
          <cell r="F312" t="str">
            <v>Crema vaginal</v>
          </cell>
          <cell r="G312" t="str">
            <v>0,625 mg</v>
          </cell>
          <cell r="H312" t="str">
            <v>G03CA57</v>
          </cell>
          <cell r="I312"/>
          <cell r="J312">
            <v>116.21833333333333</v>
          </cell>
          <cell r="K312" t="str">
            <v>43 G</v>
          </cell>
        </row>
        <row r="313">
          <cell r="D313" t="str">
            <v>J-04-05</v>
          </cell>
          <cell r="E313" t="str">
            <v>Etambutol</v>
          </cell>
          <cell r="F313" t="str">
            <v>Comprimido</v>
          </cell>
          <cell r="G313" t="str">
            <v>400 mg</v>
          </cell>
          <cell r="H313" t="str">
            <v>J04AK02</v>
          </cell>
          <cell r="I313" t="str">
            <v>R</v>
          </cell>
          <cell r="J313">
            <v>0.28999999999999998</v>
          </cell>
          <cell r="K313"/>
        </row>
        <row r="314">
          <cell r="D314" t="str">
            <v>B-02-03</v>
          </cell>
          <cell r="E314" t="str">
            <v>Etamsilato</v>
          </cell>
          <cell r="F314" t="str">
            <v>Inyectable</v>
          </cell>
          <cell r="G314" t="str">
            <v>250 mg/2 ml</v>
          </cell>
          <cell r="H314" t="str">
            <v>B02BX01</v>
          </cell>
          <cell r="I314" t="str">
            <v>R</v>
          </cell>
          <cell r="J314">
            <v>31.36333333333333</v>
          </cell>
          <cell r="K314"/>
        </row>
        <row r="315">
          <cell r="D315" t="str">
            <v>D-08-03</v>
          </cell>
          <cell r="E315" t="str">
            <v>Eter alifático dietilamino etanol</v>
          </cell>
          <cell r="F315" t="str">
            <v>Solución 1 l</v>
          </cell>
          <cell r="G315" t="str">
            <v>Según disponibilidad</v>
          </cell>
          <cell r="H315" t="str">
            <v>D08AC**</v>
          </cell>
          <cell r="I315"/>
          <cell r="J315">
            <v>614.91916666666668</v>
          </cell>
          <cell r="K315"/>
        </row>
        <row r="316">
          <cell r="D316" t="str">
            <v>C-01-13</v>
          </cell>
          <cell r="E316" t="str">
            <v>Etilefrina</v>
          </cell>
          <cell r="F316" t="str">
            <v>Inyectable</v>
          </cell>
          <cell r="G316" t="str">
            <v>10 mg/ml</v>
          </cell>
          <cell r="H316" t="str">
            <v>C01CA01</v>
          </cell>
          <cell r="I316"/>
          <cell r="J316">
            <v>13.8</v>
          </cell>
          <cell r="K316" t="str">
            <v>1 ML</v>
          </cell>
        </row>
        <row r="317">
          <cell r="D317" t="str">
            <v>J-04-06</v>
          </cell>
          <cell r="E317" t="str">
            <v>Etionamida</v>
          </cell>
          <cell r="F317" t="str">
            <v>Comprimido</v>
          </cell>
          <cell r="G317" t="str">
            <v>250 mg</v>
          </cell>
          <cell r="H317" t="str">
            <v>J04AD03</v>
          </cell>
          <cell r="I317"/>
          <cell r="J317">
            <v>0.73</v>
          </cell>
          <cell r="K317"/>
        </row>
        <row r="318">
          <cell r="D318" t="str">
            <v>L-01-16</v>
          </cell>
          <cell r="E318" t="str">
            <v>Etopósido</v>
          </cell>
          <cell r="F318" t="str">
            <v>Inyectable</v>
          </cell>
          <cell r="G318" t="str">
            <v>100 mg/5 ml</v>
          </cell>
          <cell r="H318" t="str">
            <v>L01CB01</v>
          </cell>
          <cell r="I318"/>
          <cell r="J318">
            <v>61.944000000000003</v>
          </cell>
          <cell r="K318"/>
        </row>
        <row r="319">
          <cell r="D319" t="str">
            <v>B-02-05</v>
          </cell>
          <cell r="E319" t="str">
            <v>Factor IX de la coagulación</v>
          </cell>
          <cell r="F319" t="str">
            <v>Inyectable</v>
          </cell>
          <cell r="G319" t="str">
            <v>500 UI</v>
          </cell>
          <cell r="H319" t="str">
            <v>B02BD04</v>
          </cell>
          <cell r="I319" t="str">
            <v>R</v>
          </cell>
          <cell r="J319">
            <v>2150</v>
          </cell>
          <cell r="K319"/>
        </row>
        <row r="320">
          <cell r="D320" t="str">
            <v>B-02-04</v>
          </cell>
          <cell r="E320" t="str">
            <v>Factor VIII de la coagulación</v>
          </cell>
          <cell r="F320" t="str">
            <v>Inyectable</v>
          </cell>
          <cell r="G320" t="str">
            <v>500 UI</v>
          </cell>
          <cell r="H320" t="str">
            <v>B02BD02</v>
          </cell>
          <cell r="I320" t="str">
            <v>R</v>
          </cell>
          <cell r="J320">
            <v>1938.1666666666665</v>
          </cell>
          <cell r="K320"/>
        </row>
        <row r="321">
          <cell r="D321" t="str">
            <v>J-05-49</v>
          </cell>
          <cell r="E321" t="str">
            <v>Favipiravir</v>
          </cell>
          <cell r="F321" t="str">
            <v>Comprimido recubierto</v>
          </cell>
          <cell r="G321" t="str">
            <v>200 mg</v>
          </cell>
          <cell r="H321" t="str">
            <v>J05AX27</v>
          </cell>
          <cell r="I321" t="str">
            <v>R</v>
          </cell>
          <cell r="J321">
            <v>42.92</v>
          </cell>
          <cell r="K321"/>
        </row>
        <row r="322">
          <cell r="D322" t="str">
            <v>N-03-07</v>
          </cell>
          <cell r="E322" t="str">
            <v>Fenitoína</v>
          </cell>
          <cell r="F322" t="str">
            <v>Inyectable</v>
          </cell>
          <cell r="G322" t="str">
            <v>50 mg/ml</v>
          </cell>
          <cell r="H322" t="str">
            <v>N03AB02</v>
          </cell>
          <cell r="I322"/>
          <cell r="J322">
            <v>12.990644841269841</v>
          </cell>
          <cell r="K322"/>
        </row>
        <row r="323">
          <cell r="D323" t="str">
            <v>N-03-08</v>
          </cell>
          <cell r="E323" t="str">
            <v>Fenitoína</v>
          </cell>
          <cell r="F323" t="str">
            <v>Cápsula o Comprimido</v>
          </cell>
          <cell r="G323" t="str">
            <v>100 mg</v>
          </cell>
          <cell r="H323" t="str">
            <v>N03AB02</v>
          </cell>
          <cell r="I323"/>
          <cell r="J323">
            <v>0.6</v>
          </cell>
          <cell r="K323"/>
        </row>
        <row r="324">
          <cell r="D324" t="str">
            <v>N-03-09</v>
          </cell>
          <cell r="E324" t="str">
            <v>Fenobarbital</v>
          </cell>
          <cell r="F324" t="str">
            <v>Comprimido</v>
          </cell>
          <cell r="G324" t="str">
            <v>100 mg</v>
          </cell>
          <cell r="H324" t="str">
            <v>N03AA02</v>
          </cell>
          <cell r="I324"/>
          <cell r="J324">
            <v>2.62</v>
          </cell>
          <cell r="K324"/>
        </row>
        <row r="325">
          <cell r="D325" t="str">
            <v>N-03-10</v>
          </cell>
          <cell r="E325" t="str">
            <v>Fenobarbital</v>
          </cell>
          <cell r="F325" t="str">
            <v>Gotas</v>
          </cell>
          <cell r="G325" t="str">
            <v>20 mg/ml</v>
          </cell>
          <cell r="H325" t="str">
            <v>N03AA02</v>
          </cell>
          <cell r="I325"/>
          <cell r="J325">
            <v>56.24</v>
          </cell>
          <cell r="K325" t="str">
            <v>15 ML</v>
          </cell>
        </row>
        <row r="326">
          <cell r="D326" t="str">
            <v>N-03-11</v>
          </cell>
          <cell r="E326" t="str">
            <v>Fenobarbital</v>
          </cell>
          <cell r="F326" t="str">
            <v>Inyectable</v>
          </cell>
          <cell r="G326" t="str">
            <v>100 mg/ml</v>
          </cell>
          <cell r="H326" t="str">
            <v>N03AA02</v>
          </cell>
          <cell r="I326"/>
          <cell r="J326">
            <v>37.799999999999997</v>
          </cell>
          <cell r="K326"/>
        </row>
        <row r="327">
          <cell r="D327" t="str">
            <v>C-10-04</v>
          </cell>
          <cell r="E327" t="str">
            <v>Fenofibrato</v>
          </cell>
          <cell r="F327" t="str">
            <v>Cápsula o Comprimido</v>
          </cell>
          <cell r="G327" t="str">
            <v>200 mg</v>
          </cell>
          <cell r="H327" t="str">
            <v>C10AB05</v>
          </cell>
          <cell r="I327"/>
          <cell r="J327">
            <v>4.9749999999999996</v>
          </cell>
          <cell r="K327"/>
        </row>
        <row r="328">
          <cell r="D328" t="str">
            <v>N-01-05</v>
          </cell>
          <cell r="E328" t="str">
            <v>Fentanilo con conservante</v>
          </cell>
          <cell r="F328" t="str">
            <v>Inyectable</v>
          </cell>
          <cell r="G328" t="str">
            <v>0,05 mg/ml</v>
          </cell>
          <cell r="H328" t="str">
            <v>N01AH01</v>
          </cell>
          <cell r="I328"/>
          <cell r="J328">
            <v>33.6</v>
          </cell>
          <cell r="K328"/>
        </row>
        <row r="329">
          <cell r="D329" t="str">
            <v>N-01-06</v>
          </cell>
          <cell r="E329" t="str">
            <v>Fentanilo sin conservante</v>
          </cell>
          <cell r="F329" t="str">
            <v>Inyectable</v>
          </cell>
          <cell r="G329" t="str">
            <v>0,05 mg/ml</v>
          </cell>
          <cell r="H329" t="str">
            <v>N01AH01</v>
          </cell>
          <cell r="I329"/>
          <cell r="J329">
            <v>9.33</v>
          </cell>
          <cell r="K329"/>
        </row>
        <row r="330">
          <cell r="D330" t="str">
            <v>A-06-04</v>
          </cell>
          <cell r="E330" t="str">
            <v>Fibra natural</v>
          </cell>
          <cell r="F330" t="str">
            <v>Polvo o granulado</v>
          </cell>
          <cell r="G330" t="str">
            <v>Según disponibilidad</v>
          </cell>
          <cell r="H330" t="str">
            <v>A06AC07</v>
          </cell>
          <cell r="I330"/>
          <cell r="J330">
            <v>3.49</v>
          </cell>
          <cell r="K330"/>
        </row>
        <row r="331">
          <cell r="D331" t="str">
            <v>B-02-08</v>
          </cell>
          <cell r="E331" t="str">
            <v xml:space="preserve">Fibrinógeno humano </v>
          </cell>
          <cell r="F331" t="str">
            <v>Inyectable</v>
          </cell>
          <cell r="G331" t="str">
            <v>1g</v>
          </cell>
          <cell r="H331" t="str">
            <v>B02BB01</v>
          </cell>
          <cell r="I331" t="str">
            <v>R</v>
          </cell>
          <cell r="J331">
            <v>5800</v>
          </cell>
          <cell r="K331"/>
        </row>
        <row r="332">
          <cell r="D332" t="str">
            <v>L-03-01</v>
          </cell>
          <cell r="E332" t="str">
            <v>Filgrastrim</v>
          </cell>
          <cell r="F332" t="str">
            <v>Inyectable</v>
          </cell>
          <cell r="G332" t="str">
            <v>300 mcg/ml</v>
          </cell>
          <cell r="H332" t="str">
            <v>L03AA02</v>
          </cell>
          <cell r="I332"/>
          <cell r="J332">
            <v>103.87625</v>
          </cell>
          <cell r="K332"/>
        </row>
        <row r="333">
          <cell r="D333" t="str">
            <v>G-04-01</v>
          </cell>
          <cell r="E333" t="str">
            <v>Finasterida</v>
          </cell>
          <cell r="F333" t="str">
            <v>Comprimido</v>
          </cell>
          <cell r="G333" t="str">
            <v>5 mg</v>
          </cell>
          <cell r="H333" t="str">
            <v>G04CB01</v>
          </cell>
          <cell r="I333"/>
          <cell r="J333">
            <v>2.88</v>
          </cell>
          <cell r="K333"/>
        </row>
        <row r="334">
          <cell r="D334" t="str">
            <v>L-04-18</v>
          </cell>
          <cell r="E334" t="str">
            <v>Fingolimod</v>
          </cell>
          <cell r="F334" t="str">
            <v>Cápsula</v>
          </cell>
          <cell r="G334" t="str">
            <v>0,5 mg</v>
          </cell>
          <cell r="H334" t="str">
            <v>L04AA27</v>
          </cell>
          <cell r="I334" t="str">
            <v>R</v>
          </cell>
          <cell r="J334">
            <v>187</v>
          </cell>
          <cell r="K334"/>
        </row>
        <row r="335">
          <cell r="D335" t="str">
            <v>B-02-02</v>
          </cell>
          <cell r="E335" t="str">
            <v>Fitomenadiona  (Vitamina K1)</v>
          </cell>
          <cell r="F335" t="str">
            <v>Inyectable</v>
          </cell>
          <cell r="G335" t="str">
            <v>10 mg/ml</v>
          </cell>
          <cell r="H335" t="str">
            <v>B02BA01</v>
          </cell>
          <cell r="I335"/>
          <cell r="J335">
            <v>2.88</v>
          </cell>
          <cell r="K335"/>
        </row>
        <row r="336">
          <cell r="D336" t="str">
            <v>J-02-02</v>
          </cell>
          <cell r="E336" t="str">
            <v>Fluconazol</v>
          </cell>
          <cell r="F336" t="str">
            <v>Inyectable</v>
          </cell>
          <cell r="G336" t="str">
            <v>200 mg</v>
          </cell>
          <cell r="H336" t="str">
            <v>J02AC01</v>
          </cell>
          <cell r="I336"/>
          <cell r="J336">
            <v>28.56</v>
          </cell>
          <cell r="K336"/>
        </row>
        <row r="337">
          <cell r="D337" t="str">
            <v>J-02-08</v>
          </cell>
          <cell r="E337" t="str">
            <v>Fluconazol</v>
          </cell>
          <cell r="F337" t="str">
            <v>Comprimido o Cápsula</v>
          </cell>
          <cell r="G337" t="str">
            <v>150 mg</v>
          </cell>
          <cell r="H337" t="str">
            <v>J02AC01</v>
          </cell>
          <cell r="I337"/>
          <cell r="J337">
            <v>2.95</v>
          </cell>
          <cell r="K337"/>
        </row>
        <row r="338">
          <cell r="D338" t="str">
            <v>L-01-62</v>
          </cell>
          <cell r="E338" t="str">
            <v>Fludarabina</v>
          </cell>
          <cell r="F338" t="str">
            <v>Inyectable</v>
          </cell>
          <cell r="G338" t="str">
            <v xml:space="preserve">50 mg </v>
          </cell>
          <cell r="H338" t="str">
            <v>L01BB05</v>
          </cell>
          <cell r="I338" t="str">
            <v>R</v>
          </cell>
          <cell r="J338">
            <v>1260</v>
          </cell>
          <cell r="K338"/>
        </row>
        <row r="339">
          <cell r="D339" t="str">
            <v>V-03-05</v>
          </cell>
          <cell r="E339" t="str">
            <v>Flumazenil</v>
          </cell>
          <cell r="F339" t="str">
            <v>Inyectable</v>
          </cell>
          <cell r="G339" t="str">
            <v>0,5 mg/5 ml</v>
          </cell>
          <cell r="H339" t="str">
            <v>V03AB25</v>
          </cell>
          <cell r="I339"/>
          <cell r="J339">
            <v>131.64444444444445</v>
          </cell>
          <cell r="K339"/>
        </row>
        <row r="340">
          <cell r="D340" t="str">
            <v>N-07-08</v>
          </cell>
          <cell r="E340" t="str">
            <v>Flunarizina</v>
          </cell>
          <cell r="F340" t="str">
            <v>Comprimido</v>
          </cell>
          <cell r="G340" t="str">
            <v>10 mg</v>
          </cell>
          <cell r="H340" t="str">
            <v>N07CA03</v>
          </cell>
          <cell r="I340"/>
          <cell r="J340">
            <v>2.75</v>
          </cell>
          <cell r="K340"/>
        </row>
        <row r="341">
          <cell r="D341" t="str">
            <v>S-01-13</v>
          </cell>
          <cell r="E341" t="str">
            <v>Fluoresceina</v>
          </cell>
          <cell r="F341" t="str">
            <v>Inyectable</v>
          </cell>
          <cell r="G341">
            <v>0.1</v>
          </cell>
          <cell r="H341" t="str">
            <v>S01JA01</v>
          </cell>
          <cell r="I341"/>
          <cell r="J341">
            <v>82.59</v>
          </cell>
          <cell r="K341"/>
        </row>
        <row r="342">
          <cell r="D342" t="str">
            <v>S-01-14</v>
          </cell>
          <cell r="E342" t="str">
            <v>Fluoresceina (sal sódica)</v>
          </cell>
          <cell r="F342" t="str">
            <v>Solución oftálmica</v>
          </cell>
          <cell r="G342" t="str">
            <v>0,25%</v>
          </cell>
          <cell r="H342" t="str">
            <v>S01JA01</v>
          </cell>
          <cell r="I342"/>
          <cell r="J342">
            <v>46.32</v>
          </cell>
          <cell r="K342"/>
        </row>
        <row r="343">
          <cell r="D343" t="str">
            <v>L-01-17</v>
          </cell>
          <cell r="E343" t="str">
            <v>Fluorouracilo</v>
          </cell>
          <cell r="F343" t="str">
            <v>Inyectable</v>
          </cell>
          <cell r="G343" t="str">
            <v>500 mg/10 ml</v>
          </cell>
          <cell r="H343" t="str">
            <v>L01BC02</v>
          </cell>
          <cell r="I343"/>
          <cell r="J343">
            <v>42.163333333333334</v>
          </cell>
          <cell r="K343"/>
        </row>
        <row r="344">
          <cell r="D344" t="str">
            <v>A-01-02</v>
          </cell>
          <cell r="E344" t="str">
            <v>Fluoruro de sodio</v>
          </cell>
          <cell r="F344" t="str">
            <v>Gel o Pasta</v>
          </cell>
          <cell r="G344" t="str">
            <v>Según Programa</v>
          </cell>
          <cell r="H344" t="str">
            <v>A01AA01</v>
          </cell>
          <cell r="I344"/>
          <cell r="J344">
            <v>25</v>
          </cell>
          <cell r="K344"/>
        </row>
        <row r="345">
          <cell r="D345" t="str">
            <v>A-12-04</v>
          </cell>
          <cell r="E345" t="str">
            <v>Fluoruro de sodio</v>
          </cell>
          <cell r="F345" t="str">
            <v>Solución oral gotas</v>
          </cell>
          <cell r="G345" t="str">
            <v>0,2%</v>
          </cell>
          <cell r="H345" t="str">
            <v>A12CD01</v>
          </cell>
          <cell r="I345"/>
          <cell r="J345">
            <v>19.22</v>
          </cell>
          <cell r="K345"/>
        </row>
        <row r="346">
          <cell r="D346" t="str">
            <v>N-06-04</v>
          </cell>
          <cell r="E346" t="str">
            <v>Fluoxetina</v>
          </cell>
          <cell r="F346" t="str">
            <v>Cápsula o Comprimido</v>
          </cell>
          <cell r="G346" t="str">
            <v>20 mg</v>
          </cell>
          <cell r="H346" t="str">
            <v>N06AB03</v>
          </cell>
          <cell r="I346"/>
          <cell r="J346">
            <v>0.94</v>
          </cell>
          <cell r="K346"/>
        </row>
        <row r="347">
          <cell r="D347" t="str">
            <v>L-02-03</v>
          </cell>
          <cell r="E347" t="str">
            <v>Flutamida</v>
          </cell>
          <cell r="F347" t="str">
            <v>Comprimido</v>
          </cell>
          <cell r="G347" t="str">
            <v>250 mg</v>
          </cell>
          <cell r="H347" t="str">
            <v>L02BB01</v>
          </cell>
          <cell r="I347"/>
          <cell r="J347">
            <v>3.2349999999999999</v>
          </cell>
          <cell r="K347"/>
        </row>
        <row r="348">
          <cell r="D348" t="str">
            <v>D-08-04</v>
          </cell>
          <cell r="E348" t="str">
            <v>Formaldehido</v>
          </cell>
          <cell r="F348" t="str">
            <v>Solución</v>
          </cell>
          <cell r="G348" t="str">
            <v>40% p/v</v>
          </cell>
          <cell r="H348" t="str">
            <v>D08AC**</v>
          </cell>
          <cell r="I348"/>
          <cell r="J348">
            <v>22</v>
          </cell>
          <cell r="K348" t="str">
            <v xml:space="preserve"> 1 L</v>
          </cell>
        </row>
        <row r="349">
          <cell r="D349" t="str">
            <v>C-03-04</v>
          </cell>
          <cell r="E349" t="str">
            <v>Furosemida</v>
          </cell>
          <cell r="F349" t="str">
            <v>Comprimido ranurado</v>
          </cell>
          <cell r="G349" t="str">
            <v>40 mg</v>
          </cell>
          <cell r="H349" t="str">
            <v>C03CA01</v>
          </cell>
          <cell r="I349"/>
          <cell r="J349">
            <v>0.33</v>
          </cell>
          <cell r="K349"/>
        </row>
        <row r="350">
          <cell r="D350" t="str">
            <v>C-03-05</v>
          </cell>
          <cell r="E350" t="str">
            <v>Furosemida</v>
          </cell>
          <cell r="F350" t="str">
            <v>Inyectable</v>
          </cell>
          <cell r="G350" t="str">
            <v>10 mg/ml</v>
          </cell>
          <cell r="H350" t="str">
            <v>C03CA01</v>
          </cell>
          <cell r="I350"/>
          <cell r="J350">
            <v>1.8</v>
          </cell>
          <cell r="K350" t="str">
            <v>2 ML</v>
          </cell>
        </row>
        <row r="351">
          <cell r="D351" t="str">
            <v>V-08-11</v>
          </cell>
          <cell r="E351" t="str">
            <v>Gadobutrol</v>
          </cell>
          <cell r="F351" t="str">
            <v>Inyectable</v>
          </cell>
          <cell r="G351" t="str">
            <v>604,72mg/ml</v>
          </cell>
          <cell r="H351" t="str">
            <v>V08CA09</v>
          </cell>
          <cell r="I351"/>
          <cell r="J351">
            <v>450</v>
          </cell>
          <cell r="K351" t="str">
            <v> 7.5 ml</v>
          </cell>
        </row>
        <row r="352">
          <cell r="D352" t="str">
            <v>V-08-04</v>
          </cell>
          <cell r="E352" t="str">
            <v>Gadodiamida</v>
          </cell>
          <cell r="F352" t="str">
            <v>Inyectable</v>
          </cell>
          <cell r="G352" t="str">
            <v>287 mg/ml</v>
          </cell>
          <cell r="H352" t="str">
            <v>V08CA03</v>
          </cell>
          <cell r="I352"/>
          <cell r="J352">
            <v>473.67</v>
          </cell>
          <cell r="K352"/>
        </row>
        <row r="353">
          <cell r="D353" t="str">
            <v>V-08-05</v>
          </cell>
          <cell r="E353" t="str">
            <v>Gadopentato de dimeglumina</v>
          </cell>
          <cell r="F353" t="str">
            <v>Inyectable</v>
          </cell>
          <cell r="G353" t="str">
            <v>469 mg/ml</v>
          </cell>
          <cell r="H353" t="str">
            <v>V08CA01</v>
          </cell>
          <cell r="I353"/>
          <cell r="J353">
            <v>450</v>
          </cell>
          <cell r="K353" t="str">
            <v>15 ML</v>
          </cell>
        </row>
        <row r="354">
          <cell r="D354" t="str">
            <v>V-08-10</v>
          </cell>
          <cell r="E354" t="str">
            <v>Gadoversetamida</v>
          </cell>
          <cell r="F354" t="str">
            <v>Inyectable</v>
          </cell>
          <cell r="G354" t="str">
            <v>0.5mmol / ml</v>
          </cell>
          <cell r="H354" t="str">
            <v>V08CA06</v>
          </cell>
          <cell r="I354" t="str">
            <v>R</v>
          </cell>
          <cell r="J354">
            <v>450</v>
          </cell>
          <cell r="K354"/>
        </row>
        <row r="355">
          <cell r="D355" t="str">
            <v>L-01-18</v>
          </cell>
          <cell r="E355" t="str">
            <v>Gemcitabina</v>
          </cell>
          <cell r="F355" t="str">
            <v>Inyectable</v>
          </cell>
          <cell r="G355" t="str">
            <v>1 g</v>
          </cell>
          <cell r="H355" t="str">
            <v>L01BC05</v>
          </cell>
          <cell r="I355"/>
          <cell r="J355">
            <v>464.06666666666666</v>
          </cell>
          <cell r="K355"/>
        </row>
        <row r="356">
          <cell r="D356" t="str">
            <v>L-01-33</v>
          </cell>
          <cell r="E356" t="str">
            <v>Gemcitabina</v>
          </cell>
          <cell r="F356" t="str">
            <v>Inyectable</v>
          </cell>
          <cell r="G356" t="str">
            <v>200 mg</v>
          </cell>
          <cell r="H356" t="str">
            <v>L01BC05</v>
          </cell>
          <cell r="I356"/>
          <cell r="J356">
            <v>192.25</v>
          </cell>
          <cell r="K356"/>
        </row>
        <row r="357">
          <cell r="D357" t="str">
            <v>C-10-02</v>
          </cell>
          <cell r="E357" t="str">
            <v>Gemfibrozilo</v>
          </cell>
          <cell r="F357" t="str">
            <v>Comprimido</v>
          </cell>
          <cell r="G357" t="str">
            <v>600 mg</v>
          </cell>
          <cell r="H357" t="str">
            <v>C10AB04</v>
          </cell>
          <cell r="I357"/>
          <cell r="J357">
            <v>2.33</v>
          </cell>
          <cell r="K357"/>
        </row>
        <row r="358">
          <cell r="D358" t="str">
            <v>S-01-15</v>
          </cell>
          <cell r="E358" t="str">
            <v>Gentamicina</v>
          </cell>
          <cell r="F358" t="str">
            <v>Ungüento oftálmico</v>
          </cell>
          <cell r="G358" t="str">
            <v>0,3%</v>
          </cell>
          <cell r="H358" t="str">
            <v>S01AA11</v>
          </cell>
          <cell r="I358"/>
          <cell r="J358">
            <v>26.05</v>
          </cell>
          <cell r="K358" t="str">
            <v>5 G</v>
          </cell>
        </row>
        <row r="359">
          <cell r="D359" t="str">
            <v>S-01-16</v>
          </cell>
          <cell r="E359" t="str">
            <v>Gentamicina</v>
          </cell>
          <cell r="F359" t="str">
            <v>Solución oftálmica</v>
          </cell>
          <cell r="G359" t="str">
            <v>0,3%</v>
          </cell>
          <cell r="H359" t="str">
            <v>S01AA11</v>
          </cell>
          <cell r="I359"/>
          <cell r="J359">
            <v>11.59</v>
          </cell>
          <cell r="K359" t="str">
            <v>5 ML</v>
          </cell>
        </row>
        <row r="360">
          <cell r="D360" t="str">
            <v>J-01-48</v>
          </cell>
          <cell r="E360" t="str">
            <v>Gentamicina sulfato</v>
          </cell>
          <cell r="F360" t="str">
            <v>Inyectable</v>
          </cell>
          <cell r="G360" t="str">
            <v>20 mg</v>
          </cell>
          <cell r="H360" t="str">
            <v>J01GB03</v>
          </cell>
          <cell r="I360"/>
          <cell r="J360">
            <v>2.6</v>
          </cell>
          <cell r="K360"/>
        </row>
        <row r="361">
          <cell r="D361" t="str">
            <v>J-01-49</v>
          </cell>
          <cell r="E361" t="str">
            <v>Gentamicina sulfato</v>
          </cell>
          <cell r="F361" t="str">
            <v>Inyectable</v>
          </cell>
          <cell r="G361" t="str">
            <v>80 mg</v>
          </cell>
          <cell r="H361" t="str">
            <v>J01GB03</v>
          </cell>
          <cell r="I361"/>
          <cell r="J361">
            <v>2.15</v>
          </cell>
          <cell r="K361"/>
        </row>
        <row r="362">
          <cell r="D362" t="str">
            <v>A-10-01</v>
          </cell>
          <cell r="E362" t="str">
            <v>Glibenclamida</v>
          </cell>
          <cell r="F362" t="str">
            <v>Comprimido</v>
          </cell>
          <cell r="G362" t="str">
            <v>5 mg</v>
          </cell>
          <cell r="H362" t="str">
            <v>A10BB01</v>
          </cell>
          <cell r="I362"/>
          <cell r="J362">
            <v>0.22</v>
          </cell>
          <cell r="K362"/>
        </row>
        <row r="363">
          <cell r="D363" t="str">
            <v>S-02-01</v>
          </cell>
          <cell r="E363" t="str">
            <v>Glicerina + carbonato de sodio</v>
          </cell>
          <cell r="F363" t="str">
            <v>Gotas óticas</v>
          </cell>
          <cell r="G363" t="str">
            <v>Según disponibilidad</v>
          </cell>
          <cell r="H363" t="str">
            <v>S02DA30</v>
          </cell>
          <cell r="I363"/>
          <cell r="J363">
            <v>25.33</v>
          </cell>
          <cell r="K363" t="str">
            <v>3G/100ML</v>
          </cell>
        </row>
        <row r="364">
          <cell r="D364" t="str">
            <v>D-02-01</v>
          </cell>
          <cell r="E364" t="str">
            <v>Glicerol (Glicerina bidestilada)</v>
          </cell>
          <cell r="F364" t="str">
            <v>Solución 1 l</v>
          </cell>
          <cell r="G364" t="str">
            <v>Según disponibilidad</v>
          </cell>
          <cell r="H364" t="str">
            <v>D02AX**</v>
          </cell>
          <cell r="I364"/>
          <cell r="J364">
            <v>106.83</v>
          </cell>
          <cell r="K364"/>
        </row>
        <row r="365">
          <cell r="D365" t="str">
            <v>A-06-05</v>
          </cell>
          <cell r="E365" t="str">
            <v>Glicerol (Glicerina)</v>
          </cell>
          <cell r="F365" t="str">
            <v>Supositorio</v>
          </cell>
          <cell r="G365" t="str">
            <v>2 g a 4 g (adulto)</v>
          </cell>
          <cell r="H365" t="str">
            <v>A06AX01</v>
          </cell>
          <cell r="I365"/>
          <cell r="J365">
            <v>2.02</v>
          </cell>
          <cell r="K365"/>
        </row>
        <row r="366">
          <cell r="D366" t="str">
            <v>A-06-06</v>
          </cell>
          <cell r="E366" t="str">
            <v>Glicerol (Glicerina)</v>
          </cell>
          <cell r="F366" t="str">
            <v>Supositorio</v>
          </cell>
          <cell r="G366" t="str">
            <v>1 g a 1,80 g (infantil)</v>
          </cell>
          <cell r="H366" t="str">
            <v>A06AX01</v>
          </cell>
          <cell r="I366"/>
          <cell r="J366">
            <v>1.99</v>
          </cell>
          <cell r="K366"/>
        </row>
        <row r="367">
          <cell r="D367" t="str">
            <v>L-04-11</v>
          </cell>
          <cell r="E367" t="str">
            <v>Globulina Anti-timocito</v>
          </cell>
          <cell r="F367" t="str">
            <v>Inyectable</v>
          </cell>
          <cell r="G367" t="str">
            <v>250 mg/5ml</v>
          </cell>
          <cell r="H367" t="str">
            <v>L04AA04</v>
          </cell>
          <cell r="I367" t="str">
            <v>R</v>
          </cell>
          <cell r="J367">
            <v>2813.46</v>
          </cell>
          <cell r="K367"/>
        </row>
        <row r="368">
          <cell r="D368" t="str">
            <v>L-04-19</v>
          </cell>
          <cell r="E368" t="str">
            <v>Globulina Anti-timocito (conejo)</v>
          </cell>
          <cell r="F368" t="str">
            <v>Inyectable</v>
          </cell>
          <cell r="G368" t="str">
            <v>25 mg</v>
          </cell>
          <cell r="H368" t="str">
            <v>L04AA04</v>
          </cell>
          <cell r="I368" t="str">
            <v>R</v>
          </cell>
          <cell r="J368" t="str">
            <v>SPR</v>
          </cell>
          <cell r="K368"/>
        </row>
        <row r="369">
          <cell r="D369" t="str">
            <v>B-05-10</v>
          </cell>
          <cell r="E369" t="str">
            <v>Gluconato Cálcico (Calcio Gluconato)</v>
          </cell>
          <cell r="F369" t="str">
            <v>Inyectable</v>
          </cell>
          <cell r="G369">
            <v>0.1</v>
          </cell>
          <cell r="H369" t="str">
            <v xml:space="preserve">B05XA07 </v>
          </cell>
          <cell r="I369"/>
          <cell r="J369">
            <v>3.8</v>
          </cell>
          <cell r="K369"/>
        </row>
        <row r="370">
          <cell r="D370" t="str">
            <v>G-03-10</v>
          </cell>
          <cell r="E370" t="str">
            <v>Gonadotrofina coriónica</v>
          </cell>
          <cell r="F370" t="str">
            <v>Inyectable</v>
          </cell>
          <cell r="G370" t="str">
            <v>5.000 UI/ml</v>
          </cell>
          <cell r="H370" t="str">
            <v>G03GA01</v>
          </cell>
          <cell r="I370"/>
          <cell r="J370">
            <v>241.80666666666667</v>
          </cell>
          <cell r="K370" t="str">
            <v>1 ML</v>
          </cell>
        </row>
        <row r="371">
          <cell r="D371" t="str">
            <v>J-02-04</v>
          </cell>
          <cell r="E371" t="str">
            <v>Griseofulvina</v>
          </cell>
          <cell r="F371" t="str">
            <v>Comprimido</v>
          </cell>
          <cell r="G371" t="str">
            <v>500 mg</v>
          </cell>
          <cell r="H371" t="str">
            <v>J02AX**</v>
          </cell>
          <cell r="I371"/>
          <cell r="J371">
            <v>1.83</v>
          </cell>
          <cell r="K371"/>
        </row>
        <row r="372">
          <cell r="D372" t="str">
            <v>J-02-05</v>
          </cell>
          <cell r="E372" t="str">
            <v>Griseofulvina</v>
          </cell>
          <cell r="F372" t="str">
            <v>Suspensión</v>
          </cell>
          <cell r="G372" t="str">
            <v>125 mg/5 ml</v>
          </cell>
          <cell r="H372" t="str">
            <v>J02AX**</v>
          </cell>
          <cell r="I372"/>
          <cell r="J372">
            <v>23.12</v>
          </cell>
          <cell r="K372"/>
        </row>
        <row r="373">
          <cell r="D373" t="str">
            <v>N-05-07</v>
          </cell>
          <cell r="E373" t="str">
            <v>Haloperidol</v>
          </cell>
          <cell r="F373" t="str">
            <v>Solución oral</v>
          </cell>
          <cell r="G373" t="str">
            <v>2 mg/ml</v>
          </cell>
          <cell r="H373" t="str">
            <v>N05AD01</v>
          </cell>
          <cell r="I373"/>
          <cell r="J373">
            <v>53.44</v>
          </cell>
          <cell r="K373"/>
        </row>
        <row r="374">
          <cell r="D374" t="str">
            <v>N-05-08</v>
          </cell>
          <cell r="E374" t="str">
            <v>Haloperidol</v>
          </cell>
          <cell r="F374" t="str">
            <v>Comprimido</v>
          </cell>
          <cell r="G374" t="str">
            <v>5 mg</v>
          </cell>
          <cell r="H374" t="str">
            <v>N05AD01</v>
          </cell>
          <cell r="I374"/>
          <cell r="J374">
            <v>1.2</v>
          </cell>
          <cell r="K374"/>
        </row>
        <row r="375">
          <cell r="D375" t="str">
            <v>N-05-17</v>
          </cell>
          <cell r="E375" t="str">
            <v>Haloperidol</v>
          </cell>
          <cell r="F375" t="str">
            <v>Inyectable</v>
          </cell>
          <cell r="G375" t="str">
            <v>5 mg/ml</v>
          </cell>
          <cell r="H375" t="str">
            <v>N05AD01</v>
          </cell>
          <cell r="I375"/>
          <cell r="J375">
            <v>27.25</v>
          </cell>
          <cell r="K375" t="str">
            <v>1 ML</v>
          </cell>
        </row>
        <row r="376">
          <cell r="D376" t="str">
            <v>N-05-09</v>
          </cell>
          <cell r="E376" t="str">
            <v>Haloperidol decanoato</v>
          </cell>
          <cell r="F376" t="str">
            <v>Inyectable</v>
          </cell>
          <cell r="G376" t="str">
            <v>50 mg/ml</v>
          </cell>
          <cell r="H376" t="str">
            <v>N05AD01</v>
          </cell>
          <cell r="I376"/>
          <cell r="J376">
            <v>79.498999999999995</v>
          </cell>
          <cell r="K376" t="str">
            <v>1 ML</v>
          </cell>
        </row>
        <row r="377">
          <cell r="D377" t="str">
            <v>N-01-07</v>
          </cell>
          <cell r="E377" t="str">
            <v>Halotano</v>
          </cell>
          <cell r="F377" t="str">
            <v>Solución</v>
          </cell>
          <cell r="G377" t="str">
            <v>0,01% de timol</v>
          </cell>
          <cell r="H377" t="str">
            <v>N01AB01</v>
          </cell>
          <cell r="I377"/>
          <cell r="J377">
            <v>450</v>
          </cell>
          <cell r="K377" t="str">
            <v>250 ML</v>
          </cell>
        </row>
        <row r="378">
          <cell r="D378" t="str">
            <v>B-01-03</v>
          </cell>
          <cell r="E378" t="str">
            <v>Heparina de bajo peso molecular</v>
          </cell>
          <cell r="F378" t="str">
            <v>Inyectable</v>
          </cell>
          <cell r="G378" t="str">
            <v>Según disponibilidad</v>
          </cell>
          <cell r="H378" t="str">
            <v>B01AB**</v>
          </cell>
          <cell r="I378"/>
          <cell r="J378">
            <v>58.877470503352868</v>
          </cell>
          <cell r="K378"/>
        </row>
        <row r="379">
          <cell r="D379" t="str">
            <v>B-01-04</v>
          </cell>
          <cell r="E379" t="str">
            <v>Heparina sódica</v>
          </cell>
          <cell r="F379" t="str">
            <v>Inyectable</v>
          </cell>
          <cell r="G379" t="str">
            <v>5.000 UI/ml</v>
          </cell>
          <cell r="H379" t="str">
            <v>B01AB01</v>
          </cell>
          <cell r="I379"/>
          <cell r="J379">
            <v>44.118796296296296</v>
          </cell>
          <cell r="K379" t="str">
            <v>5 ML</v>
          </cell>
        </row>
        <row r="380">
          <cell r="D380" t="str">
            <v>C-02-03</v>
          </cell>
          <cell r="E380" t="str">
            <v>Hidralazina clorhidrato</v>
          </cell>
          <cell r="F380" t="str">
            <v>Inyectable</v>
          </cell>
          <cell r="G380" t="str">
            <v>20 mg/ml</v>
          </cell>
          <cell r="H380" t="str">
            <v>C02DB02</v>
          </cell>
          <cell r="I380"/>
          <cell r="J380">
            <v>79</v>
          </cell>
          <cell r="K380"/>
        </row>
        <row r="381">
          <cell r="D381" t="str">
            <v>C-02-07</v>
          </cell>
          <cell r="E381" t="str">
            <v>Hidralazina clorhidrato</v>
          </cell>
          <cell r="F381" t="str">
            <v>Comprimido</v>
          </cell>
          <cell r="G381" t="str">
            <v>25 mg</v>
          </cell>
          <cell r="H381" t="str">
            <v>C02DB02</v>
          </cell>
          <cell r="I381"/>
          <cell r="J381">
            <v>0.79</v>
          </cell>
          <cell r="K381"/>
        </row>
        <row r="382">
          <cell r="D382" t="str">
            <v>C-03-06</v>
          </cell>
          <cell r="E382" t="str">
            <v>Hidroclorotiazida</v>
          </cell>
          <cell r="F382" t="str">
            <v>Comprimido ranurado</v>
          </cell>
          <cell r="G382" t="str">
            <v>50 mg</v>
          </cell>
          <cell r="H382" t="str">
            <v>C03AA03</v>
          </cell>
          <cell r="I382"/>
          <cell r="J382">
            <v>0.78</v>
          </cell>
          <cell r="K382"/>
        </row>
        <row r="383">
          <cell r="D383" t="str">
            <v>C-03-07</v>
          </cell>
          <cell r="E383" t="str">
            <v>Hidroclorotiazida + Amilorida</v>
          </cell>
          <cell r="F383" t="str">
            <v>Comprimido</v>
          </cell>
          <cell r="G383" t="str">
            <v>50 mg + 5 mg</v>
          </cell>
          <cell r="H383" t="str">
            <v>C03AX01</v>
          </cell>
          <cell r="I383"/>
          <cell r="J383">
            <v>1.23</v>
          </cell>
          <cell r="K383"/>
        </row>
        <row r="384">
          <cell r="D384" t="str">
            <v>D-07-04</v>
          </cell>
          <cell r="E384" t="str">
            <v>Hidrocortisona acetato</v>
          </cell>
          <cell r="F384" t="str">
            <v>Crema o Pomada</v>
          </cell>
          <cell r="G384">
            <v>0.01</v>
          </cell>
          <cell r="H384" t="str">
            <v>D07AA02</v>
          </cell>
          <cell r="I384"/>
          <cell r="J384">
            <v>11.39</v>
          </cell>
          <cell r="K384" t="str">
            <v>10 G</v>
          </cell>
        </row>
        <row r="385">
          <cell r="D385" t="str">
            <v>H-02-05</v>
          </cell>
          <cell r="E385" t="str">
            <v>Hidrocortisona succinato sódico</v>
          </cell>
          <cell r="F385" t="str">
            <v>Inyectable</v>
          </cell>
          <cell r="G385" t="str">
            <v>100 mg</v>
          </cell>
          <cell r="H385" t="str">
            <v>H02AB09</v>
          </cell>
          <cell r="I385"/>
          <cell r="J385">
            <v>11.47</v>
          </cell>
          <cell r="K385"/>
        </row>
        <row r="386">
          <cell r="D386" t="str">
            <v>H-02-06</v>
          </cell>
          <cell r="E386" t="str">
            <v>Hidrocortisona succinato sódico</v>
          </cell>
          <cell r="F386" t="str">
            <v>Inyectable</v>
          </cell>
          <cell r="G386" t="str">
            <v>250 mg</v>
          </cell>
          <cell r="H386" t="str">
            <v>H02AB09</v>
          </cell>
          <cell r="I386"/>
          <cell r="J386">
            <v>45.872222222222227</v>
          </cell>
          <cell r="K386"/>
        </row>
        <row r="387">
          <cell r="D387" t="str">
            <v>D-11-01</v>
          </cell>
          <cell r="E387" t="str">
            <v>Hidroquinona</v>
          </cell>
          <cell r="F387" t="str">
            <v>Loción</v>
          </cell>
          <cell r="G387" t="str">
            <v>4% o 5%</v>
          </cell>
          <cell r="H387" t="str">
            <v>D11AX11</v>
          </cell>
          <cell r="I387"/>
          <cell r="J387">
            <v>51.67099566666667</v>
          </cell>
          <cell r="K387" t="str">
            <v>30 ML</v>
          </cell>
        </row>
        <row r="388">
          <cell r="D388" t="str">
            <v>D-11-02</v>
          </cell>
          <cell r="E388" t="str">
            <v>Hidroquinona</v>
          </cell>
          <cell r="F388" t="str">
            <v>Crema a Pomada</v>
          </cell>
          <cell r="G388" t="str">
            <v>4% o  5 %</v>
          </cell>
          <cell r="H388" t="str">
            <v>D11AX11</v>
          </cell>
          <cell r="I388"/>
          <cell r="J388">
            <v>37.06</v>
          </cell>
          <cell r="K388" t="str">
            <v>30 G</v>
          </cell>
        </row>
        <row r="389">
          <cell r="D389" t="str">
            <v>P-01-27</v>
          </cell>
          <cell r="E389" t="str">
            <v>Hidroxicloroquina sulfato</v>
          </cell>
          <cell r="F389" t="str">
            <v>Comprimido</v>
          </cell>
          <cell r="G389" t="str">
            <v>200 mg</v>
          </cell>
          <cell r="H389" t="str">
            <v>P01BA02</v>
          </cell>
          <cell r="I389"/>
          <cell r="J389">
            <v>6.8</v>
          </cell>
          <cell r="K389"/>
        </row>
        <row r="390">
          <cell r="D390" t="str">
            <v>A-02-01</v>
          </cell>
          <cell r="E390" t="str">
            <v>Hidróxido de aluminio y magnesio</v>
          </cell>
          <cell r="F390" t="str">
            <v>Suspensión</v>
          </cell>
          <cell r="G390" t="str">
            <v>1:1</v>
          </cell>
          <cell r="H390" t="str">
            <v>A02AD01</v>
          </cell>
          <cell r="I390"/>
          <cell r="J390">
            <v>12.57</v>
          </cell>
          <cell r="K390" t="str">
            <v>120 ML</v>
          </cell>
        </row>
        <row r="391">
          <cell r="D391" t="str">
            <v>L-01-19</v>
          </cell>
          <cell r="E391" t="str">
            <v>Hidroxiurea</v>
          </cell>
          <cell r="F391" t="str">
            <v>Cápsula</v>
          </cell>
          <cell r="G391" t="str">
            <v>500 mg</v>
          </cell>
          <cell r="H391" t="str">
            <v>L01XX05</v>
          </cell>
          <cell r="I391"/>
          <cell r="J391">
            <v>3.3391666666666664</v>
          </cell>
          <cell r="K391"/>
        </row>
        <row r="392">
          <cell r="D392" t="str">
            <v>B-03-04</v>
          </cell>
          <cell r="E392" t="str">
            <v>Hierro</v>
          </cell>
          <cell r="F392" t="str">
            <v>Inyectable</v>
          </cell>
          <cell r="G392" t="str">
            <v>100 mg - IM o IV</v>
          </cell>
          <cell r="H392" t="str">
            <v>B03AC02</v>
          </cell>
          <cell r="I392"/>
          <cell r="J392">
            <v>34.514444444444443</v>
          </cell>
          <cell r="K392"/>
        </row>
        <row r="393">
          <cell r="D393" t="str">
            <v>B-03-12</v>
          </cell>
          <cell r="E393" t="str">
            <v>Hierro (como bisglicina quelato)</v>
          </cell>
          <cell r="F393" t="str">
            <v xml:space="preserve">Suspensión </v>
          </cell>
          <cell r="G393" t="str">
            <v xml:space="preserve">30 mg/5 mL </v>
          </cell>
          <cell r="H393" t="str">
            <v>B03AA01</v>
          </cell>
          <cell r="I393"/>
          <cell r="J393">
            <v>69.3</v>
          </cell>
          <cell r="K393" t="str">
            <v>120 ML</v>
          </cell>
        </row>
        <row r="394">
          <cell r="D394" t="str">
            <v>D-08-05</v>
          </cell>
          <cell r="E394" t="str">
            <v>Hipoclorito de sodio</v>
          </cell>
          <cell r="F394" t="str">
            <v>Solución</v>
          </cell>
          <cell r="G394">
            <v>0.08</v>
          </cell>
          <cell r="H394" t="str">
            <v>D08AX07</v>
          </cell>
          <cell r="I394"/>
          <cell r="J394">
            <v>14.71</v>
          </cell>
          <cell r="K394"/>
        </row>
        <row r="395">
          <cell r="D395" t="str">
            <v>C-01-14</v>
          </cell>
          <cell r="E395" t="str">
            <v>Ibuprofeno</v>
          </cell>
          <cell r="F395" t="str">
            <v>Inyectable</v>
          </cell>
          <cell r="G395" t="str">
            <v xml:space="preserve">5 mg/ml </v>
          </cell>
          <cell r="H395" t="str">
            <v>C01EB16</v>
          </cell>
          <cell r="I395"/>
          <cell r="J395">
            <v>34.65</v>
          </cell>
          <cell r="K395"/>
        </row>
        <row r="396">
          <cell r="D396" t="str">
            <v>M-01-04</v>
          </cell>
          <cell r="E396" t="str">
            <v>Ibuprofeno</v>
          </cell>
          <cell r="F396" t="str">
            <v>Suspensión</v>
          </cell>
          <cell r="G396" t="str">
            <v>100 mg/5 ml</v>
          </cell>
          <cell r="H396" t="str">
            <v>M01AE01</v>
          </cell>
          <cell r="I396"/>
          <cell r="J396">
            <v>9.77</v>
          </cell>
          <cell r="K396" t="str">
            <v>100ML</v>
          </cell>
        </row>
        <row r="397">
          <cell r="D397" t="str">
            <v>M-01-05</v>
          </cell>
          <cell r="E397" t="str">
            <v>Ibuprofeno</v>
          </cell>
          <cell r="F397" t="str">
            <v>Comprimido</v>
          </cell>
          <cell r="G397" t="str">
            <v>400 mg</v>
          </cell>
          <cell r="H397" t="str">
            <v>M01AE01</v>
          </cell>
          <cell r="I397"/>
          <cell r="J397">
            <v>0.31</v>
          </cell>
          <cell r="K397"/>
        </row>
        <row r="398">
          <cell r="D398" t="str">
            <v>L-01-20</v>
          </cell>
          <cell r="E398" t="str">
            <v>Ifosfamida</v>
          </cell>
          <cell r="F398" t="str">
            <v>Inyectable</v>
          </cell>
          <cell r="G398" t="str">
            <v>1 g</v>
          </cell>
          <cell r="H398" t="str">
            <v>L01AA06</v>
          </cell>
          <cell r="I398"/>
          <cell r="J398">
            <v>131.33333333333334</v>
          </cell>
          <cell r="K398"/>
        </row>
        <row r="399">
          <cell r="D399" t="str">
            <v>L-01-49</v>
          </cell>
          <cell r="E399" t="str">
            <v>Imatinib</v>
          </cell>
          <cell r="F399" t="str">
            <v>Comprimido</v>
          </cell>
          <cell r="G399" t="str">
            <v>100 mg</v>
          </cell>
          <cell r="H399" t="str">
            <v>L01XE01</v>
          </cell>
          <cell r="I399" t="str">
            <v>R</v>
          </cell>
          <cell r="J399">
            <v>43.69</v>
          </cell>
          <cell r="K399"/>
        </row>
        <row r="400">
          <cell r="D400" t="str">
            <v>L-01-50</v>
          </cell>
          <cell r="E400" t="str">
            <v>Imatinib</v>
          </cell>
          <cell r="F400" t="str">
            <v>Comprimido</v>
          </cell>
          <cell r="G400" t="str">
            <v>400 mg</v>
          </cell>
          <cell r="H400" t="str">
            <v>L01XE01</v>
          </cell>
          <cell r="I400" t="str">
            <v>R</v>
          </cell>
          <cell r="J400">
            <v>314</v>
          </cell>
          <cell r="K400"/>
        </row>
        <row r="401">
          <cell r="D401" t="str">
            <v>J-01-50</v>
          </cell>
          <cell r="E401" t="str">
            <v>Imipenem + Cilastatina</v>
          </cell>
          <cell r="F401" t="str">
            <v>Inyectable</v>
          </cell>
          <cell r="G401" t="str">
            <v>500 mg + 500 mg</v>
          </cell>
          <cell r="H401" t="str">
            <v>J01DH51</v>
          </cell>
          <cell r="I401" t="str">
            <v>R</v>
          </cell>
          <cell r="J401">
            <v>68.3</v>
          </cell>
          <cell r="K401"/>
        </row>
        <row r="402">
          <cell r="D402" t="str">
            <v>N-06-05</v>
          </cell>
          <cell r="E402" t="str">
            <v>Imipramina clorhidrato</v>
          </cell>
          <cell r="F402" t="str">
            <v>Comprimido</v>
          </cell>
          <cell r="G402" t="str">
            <v>25 mg</v>
          </cell>
          <cell r="H402" t="str">
            <v>N06AA02</v>
          </cell>
          <cell r="I402"/>
          <cell r="J402">
            <v>0.62</v>
          </cell>
          <cell r="K402"/>
        </row>
        <row r="403">
          <cell r="D403" t="str">
            <v>M-01-06</v>
          </cell>
          <cell r="E403" t="str">
            <v>Indometacina</v>
          </cell>
          <cell r="F403" t="str">
            <v>Cápsula o Comprimido</v>
          </cell>
          <cell r="G403" t="str">
            <v>25 mg</v>
          </cell>
          <cell r="H403" t="str">
            <v>M01AB01</v>
          </cell>
          <cell r="I403"/>
          <cell r="J403">
            <v>0.26</v>
          </cell>
          <cell r="K403"/>
        </row>
        <row r="404">
          <cell r="D404" t="str">
            <v>M-01-07</v>
          </cell>
          <cell r="E404" t="str">
            <v>Indometacina</v>
          </cell>
          <cell r="F404" t="str">
            <v>Supositorio</v>
          </cell>
          <cell r="G404" t="str">
            <v>100 mg</v>
          </cell>
          <cell r="H404" t="str">
            <v>M01AB01</v>
          </cell>
          <cell r="I404"/>
          <cell r="J404">
            <v>1.68</v>
          </cell>
          <cell r="K404"/>
        </row>
        <row r="405">
          <cell r="D405" t="str">
            <v>J-06-02</v>
          </cell>
          <cell r="E405" t="str">
            <v>Inmunoglobulina anti D (RH +)</v>
          </cell>
          <cell r="F405" t="str">
            <v>Inyectable</v>
          </cell>
          <cell r="G405" t="str">
            <v>0,1 mg/ml a  0,2 mg/ml</v>
          </cell>
          <cell r="H405" t="str">
            <v>J06BB01</v>
          </cell>
          <cell r="I405"/>
          <cell r="J405">
            <v>830.85</v>
          </cell>
          <cell r="K405"/>
        </row>
        <row r="406">
          <cell r="D406" t="str">
            <v>J-06-03</v>
          </cell>
          <cell r="E406" t="str">
            <v>Inmunoglobulina humana normal</v>
          </cell>
          <cell r="F406" t="str">
            <v>Inyectable</v>
          </cell>
          <cell r="G406" t="str">
            <v>5 g IV</v>
          </cell>
          <cell r="H406" t="str">
            <v>J06BA02</v>
          </cell>
          <cell r="I406"/>
          <cell r="J406">
            <v>4250</v>
          </cell>
          <cell r="K406"/>
        </row>
        <row r="407">
          <cell r="D407" t="str">
            <v>A-10-05</v>
          </cell>
          <cell r="E407" t="str">
            <v>Insulina Glargina</v>
          </cell>
          <cell r="F407" t="str">
            <v>Inyectable</v>
          </cell>
          <cell r="G407" t="str">
            <v>100 U.I/ml</v>
          </cell>
          <cell r="H407" t="str">
            <v>A10AE04</v>
          </cell>
          <cell r="I407"/>
          <cell r="J407">
            <v>411.01650000000001</v>
          </cell>
          <cell r="K407" t="str">
            <v>10 ML</v>
          </cell>
        </row>
        <row r="408">
          <cell r="D408" t="str">
            <v>A-10-06</v>
          </cell>
          <cell r="E408" t="str">
            <v>Insulina Glulisina</v>
          </cell>
          <cell r="F408" t="str">
            <v>Inyectable</v>
          </cell>
          <cell r="G408" t="str">
            <v>100 U.I/ml</v>
          </cell>
          <cell r="H408" t="str">
            <v>A10AB06</v>
          </cell>
          <cell r="I408"/>
          <cell r="J408">
            <v>325</v>
          </cell>
          <cell r="K408" t="str">
            <v>10 ML</v>
          </cell>
        </row>
        <row r="409">
          <cell r="D409" t="str">
            <v>A-10-02</v>
          </cell>
          <cell r="E409" t="str">
            <v>Insulina recombinante humana NPH</v>
          </cell>
          <cell r="F409" t="str">
            <v>Inyectable</v>
          </cell>
          <cell r="G409" t="str">
            <v>100 UI/ml</v>
          </cell>
          <cell r="H409" t="str">
            <v>A10AC01</v>
          </cell>
          <cell r="I409"/>
          <cell r="J409">
            <v>125</v>
          </cell>
          <cell r="K409"/>
        </row>
        <row r="410">
          <cell r="D410" t="str">
            <v>A-10-03</v>
          </cell>
          <cell r="E410" t="str">
            <v>Insulina zinc cristalina  recombinante humana</v>
          </cell>
          <cell r="F410" t="str">
            <v>Inyectable</v>
          </cell>
          <cell r="G410" t="str">
            <v>100 UI/ml</v>
          </cell>
          <cell r="H410" t="str">
            <v>A10AB01</v>
          </cell>
          <cell r="I410"/>
          <cell r="J410">
            <v>95.842083333333335</v>
          </cell>
          <cell r="K410" t="str">
            <v>10 ML</v>
          </cell>
        </row>
        <row r="411">
          <cell r="D411" t="str">
            <v>L-03-02</v>
          </cell>
          <cell r="E411" t="str">
            <v>Interferon alfa 2 b recombinante</v>
          </cell>
          <cell r="F411" t="str">
            <v>Inyectable</v>
          </cell>
          <cell r="G411" t="str">
            <v>10.000.000 UI con diluyente (1 ml)</v>
          </cell>
          <cell r="H411" t="str">
            <v>L03AB05</v>
          </cell>
          <cell r="I411"/>
          <cell r="J411">
            <v>195.31</v>
          </cell>
          <cell r="K411"/>
        </row>
        <row r="412">
          <cell r="D412" t="str">
            <v>L-03-03</v>
          </cell>
          <cell r="E412" t="str">
            <v>Interferon alfa 2 b recombinante</v>
          </cell>
          <cell r="F412" t="str">
            <v>Inyectable</v>
          </cell>
          <cell r="G412" t="str">
            <v>3.000.000 UI con diluyente (1 ml)</v>
          </cell>
          <cell r="H412" t="str">
            <v>L03AB05</v>
          </cell>
          <cell r="I412"/>
          <cell r="J412">
            <v>90</v>
          </cell>
          <cell r="K412"/>
        </row>
        <row r="413">
          <cell r="D413" t="str">
            <v>L-03-04</v>
          </cell>
          <cell r="E413" t="str">
            <v>Interferon beta</v>
          </cell>
          <cell r="F413" t="str">
            <v>Inyectable</v>
          </cell>
          <cell r="G413" t="str">
            <v>0,3 mg</v>
          </cell>
          <cell r="H413" t="str">
            <v>L03AB07</v>
          </cell>
          <cell r="I413"/>
          <cell r="J413">
            <v>535.44749999999999</v>
          </cell>
          <cell r="K413" t="str">
            <v>1 L</v>
          </cell>
        </row>
        <row r="414">
          <cell r="D414" t="str">
            <v>D-08-06</v>
          </cell>
          <cell r="E414" t="str">
            <v>Iodo (Yodo)</v>
          </cell>
          <cell r="F414" t="str">
            <v>Solución hidroalcohólica</v>
          </cell>
          <cell r="G414">
            <v>0.02</v>
          </cell>
          <cell r="H414" t="str">
            <v>D08AG03</v>
          </cell>
          <cell r="I414"/>
          <cell r="J414">
            <v>86.82</v>
          </cell>
          <cell r="K414" t="str">
            <v>1 L</v>
          </cell>
        </row>
        <row r="415">
          <cell r="D415" t="str">
            <v>D-08-07</v>
          </cell>
          <cell r="E415" t="str">
            <v>Iodo povidona (Yodopovidona)</v>
          </cell>
          <cell r="F415" t="str">
            <v>Crema o Pomada</v>
          </cell>
          <cell r="G415" t="str">
            <v xml:space="preserve">10% ( 500 g ) </v>
          </cell>
          <cell r="H415" t="str">
            <v>D08AG02</v>
          </cell>
          <cell r="I415"/>
          <cell r="J415">
            <v>120.75</v>
          </cell>
          <cell r="K415"/>
        </row>
        <row r="416">
          <cell r="D416" t="str">
            <v>D-08-08</v>
          </cell>
          <cell r="E416" t="str">
            <v>Iodo povidona (Yodopovidona)</v>
          </cell>
          <cell r="F416" t="str">
            <v>Solución</v>
          </cell>
          <cell r="G416">
            <v>0.1</v>
          </cell>
          <cell r="H416" t="str">
            <v>D08AG02</v>
          </cell>
          <cell r="I416"/>
          <cell r="J416">
            <v>81.16</v>
          </cell>
          <cell r="K416" t="str">
            <v>1 L</v>
          </cell>
        </row>
        <row r="417">
          <cell r="D417" t="str">
            <v>V-03-06</v>
          </cell>
          <cell r="E417" t="str">
            <v>Ipecacuana</v>
          </cell>
          <cell r="F417" t="str">
            <v>Jarabe</v>
          </cell>
          <cell r="G417">
            <v>7.0000000000000007E-2</v>
          </cell>
          <cell r="H417" t="str">
            <v>V03AB01</v>
          </cell>
          <cell r="I417"/>
          <cell r="J417">
            <v>19.22</v>
          </cell>
          <cell r="K417"/>
        </row>
        <row r="418">
          <cell r="D418" t="str">
            <v>R-03-09</v>
          </cell>
          <cell r="E418" t="str">
            <v>Ipratropio bromuro</v>
          </cell>
          <cell r="F418" t="str">
            <v>Aerosol</v>
          </cell>
          <cell r="G418" t="str">
            <v>20 mcg/dosis</v>
          </cell>
          <cell r="H418" t="str">
            <v>R03BB01</v>
          </cell>
          <cell r="I418"/>
          <cell r="J418">
            <v>138.42000000000002</v>
          </cell>
          <cell r="K418" t="str">
            <v>200 dosis</v>
          </cell>
        </row>
        <row r="419">
          <cell r="D419" t="str">
            <v>L-01-40</v>
          </cell>
          <cell r="E419" t="str">
            <v>Irinotecan</v>
          </cell>
          <cell r="F419" t="str">
            <v>Inyectable</v>
          </cell>
          <cell r="G419" t="str">
            <v>100 mg /5 ml</v>
          </cell>
          <cell r="H419" t="str">
            <v>L01XX19</v>
          </cell>
          <cell r="I419" t="str">
            <v>R</v>
          </cell>
          <cell r="J419">
            <v>480.83749999999998</v>
          </cell>
          <cell r="K419"/>
        </row>
        <row r="420">
          <cell r="D420" t="str">
            <v>J-04-07</v>
          </cell>
          <cell r="E420" t="str">
            <v>Isoniazida (INH)</v>
          </cell>
          <cell r="F420" t="str">
            <v>Comprimido</v>
          </cell>
          <cell r="G420" t="str">
            <v>100 mg</v>
          </cell>
          <cell r="H420" t="str">
            <v>J04AC01</v>
          </cell>
          <cell r="I420" t="str">
            <v>R</v>
          </cell>
          <cell r="J420">
            <v>0.13</v>
          </cell>
          <cell r="K420"/>
        </row>
        <row r="421">
          <cell r="D421" t="str">
            <v>C-01-11</v>
          </cell>
          <cell r="E421" t="str">
            <v>Isosorbida Mononitrato</v>
          </cell>
          <cell r="F421" t="str">
            <v>Comprimido</v>
          </cell>
          <cell r="G421" t="str">
            <v>20 mg</v>
          </cell>
          <cell r="H421" t="str">
            <v>C01DA14</v>
          </cell>
          <cell r="I421"/>
          <cell r="J421">
            <v>2.1507142857142858</v>
          </cell>
          <cell r="K421"/>
        </row>
        <row r="422">
          <cell r="D422" t="str">
            <v>P-02-13</v>
          </cell>
          <cell r="E422" t="str">
            <v>Ivermectina</v>
          </cell>
          <cell r="F422" t="str">
            <v>Comprimido</v>
          </cell>
          <cell r="G422" t="str">
            <v>3 mg</v>
          </cell>
          <cell r="H422" t="str">
            <v>P02CF01</v>
          </cell>
          <cell r="I422"/>
          <cell r="J422">
            <v>8.4499999999999993</v>
          </cell>
          <cell r="K422"/>
        </row>
        <row r="423">
          <cell r="D423" t="str">
            <v>P-02-14</v>
          </cell>
          <cell r="E423" t="str">
            <v>Ivermectina</v>
          </cell>
          <cell r="F423" t="str">
            <v>Comprimido</v>
          </cell>
          <cell r="G423" t="str">
            <v>6 mg</v>
          </cell>
          <cell r="H423" t="str">
            <v>P02CF01</v>
          </cell>
          <cell r="I423"/>
          <cell r="J423">
            <v>10</v>
          </cell>
          <cell r="K423"/>
        </row>
        <row r="424">
          <cell r="D424" t="str">
            <v>J-04-13</v>
          </cell>
          <cell r="E424" t="str">
            <v>Kanamicina</v>
          </cell>
          <cell r="F424" t="str">
            <v>Inyectable</v>
          </cell>
          <cell r="G424" t="str">
            <v>1 g</v>
          </cell>
          <cell r="H424" t="str">
            <v>J01GB04</v>
          </cell>
          <cell r="I424"/>
          <cell r="J424">
            <v>16.792523500000001</v>
          </cell>
          <cell r="K424"/>
        </row>
        <row r="425">
          <cell r="D425" t="str">
            <v>N-01-08</v>
          </cell>
          <cell r="E425" t="str">
            <v>Ketamina (Cetamina)</v>
          </cell>
          <cell r="F425" t="str">
            <v>Inyectable</v>
          </cell>
          <cell r="G425" t="str">
            <v>50 mg/ml</v>
          </cell>
          <cell r="H425" t="str">
            <v>N01AX03</v>
          </cell>
          <cell r="I425"/>
          <cell r="J425">
            <v>41.462083333333332</v>
          </cell>
          <cell r="K425" t="str">
            <v>5 ML</v>
          </cell>
        </row>
        <row r="426">
          <cell r="D426" t="str">
            <v>M-01-10</v>
          </cell>
          <cell r="E426" t="str">
            <v>Ketoprofeno</v>
          </cell>
          <cell r="F426" t="str">
            <v>Inyectable</v>
          </cell>
          <cell r="G426" t="str">
            <v>100 mg</v>
          </cell>
          <cell r="H426" t="str">
            <v>M01AE03</v>
          </cell>
          <cell r="I426"/>
          <cell r="J426">
            <v>13.8</v>
          </cell>
          <cell r="K426"/>
        </row>
        <row r="427">
          <cell r="D427" t="str">
            <v>M-01-09</v>
          </cell>
          <cell r="E427" t="str">
            <v>Ketorolaco</v>
          </cell>
          <cell r="F427" t="str">
            <v>Inyectable</v>
          </cell>
          <cell r="G427" t="str">
            <v>30 mg/ml</v>
          </cell>
          <cell r="H427" t="str">
            <v>M01AB15</v>
          </cell>
          <cell r="I427"/>
          <cell r="J427">
            <v>6.3</v>
          </cell>
          <cell r="K427" t="str">
            <v>1 ML</v>
          </cell>
        </row>
        <row r="428">
          <cell r="D428" t="str">
            <v>R-06-04</v>
          </cell>
          <cell r="E428" t="str">
            <v>Ketotifeno</v>
          </cell>
          <cell r="F428" t="str">
            <v>Comprimido</v>
          </cell>
          <cell r="G428" t="str">
            <v>1 mg</v>
          </cell>
          <cell r="H428" t="str">
            <v>R06AX17</v>
          </cell>
          <cell r="I428"/>
          <cell r="J428">
            <v>3.3079999999999998</v>
          </cell>
          <cell r="K428"/>
        </row>
        <row r="429">
          <cell r="D429" t="str">
            <v>S-01-17</v>
          </cell>
          <cell r="E429" t="str">
            <v>Ketotifeno</v>
          </cell>
          <cell r="F429" t="str">
            <v>Solución oftálmica</v>
          </cell>
          <cell r="G429" t="str">
            <v>0,25 mg/ml</v>
          </cell>
          <cell r="H429" t="str">
            <v>S01GX08</v>
          </cell>
          <cell r="I429"/>
          <cell r="J429">
            <v>118.52500000000001</v>
          </cell>
          <cell r="K429"/>
        </row>
        <row r="430">
          <cell r="D430" t="str">
            <v>C-07-07</v>
          </cell>
          <cell r="E430" t="str">
            <v>Labetalol</v>
          </cell>
          <cell r="F430" t="str">
            <v>Inyectable</v>
          </cell>
          <cell r="G430" t="str">
            <v>20 mg</v>
          </cell>
          <cell r="H430" t="str">
            <v>C07AG01</v>
          </cell>
          <cell r="I430" t="str">
            <v>R</v>
          </cell>
          <cell r="J430">
            <v>60</v>
          </cell>
          <cell r="K430"/>
        </row>
        <row r="431">
          <cell r="D431" t="str">
            <v>A-06-07</v>
          </cell>
          <cell r="E431" t="str">
            <v>Lactulosa</v>
          </cell>
          <cell r="F431" t="str">
            <v>Solución oral</v>
          </cell>
          <cell r="G431" t="str">
            <v>65% a  67%</v>
          </cell>
          <cell r="H431" t="str">
            <v>A06AD11</v>
          </cell>
          <cell r="I431"/>
          <cell r="J431">
            <v>58.27943181818182</v>
          </cell>
          <cell r="K431">
            <v>0.65</v>
          </cell>
        </row>
        <row r="432">
          <cell r="D432" t="str">
            <v>S-01-18</v>
          </cell>
          <cell r="E432" t="str">
            <v>Lágrimas artificiales</v>
          </cell>
          <cell r="F432" t="str">
            <v>Solución oftálmica</v>
          </cell>
          <cell r="G432" t="str">
            <v>0,3% o 1%</v>
          </cell>
          <cell r="H432" t="str">
            <v>S01XA20</v>
          </cell>
          <cell r="I432"/>
          <cell r="J432">
            <v>21.9</v>
          </cell>
          <cell r="K432"/>
        </row>
        <row r="433">
          <cell r="D433" t="str">
            <v>S-01-26</v>
          </cell>
          <cell r="E433" t="str">
            <v>Lágrimas artificiales</v>
          </cell>
          <cell r="F433" t="str">
            <v>Gel</v>
          </cell>
          <cell r="G433" t="str">
            <v>0,3% o 1%</v>
          </cell>
          <cell r="H433" t="str">
            <v>S01XA20</v>
          </cell>
          <cell r="I433"/>
          <cell r="J433">
            <v>60.376666666666665</v>
          </cell>
          <cell r="K433"/>
        </row>
        <row r="434">
          <cell r="D434" t="str">
            <v>J-05-15</v>
          </cell>
          <cell r="E434" t="str">
            <v>Lamivudina</v>
          </cell>
          <cell r="F434" t="str">
            <v>Comprimido</v>
          </cell>
          <cell r="G434" t="str">
            <v>150 mg</v>
          </cell>
          <cell r="H434" t="str">
            <v>J05AF05</v>
          </cell>
          <cell r="I434"/>
          <cell r="J434">
            <v>0.39</v>
          </cell>
          <cell r="K434"/>
        </row>
        <row r="435">
          <cell r="D435" t="str">
            <v>J-05-16</v>
          </cell>
          <cell r="E435" t="str">
            <v>Lamivudina</v>
          </cell>
          <cell r="F435" t="str">
            <v>Jarabe o Solución oral</v>
          </cell>
          <cell r="G435" t="str">
            <v>10 mg/ml</v>
          </cell>
          <cell r="H435" t="str">
            <v>J05AF05</v>
          </cell>
          <cell r="I435"/>
          <cell r="J435">
            <v>19.41</v>
          </cell>
          <cell r="K435"/>
        </row>
        <row r="436">
          <cell r="D436" t="str">
            <v>N-03-15</v>
          </cell>
          <cell r="E436" t="str">
            <v>Lamotrigina</v>
          </cell>
          <cell r="F436" t="str">
            <v>Comprimido</v>
          </cell>
          <cell r="G436" t="str">
            <v>25 mg</v>
          </cell>
          <cell r="H436" t="str">
            <v>N03AX09</v>
          </cell>
          <cell r="I436" t="str">
            <v>R</v>
          </cell>
          <cell r="J436">
            <v>5.62</v>
          </cell>
          <cell r="K436"/>
        </row>
        <row r="437">
          <cell r="D437" t="str">
            <v>N-03-16</v>
          </cell>
          <cell r="E437" t="str">
            <v>Lamotrigina</v>
          </cell>
          <cell r="F437" t="str">
            <v>Comprimido</v>
          </cell>
          <cell r="G437" t="str">
            <v>50 mg</v>
          </cell>
          <cell r="H437" t="str">
            <v>N03AX09</v>
          </cell>
          <cell r="I437" t="str">
            <v>R</v>
          </cell>
          <cell r="J437">
            <v>8.0574999999999992</v>
          </cell>
          <cell r="K437"/>
        </row>
        <row r="438">
          <cell r="D438" t="str">
            <v>N-03-17</v>
          </cell>
          <cell r="E438" t="str">
            <v>Lamotrigina</v>
          </cell>
          <cell r="F438" t="str">
            <v>Comprimido</v>
          </cell>
          <cell r="G438" t="str">
            <v>100 mg</v>
          </cell>
          <cell r="H438" t="str">
            <v>N03AX09</v>
          </cell>
          <cell r="I438" t="str">
            <v>R</v>
          </cell>
          <cell r="J438">
            <v>13.268750000000001</v>
          </cell>
          <cell r="K438"/>
        </row>
        <row r="439">
          <cell r="D439" t="str">
            <v>N-03-18</v>
          </cell>
          <cell r="E439" t="str">
            <v>Lamotrigina</v>
          </cell>
          <cell r="F439" t="str">
            <v>Comprimido</v>
          </cell>
          <cell r="G439" t="str">
            <v>200 mg</v>
          </cell>
          <cell r="H439" t="str">
            <v>N03AX09</v>
          </cell>
          <cell r="I439" t="str">
            <v>R</v>
          </cell>
          <cell r="J439">
            <v>11.381666666666668</v>
          </cell>
          <cell r="K439"/>
        </row>
        <row r="440">
          <cell r="D440" t="str">
            <v>S-01-27</v>
          </cell>
          <cell r="E440" t="str">
            <v>Latanoprost</v>
          </cell>
          <cell r="F440" t="str">
            <v>Solución oftálmica</v>
          </cell>
          <cell r="G440" t="str">
            <v>50 mcg/ml</v>
          </cell>
          <cell r="H440" t="str">
            <v>S01EE01</v>
          </cell>
          <cell r="I440"/>
          <cell r="J440">
            <v>83.286111111111111</v>
          </cell>
          <cell r="K440"/>
        </row>
        <row r="441">
          <cell r="D441" t="str">
            <v>J-05-46</v>
          </cell>
          <cell r="E441" t="str">
            <v>Ledipasvir + Sofosbuvir</v>
          </cell>
          <cell r="F441" t="str">
            <v>Comprimido</v>
          </cell>
          <cell r="G441" t="str">
            <v>90 mg + 400 mg</v>
          </cell>
          <cell r="H441" t="str">
            <v>J05AX65.</v>
          </cell>
          <cell r="I441" t="str">
            <v>R</v>
          </cell>
          <cell r="J441">
            <v>966.65</v>
          </cell>
          <cell r="K441"/>
        </row>
        <row r="442">
          <cell r="D442" t="str">
            <v>L-04-12</v>
          </cell>
          <cell r="E442" t="str">
            <v>Leflunomida</v>
          </cell>
          <cell r="F442" t="str">
            <v>Comprimido</v>
          </cell>
          <cell r="G442" t="str">
            <v>20 mg</v>
          </cell>
          <cell r="H442" t="str">
            <v>L04AA13</v>
          </cell>
          <cell r="I442" t="str">
            <v>R</v>
          </cell>
          <cell r="J442">
            <v>10.86</v>
          </cell>
          <cell r="K442"/>
        </row>
        <row r="443">
          <cell r="D443" t="str">
            <v>L-04-13</v>
          </cell>
          <cell r="E443" t="str">
            <v>Leflunomida</v>
          </cell>
          <cell r="F443" t="str">
            <v>Comprimido</v>
          </cell>
          <cell r="G443" t="str">
            <v>100 mg</v>
          </cell>
          <cell r="H443" t="str">
            <v>L04AA13</v>
          </cell>
          <cell r="I443" t="str">
            <v>R</v>
          </cell>
          <cell r="J443">
            <v>50</v>
          </cell>
          <cell r="K443"/>
        </row>
        <row r="444">
          <cell r="D444" t="str">
            <v>L-04-14</v>
          </cell>
          <cell r="E444" t="str">
            <v>Lenalidomida</v>
          </cell>
          <cell r="F444" t="str">
            <v>Cápsula</v>
          </cell>
          <cell r="G444" t="str">
            <v>5 mg</v>
          </cell>
          <cell r="H444" t="str">
            <v>L04AX04</v>
          </cell>
          <cell r="I444" t="str">
            <v>R</v>
          </cell>
          <cell r="J444">
            <v>280.62</v>
          </cell>
          <cell r="K444"/>
        </row>
        <row r="445">
          <cell r="D445" t="str">
            <v>L-04-15</v>
          </cell>
          <cell r="E445" t="str">
            <v>Lenalidomida</v>
          </cell>
          <cell r="F445" t="str">
            <v>Cápsula</v>
          </cell>
          <cell r="G445" t="str">
            <v>10 mg</v>
          </cell>
          <cell r="H445" t="str">
            <v>L04AX04</v>
          </cell>
          <cell r="I445" t="str">
            <v>R</v>
          </cell>
          <cell r="J445">
            <v>973.71</v>
          </cell>
          <cell r="K445"/>
        </row>
        <row r="446">
          <cell r="D446" t="str">
            <v>L-04-16</v>
          </cell>
          <cell r="E446" t="str">
            <v>Lenalidomida</v>
          </cell>
          <cell r="F446" t="str">
            <v>Cápsula</v>
          </cell>
          <cell r="G446" t="str">
            <v>15 mg</v>
          </cell>
          <cell r="H446" t="str">
            <v>L04AX04</v>
          </cell>
          <cell r="I446" t="str">
            <v>R</v>
          </cell>
          <cell r="J446">
            <v>1460</v>
          </cell>
          <cell r="K446"/>
        </row>
        <row r="447">
          <cell r="D447" t="str">
            <v>L-04-17</v>
          </cell>
          <cell r="E447" t="str">
            <v>Lenalidomida</v>
          </cell>
          <cell r="F447" t="str">
            <v>Cápsula</v>
          </cell>
          <cell r="G447" t="str">
            <v>25 mg</v>
          </cell>
          <cell r="H447" t="str">
            <v>L04AX04</v>
          </cell>
          <cell r="I447" t="str">
            <v>R</v>
          </cell>
          <cell r="J447">
            <v>1683.0066666666667</v>
          </cell>
          <cell r="K447"/>
        </row>
        <row r="448">
          <cell r="D448" t="str">
            <v>L-02-04</v>
          </cell>
          <cell r="E448" t="str">
            <v>Letrozol</v>
          </cell>
          <cell r="F448" t="str">
            <v>Comprimido</v>
          </cell>
          <cell r="G448" t="str">
            <v>2,5 mg</v>
          </cell>
          <cell r="H448" t="str">
            <v>L02BG04</v>
          </cell>
          <cell r="I448"/>
          <cell r="J448">
            <v>6.3829166666666666</v>
          </cell>
          <cell r="K448"/>
        </row>
        <row r="449">
          <cell r="D449" t="str">
            <v>V-03-07</v>
          </cell>
          <cell r="E449" t="str">
            <v>Leucovorina</v>
          </cell>
          <cell r="F449" t="str">
            <v>Inyectable</v>
          </cell>
          <cell r="G449" t="str">
            <v>50 mg</v>
          </cell>
          <cell r="H449" t="str">
            <v>V03AF03</v>
          </cell>
          <cell r="I449"/>
          <cell r="J449">
            <v>47.453333333333333</v>
          </cell>
          <cell r="K449"/>
        </row>
        <row r="450">
          <cell r="D450" t="str">
            <v>V-03-14</v>
          </cell>
          <cell r="E450" t="str">
            <v>Leucovorina (Folinato de calcio)</v>
          </cell>
          <cell r="F450" t="str">
            <v>Comprimido</v>
          </cell>
          <cell r="G450" t="str">
            <v>15 mg</v>
          </cell>
          <cell r="H450" t="str">
            <v>V03AF03</v>
          </cell>
          <cell r="I450"/>
          <cell r="J450">
            <v>36.33</v>
          </cell>
          <cell r="K450"/>
        </row>
        <row r="451">
          <cell r="D451" t="str">
            <v>L-02-10</v>
          </cell>
          <cell r="E451" t="str">
            <v>Leuprolide</v>
          </cell>
          <cell r="F451" t="str">
            <v>Inyectable</v>
          </cell>
          <cell r="G451" t="str">
            <v xml:space="preserve">7,5 mg </v>
          </cell>
          <cell r="H451" t="str">
            <v>L02AE02</v>
          </cell>
          <cell r="I451" t="str">
            <v>R</v>
          </cell>
          <cell r="J451">
            <v>1774.5</v>
          </cell>
          <cell r="K451"/>
        </row>
        <row r="452">
          <cell r="D452" t="str">
            <v>N-04-02</v>
          </cell>
          <cell r="E452" t="str">
            <v>Levodopa + Carbidopa</v>
          </cell>
          <cell r="F452" t="str">
            <v>Comprimido</v>
          </cell>
          <cell r="G452" t="str">
            <v>250 mg + 25 mg</v>
          </cell>
          <cell r="H452" t="str">
            <v>N04BA02</v>
          </cell>
          <cell r="I452"/>
          <cell r="J452">
            <v>3.45</v>
          </cell>
          <cell r="K452"/>
        </row>
        <row r="453">
          <cell r="D453" t="str">
            <v>J-01-66</v>
          </cell>
          <cell r="E453" t="str">
            <v>Levofloxacina</v>
          </cell>
          <cell r="F453" t="str">
            <v>Comprimido</v>
          </cell>
          <cell r="G453" t="str">
            <v>500 mg</v>
          </cell>
          <cell r="H453" t="str">
            <v>J01MA12</v>
          </cell>
          <cell r="I453" t="str">
            <v>R</v>
          </cell>
          <cell r="J453">
            <v>2.82</v>
          </cell>
          <cell r="K453"/>
        </row>
        <row r="454">
          <cell r="D454" t="str">
            <v>J-01-68</v>
          </cell>
          <cell r="E454" t="str">
            <v>Levofloxacina</v>
          </cell>
          <cell r="F454" t="str">
            <v>Inyectable</v>
          </cell>
          <cell r="G454" t="str">
            <v>500 mg</v>
          </cell>
          <cell r="H454" t="str">
            <v>J01MA12</v>
          </cell>
          <cell r="I454" t="str">
            <v>R</v>
          </cell>
          <cell r="J454">
            <v>46</v>
          </cell>
          <cell r="K454" t="str">
            <v>100 ML</v>
          </cell>
        </row>
        <row r="455">
          <cell r="D455" t="str">
            <v>G-03-11</v>
          </cell>
          <cell r="E455" t="str">
            <v>Levonorgestrel</v>
          </cell>
          <cell r="F455" t="str">
            <v>Comprimido</v>
          </cell>
          <cell r="G455" t="str">
            <v>0,75 mg</v>
          </cell>
          <cell r="H455" t="str">
            <v>G03AD01</v>
          </cell>
          <cell r="I455"/>
          <cell r="J455">
            <v>13.863333333333333</v>
          </cell>
          <cell r="K455"/>
        </row>
        <row r="456">
          <cell r="D456" t="str">
            <v>G-03-19</v>
          </cell>
          <cell r="E456" t="str">
            <v>Levonorgestrel</v>
          </cell>
          <cell r="F456" t="str">
            <v>Implante subdérmico</v>
          </cell>
          <cell r="G456" t="str">
            <v xml:space="preserve">150 mg </v>
          </cell>
          <cell r="H456" t="str">
            <v>G03AC03</v>
          </cell>
          <cell r="I456"/>
          <cell r="J456">
            <v>121.41</v>
          </cell>
          <cell r="K456"/>
        </row>
        <row r="457">
          <cell r="D457" t="str">
            <v>G-03-20</v>
          </cell>
          <cell r="E457" t="str">
            <v>Levonorgestrel</v>
          </cell>
          <cell r="F457" t="str">
            <v>Comprimido</v>
          </cell>
          <cell r="G457" t="str">
            <v>1,5 mg</v>
          </cell>
          <cell r="H457" t="str">
            <v>G03AD01</v>
          </cell>
          <cell r="I457"/>
          <cell r="J457">
            <v>15.27611111111111</v>
          </cell>
          <cell r="K457"/>
        </row>
        <row r="458">
          <cell r="D458" t="str">
            <v>G-03-12</v>
          </cell>
          <cell r="E458" t="str">
            <v>Levonorgestrel + Etinilestradiol</v>
          </cell>
          <cell r="F458" t="str">
            <v>Comprimido</v>
          </cell>
          <cell r="G458" t="str">
            <v>0,150 mg + 0,03 mg</v>
          </cell>
          <cell r="H458" t="str">
            <v>G03FB09</v>
          </cell>
          <cell r="I458"/>
          <cell r="J458">
            <v>5.9829355877616743</v>
          </cell>
          <cell r="K458"/>
        </row>
        <row r="459">
          <cell r="D459" t="str">
            <v>H-03-03</v>
          </cell>
          <cell r="E459" t="str">
            <v>Levotiroxina  sòdica</v>
          </cell>
          <cell r="F459" t="str">
            <v>Comprimido</v>
          </cell>
          <cell r="G459" t="str">
            <v xml:space="preserve">0,05 mg </v>
          </cell>
          <cell r="H459" t="str">
            <v>H03AA01</v>
          </cell>
          <cell r="I459"/>
          <cell r="J459">
            <v>0.4</v>
          </cell>
          <cell r="K459" t="str">
            <v>50 MCG</v>
          </cell>
        </row>
        <row r="460">
          <cell r="D460" t="str">
            <v>H-03-01</v>
          </cell>
          <cell r="E460" t="str">
            <v>Levotiroxina sódica</v>
          </cell>
          <cell r="F460" t="str">
            <v>Comprimido ranurado</v>
          </cell>
          <cell r="G460" t="str">
            <v>0,1 mg</v>
          </cell>
          <cell r="H460" t="str">
            <v>H03AA01</v>
          </cell>
          <cell r="I460"/>
          <cell r="J460">
            <v>0.50142857142857145</v>
          </cell>
          <cell r="K460"/>
        </row>
        <row r="461">
          <cell r="D461" t="str">
            <v>D-04-01</v>
          </cell>
          <cell r="E461" t="str">
            <v>Lidocaína</v>
          </cell>
          <cell r="F461" t="str">
            <v>Gel o Jalea</v>
          </cell>
          <cell r="G461">
            <v>0.02</v>
          </cell>
          <cell r="H461" t="str">
            <v>D04AB01</v>
          </cell>
          <cell r="I461"/>
          <cell r="J461">
            <v>23.02</v>
          </cell>
          <cell r="K461"/>
        </row>
        <row r="462">
          <cell r="D462" t="str">
            <v>N-01-09</v>
          </cell>
          <cell r="E462" t="str">
            <v>Lidocaína</v>
          </cell>
          <cell r="F462" t="str">
            <v>Cartucho dental</v>
          </cell>
          <cell r="G462">
            <v>0.02</v>
          </cell>
          <cell r="H462" t="str">
            <v>N01BB52</v>
          </cell>
          <cell r="I462"/>
          <cell r="J462">
            <v>3.3</v>
          </cell>
          <cell r="K462"/>
        </row>
        <row r="463">
          <cell r="D463" t="str">
            <v>D-04-02</v>
          </cell>
          <cell r="E463" t="str">
            <v>Lidocaína clorhidrato</v>
          </cell>
          <cell r="F463" t="str">
            <v>Solución para atomización</v>
          </cell>
          <cell r="G463">
            <v>0.1</v>
          </cell>
          <cell r="H463" t="str">
            <v>D04AB01</v>
          </cell>
          <cell r="I463"/>
          <cell r="J463">
            <v>70.94</v>
          </cell>
          <cell r="K463"/>
        </row>
        <row r="464">
          <cell r="D464" t="str">
            <v>N-01-10</v>
          </cell>
          <cell r="E464" t="str">
            <v>Lidocaína clorhidrato + Epinefrina</v>
          </cell>
          <cell r="F464" t="str">
            <v>Inyectable</v>
          </cell>
          <cell r="G464" t="str">
            <v>2% 1:200.000</v>
          </cell>
          <cell r="H464" t="str">
            <v>N01BB52</v>
          </cell>
          <cell r="I464"/>
          <cell r="J464">
            <v>18.425000000000001</v>
          </cell>
          <cell r="K464"/>
        </row>
        <row r="465">
          <cell r="D465" t="str">
            <v>N-01-11</v>
          </cell>
          <cell r="E465" t="str">
            <v>Lidocaína clorhidrato + Epinefrina</v>
          </cell>
          <cell r="F465" t="str">
            <v>Cartucho dental</v>
          </cell>
          <cell r="G465" t="str">
            <v>2% 1:200.000</v>
          </cell>
          <cell r="H465" t="str">
            <v>N01BB52</v>
          </cell>
          <cell r="I465"/>
          <cell r="J465">
            <v>3.5</v>
          </cell>
          <cell r="K465"/>
        </row>
        <row r="466">
          <cell r="D466" t="str">
            <v>N-01-12</v>
          </cell>
          <cell r="E466" t="str">
            <v>Lidocaína clorhidrato sin conservante</v>
          </cell>
          <cell r="F466" t="str">
            <v>Inyectable</v>
          </cell>
          <cell r="G466">
            <v>0.02</v>
          </cell>
          <cell r="H466" t="str">
            <v>N01BB02</v>
          </cell>
          <cell r="I466"/>
          <cell r="J466">
            <v>10.67</v>
          </cell>
          <cell r="K466"/>
        </row>
        <row r="467">
          <cell r="D467" t="str">
            <v>J-01-70</v>
          </cell>
          <cell r="E467" t="str">
            <v>Linezolid</v>
          </cell>
          <cell r="F467" t="str">
            <v>Comprimido</v>
          </cell>
          <cell r="G467" t="str">
            <v>600 mg</v>
          </cell>
          <cell r="H467" t="str">
            <v>J01XX08</v>
          </cell>
          <cell r="I467" t="str">
            <v>R</v>
          </cell>
          <cell r="J467">
            <v>15.29</v>
          </cell>
          <cell r="K467"/>
        </row>
        <row r="468">
          <cell r="D468" t="str">
            <v>N-05-10</v>
          </cell>
          <cell r="E468" t="str">
            <v>Litio carbonato</v>
          </cell>
          <cell r="F468" t="str">
            <v>Comprimido</v>
          </cell>
          <cell r="G468" t="str">
            <v>300 mg</v>
          </cell>
          <cell r="H468" t="str">
            <v>N05AN01</v>
          </cell>
          <cell r="I468"/>
          <cell r="J468">
            <v>2.44</v>
          </cell>
          <cell r="K468"/>
        </row>
        <row r="469">
          <cell r="D469" t="str">
            <v>A-07-02</v>
          </cell>
          <cell r="E469" t="str">
            <v>Loperamida</v>
          </cell>
          <cell r="F469" t="str">
            <v>Cápsula o Comprimido</v>
          </cell>
          <cell r="G469" t="str">
            <v>2 mg</v>
          </cell>
          <cell r="H469" t="str">
            <v>A07DA03</v>
          </cell>
          <cell r="I469"/>
          <cell r="J469">
            <v>0.33</v>
          </cell>
          <cell r="K469"/>
        </row>
        <row r="470">
          <cell r="D470" t="str">
            <v>J-05-34</v>
          </cell>
          <cell r="E470" t="str">
            <v>Lopinavir + Ritonavir</v>
          </cell>
          <cell r="F470" t="str">
            <v xml:space="preserve">Comprimido </v>
          </cell>
          <cell r="G470" t="str">
            <v>200 mg + 50 mg</v>
          </cell>
          <cell r="H470" t="str">
            <v>J05AR10</v>
          </cell>
          <cell r="I470"/>
          <cell r="J470">
            <v>3.18</v>
          </cell>
          <cell r="K470"/>
        </row>
        <row r="471">
          <cell r="D471" t="str">
            <v>J-05-35</v>
          </cell>
          <cell r="E471" t="str">
            <v>Lopinavir + Ritonavir</v>
          </cell>
          <cell r="F471" t="str">
            <v>Solución oral</v>
          </cell>
          <cell r="G471" t="str">
            <v>80 mg + 20 mg/ml</v>
          </cell>
          <cell r="H471" t="str">
            <v>J05AR10</v>
          </cell>
          <cell r="I471"/>
          <cell r="J471">
            <v>5.22</v>
          </cell>
          <cell r="K471"/>
        </row>
        <row r="472">
          <cell r="D472" t="str">
            <v>C-09-02</v>
          </cell>
          <cell r="E472" t="str">
            <v>Losartán</v>
          </cell>
          <cell r="F472" t="str">
            <v>Comprimido</v>
          </cell>
          <cell r="G472" t="str">
            <v>50 mg</v>
          </cell>
          <cell r="H472" t="str">
            <v>C09CA01</v>
          </cell>
          <cell r="I472"/>
          <cell r="J472">
            <v>0.67</v>
          </cell>
          <cell r="K472" t="str">
            <v>50 MG</v>
          </cell>
        </row>
        <row r="473">
          <cell r="D473" t="str">
            <v>P-02-03</v>
          </cell>
          <cell r="E473" t="str">
            <v>Mebendazol</v>
          </cell>
          <cell r="F473" t="str">
            <v>Comprimido</v>
          </cell>
          <cell r="G473" t="str">
            <v>100 mg</v>
          </cell>
          <cell r="H473" t="str">
            <v>P02CA01</v>
          </cell>
          <cell r="I473"/>
          <cell r="J473">
            <v>0.34</v>
          </cell>
          <cell r="K473"/>
        </row>
        <row r="474">
          <cell r="D474" t="str">
            <v>P-02-04</v>
          </cell>
          <cell r="E474" t="str">
            <v>Mebendazol</v>
          </cell>
          <cell r="F474" t="str">
            <v>Suspensión</v>
          </cell>
          <cell r="G474" t="str">
            <v>100 mg/5 ml</v>
          </cell>
          <cell r="H474" t="str">
            <v>P02CA01</v>
          </cell>
          <cell r="I474"/>
          <cell r="J474">
            <v>5.95</v>
          </cell>
          <cell r="K474"/>
        </row>
        <row r="475">
          <cell r="D475" t="str">
            <v>P-02-05</v>
          </cell>
          <cell r="E475" t="str">
            <v>Mebendazol</v>
          </cell>
          <cell r="F475" t="str">
            <v>Comprimido</v>
          </cell>
          <cell r="G475" t="str">
            <v>500 mg</v>
          </cell>
          <cell r="H475" t="str">
            <v>P02CA01</v>
          </cell>
          <cell r="I475"/>
          <cell r="J475">
            <v>2.89</v>
          </cell>
          <cell r="K475"/>
        </row>
        <row r="476">
          <cell r="D476" t="str">
            <v>G-03-13</v>
          </cell>
          <cell r="E476" t="str">
            <v>Medroxiprogesterona acetato</v>
          </cell>
          <cell r="F476" t="str">
            <v>Inyectable</v>
          </cell>
          <cell r="G476" t="str">
            <v>150 mg/ml</v>
          </cell>
          <cell r="H476" t="str">
            <v>G03AC06</v>
          </cell>
          <cell r="I476"/>
          <cell r="J476">
            <v>11.403055555555556</v>
          </cell>
          <cell r="K476" t="str">
            <v>1 ML</v>
          </cell>
        </row>
        <row r="477">
          <cell r="D477" t="str">
            <v>G-03-14</v>
          </cell>
          <cell r="E477" t="str">
            <v>Medroxiprogesterona acetato</v>
          </cell>
          <cell r="F477" t="str">
            <v>Comprimido</v>
          </cell>
          <cell r="G477" t="str">
            <v>10 mg</v>
          </cell>
          <cell r="H477" t="str">
            <v>G03DA02</v>
          </cell>
          <cell r="I477"/>
          <cell r="J477">
            <v>2.3199999999999998</v>
          </cell>
          <cell r="K477"/>
        </row>
        <row r="478">
          <cell r="D478" t="str">
            <v>G-03-21</v>
          </cell>
          <cell r="E478" t="str">
            <v>Medroxiprogesterona acetato</v>
          </cell>
          <cell r="F478" t="str">
            <v>Inyectable</v>
          </cell>
          <cell r="G478" t="str">
            <v>104mg/0,65 ml</v>
          </cell>
          <cell r="H478" t="str">
            <v>G03AC06</v>
          </cell>
          <cell r="I478"/>
          <cell r="J478">
            <v>9.49</v>
          </cell>
          <cell r="K478"/>
        </row>
        <row r="479">
          <cell r="D479" t="str">
            <v>P-01-04</v>
          </cell>
          <cell r="E479" t="str">
            <v>Mefloquina (clorhidrato)</v>
          </cell>
          <cell r="F479" t="str">
            <v>Comprimido</v>
          </cell>
          <cell r="G479" t="str">
            <v>250 mg</v>
          </cell>
          <cell r="H479" t="str">
            <v>P01BC02</v>
          </cell>
          <cell r="I479"/>
          <cell r="J479">
            <v>5.99</v>
          </cell>
          <cell r="K479"/>
        </row>
        <row r="480">
          <cell r="D480" t="str">
            <v>P-01-05</v>
          </cell>
          <cell r="E480" t="str">
            <v>Meglumina antimoniato</v>
          </cell>
          <cell r="F480" t="str">
            <v>Inyectable</v>
          </cell>
          <cell r="G480" t="str">
            <v>1,5 g/5 ml</v>
          </cell>
          <cell r="H480" t="str">
            <v>P01CB01</v>
          </cell>
          <cell r="I480"/>
          <cell r="J480">
            <v>67.58</v>
          </cell>
          <cell r="K480"/>
        </row>
        <row r="481">
          <cell r="D481" t="str">
            <v>V-08-06</v>
          </cell>
          <cell r="E481" t="str">
            <v>Meglumina diatrizoato</v>
          </cell>
          <cell r="F481" t="str">
            <v>Inyectable</v>
          </cell>
          <cell r="G481" t="str">
            <v>70% o 76% (20 ml)</v>
          </cell>
          <cell r="H481" t="str">
            <v>V08AA01</v>
          </cell>
          <cell r="I481"/>
          <cell r="J481">
            <v>120.62</v>
          </cell>
          <cell r="K481"/>
        </row>
        <row r="482">
          <cell r="D482" t="str">
            <v>V-08-07</v>
          </cell>
          <cell r="E482" t="str">
            <v>Meglumina diatrizoato</v>
          </cell>
          <cell r="F482" t="str">
            <v>Inyectable</v>
          </cell>
          <cell r="G482" t="str">
            <v>70% o 76% (50 ml)</v>
          </cell>
          <cell r="H482" t="str">
            <v>V08AA01</v>
          </cell>
          <cell r="I482"/>
          <cell r="J482">
            <v>156.80363636363637</v>
          </cell>
          <cell r="K482"/>
        </row>
        <row r="483">
          <cell r="D483" t="str">
            <v>L-01-22</v>
          </cell>
          <cell r="E483" t="str">
            <v>Melfalán</v>
          </cell>
          <cell r="F483" t="str">
            <v>Comprimido</v>
          </cell>
          <cell r="G483" t="str">
            <v>2 mg</v>
          </cell>
          <cell r="H483" t="str">
            <v>L01AA03</v>
          </cell>
          <cell r="I483"/>
          <cell r="J483">
            <v>23</v>
          </cell>
          <cell r="K483"/>
        </row>
        <row r="484">
          <cell r="D484" t="str">
            <v>L-01-63</v>
          </cell>
          <cell r="E484" t="str">
            <v>Melfalán</v>
          </cell>
          <cell r="F484" t="str">
            <v>Inyectable</v>
          </cell>
          <cell r="G484" t="str">
            <v>50 mg</v>
          </cell>
          <cell r="H484" t="str">
            <v>L01AA03</v>
          </cell>
          <cell r="I484" t="str">
            <v>R</v>
          </cell>
          <cell r="J484" t="str">
            <v>SPR</v>
          </cell>
          <cell r="K484"/>
        </row>
        <row r="485">
          <cell r="D485" t="str">
            <v>M-01-11</v>
          </cell>
          <cell r="E485" t="str">
            <v>Meloxicam</v>
          </cell>
          <cell r="F485" t="str">
            <v>Comprimido</v>
          </cell>
          <cell r="G485" t="str">
            <v>15 mg</v>
          </cell>
          <cell r="H485" t="str">
            <v>M01AC06</v>
          </cell>
          <cell r="I485"/>
          <cell r="J485">
            <v>3.03</v>
          </cell>
          <cell r="K485"/>
        </row>
        <row r="486">
          <cell r="D486" t="str">
            <v>L-01-23</v>
          </cell>
          <cell r="E486" t="str">
            <v>Mercaptopurina</v>
          </cell>
          <cell r="F486" t="str">
            <v>Comprimido ranurado</v>
          </cell>
          <cell r="G486" t="str">
            <v>50 mg</v>
          </cell>
          <cell r="H486" t="str">
            <v>L01BB02</v>
          </cell>
          <cell r="I486"/>
          <cell r="J486">
            <v>7.7975000000000003</v>
          </cell>
          <cell r="K486"/>
        </row>
        <row r="487">
          <cell r="D487" t="str">
            <v>J-01-69</v>
          </cell>
          <cell r="E487" t="str">
            <v>Meropenem</v>
          </cell>
          <cell r="F487" t="str">
            <v>Inyectable</v>
          </cell>
          <cell r="G487" t="str">
            <v>500 mg</v>
          </cell>
          <cell r="H487" t="str">
            <v>J01DH02</v>
          </cell>
          <cell r="I487" t="str">
            <v>R</v>
          </cell>
          <cell r="J487">
            <v>106.51359788359787</v>
          </cell>
          <cell r="K487"/>
        </row>
        <row r="488">
          <cell r="D488" t="str">
            <v>A-07-07</v>
          </cell>
          <cell r="E488" t="str">
            <v>Mesalazina</v>
          </cell>
          <cell r="F488" t="str">
            <v>Comprimido</v>
          </cell>
          <cell r="G488" t="str">
            <v>500 mg</v>
          </cell>
          <cell r="H488" t="str">
            <v>A07S02</v>
          </cell>
          <cell r="I488"/>
          <cell r="J488">
            <v>8.5733333333333341</v>
          </cell>
          <cell r="K488"/>
        </row>
        <row r="489">
          <cell r="D489" t="str">
            <v>A-07-08</v>
          </cell>
          <cell r="E489" t="str">
            <v>Mesalazina</v>
          </cell>
          <cell r="F489" t="str">
            <v>Supositorio</v>
          </cell>
          <cell r="G489" t="str">
            <v>1g</v>
          </cell>
          <cell r="H489" t="str">
            <v>A07S02</v>
          </cell>
          <cell r="I489"/>
          <cell r="J489">
            <v>36.79</v>
          </cell>
          <cell r="K489"/>
        </row>
        <row r="490">
          <cell r="D490" t="str">
            <v>V-03-08</v>
          </cell>
          <cell r="E490" t="str">
            <v>Mesna (Mercapto etilsulfonato sódico)</v>
          </cell>
          <cell r="F490" t="str">
            <v>Inyectable</v>
          </cell>
          <cell r="G490" t="str">
            <v>400 mg</v>
          </cell>
          <cell r="H490" t="str">
            <v>V03AF01</v>
          </cell>
          <cell r="I490"/>
          <cell r="J490">
            <v>64.564999999999998</v>
          </cell>
          <cell r="K490"/>
        </row>
        <row r="491">
          <cell r="D491" t="str">
            <v>N-02-04</v>
          </cell>
          <cell r="E491" t="str">
            <v>Metadona</v>
          </cell>
          <cell r="F491" t="str">
            <v>Comprimido</v>
          </cell>
          <cell r="G491" t="str">
            <v>5 mg</v>
          </cell>
          <cell r="H491" t="str">
            <v>N02AC**</v>
          </cell>
          <cell r="I491"/>
          <cell r="J491">
            <v>4.25</v>
          </cell>
          <cell r="K491"/>
        </row>
        <row r="492">
          <cell r="D492" t="str">
            <v>N-02-05</v>
          </cell>
          <cell r="E492" t="str">
            <v>Metamizol (Dipirona)</v>
          </cell>
          <cell r="F492" t="str">
            <v>Inyectable</v>
          </cell>
          <cell r="G492" t="str">
            <v>1 g</v>
          </cell>
          <cell r="H492" t="str">
            <v>N02BB02</v>
          </cell>
          <cell r="I492"/>
          <cell r="J492">
            <v>1.82</v>
          </cell>
          <cell r="K492"/>
        </row>
        <row r="493">
          <cell r="D493" t="str">
            <v>A-10-04</v>
          </cell>
          <cell r="E493" t="str">
            <v>Metformina</v>
          </cell>
          <cell r="F493" t="str">
            <v>Comprimido</v>
          </cell>
          <cell r="G493" t="str">
            <v>850 mg</v>
          </cell>
          <cell r="H493" t="str">
            <v>A10BA02</v>
          </cell>
          <cell r="I493"/>
          <cell r="J493">
            <v>1.28</v>
          </cell>
          <cell r="K493"/>
        </row>
        <row r="494">
          <cell r="D494" t="str">
            <v>A-10-07</v>
          </cell>
          <cell r="E494" t="str">
            <v>Metformina</v>
          </cell>
          <cell r="F494" t="str">
            <v>Comprimido</v>
          </cell>
          <cell r="G494" t="str">
            <v>500 mg</v>
          </cell>
          <cell r="H494" t="str">
            <v>A10BA02</v>
          </cell>
          <cell r="I494"/>
          <cell r="J494">
            <v>0.67999999999999994</v>
          </cell>
          <cell r="K494"/>
        </row>
        <row r="495">
          <cell r="D495" t="str">
            <v>C-02-04</v>
          </cell>
          <cell r="E495" t="str">
            <v>Metildopa (Alfametildopa)</v>
          </cell>
          <cell r="F495" t="str">
            <v>Comprimido</v>
          </cell>
          <cell r="G495" t="str">
            <v>500 mg</v>
          </cell>
          <cell r="H495" t="str">
            <v>C02AB02</v>
          </cell>
          <cell r="I495"/>
          <cell r="J495">
            <v>1.9145151515151513</v>
          </cell>
          <cell r="K495"/>
        </row>
        <row r="496">
          <cell r="D496" t="str">
            <v>N-06-06</v>
          </cell>
          <cell r="E496" t="str">
            <v>Metilfenidato</v>
          </cell>
          <cell r="F496" t="str">
            <v>Comprimido</v>
          </cell>
          <cell r="G496" t="str">
            <v>10 mg</v>
          </cell>
          <cell r="H496" t="str">
            <v>N06BA04</v>
          </cell>
          <cell r="I496"/>
          <cell r="J496">
            <v>16.448571428571427</v>
          </cell>
          <cell r="K496"/>
        </row>
        <row r="497">
          <cell r="D497" t="str">
            <v>H-02-07</v>
          </cell>
          <cell r="E497" t="str">
            <v>Metilprednisolona succinato sódico</v>
          </cell>
          <cell r="F497" t="str">
            <v>Inyectable</v>
          </cell>
          <cell r="G497" t="str">
            <v>500 mg</v>
          </cell>
          <cell r="H497" t="str">
            <v>H02AB04</v>
          </cell>
          <cell r="I497"/>
          <cell r="J497">
            <v>113.5</v>
          </cell>
          <cell r="K497"/>
        </row>
        <row r="498">
          <cell r="D498" t="str">
            <v>A-03-07</v>
          </cell>
          <cell r="E498" t="str">
            <v>Metoclopramida</v>
          </cell>
          <cell r="F498" t="str">
            <v>Comprimido</v>
          </cell>
          <cell r="G498" t="str">
            <v>10 mg</v>
          </cell>
          <cell r="H498" t="str">
            <v>A03FA01</v>
          </cell>
          <cell r="I498"/>
          <cell r="J498">
            <v>0.38</v>
          </cell>
          <cell r="K498"/>
        </row>
        <row r="499">
          <cell r="D499" t="str">
            <v>A-03-08</v>
          </cell>
          <cell r="E499" t="str">
            <v>Metoclopramida</v>
          </cell>
          <cell r="F499" t="str">
            <v>Inyectable</v>
          </cell>
          <cell r="G499" t="str">
            <v>10mg / 2ml</v>
          </cell>
          <cell r="H499" t="str">
            <v>A03FA01</v>
          </cell>
          <cell r="I499"/>
          <cell r="J499">
            <v>2.62</v>
          </cell>
          <cell r="K499" t="str">
            <v>2 ML</v>
          </cell>
        </row>
        <row r="500">
          <cell r="D500" t="str">
            <v>A-03-09</v>
          </cell>
          <cell r="E500" t="str">
            <v>Metoclopramida</v>
          </cell>
          <cell r="F500" t="str">
            <v>Solución oral gotas</v>
          </cell>
          <cell r="G500" t="str">
            <v>0,35% o 0,5%</v>
          </cell>
          <cell r="H500" t="str">
            <v>A03FA01</v>
          </cell>
          <cell r="I500"/>
          <cell r="J500">
            <v>13.28</v>
          </cell>
          <cell r="K500"/>
        </row>
        <row r="501">
          <cell r="D501" t="str">
            <v>L-01-24</v>
          </cell>
          <cell r="E501" t="str">
            <v>Metotrexato</v>
          </cell>
          <cell r="F501" t="str">
            <v>Inyectable</v>
          </cell>
          <cell r="G501" t="str">
            <v>50 mg</v>
          </cell>
          <cell r="H501" t="str">
            <v>L01BA01</v>
          </cell>
          <cell r="I501"/>
          <cell r="J501">
            <v>61.199166666666663</v>
          </cell>
          <cell r="K501"/>
        </row>
        <row r="502">
          <cell r="D502" t="str">
            <v>L-01-25</v>
          </cell>
          <cell r="E502" t="str">
            <v>Metotrexato</v>
          </cell>
          <cell r="F502" t="str">
            <v>Inyectable</v>
          </cell>
          <cell r="G502" t="str">
            <v>500 mg</v>
          </cell>
          <cell r="H502" t="str">
            <v>L01BA01</v>
          </cell>
          <cell r="I502"/>
          <cell r="J502">
            <v>132.72083333333336</v>
          </cell>
          <cell r="K502"/>
        </row>
        <row r="503">
          <cell r="D503" t="str">
            <v>L-01-26</v>
          </cell>
          <cell r="E503" t="str">
            <v>Metotrexato</v>
          </cell>
          <cell r="F503" t="str">
            <v>Comprimido</v>
          </cell>
          <cell r="G503" t="str">
            <v>2,5 mg</v>
          </cell>
          <cell r="H503" t="str">
            <v>L01BA01</v>
          </cell>
          <cell r="I503"/>
          <cell r="J503">
            <v>3.52</v>
          </cell>
          <cell r="K503"/>
        </row>
        <row r="504">
          <cell r="D504" t="str">
            <v>G-01-04</v>
          </cell>
          <cell r="E504" t="str">
            <v>Metronidazol</v>
          </cell>
          <cell r="F504" t="str">
            <v>Óvulo</v>
          </cell>
          <cell r="G504" t="str">
            <v>500 mg</v>
          </cell>
          <cell r="H504" t="str">
            <v>G01AF01</v>
          </cell>
          <cell r="I504"/>
          <cell r="J504">
            <v>1.83</v>
          </cell>
          <cell r="K504"/>
        </row>
        <row r="505">
          <cell r="D505" t="str">
            <v>P-01-06</v>
          </cell>
          <cell r="E505" t="str">
            <v>Metronidazol</v>
          </cell>
          <cell r="F505" t="str">
            <v>Suspensión</v>
          </cell>
          <cell r="G505" t="str">
            <v>250 mg/5 ml</v>
          </cell>
          <cell r="H505" t="str">
            <v>P01AB01</v>
          </cell>
          <cell r="I505"/>
          <cell r="J505">
            <v>14</v>
          </cell>
          <cell r="K505" t="str">
            <v>100 ML</v>
          </cell>
        </row>
        <row r="506">
          <cell r="D506" t="str">
            <v>P-01-07</v>
          </cell>
          <cell r="E506" t="str">
            <v>Metronidazol</v>
          </cell>
          <cell r="F506" t="str">
            <v>Inyectable</v>
          </cell>
          <cell r="G506" t="str">
            <v>500 mg</v>
          </cell>
          <cell r="H506" t="str">
            <v>P01AB01</v>
          </cell>
          <cell r="I506"/>
          <cell r="J506">
            <v>12.68</v>
          </cell>
          <cell r="K506"/>
        </row>
        <row r="507">
          <cell r="D507" t="str">
            <v>P-01-08</v>
          </cell>
          <cell r="E507" t="str">
            <v>Metronidazol</v>
          </cell>
          <cell r="F507" t="str">
            <v>Suspensión</v>
          </cell>
          <cell r="G507" t="str">
            <v>125 mg/5 ml</v>
          </cell>
          <cell r="H507" t="str">
            <v>P01AB01</v>
          </cell>
          <cell r="I507"/>
          <cell r="J507">
            <v>14.2</v>
          </cell>
          <cell r="K507"/>
        </row>
        <row r="508">
          <cell r="D508" t="str">
            <v>P-01-09</v>
          </cell>
          <cell r="E508" t="str">
            <v>Metronidazol</v>
          </cell>
          <cell r="F508" t="str">
            <v>Comprimido</v>
          </cell>
          <cell r="G508" t="str">
            <v>500 mg</v>
          </cell>
          <cell r="H508" t="str">
            <v>P01AB01</v>
          </cell>
          <cell r="I508"/>
          <cell r="J508">
            <v>0.57999999999999996</v>
          </cell>
          <cell r="K508"/>
        </row>
        <row r="509">
          <cell r="D509" t="str">
            <v>L-04-07</v>
          </cell>
          <cell r="E509" t="str">
            <v>Micofenolato de mofetilo</v>
          </cell>
          <cell r="F509" t="str">
            <v>Comprimido</v>
          </cell>
          <cell r="G509" t="str">
            <v>500 mg</v>
          </cell>
          <cell r="H509" t="str">
            <v>L04AA06</v>
          </cell>
          <cell r="I509" t="str">
            <v>R</v>
          </cell>
          <cell r="J509">
            <v>5.468295454545455</v>
          </cell>
          <cell r="K509"/>
        </row>
        <row r="510">
          <cell r="D510" t="str">
            <v>B-03-05</v>
          </cell>
          <cell r="E510" t="str">
            <v>Micronutrientes (Vit. C + Vit A + Fe + Zn + Ac. Fólico) (Chispitas nutricionales)</v>
          </cell>
          <cell r="F510" t="str">
            <v>Polvo</v>
          </cell>
          <cell r="G510" t="str">
            <v>Según concentración estándar</v>
          </cell>
          <cell r="H510" t="str">
            <v>B03AE10</v>
          </cell>
          <cell r="I510"/>
          <cell r="J510">
            <v>0.41</v>
          </cell>
          <cell r="K510"/>
        </row>
        <row r="511">
          <cell r="D511" t="str">
            <v>N-05-11</v>
          </cell>
          <cell r="E511" t="str">
            <v>Midazolam</v>
          </cell>
          <cell r="F511" t="str">
            <v>Inyectable</v>
          </cell>
          <cell r="G511" t="str">
            <v>15 mg/3 ml</v>
          </cell>
          <cell r="H511" t="str">
            <v>N05CD08</v>
          </cell>
          <cell r="I511"/>
          <cell r="J511">
            <v>20.5</v>
          </cell>
          <cell r="K511"/>
        </row>
        <row r="512">
          <cell r="D512" t="str">
            <v>G-02-10</v>
          </cell>
          <cell r="E512" t="str">
            <v>Mifepristona</v>
          </cell>
          <cell r="F512" t="str">
            <v>Comprimido</v>
          </cell>
          <cell r="G512" t="str">
            <v>200 mg</v>
          </cell>
          <cell r="H512" t="str">
            <v>G03XB01</v>
          </cell>
          <cell r="I512"/>
          <cell r="J512">
            <v>122.5</v>
          </cell>
          <cell r="K512"/>
        </row>
        <row r="513">
          <cell r="D513" t="str">
            <v>C-01-16</v>
          </cell>
          <cell r="E513" t="str">
            <v>Milrinona</v>
          </cell>
          <cell r="F513" t="str">
            <v>Inyectable</v>
          </cell>
          <cell r="G513" t="str">
            <v>1 mg/ml</v>
          </cell>
          <cell r="H513" t="str">
            <v>C01CE02</v>
          </cell>
          <cell r="I513" t="str">
            <v>R</v>
          </cell>
          <cell r="J513">
            <v>200</v>
          </cell>
          <cell r="K513" t="str">
            <v>12 ML</v>
          </cell>
        </row>
        <row r="514">
          <cell r="D514" t="str">
            <v>J-01-73</v>
          </cell>
          <cell r="E514" t="str">
            <v xml:space="preserve">Minociclina </v>
          </cell>
          <cell r="F514" t="str">
            <v>Comprimido</v>
          </cell>
          <cell r="G514" t="str">
            <v>100 mg</v>
          </cell>
          <cell r="H514" t="str">
            <v>J01AA08</v>
          </cell>
          <cell r="I514" t="str">
            <v>R</v>
          </cell>
          <cell r="J514">
            <v>6.88</v>
          </cell>
          <cell r="K514"/>
        </row>
        <row r="515">
          <cell r="D515" t="str">
            <v>A-02-06</v>
          </cell>
          <cell r="E515" t="str">
            <v>Misoprostol</v>
          </cell>
          <cell r="F515" t="str">
            <v>Comprimido</v>
          </cell>
          <cell r="G515" t="str">
            <v>200 mcg</v>
          </cell>
          <cell r="H515" t="str">
            <v>A02BB01</v>
          </cell>
          <cell r="I515" t="str">
            <v>R</v>
          </cell>
          <cell r="J515">
            <v>7.5441666666666674</v>
          </cell>
          <cell r="K515"/>
        </row>
        <row r="516">
          <cell r="D516" t="str">
            <v>G-02-08</v>
          </cell>
          <cell r="E516" t="str">
            <v>Misoprostol</v>
          </cell>
          <cell r="F516" t="str">
            <v>Comprimido vaginal</v>
          </cell>
          <cell r="G516" t="str">
            <v>25 mcg</v>
          </cell>
          <cell r="H516" t="str">
            <v>G02AD06</v>
          </cell>
          <cell r="I516" t="str">
            <v>R</v>
          </cell>
          <cell r="J516">
            <v>5.9</v>
          </cell>
          <cell r="K516"/>
        </row>
        <row r="517">
          <cell r="D517" t="str">
            <v>L-01-27</v>
          </cell>
          <cell r="E517" t="str">
            <v>Mitomicina</v>
          </cell>
          <cell r="F517" t="str">
            <v>Inyectable</v>
          </cell>
          <cell r="G517" t="str">
            <v>20 mg</v>
          </cell>
          <cell r="H517" t="str">
            <v>L01DC03</v>
          </cell>
          <cell r="I517"/>
          <cell r="J517">
            <v>325.75</v>
          </cell>
          <cell r="K517"/>
        </row>
        <row r="518">
          <cell r="D518" t="str">
            <v>M-03-02</v>
          </cell>
          <cell r="E518" t="str">
            <v>Mivacuronio</v>
          </cell>
          <cell r="F518" t="str">
            <v>Inyectable</v>
          </cell>
          <cell r="G518" t="str">
            <v>2 mg/ml</v>
          </cell>
          <cell r="H518" t="str">
            <v>M03AC10</v>
          </cell>
          <cell r="I518"/>
          <cell r="J518">
            <v>118.83</v>
          </cell>
          <cell r="K518"/>
        </row>
        <row r="519">
          <cell r="D519" t="str">
            <v>R-03-13</v>
          </cell>
          <cell r="E519" t="str">
            <v>Montelukast</v>
          </cell>
          <cell r="F519" t="str">
            <v>Comprimido o Cápsula</v>
          </cell>
          <cell r="G519" t="str">
            <v>10 mg</v>
          </cell>
          <cell r="H519" t="str">
            <v>R03DC03</v>
          </cell>
          <cell r="I519"/>
          <cell r="J519">
            <v>5.84</v>
          </cell>
          <cell r="K519"/>
        </row>
        <row r="520">
          <cell r="D520" t="str">
            <v>R-03-14</v>
          </cell>
          <cell r="E520" t="str">
            <v>Montelukast</v>
          </cell>
          <cell r="F520" t="str">
            <v>Comprimido</v>
          </cell>
          <cell r="G520" t="str">
            <v>5 mg</v>
          </cell>
          <cell r="H520" t="str">
            <v>R03DC03</v>
          </cell>
          <cell r="I520"/>
          <cell r="J520">
            <v>4.7</v>
          </cell>
          <cell r="K520"/>
        </row>
        <row r="521">
          <cell r="D521" t="str">
            <v>N-02-06</v>
          </cell>
          <cell r="E521" t="str">
            <v>Morfina</v>
          </cell>
          <cell r="F521" t="str">
            <v>Cápsula o Comprimido</v>
          </cell>
          <cell r="G521" t="str">
            <v>10 mg</v>
          </cell>
          <cell r="H521" t="str">
            <v>N02AA01</v>
          </cell>
          <cell r="I521"/>
          <cell r="J521">
            <v>2</v>
          </cell>
          <cell r="K521"/>
        </row>
        <row r="522">
          <cell r="D522" t="str">
            <v>N-02-07</v>
          </cell>
          <cell r="E522" t="str">
            <v>Morfina (con y sin conservante)</v>
          </cell>
          <cell r="F522" t="str">
            <v>Inyectable</v>
          </cell>
          <cell r="G522" t="str">
            <v>10 mg/ml</v>
          </cell>
          <cell r="H522" t="str">
            <v>N02AA01</v>
          </cell>
          <cell r="I522"/>
          <cell r="J522">
            <v>15</v>
          </cell>
          <cell r="K522" t="str">
            <v>1 ML</v>
          </cell>
        </row>
        <row r="523">
          <cell r="D523" t="str">
            <v>J-01-72</v>
          </cell>
          <cell r="E523" t="str">
            <v>Moxifloxacina</v>
          </cell>
          <cell r="F523" t="str">
            <v>Comprimido</v>
          </cell>
          <cell r="G523" t="str">
            <v>400 mg</v>
          </cell>
          <cell r="H523" t="str">
            <v>J01MA14</v>
          </cell>
          <cell r="I523" t="str">
            <v>R</v>
          </cell>
          <cell r="J523">
            <v>3.45</v>
          </cell>
          <cell r="K523"/>
        </row>
        <row r="524">
          <cell r="D524" t="str">
            <v>A-11-09</v>
          </cell>
          <cell r="E524" t="str">
            <v>Multivitaminas</v>
          </cell>
          <cell r="F524" t="str">
            <v>Comprimido</v>
          </cell>
          <cell r="G524" t="str">
            <v>Según concentración estándar</v>
          </cell>
          <cell r="H524" t="str">
            <v>A11AA03</v>
          </cell>
          <cell r="I524"/>
          <cell r="J524">
            <v>0.45</v>
          </cell>
          <cell r="K524"/>
        </row>
        <row r="525">
          <cell r="D525" t="str">
            <v>A-11-10</v>
          </cell>
          <cell r="E525" t="str">
            <v>Multivitaminas</v>
          </cell>
          <cell r="F525" t="str">
            <v>Jarabe</v>
          </cell>
          <cell r="G525" t="str">
            <v>Según concentración estándar</v>
          </cell>
          <cell r="H525" t="str">
            <v>A11AA03</v>
          </cell>
          <cell r="I525"/>
          <cell r="J525">
            <v>16.5575625</v>
          </cell>
          <cell r="K525" t="str">
            <v>100 ML</v>
          </cell>
        </row>
        <row r="526">
          <cell r="D526" t="str">
            <v>A-11-20</v>
          </cell>
          <cell r="E526" t="str">
            <v>Multivitaminas</v>
          </cell>
          <cell r="F526" t="str">
            <v>Polvo liofilizado</v>
          </cell>
          <cell r="G526" t="str">
            <v>Según disponibilidad</v>
          </cell>
          <cell r="H526" t="str">
            <v>A11AA03</v>
          </cell>
          <cell r="I526"/>
          <cell r="J526">
            <v>50</v>
          </cell>
          <cell r="K526"/>
        </row>
        <row r="527">
          <cell r="D527" t="str">
            <v>S-01-19</v>
          </cell>
          <cell r="E527" t="str">
            <v>Nafazolina clorhidrato</v>
          </cell>
          <cell r="F527" t="str">
            <v>Solución oftálmica</v>
          </cell>
          <cell r="G527" t="str">
            <v>0,1%</v>
          </cell>
          <cell r="H527" t="str">
            <v>S01GA01</v>
          </cell>
          <cell r="I527"/>
          <cell r="J527">
            <v>19.7</v>
          </cell>
          <cell r="K527" t="str">
            <v>15 ML</v>
          </cell>
        </row>
        <row r="528">
          <cell r="D528" t="str">
            <v>V-03-09</v>
          </cell>
          <cell r="E528" t="str">
            <v>Naloxona</v>
          </cell>
          <cell r="F528" t="str">
            <v>Inyectable</v>
          </cell>
          <cell r="G528" t="str">
            <v>0,4 mg/ml</v>
          </cell>
          <cell r="H528" t="str">
            <v>V03AB15</v>
          </cell>
          <cell r="I528"/>
          <cell r="J528">
            <v>63</v>
          </cell>
          <cell r="K528"/>
        </row>
        <row r="529">
          <cell r="D529" t="str">
            <v>N-02-16</v>
          </cell>
          <cell r="E529" t="str">
            <v>Naratriptan</v>
          </cell>
          <cell r="F529" t="str">
            <v>Comprimido</v>
          </cell>
          <cell r="G529" t="str">
            <v>2,5 mg</v>
          </cell>
          <cell r="H529" t="str">
            <v>N02CC02</v>
          </cell>
          <cell r="I529"/>
          <cell r="J529">
            <v>12.5</v>
          </cell>
          <cell r="K529"/>
        </row>
        <row r="530">
          <cell r="D530" t="str">
            <v>N-07-05</v>
          </cell>
          <cell r="E530" t="str">
            <v>Neostigmina</v>
          </cell>
          <cell r="F530" t="str">
            <v>Inyectable</v>
          </cell>
          <cell r="G530" t="str">
            <v>0,5 mg/ml</v>
          </cell>
          <cell r="H530" t="str">
            <v>N07AA01</v>
          </cell>
          <cell r="I530"/>
          <cell r="J530">
            <v>6</v>
          </cell>
          <cell r="K530"/>
        </row>
        <row r="531">
          <cell r="D531" t="str">
            <v>J-05-20</v>
          </cell>
          <cell r="E531" t="str">
            <v>Nevirapina</v>
          </cell>
          <cell r="F531" t="str">
            <v>Comprimido</v>
          </cell>
          <cell r="G531" t="str">
            <v>200 mg</v>
          </cell>
          <cell r="H531" t="str">
            <v>J05AG01</v>
          </cell>
          <cell r="I531"/>
          <cell r="J531">
            <v>0.45</v>
          </cell>
          <cell r="K531"/>
        </row>
        <row r="532">
          <cell r="D532" t="str">
            <v>J-05-21</v>
          </cell>
          <cell r="E532" t="str">
            <v>Nevirapina</v>
          </cell>
          <cell r="F532" t="str">
            <v>Suspensión</v>
          </cell>
          <cell r="G532" t="str">
            <v>10 mg/ml</v>
          </cell>
          <cell r="H532" t="str">
            <v>J05AG01</v>
          </cell>
          <cell r="I532"/>
          <cell r="J532">
            <v>20.75</v>
          </cell>
          <cell r="K532"/>
        </row>
        <row r="533">
          <cell r="D533" t="str">
            <v>P-02-06</v>
          </cell>
          <cell r="E533" t="str">
            <v>Niclosamida</v>
          </cell>
          <cell r="F533" t="str">
            <v>Comprimido</v>
          </cell>
          <cell r="G533" t="str">
            <v>500 mg</v>
          </cell>
          <cell r="H533" t="str">
            <v>P02DA01</v>
          </cell>
          <cell r="I533"/>
          <cell r="J533">
            <v>7.58</v>
          </cell>
          <cell r="K533"/>
        </row>
        <row r="534">
          <cell r="D534" t="str">
            <v>C-08-08</v>
          </cell>
          <cell r="E534" t="str">
            <v>Nifedipino</v>
          </cell>
          <cell r="F534" t="str">
            <v>Comprimido o Cápsula</v>
          </cell>
          <cell r="G534" t="str">
            <v>10 mg</v>
          </cell>
          <cell r="H534" t="str">
            <v>C08CA05</v>
          </cell>
          <cell r="I534"/>
          <cell r="J534">
            <v>0.51229090909090902</v>
          </cell>
          <cell r="K534"/>
        </row>
        <row r="535">
          <cell r="D535" t="str">
            <v>P-01-10</v>
          </cell>
          <cell r="E535" t="str">
            <v>Nifurtimox</v>
          </cell>
          <cell r="F535" t="str">
            <v>Comprimido</v>
          </cell>
          <cell r="G535" t="str">
            <v>120 mg</v>
          </cell>
          <cell r="H535" t="str">
            <v>P01CC01</v>
          </cell>
          <cell r="I535"/>
          <cell r="J535">
            <v>17.05</v>
          </cell>
          <cell r="K535"/>
        </row>
        <row r="536">
          <cell r="D536" t="str">
            <v>P-01-29</v>
          </cell>
          <cell r="E536" t="str">
            <v>Nifurtimox</v>
          </cell>
          <cell r="F536" t="str">
            <v>Comprimido</v>
          </cell>
          <cell r="G536" t="str">
            <v>30 mg</v>
          </cell>
          <cell r="H536" t="str">
            <v>P01CC01</v>
          </cell>
          <cell r="I536"/>
          <cell r="J536">
            <v>0.6</v>
          </cell>
          <cell r="K536"/>
        </row>
        <row r="537">
          <cell r="D537" t="str">
            <v>P-01-30</v>
          </cell>
          <cell r="E537" t="str">
            <v>Nifurtimox</v>
          </cell>
          <cell r="F537" t="str">
            <v>Comprimido</v>
          </cell>
          <cell r="G537" t="str">
            <v>250 mg</v>
          </cell>
          <cell r="H537" t="str">
            <v>P01CC01</v>
          </cell>
          <cell r="I537"/>
          <cell r="J537">
            <v>2.02</v>
          </cell>
          <cell r="K537"/>
        </row>
        <row r="538">
          <cell r="D538" t="str">
            <v>C-08-02</v>
          </cell>
          <cell r="E538" t="str">
            <v>Nimodipina</v>
          </cell>
          <cell r="F538" t="str">
            <v>Comprimido</v>
          </cell>
          <cell r="G538" t="str">
            <v>30 mg</v>
          </cell>
          <cell r="H538" t="str">
            <v>C08CA06</v>
          </cell>
          <cell r="I538"/>
          <cell r="J538">
            <v>0.93</v>
          </cell>
          <cell r="K538"/>
        </row>
        <row r="539">
          <cell r="D539" t="str">
            <v>C-08-03</v>
          </cell>
          <cell r="E539" t="str">
            <v>Nimodipina</v>
          </cell>
          <cell r="F539" t="str">
            <v>Inyectable</v>
          </cell>
          <cell r="G539" t="str">
            <v>0,2 mg/ml</v>
          </cell>
          <cell r="H539" t="str">
            <v>C08CA06</v>
          </cell>
          <cell r="I539"/>
          <cell r="J539">
            <v>172.53444999999999</v>
          </cell>
          <cell r="K539" t="str">
            <v>50 ML</v>
          </cell>
        </row>
        <row r="540">
          <cell r="D540" t="str">
            <v>L-01-54</v>
          </cell>
          <cell r="E540" t="str">
            <v>Nimotuzumab</v>
          </cell>
          <cell r="F540" t="str">
            <v>Inyectable</v>
          </cell>
          <cell r="G540" t="str">
            <v>50 mg</v>
          </cell>
          <cell r="H540" t="str">
            <v>L01XC99</v>
          </cell>
          <cell r="I540" t="str">
            <v>R</v>
          </cell>
          <cell r="J540">
            <v>68.97</v>
          </cell>
          <cell r="K540"/>
        </row>
        <row r="541">
          <cell r="D541" t="str">
            <v>A-07-03</v>
          </cell>
          <cell r="E541" t="str">
            <v>Nistatina</v>
          </cell>
          <cell r="F541" t="str">
            <v>Comprimido</v>
          </cell>
          <cell r="G541" t="str">
            <v>500.000 UI</v>
          </cell>
          <cell r="H541" t="str">
            <v>A07AA02</v>
          </cell>
          <cell r="I541"/>
          <cell r="J541">
            <v>0.61</v>
          </cell>
          <cell r="K541"/>
        </row>
        <row r="542">
          <cell r="D542" t="str">
            <v>A-07-04</v>
          </cell>
          <cell r="E542" t="str">
            <v>Nistatina</v>
          </cell>
          <cell r="F542" t="str">
            <v>Suspensión</v>
          </cell>
          <cell r="G542" t="str">
            <v>500.000 UI/5 ml</v>
          </cell>
          <cell r="H542" t="str">
            <v>A07AA02</v>
          </cell>
          <cell r="I542"/>
          <cell r="J542">
            <v>19</v>
          </cell>
          <cell r="K542"/>
        </row>
        <row r="543">
          <cell r="D543" t="str">
            <v>D-01-04</v>
          </cell>
          <cell r="E543" t="str">
            <v>Nistatina</v>
          </cell>
          <cell r="F543" t="str">
            <v>Crema o Pomada</v>
          </cell>
          <cell r="G543" t="str">
            <v>100.000 UI/g</v>
          </cell>
          <cell r="H543" t="str">
            <v>D01AA01</v>
          </cell>
          <cell r="I543"/>
          <cell r="J543">
            <v>10.766059523809524</v>
          </cell>
          <cell r="K543" t="str">
            <v>10 G</v>
          </cell>
        </row>
        <row r="544">
          <cell r="D544" t="str">
            <v>G-01-05</v>
          </cell>
          <cell r="E544" t="str">
            <v>Nistatina</v>
          </cell>
          <cell r="F544" t="str">
            <v>Óvulo</v>
          </cell>
          <cell r="G544" t="str">
            <v>100.000 UI</v>
          </cell>
          <cell r="H544" t="str">
            <v>G01AA01</v>
          </cell>
          <cell r="I544"/>
          <cell r="J544">
            <v>1.145</v>
          </cell>
          <cell r="K544"/>
        </row>
        <row r="545">
          <cell r="D545" t="str">
            <v>P-01-11</v>
          </cell>
          <cell r="E545" t="str">
            <v>Nitazoxanida</v>
          </cell>
          <cell r="F545" t="str">
            <v>Comprimido</v>
          </cell>
          <cell r="G545" t="str">
            <v>500 mg</v>
          </cell>
          <cell r="H545" t="str">
            <v>P01AX11</v>
          </cell>
          <cell r="I545"/>
          <cell r="J545">
            <v>6.1</v>
          </cell>
          <cell r="K545"/>
        </row>
        <row r="546">
          <cell r="D546" t="str">
            <v>P-01-26</v>
          </cell>
          <cell r="E546" t="str">
            <v>Nitazoxanida</v>
          </cell>
          <cell r="F546" t="str">
            <v>Jarabe</v>
          </cell>
          <cell r="G546" t="str">
            <v>100 mg / 5 ml</v>
          </cell>
          <cell r="H546" t="str">
            <v>P01AX11</v>
          </cell>
          <cell r="I546"/>
          <cell r="J546">
            <v>15</v>
          </cell>
          <cell r="K546"/>
        </row>
        <row r="547">
          <cell r="D547" t="str">
            <v>D-08-09</v>
          </cell>
          <cell r="E547" t="str">
            <v>Nitrofural (Nitrofurazona)</v>
          </cell>
          <cell r="F547" t="str">
            <v>Crema o Pomada</v>
          </cell>
          <cell r="G547" t="str">
            <v>0,2% (450 g)</v>
          </cell>
          <cell r="H547" t="str">
            <v>D08AF01</v>
          </cell>
          <cell r="I547"/>
          <cell r="J547">
            <v>107.5</v>
          </cell>
          <cell r="K547"/>
        </row>
        <row r="548">
          <cell r="D548" t="str">
            <v>J-01-51</v>
          </cell>
          <cell r="E548" t="str">
            <v>Nitrofurantoína</v>
          </cell>
          <cell r="F548" t="str">
            <v>Comprimido</v>
          </cell>
          <cell r="G548" t="str">
            <v>100 mg</v>
          </cell>
          <cell r="H548" t="str">
            <v>J01XE01</v>
          </cell>
          <cell r="I548"/>
          <cell r="J548">
            <v>1.5004529914529918</v>
          </cell>
          <cell r="K548"/>
        </row>
        <row r="549">
          <cell r="D549" t="str">
            <v>J-01-52</v>
          </cell>
          <cell r="E549" t="str">
            <v>Nitrofurantoína</v>
          </cell>
          <cell r="F549" t="str">
            <v>Suspensión</v>
          </cell>
          <cell r="G549" t="str">
            <v>25 mg/5 ml</v>
          </cell>
          <cell r="H549" t="str">
            <v>J01XE01</v>
          </cell>
          <cell r="I549"/>
          <cell r="J549">
            <v>14.7</v>
          </cell>
          <cell r="K549"/>
        </row>
        <row r="550">
          <cell r="D550" t="str">
            <v>C-01-12</v>
          </cell>
          <cell r="E550" t="str">
            <v>Nitroglicerina (Trinitrato de glicerol)</v>
          </cell>
          <cell r="F550" t="str">
            <v>Inyectable</v>
          </cell>
          <cell r="G550" t="str">
            <v>5 mg/ml</v>
          </cell>
          <cell r="H550" t="str">
            <v>C01DA02</v>
          </cell>
          <cell r="I550"/>
          <cell r="J550">
            <v>61.72</v>
          </cell>
          <cell r="K550" t="str">
            <v>10 ML</v>
          </cell>
        </row>
        <row r="551">
          <cell r="D551" t="str">
            <v>C-02-05</v>
          </cell>
          <cell r="E551" t="str">
            <v>Nitroprusiato de sodio</v>
          </cell>
          <cell r="F551" t="str">
            <v>Inyectable</v>
          </cell>
          <cell r="G551" t="str">
            <v>25 mg/ml</v>
          </cell>
          <cell r="H551" t="str">
            <v>C02DD01</v>
          </cell>
          <cell r="I551"/>
          <cell r="J551">
            <v>200</v>
          </cell>
          <cell r="K551" t="str">
            <v>2 ML</v>
          </cell>
        </row>
        <row r="552">
          <cell r="D552" t="str">
            <v>C-01-15</v>
          </cell>
          <cell r="E552" t="str">
            <v xml:space="preserve">Noradrenalina </v>
          </cell>
          <cell r="F552" t="str">
            <v>Inyectable</v>
          </cell>
          <cell r="G552" t="str">
            <v>1 mg/ml</v>
          </cell>
          <cell r="H552" t="str">
            <v>C01CA03</v>
          </cell>
          <cell r="I552"/>
          <cell r="J552">
            <v>28.796666666666667</v>
          </cell>
          <cell r="K552"/>
        </row>
        <row r="553">
          <cell r="D553" t="str">
            <v>G-03-15</v>
          </cell>
          <cell r="E553" t="str">
            <v>Noretisterona</v>
          </cell>
          <cell r="F553" t="str">
            <v>Comprimido</v>
          </cell>
          <cell r="G553" t="str">
            <v>5 mg</v>
          </cell>
          <cell r="H553" t="str">
            <v>G03DC02</v>
          </cell>
          <cell r="I553"/>
          <cell r="J553">
            <v>1.06</v>
          </cell>
          <cell r="K553"/>
        </row>
        <row r="554">
          <cell r="D554" t="str">
            <v>G-03-16</v>
          </cell>
          <cell r="E554" t="str">
            <v>Norgestrel + Etinilestradiol</v>
          </cell>
          <cell r="F554" t="str">
            <v>Comprimido</v>
          </cell>
          <cell r="G554" t="str">
            <v>0,3 mg + 0,03 mg ó 0,5 mg + 0,05 mg</v>
          </cell>
          <cell r="H554" t="str">
            <v>G03FB01</v>
          </cell>
          <cell r="I554"/>
          <cell r="J554">
            <v>6.32</v>
          </cell>
          <cell r="K554"/>
        </row>
        <row r="555">
          <cell r="D555" t="str">
            <v>J-01-53</v>
          </cell>
          <cell r="E555" t="str">
            <v>Ofloxacina</v>
          </cell>
          <cell r="F555" t="str">
            <v>Comprimido</v>
          </cell>
          <cell r="G555" t="str">
            <v>400 mg</v>
          </cell>
          <cell r="H555" t="str">
            <v>J01MA01</v>
          </cell>
          <cell r="I555" t="str">
            <v>R</v>
          </cell>
          <cell r="J555">
            <v>0.82</v>
          </cell>
          <cell r="K555"/>
        </row>
        <row r="556">
          <cell r="D556" t="str">
            <v>J-01-59</v>
          </cell>
          <cell r="E556" t="str">
            <v>Ofloxacina</v>
          </cell>
          <cell r="F556" t="str">
            <v>Comprimido</v>
          </cell>
          <cell r="G556" t="str">
            <v>200 mg</v>
          </cell>
          <cell r="H556" t="str">
            <v>J01MA01</v>
          </cell>
          <cell r="I556" t="str">
            <v>R</v>
          </cell>
          <cell r="J556">
            <v>0.71</v>
          </cell>
          <cell r="K556"/>
        </row>
        <row r="557">
          <cell r="D557" t="str">
            <v>B-05-11</v>
          </cell>
          <cell r="E557" t="str">
            <v>Oligoelementos para nutricion parenteral</v>
          </cell>
          <cell r="F557" t="str">
            <v>Solución parenteral de gran volúmen</v>
          </cell>
          <cell r="G557" t="str">
            <v>Según disponibilidad</v>
          </cell>
          <cell r="H557" t="str">
            <v>B05BA10</v>
          </cell>
          <cell r="I557"/>
          <cell r="J557">
            <v>45.83</v>
          </cell>
          <cell r="K557"/>
        </row>
        <row r="558">
          <cell r="D558" t="str">
            <v>A-02-02</v>
          </cell>
          <cell r="E558" t="str">
            <v>Omeprazol</v>
          </cell>
          <cell r="F558" t="str">
            <v>Cápsula</v>
          </cell>
          <cell r="G558" t="str">
            <v>20 mg</v>
          </cell>
          <cell r="H558" t="str">
            <v>A02BC01</v>
          </cell>
          <cell r="I558"/>
          <cell r="J558">
            <v>0.56999999999999995</v>
          </cell>
          <cell r="K558"/>
        </row>
        <row r="559">
          <cell r="D559" t="str">
            <v>A-02-05</v>
          </cell>
          <cell r="E559" t="str">
            <v>Omeprazol</v>
          </cell>
          <cell r="F559" t="str">
            <v>Inyectable</v>
          </cell>
          <cell r="G559" t="str">
            <v>40 mg/ml</v>
          </cell>
          <cell r="H559" t="str">
            <v>A02BC01</v>
          </cell>
          <cell r="I559"/>
          <cell r="J559">
            <v>14.006008852258852</v>
          </cell>
          <cell r="K559" t="str">
            <v>10 ML</v>
          </cell>
        </row>
        <row r="560">
          <cell r="D560" t="str">
            <v>A-04-01</v>
          </cell>
          <cell r="E560" t="str">
            <v>Ondansetrón</v>
          </cell>
          <cell r="F560" t="str">
            <v>Inyectable</v>
          </cell>
          <cell r="G560" t="str">
            <v>8 mg</v>
          </cell>
          <cell r="H560" t="str">
            <v>A04AA01</v>
          </cell>
          <cell r="I560"/>
          <cell r="J560">
            <v>15.609059829059831</v>
          </cell>
          <cell r="K560"/>
        </row>
        <row r="561">
          <cell r="D561" t="str">
            <v>A-04-02</v>
          </cell>
          <cell r="E561" t="str">
            <v>Ondansetrón</v>
          </cell>
          <cell r="F561" t="str">
            <v>Comprimido</v>
          </cell>
          <cell r="G561" t="str">
            <v>8 mg</v>
          </cell>
          <cell r="H561" t="str">
            <v>A04AA01</v>
          </cell>
          <cell r="I561"/>
          <cell r="J561">
            <v>9.7399999999999984</v>
          </cell>
          <cell r="K561"/>
        </row>
        <row r="562">
          <cell r="D562" t="str">
            <v>J-05-36</v>
          </cell>
          <cell r="E562" t="str">
            <v>Oseltamivir</v>
          </cell>
          <cell r="F562" t="str">
            <v>Cápsula</v>
          </cell>
          <cell r="G562" t="str">
            <v>75 mg</v>
          </cell>
          <cell r="H562" t="str">
            <v>J05AH02</v>
          </cell>
          <cell r="I562" t="str">
            <v>R</v>
          </cell>
          <cell r="J562">
            <v>23.75</v>
          </cell>
          <cell r="K562"/>
        </row>
        <row r="563">
          <cell r="D563" t="str">
            <v>J-05-47</v>
          </cell>
          <cell r="E563" t="str">
            <v>Oseltamivir</v>
          </cell>
          <cell r="F563" t="str">
            <v>Suspensión</v>
          </cell>
          <cell r="G563" t="str">
            <v>30 mg/5 ml</v>
          </cell>
          <cell r="H563" t="str">
            <v>J05AH02</v>
          </cell>
          <cell r="I563" t="str">
            <v>R</v>
          </cell>
          <cell r="J563" t="str">
            <v>208.00</v>
          </cell>
          <cell r="K563"/>
        </row>
        <row r="564">
          <cell r="D564" t="str">
            <v>J-05-48</v>
          </cell>
          <cell r="E564" t="str">
            <v>Oseltamivir</v>
          </cell>
          <cell r="F564" t="str">
            <v>Suspensión</v>
          </cell>
          <cell r="G564" t="str">
            <v>12 mg/ml</v>
          </cell>
          <cell r="H564" t="str">
            <v>J05AH02</v>
          </cell>
          <cell r="I564" t="str">
            <v>R</v>
          </cell>
          <cell r="J564">
            <v>13.53</v>
          </cell>
          <cell r="K564"/>
        </row>
        <row r="565">
          <cell r="D565" t="str">
            <v>L-01-34</v>
          </cell>
          <cell r="E565" t="str">
            <v>Oxaliplatino</v>
          </cell>
          <cell r="F565" t="str">
            <v>Inyectable</v>
          </cell>
          <cell r="G565" t="str">
            <v>50 mg</v>
          </cell>
          <cell r="H565" t="str">
            <v>L01XA03</v>
          </cell>
          <cell r="I565"/>
          <cell r="J565">
            <v>211.69499999999999</v>
          </cell>
          <cell r="K565"/>
        </row>
        <row r="566">
          <cell r="D566" t="str">
            <v>L-01-35</v>
          </cell>
          <cell r="E566" t="str">
            <v>Oxaliplatino</v>
          </cell>
          <cell r="F566" t="str">
            <v>Inyectable</v>
          </cell>
          <cell r="G566" t="str">
            <v>100 mg</v>
          </cell>
          <cell r="H566" t="str">
            <v>L01XA03</v>
          </cell>
          <cell r="I566"/>
          <cell r="J566">
            <v>301.71750000000003</v>
          </cell>
          <cell r="K566"/>
        </row>
        <row r="567">
          <cell r="D567" t="str">
            <v>D-02-02</v>
          </cell>
          <cell r="E567" t="str">
            <v>Oxido de Zinc con o sin aceite</v>
          </cell>
          <cell r="F567" t="str">
            <v>Pasta o Pomada</v>
          </cell>
          <cell r="G567" t="str">
            <v>Según disponibilidad</v>
          </cell>
          <cell r="H567" t="str">
            <v>D02AB**</v>
          </cell>
          <cell r="I567"/>
          <cell r="J567">
            <v>16.25</v>
          </cell>
          <cell r="K567" t="str">
            <v>30 G</v>
          </cell>
        </row>
        <row r="568">
          <cell r="D568" t="str">
            <v>V-03-10</v>
          </cell>
          <cell r="E568" t="str">
            <v>Oxígeno</v>
          </cell>
          <cell r="F568" t="str">
            <v>Gas</v>
          </cell>
          <cell r="G568" t="str">
            <v>93% - 99%</v>
          </cell>
          <cell r="H568" t="str">
            <v>V03AN01</v>
          </cell>
          <cell r="I568"/>
          <cell r="J568">
            <v>18</v>
          </cell>
          <cell r="K568" t="str">
            <v>m3</v>
          </cell>
        </row>
        <row r="569">
          <cell r="D569" t="str">
            <v>G-02-09</v>
          </cell>
          <cell r="E569" t="str">
            <v xml:space="preserve">Oxitocina </v>
          </cell>
          <cell r="F569" t="str">
            <v>Inyectable</v>
          </cell>
          <cell r="G569" t="str">
            <v>5 UI/ml o 10 UI/ml</v>
          </cell>
          <cell r="H569" t="str">
            <v>G02AX**</v>
          </cell>
          <cell r="I569"/>
          <cell r="J569">
            <v>2.67</v>
          </cell>
          <cell r="K569" t="str">
            <v>10 UI/ML</v>
          </cell>
        </row>
        <row r="570">
          <cell r="D570" t="str">
            <v>L-01-28</v>
          </cell>
          <cell r="E570" t="str">
            <v>Paclitaxel</v>
          </cell>
          <cell r="F570" t="str">
            <v>Inyectable</v>
          </cell>
          <cell r="G570" t="str">
            <v>30 mg/5 ml</v>
          </cell>
          <cell r="H570" t="str">
            <v>L01CD01</v>
          </cell>
          <cell r="I570"/>
          <cell r="J570">
            <v>155.095</v>
          </cell>
          <cell r="K570"/>
        </row>
        <row r="571">
          <cell r="D571" t="str">
            <v>L-01-60</v>
          </cell>
          <cell r="E571" t="str">
            <v xml:space="preserve">Paclitaxel </v>
          </cell>
          <cell r="F571" t="str">
            <v>Inyectable</v>
          </cell>
          <cell r="G571" t="str">
            <v xml:space="preserve">300 mg/50 ml
</v>
          </cell>
          <cell r="H571" t="str">
            <v>L01CD01</v>
          </cell>
          <cell r="I571" t="str">
            <v>R</v>
          </cell>
          <cell r="J571">
            <v>621</v>
          </cell>
          <cell r="K571"/>
        </row>
        <row r="572">
          <cell r="D572" t="str">
            <v>N-02-08</v>
          </cell>
          <cell r="E572" t="str">
            <v>Paracetamol (Acetaminofeno)</v>
          </cell>
          <cell r="F572" t="str">
            <v>Comprimido</v>
          </cell>
          <cell r="G572" t="str">
            <v>500 mg</v>
          </cell>
          <cell r="H572" t="str">
            <v>N02BE01</v>
          </cell>
          <cell r="I572"/>
          <cell r="J572">
            <v>0.21</v>
          </cell>
          <cell r="K572"/>
        </row>
        <row r="573">
          <cell r="D573" t="str">
            <v>N-02-09</v>
          </cell>
          <cell r="E573" t="str">
            <v>Paracetamol (Acetaminofeno)</v>
          </cell>
          <cell r="F573" t="str">
            <v>Jarabe</v>
          </cell>
          <cell r="G573" t="str">
            <v>120 mg/5 ml o 125 mg/5 ml</v>
          </cell>
          <cell r="H573" t="str">
            <v>N02BE01</v>
          </cell>
          <cell r="I573"/>
          <cell r="J573">
            <v>7.85</v>
          </cell>
          <cell r="K573"/>
        </row>
        <row r="574">
          <cell r="D574" t="str">
            <v>N-02-10</v>
          </cell>
          <cell r="E574" t="str">
            <v>Paracetamol (Acetaminofeno)</v>
          </cell>
          <cell r="F574" t="str">
            <v>Gotas</v>
          </cell>
          <cell r="G574" t="str">
            <v>100 mg/ml</v>
          </cell>
          <cell r="H574" t="str">
            <v>N02BE01</v>
          </cell>
          <cell r="I574"/>
          <cell r="J574">
            <v>5.73</v>
          </cell>
          <cell r="K574" t="str">
            <v>15 ML</v>
          </cell>
        </row>
        <row r="575">
          <cell r="D575" t="str">
            <v>N-02-11</v>
          </cell>
          <cell r="E575" t="str">
            <v>Paracetamol (Acetaminofeno)</v>
          </cell>
          <cell r="F575" t="str">
            <v>Supositorio</v>
          </cell>
          <cell r="G575" t="str">
            <v>100 mg</v>
          </cell>
          <cell r="H575" t="str">
            <v>N02BE01</v>
          </cell>
          <cell r="I575"/>
          <cell r="J575">
            <v>1.76</v>
          </cell>
          <cell r="K575"/>
        </row>
        <row r="576">
          <cell r="D576" t="str">
            <v>N-02-12</v>
          </cell>
          <cell r="E576" t="str">
            <v>Paracetamol (Acetaminofeno)</v>
          </cell>
          <cell r="F576" t="str">
            <v>Comprimido</v>
          </cell>
          <cell r="G576" t="str">
            <v>100 mg</v>
          </cell>
          <cell r="H576" t="str">
            <v>N02BE01</v>
          </cell>
          <cell r="I576"/>
          <cell r="J576">
            <v>0.14706896551724138</v>
          </cell>
          <cell r="K576"/>
        </row>
        <row r="577">
          <cell r="D577" t="str">
            <v>N-02-18</v>
          </cell>
          <cell r="E577" t="str">
            <v>Paracetamol (Acetaminofeno)</v>
          </cell>
          <cell r="F577" t="str">
            <v>Inyectable</v>
          </cell>
          <cell r="G577" t="str">
            <v>1 gr</v>
          </cell>
          <cell r="H577" t="str">
            <v>N02BE01</v>
          </cell>
          <cell r="I577"/>
          <cell r="J577">
            <v>58</v>
          </cell>
          <cell r="K577" t="str">
            <v>1000MG/100ML</v>
          </cell>
        </row>
        <row r="578">
          <cell r="D578" t="str">
            <v>L-01-57</v>
          </cell>
          <cell r="E578" t="str">
            <v>Pazopanib</v>
          </cell>
          <cell r="F578" t="str">
            <v>Comprimido</v>
          </cell>
          <cell r="G578" t="str">
            <v>200 mg</v>
          </cell>
          <cell r="H578" t="str">
            <v>L01XE11</v>
          </cell>
          <cell r="I578" t="str">
            <v>R</v>
          </cell>
          <cell r="J578">
            <v>278.83</v>
          </cell>
          <cell r="K578"/>
        </row>
        <row r="579">
          <cell r="D579" t="str">
            <v>L-01-61</v>
          </cell>
          <cell r="E579" t="str">
            <v>Pegaspargasa</v>
          </cell>
          <cell r="F579" t="str">
            <v>Plegable Frasco Vial</v>
          </cell>
          <cell r="G579" t="str">
            <v xml:space="preserve">750 mg/ml </v>
          </cell>
          <cell r="H579" t="str">
            <v>L01XX24</v>
          </cell>
          <cell r="I579" t="str">
            <v>R</v>
          </cell>
          <cell r="J579">
            <v>7350</v>
          </cell>
          <cell r="K579"/>
        </row>
        <row r="580">
          <cell r="D580" t="str">
            <v>M-01-08</v>
          </cell>
          <cell r="E580" t="str">
            <v>Penicilamina</v>
          </cell>
          <cell r="F580" t="str">
            <v>Comprimido</v>
          </cell>
          <cell r="G580" t="str">
            <v>250 mg</v>
          </cell>
          <cell r="H580" t="str">
            <v>M01CC01</v>
          </cell>
          <cell r="I580"/>
          <cell r="J580">
            <v>13.04</v>
          </cell>
          <cell r="K580"/>
        </row>
        <row r="581">
          <cell r="D581" t="str">
            <v>P-01-12</v>
          </cell>
          <cell r="E581" t="str">
            <v>Pentamidina</v>
          </cell>
          <cell r="F581" t="str">
            <v>Inyectable</v>
          </cell>
          <cell r="G581" t="str">
            <v>200 mg</v>
          </cell>
          <cell r="H581" t="str">
            <v>P01CX01</v>
          </cell>
          <cell r="I581"/>
          <cell r="J581">
            <v>503.59</v>
          </cell>
          <cell r="K581"/>
        </row>
        <row r="582">
          <cell r="D582" t="str">
            <v>P-01-13</v>
          </cell>
          <cell r="E582" t="str">
            <v>Pentamidina</v>
          </cell>
          <cell r="F582" t="str">
            <v>Inyectable</v>
          </cell>
          <cell r="G582" t="str">
            <v>300 mg</v>
          </cell>
          <cell r="H582" t="str">
            <v>P01CX01</v>
          </cell>
          <cell r="I582"/>
          <cell r="J582">
            <v>816.69</v>
          </cell>
          <cell r="K582"/>
        </row>
        <row r="583">
          <cell r="D583" t="str">
            <v>V-03-11</v>
          </cell>
          <cell r="E583" t="str">
            <v>Permanganato de potasio</v>
          </cell>
          <cell r="F583" t="str">
            <v>Solución acuosa</v>
          </cell>
          <cell r="G583" t="str">
            <v>1:10.000</v>
          </cell>
          <cell r="H583" t="str">
            <v>V03AB18</v>
          </cell>
          <cell r="I583"/>
          <cell r="J583">
            <v>6.01</v>
          </cell>
          <cell r="K583"/>
        </row>
        <row r="584">
          <cell r="D584" t="str">
            <v>P-03-02</v>
          </cell>
          <cell r="E584" t="str">
            <v>Permetrina</v>
          </cell>
          <cell r="F584" t="str">
            <v>Loción</v>
          </cell>
          <cell r="G584">
            <v>0.01</v>
          </cell>
          <cell r="H584" t="str">
            <v>P03AC04</v>
          </cell>
          <cell r="I584"/>
          <cell r="J584">
            <v>28.43</v>
          </cell>
          <cell r="K584"/>
        </row>
        <row r="585">
          <cell r="D585" t="str">
            <v>P-03-03</v>
          </cell>
          <cell r="E585" t="str">
            <v>Permetrina</v>
          </cell>
          <cell r="F585" t="str">
            <v>Crema o Pomada</v>
          </cell>
          <cell r="G585">
            <v>0.05</v>
          </cell>
          <cell r="H585" t="str">
            <v>P03AC04</v>
          </cell>
          <cell r="I585"/>
          <cell r="J585">
            <v>61.23</v>
          </cell>
          <cell r="K585"/>
        </row>
        <row r="586">
          <cell r="D586" t="str">
            <v>D-10-02</v>
          </cell>
          <cell r="E586" t="str">
            <v>Peróxido de Benzoílo</v>
          </cell>
          <cell r="F586" t="str">
            <v>Loción</v>
          </cell>
          <cell r="G586">
            <v>0.05</v>
          </cell>
          <cell r="H586" t="str">
            <v>D10AE01</v>
          </cell>
          <cell r="I586"/>
          <cell r="J586">
            <v>85.11</v>
          </cell>
          <cell r="K586"/>
        </row>
        <row r="587">
          <cell r="D587" t="str">
            <v>D-10-03</v>
          </cell>
          <cell r="E587" t="str">
            <v>Peróxido de Benzoílo</v>
          </cell>
          <cell r="F587" t="str">
            <v>Crema, Pomada o Gel</v>
          </cell>
          <cell r="G587">
            <v>0.05</v>
          </cell>
          <cell r="H587" t="str">
            <v>D10AE01</v>
          </cell>
          <cell r="I587"/>
          <cell r="J587">
            <v>64.8</v>
          </cell>
          <cell r="K587" t="str">
            <v>90 G</v>
          </cell>
        </row>
        <row r="588">
          <cell r="D588" t="str">
            <v>D-08-10</v>
          </cell>
          <cell r="E588" t="str">
            <v>Peróxido de hidrógeno (Agua oxigenada)</v>
          </cell>
          <cell r="F588" t="str">
            <v>Solución</v>
          </cell>
          <cell r="G588" t="str">
            <v>2% o 3%</v>
          </cell>
          <cell r="H588" t="str">
            <v>D08AX01</v>
          </cell>
          <cell r="I588"/>
          <cell r="J588">
            <v>13.28</v>
          </cell>
          <cell r="K588" t="str">
            <v>1 L</v>
          </cell>
        </row>
        <row r="589">
          <cell r="D589" t="str">
            <v>L-01-58</v>
          </cell>
          <cell r="E589" t="str">
            <v>Pertuzumab</v>
          </cell>
          <cell r="F589" t="str">
            <v>Inyectable</v>
          </cell>
          <cell r="G589" t="str">
            <v>420 mg/14 ml</v>
          </cell>
          <cell r="H589" t="str">
            <v>L01XC13</v>
          </cell>
          <cell r="I589" t="str">
            <v>R</v>
          </cell>
          <cell r="J589">
            <v>18792</v>
          </cell>
          <cell r="K589"/>
        </row>
        <row r="590">
          <cell r="D590" t="str">
            <v>N-02-13</v>
          </cell>
          <cell r="E590" t="str">
            <v>Petidina (Meperidina)</v>
          </cell>
          <cell r="F590" t="str">
            <v>Inyectable</v>
          </cell>
          <cell r="G590" t="str">
            <v>100 mg</v>
          </cell>
          <cell r="H590" t="str">
            <v>N02AB02</v>
          </cell>
          <cell r="I590"/>
          <cell r="J590">
            <v>50.31</v>
          </cell>
          <cell r="K590" t="str">
            <v>2 ML</v>
          </cell>
        </row>
        <row r="591">
          <cell r="D591" t="str">
            <v>J-01-75</v>
          </cell>
          <cell r="E591" t="str">
            <v>Piperacilina + Tazobactam</v>
          </cell>
          <cell r="F591" t="str">
            <v xml:space="preserve">Inyectable </v>
          </cell>
          <cell r="G591" t="str">
            <v>4 g/500 mg</v>
          </cell>
          <cell r="H591" t="str">
            <v>J01CR05</v>
          </cell>
          <cell r="I591" t="str">
            <v>R</v>
          </cell>
          <cell r="J591">
            <v>108</v>
          </cell>
          <cell r="K591"/>
        </row>
        <row r="592">
          <cell r="D592" t="str">
            <v>P-02-07</v>
          </cell>
          <cell r="E592" t="str">
            <v>Pirantel pamoato</v>
          </cell>
          <cell r="F592" t="str">
            <v>Comprimido</v>
          </cell>
          <cell r="G592" t="str">
            <v>250 mg</v>
          </cell>
          <cell r="H592" t="str">
            <v>P02CC01</v>
          </cell>
          <cell r="I592"/>
          <cell r="J592">
            <v>2.16</v>
          </cell>
          <cell r="K592"/>
        </row>
        <row r="593">
          <cell r="D593" t="str">
            <v>P-02-08</v>
          </cell>
          <cell r="E593" t="str">
            <v>Pirantel pamoato</v>
          </cell>
          <cell r="F593" t="str">
            <v>Suspensión</v>
          </cell>
          <cell r="G593" t="str">
            <v>250 mg/5 ml</v>
          </cell>
          <cell r="H593" t="str">
            <v>P02CC01</v>
          </cell>
          <cell r="I593"/>
          <cell r="J593">
            <v>15.09</v>
          </cell>
          <cell r="K593" t="str">
            <v>15 ML</v>
          </cell>
        </row>
        <row r="594">
          <cell r="D594" t="str">
            <v>J-04-08</v>
          </cell>
          <cell r="E594" t="str">
            <v>Pirazinamida</v>
          </cell>
          <cell r="F594" t="str">
            <v>Comprimido</v>
          </cell>
          <cell r="G594" t="str">
            <v>500 mg</v>
          </cell>
          <cell r="H594" t="str">
            <v>J04AK01</v>
          </cell>
          <cell r="I594" t="str">
            <v>R</v>
          </cell>
          <cell r="J594">
            <v>0.292381</v>
          </cell>
          <cell r="K594"/>
        </row>
        <row r="595">
          <cell r="D595" t="str">
            <v>N-07-06</v>
          </cell>
          <cell r="E595" t="str">
            <v>Piridostigmina</v>
          </cell>
          <cell r="F595" t="str">
            <v>Comprimido</v>
          </cell>
          <cell r="G595" t="str">
            <v>60 mg</v>
          </cell>
          <cell r="H595" t="str">
            <v>N07AA02</v>
          </cell>
          <cell r="I595"/>
          <cell r="J595">
            <v>2.54</v>
          </cell>
          <cell r="K595"/>
        </row>
        <row r="596">
          <cell r="D596" t="str">
            <v>A-11-11</v>
          </cell>
          <cell r="E596" t="str">
            <v>Piridoxina clorhidrato (Vitamina B6)</v>
          </cell>
          <cell r="F596" t="str">
            <v>Comprimido</v>
          </cell>
          <cell r="G596" t="str">
            <v>300 mg</v>
          </cell>
          <cell r="H596" t="str">
            <v>A11HA02</v>
          </cell>
          <cell r="I596"/>
          <cell r="J596">
            <v>2.2999999999999998</v>
          </cell>
          <cell r="K596"/>
        </row>
        <row r="597">
          <cell r="D597" t="str">
            <v>A-11-12</v>
          </cell>
          <cell r="E597" t="str">
            <v>Piridoxina clorhidrato (Vitamina B6)</v>
          </cell>
          <cell r="F597" t="str">
            <v>Inyectable</v>
          </cell>
          <cell r="G597" t="str">
            <v>300 mg</v>
          </cell>
          <cell r="H597" t="str">
            <v>A11HA02</v>
          </cell>
          <cell r="I597"/>
          <cell r="J597">
            <v>5.0999999999999996</v>
          </cell>
          <cell r="K597"/>
        </row>
        <row r="598">
          <cell r="D598" t="str">
            <v>P-01-14</v>
          </cell>
          <cell r="E598" t="str">
            <v>Pirimetamina</v>
          </cell>
          <cell r="F598" t="str">
            <v>Comprimido</v>
          </cell>
          <cell r="G598" t="str">
            <v>25 mg</v>
          </cell>
          <cell r="H598" t="str">
            <v>P01BD01</v>
          </cell>
          <cell r="I598"/>
          <cell r="J598">
            <v>0.21</v>
          </cell>
          <cell r="K598"/>
        </row>
        <row r="599">
          <cell r="D599" t="str">
            <v>V-03-12</v>
          </cell>
          <cell r="E599" t="str">
            <v>Pralidoxima</v>
          </cell>
          <cell r="F599" t="str">
            <v>Inyectable</v>
          </cell>
          <cell r="G599" t="str">
            <v>1 g</v>
          </cell>
          <cell r="H599" t="str">
            <v>V03AB04</v>
          </cell>
          <cell r="I599"/>
          <cell r="J599">
            <v>2378.02</v>
          </cell>
          <cell r="K599"/>
        </row>
        <row r="600">
          <cell r="D600" t="str">
            <v>P-02-09</v>
          </cell>
          <cell r="E600" t="str">
            <v>Prazicuantel</v>
          </cell>
          <cell r="F600" t="str">
            <v>Comprimido</v>
          </cell>
          <cell r="G600" t="str">
            <v>600 mg</v>
          </cell>
          <cell r="H600" t="str">
            <v>P02BA01</v>
          </cell>
          <cell r="I600"/>
          <cell r="J600">
            <v>3.6</v>
          </cell>
          <cell r="K600"/>
        </row>
        <row r="601">
          <cell r="D601" t="str">
            <v>H-02-08</v>
          </cell>
          <cell r="E601" t="str">
            <v>Prednisona</v>
          </cell>
          <cell r="F601" t="str">
            <v>Comprimido</v>
          </cell>
          <cell r="G601" t="str">
            <v>5 mg</v>
          </cell>
          <cell r="H601" t="str">
            <v>H02AB07</v>
          </cell>
          <cell r="I601"/>
          <cell r="J601">
            <v>0.34</v>
          </cell>
          <cell r="K601"/>
        </row>
        <row r="602">
          <cell r="D602" t="str">
            <v>H-02-09</v>
          </cell>
          <cell r="E602" t="str">
            <v>Prednisona</v>
          </cell>
          <cell r="F602" t="str">
            <v>Comprimido ranurado</v>
          </cell>
          <cell r="G602" t="str">
            <v>20 mg</v>
          </cell>
          <cell r="H602" t="str">
            <v>H02AB07</v>
          </cell>
          <cell r="I602"/>
          <cell r="J602">
            <v>0.92</v>
          </cell>
          <cell r="K602"/>
        </row>
        <row r="603">
          <cell r="D603" t="str">
            <v>H-02-10</v>
          </cell>
          <cell r="E603" t="str">
            <v>Prednisona</v>
          </cell>
          <cell r="F603" t="str">
            <v>Suspensión</v>
          </cell>
          <cell r="G603" t="str">
            <v>1 mg/ml</v>
          </cell>
          <cell r="H603" t="str">
            <v>H02AB07</v>
          </cell>
          <cell r="I603"/>
          <cell r="J603">
            <v>53.71</v>
          </cell>
          <cell r="K603" t="str">
            <v>100 ML</v>
          </cell>
        </row>
        <row r="604">
          <cell r="D604" t="str">
            <v>N-03-19</v>
          </cell>
          <cell r="E604" t="str">
            <v>Pregabalina</v>
          </cell>
          <cell r="F604" t="str">
            <v>Comprimido o Cápsula</v>
          </cell>
          <cell r="G604" t="str">
            <v>50 mg</v>
          </cell>
          <cell r="H604" t="str">
            <v>N03AX16</v>
          </cell>
          <cell r="I604" t="str">
            <v>R</v>
          </cell>
          <cell r="J604">
            <v>6.54</v>
          </cell>
          <cell r="K604"/>
        </row>
        <row r="605">
          <cell r="D605" t="str">
            <v>N-03-20</v>
          </cell>
          <cell r="E605" t="str">
            <v>Pregabalina</v>
          </cell>
          <cell r="F605" t="str">
            <v>Comprimido o Cápsula</v>
          </cell>
          <cell r="G605" t="str">
            <v>75 mg</v>
          </cell>
          <cell r="H605" t="str">
            <v>N03AX16</v>
          </cell>
          <cell r="I605" t="str">
            <v>R</v>
          </cell>
          <cell r="J605">
            <v>6.68</v>
          </cell>
          <cell r="K605"/>
        </row>
        <row r="606">
          <cell r="D606" t="str">
            <v>N-03-21</v>
          </cell>
          <cell r="E606" t="str">
            <v>Pregabalina</v>
          </cell>
          <cell r="F606" t="str">
            <v>Comprimido o Cápsula</v>
          </cell>
          <cell r="G606" t="str">
            <v>150 mg</v>
          </cell>
          <cell r="H606" t="str">
            <v>N03AX16</v>
          </cell>
          <cell r="I606" t="str">
            <v>R</v>
          </cell>
          <cell r="J606">
            <v>14.08</v>
          </cell>
          <cell r="K606"/>
        </row>
        <row r="607">
          <cell r="D607" t="str">
            <v>P-01-15</v>
          </cell>
          <cell r="E607" t="str">
            <v>Primaquina (base)</v>
          </cell>
          <cell r="F607" t="str">
            <v>Comprimido</v>
          </cell>
          <cell r="G607" t="str">
            <v>15 mg</v>
          </cell>
          <cell r="H607" t="str">
            <v>P01BA03</v>
          </cell>
          <cell r="I607"/>
          <cell r="J607">
            <v>0.16402600000000001</v>
          </cell>
          <cell r="K607"/>
        </row>
        <row r="608">
          <cell r="D608" t="str">
            <v>P-01-16</v>
          </cell>
          <cell r="E608" t="str">
            <v>Primaquina (base)</v>
          </cell>
          <cell r="F608" t="str">
            <v>Suspensión</v>
          </cell>
          <cell r="G608" t="str">
            <v>15 mg/5 ml</v>
          </cell>
          <cell r="H608" t="str">
            <v>P01BA03</v>
          </cell>
          <cell r="I608"/>
          <cell r="J608">
            <v>31.59</v>
          </cell>
          <cell r="K608"/>
        </row>
        <row r="609">
          <cell r="D609" t="str">
            <v>P-01-20</v>
          </cell>
          <cell r="E609" t="str">
            <v>Primaquina (base)</v>
          </cell>
          <cell r="F609" t="str">
            <v>Comprimido</v>
          </cell>
          <cell r="G609" t="str">
            <v>5 mg</v>
          </cell>
          <cell r="H609" t="str">
            <v>P01BA03</v>
          </cell>
          <cell r="I609"/>
          <cell r="J609">
            <v>0.12</v>
          </cell>
          <cell r="K609"/>
        </row>
        <row r="610">
          <cell r="D610" t="str">
            <v>G-03-22</v>
          </cell>
          <cell r="E610" t="str">
            <v xml:space="preserve">Progesterona </v>
          </cell>
          <cell r="F610" t="str">
            <v>Cápsula</v>
          </cell>
          <cell r="G610" t="str">
            <v>200 mg</v>
          </cell>
          <cell r="H610" t="str">
            <v>G03DA04</v>
          </cell>
          <cell r="I610"/>
          <cell r="J610">
            <v>6.75</v>
          </cell>
          <cell r="K610"/>
        </row>
        <row r="611">
          <cell r="D611" t="str">
            <v>H-03-02</v>
          </cell>
          <cell r="E611" t="str">
            <v>Propiltiouracilo</v>
          </cell>
          <cell r="F611" t="str">
            <v>Comprimido</v>
          </cell>
          <cell r="G611" t="str">
            <v>50 mg</v>
          </cell>
          <cell r="H611" t="str">
            <v>H03BA02</v>
          </cell>
          <cell r="I611"/>
          <cell r="J611">
            <v>1.2250000000000001</v>
          </cell>
          <cell r="K611"/>
        </row>
        <row r="612">
          <cell r="D612" t="str">
            <v>A-03-10</v>
          </cell>
          <cell r="E612" t="str">
            <v>Propinoxato</v>
          </cell>
          <cell r="F612" t="str">
            <v>Comprimido</v>
          </cell>
          <cell r="G612" t="str">
            <v>10 mg</v>
          </cell>
          <cell r="H612" t="str">
            <v>A03AC**</v>
          </cell>
          <cell r="I612"/>
          <cell r="J612">
            <v>1.9</v>
          </cell>
          <cell r="K612"/>
        </row>
        <row r="613">
          <cell r="D613" t="str">
            <v>A-03-11</v>
          </cell>
          <cell r="E613" t="str">
            <v>Propinoxato</v>
          </cell>
          <cell r="F613" t="str">
            <v>Inyectable</v>
          </cell>
          <cell r="G613" t="str">
            <v>5 mg/ml</v>
          </cell>
          <cell r="H613" t="str">
            <v>A03AC**</v>
          </cell>
          <cell r="I613"/>
          <cell r="J613">
            <v>8.59</v>
          </cell>
          <cell r="K613" t="str">
            <v>2 ML</v>
          </cell>
        </row>
        <row r="614">
          <cell r="D614" t="str">
            <v>N-01-13</v>
          </cell>
          <cell r="E614" t="str">
            <v>Propofol</v>
          </cell>
          <cell r="F614" t="str">
            <v>Inyectable</v>
          </cell>
          <cell r="G614" t="str">
            <v>10 mg/ml</v>
          </cell>
          <cell r="H614" t="str">
            <v>N01AX10</v>
          </cell>
          <cell r="I614"/>
          <cell r="J614">
            <v>41.008095238095244</v>
          </cell>
          <cell r="K614" t="str">
            <v>20 ML</v>
          </cell>
        </row>
        <row r="615">
          <cell r="D615" t="str">
            <v>C-07-02</v>
          </cell>
          <cell r="E615" t="str">
            <v>Propranolol</v>
          </cell>
          <cell r="F615" t="str">
            <v>Comprimido</v>
          </cell>
          <cell r="G615" t="str">
            <v>40 mg</v>
          </cell>
          <cell r="H615" t="str">
            <v>C07AA05</v>
          </cell>
          <cell r="I615"/>
          <cell r="J615">
            <v>0.33250000000000002</v>
          </cell>
          <cell r="K615"/>
        </row>
        <row r="616">
          <cell r="D616" t="str">
            <v>C-07-03</v>
          </cell>
          <cell r="E616" t="str">
            <v>Propranolol</v>
          </cell>
          <cell r="F616" t="str">
            <v>Inyectable</v>
          </cell>
          <cell r="G616" t="str">
            <v>1 mg/ml</v>
          </cell>
          <cell r="H616" t="str">
            <v>C07AA05</v>
          </cell>
          <cell r="I616"/>
          <cell r="J616">
            <v>37.659999999999997</v>
          </cell>
          <cell r="K616"/>
        </row>
        <row r="617">
          <cell r="D617" t="str">
            <v>V-03-13</v>
          </cell>
          <cell r="E617" t="str">
            <v>Protamina Sulfato</v>
          </cell>
          <cell r="F617" t="str">
            <v>Inyectable</v>
          </cell>
          <cell r="G617" t="str">
            <v>10 mg/ml</v>
          </cell>
          <cell r="H617" t="str">
            <v>V03AB14</v>
          </cell>
          <cell r="I617"/>
          <cell r="J617">
            <v>135.52000000000001</v>
          </cell>
          <cell r="K617"/>
        </row>
        <row r="618">
          <cell r="D618" t="str">
            <v>V-06-01</v>
          </cell>
          <cell r="E618" t="str">
            <v>Proteinas para alimentación enteral (alimento)</v>
          </cell>
          <cell r="F618" t="str">
            <v>Polvo</v>
          </cell>
          <cell r="G618" t="str">
            <v>Según disponibilidad</v>
          </cell>
          <cell r="H618" t="str">
            <v>V06DB**</v>
          </cell>
          <cell r="I618"/>
          <cell r="J618">
            <v>85.357916666666668</v>
          </cell>
          <cell r="K618"/>
        </row>
        <row r="619">
          <cell r="D619" t="str">
            <v>S-01-20</v>
          </cell>
          <cell r="E619" t="str">
            <v>Proximetacaina (Proparacaina)</v>
          </cell>
          <cell r="F619" t="str">
            <v>Solución oftálmica</v>
          </cell>
          <cell r="G619" t="str">
            <v>0,5%</v>
          </cell>
          <cell r="H619" t="str">
            <v>S01HA04</v>
          </cell>
          <cell r="I619"/>
          <cell r="J619">
            <v>78.944999999999993</v>
          </cell>
          <cell r="K619"/>
        </row>
        <row r="620">
          <cell r="D620" t="str">
            <v>N-05-18</v>
          </cell>
          <cell r="E620" t="str">
            <v>Quetiapina</v>
          </cell>
          <cell r="F620" t="str">
            <v>Comprimido</v>
          </cell>
          <cell r="G620" t="str">
            <v>100 mg</v>
          </cell>
          <cell r="H620" t="str">
            <v>N05AH04</v>
          </cell>
          <cell r="I620" t="str">
            <v>R</v>
          </cell>
          <cell r="J620">
            <v>9.7411111111111115</v>
          </cell>
          <cell r="K620"/>
        </row>
        <row r="621">
          <cell r="D621" t="str">
            <v>P-01-17</v>
          </cell>
          <cell r="E621" t="str">
            <v>Quinina (bisulfato o sulfato)</v>
          </cell>
          <cell r="F621" t="str">
            <v>Comprimido</v>
          </cell>
          <cell r="G621" t="str">
            <v>300 mg</v>
          </cell>
          <cell r="H621" t="str">
            <v>P01BC01</v>
          </cell>
          <cell r="I621"/>
          <cell r="J621">
            <v>0.83</v>
          </cell>
          <cell r="K621"/>
        </row>
        <row r="622">
          <cell r="D622" t="str">
            <v>P-01-18</v>
          </cell>
          <cell r="E622" t="str">
            <v>Quinina (diclorhidrato)</v>
          </cell>
          <cell r="F622" t="str">
            <v>Inyectable</v>
          </cell>
          <cell r="G622" t="str">
            <v>600 mg</v>
          </cell>
          <cell r="H622" t="str">
            <v>P01BC01</v>
          </cell>
          <cell r="I622"/>
          <cell r="J622">
            <v>27.51</v>
          </cell>
          <cell r="K622"/>
        </row>
        <row r="623">
          <cell r="D623" t="str">
            <v>J-05-37</v>
          </cell>
          <cell r="E623" t="str">
            <v>Raltegravir (potasico)</v>
          </cell>
          <cell r="F623" t="str">
            <v>Comprimido</v>
          </cell>
          <cell r="G623" t="str">
            <v>400 mg</v>
          </cell>
          <cell r="H623" t="str">
            <v>J05AX08</v>
          </cell>
          <cell r="I623" t="str">
            <v>R</v>
          </cell>
          <cell r="J623">
            <v>77.72</v>
          </cell>
          <cell r="K623"/>
        </row>
        <row r="624">
          <cell r="D624" t="str">
            <v>A-02-03</v>
          </cell>
          <cell r="E624" t="str">
            <v>Ranitidina</v>
          </cell>
          <cell r="F624" t="str">
            <v>Comprimido</v>
          </cell>
          <cell r="G624" t="str">
            <v>150 mg</v>
          </cell>
          <cell r="H624" t="str">
            <v>A02BA02</v>
          </cell>
          <cell r="I624"/>
          <cell r="J624">
            <v>0.4</v>
          </cell>
          <cell r="K624"/>
        </row>
        <row r="625">
          <cell r="D625" t="str">
            <v>A-02-04</v>
          </cell>
          <cell r="E625" t="str">
            <v>Ranitidina</v>
          </cell>
          <cell r="F625" t="str">
            <v>Inyectable</v>
          </cell>
          <cell r="G625" t="str">
            <v>50 mg</v>
          </cell>
          <cell r="H625" t="str">
            <v>A02BA02</v>
          </cell>
          <cell r="I625"/>
          <cell r="J625">
            <v>1.82</v>
          </cell>
          <cell r="K625" t="str">
            <v>5 ML</v>
          </cell>
        </row>
        <row r="626">
          <cell r="D626" t="str">
            <v>N-01-16</v>
          </cell>
          <cell r="E626" t="str">
            <v>Remifentanilo</v>
          </cell>
          <cell r="F626" t="str">
            <v>Inyectable</v>
          </cell>
          <cell r="G626" t="str">
            <v>5 mg</v>
          </cell>
          <cell r="H626" t="str">
            <v>N01AH06</v>
          </cell>
          <cell r="I626"/>
          <cell r="J626">
            <v>130.61500000000001</v>
          </cell>
          <cell r="K626"/>
        </row>
        <row r="627">
          <cell r="D627" t="str">
            <v>D-06-01</v>
          </cell>
          <cell r="E627" t="str">
            <v>Resina de Podofilo (Podofilina)</v>
          </cell>
          <cell r="F627" t="str">
            <v>Solución tópica</v>
          </cell>
          <cell r="G627" t="str">
            <v>10% o 25%</v>
          </cell>
          <cell r="H627" t="str">
            <v>D06BB04</v>
          </cell>
          <cell r="I627"/>
          <cell r="J627">
            <v>35</v>
          </cell>
          <cell r="K627" t="str">
            <v>25% 15ML</v>
          </cell>
        </row>
        <row r="628">
          <cell r="D628" t="str">
            <v>D-10-04</v>
          </cell>
          <cell r="E628" t="str">
            <v>Resorcinol</v>
          </cell>
          <cell r="F628" t="str">
            <v>Crema o Pomada</v>
          </cell>
          <cell r="G628">
            <v>0.1</v>
          </cell>
          <cell r="H628" t="str">
            <v>D10AX02</v>
          </cell>
          <cell r="I628"/>
          <cell r="J628">
            <v>22.67</v>
          </cell>
          <cell r="K628" t="str">
            <v>10 G</v>
          </cell>
        </row>
        <row r="629">
          <cell r="D629" t="str">
            <v>A-11-13</v>
          </cell>
          <cell r="E629" t="str">
            <v>Retinol (Vitamina A)</v>
          </cell>
          <cell r="F629" t="str">
            <v>Cápsula o Perla</v>
          </cell>
          <cell r="G629" t="str">
            <v>10.000 UI</v>
          </cell>
          <cell r="H629" t="str">
            <v>A11CA01</v>
          </cell>
          <cell r="I629"/>
          <cell r="J629">
            <v>0.8</v>
          </cell>
          <cell r="K629"/>
        </row>
        <row r="630">
          <cell r="D630" t="str">
            <v>A-11-14</v>
          </cell>
          <cell r="E630" t="str">
            <v>Retinol (Vitamina A)</v>
          </cell>
          <cell r="F630" t="str">
            <v>Cápsula o Perla</v>
          </cell>
          <cell r="G630" t="str">
            <v>25.000 UI</v>
          </cell>
          <cell r="H630" t="str">
            <v>A11CA01</v>
          </cell>
          <cell r="I630"/>
          <cell r="J630">
            <v>0.89</v>
          </cell>
          <cell r="K630"/>
        </row>
        <row r="631">
          <cell r="D631" t="str">
            <v>A-11-15</v>
          </cell>
          <cell r="E631" t="str">
            <v>Retinol (Vitamina A)</v>
          </cell>
          <cell r="F631" t="str">
            <v>Cápsula o Perla</v>
          </cell>
          <cell r="G631" t="str">
            <v>100.000 UI</v>
          </cell>
          <cell r="H631" t="str">
            <v>A11CA01</v>
          </cell>
          <cell r="I631"/>
          <cell r="J631">
            <v>1.4591111111111108</v>
          </cell>
          <cell r="K631"/>
        </row>
        <row r="632">
          <cell r="D632" t="str">
            <v>A-11-16</v>
          </cell>
          <cell r="E632" t="str">
            <v>Retinol (Vitamina A)</v>
          </cell>
          <cell r="F632" t="str">
            <v>Cápsula o Perla</v>
          </cell>
          <cell r="G632" t="str">
            <v>200.000 UI</v>
          </cell>
          <cell r="H632" t="str">
            <v>A11CA01</v>
          </cell>
          <cell r="I632"/>
          <cell r="J632">
            <v>1.0833333333333333</v>
          </cell>
          <cell r="K632"/>
        </row>
        <row r="633">
          <cell r="D633" t="str">
            <v>J-04-09</v>
          </cell>
          <cell r="E633" t="str">
            <v>Rifampicina</v>
          </cell>
          <cell r="F633" t="str">
            <v>Suspensión</v>
          </cell>
          <cell r="G633" t="str">
            <v>100 mg/5 ml</v>
          </cell>
          <cell r="H633" t="str">
            <v>J04AB02</v>
          </cell>
          <cell r="I633"/>
          <cell r="J633">
            <v>28.6</v>
          </cell>
          <cell r="K633"/>
        </row>
        <row r="634">
          <cell r="D634" t="str">
            <v>J-04-10</v>
          </cell>
          <cell r="E634" t="str">
            <v>Rifampicina</v>
          </cell>
          <cell r="F634" t="str">
            <v>Cápsula o Comprimido</v>
          </cell>
          <cell r="G634" t="str">
            <v>300 mg</v>
          </cell>
          <cell r="H634" t="str">
            <v>J04AB02</v>
          </cell>
          <cell r="I634"/>
          <cell r="J634">
            <v>1.7292860000000001</v>
          </cell>
          <cell r="K634"/>
        </row>
        <row r="635">
          <cell r="D635" t="str">
            <v>J-04-17</v>
          </cell>
          <cell r="E635" t="str">
            <v>Rifampicina</v>
          </cell>
          <cell r="F635" t="str">
            <v>Cápsula o Comprimido</v>
          </cell>
          <cell r="G635" t="str">
            <v>150 mg</v>
          </cell>
          <cell r="H635" t="str">
            <v>J04AB02</v>
          </cell>
          <cell r="I635" t="str">
            <v>R</v>
          </cell>
          <cell r="J635">
            <v>1.25</v>
          </cell>
          <cell r="K635"/>
        </row>
        <row r="636">
          <cell r="D636" t="str">
            <v>J-04-14</v>
          </cell>
          <cell r="E636" t="str">
            <v>Rifampicina + Isoniazida (INH)</v>
          </cell>
          <cell r="F636" t="str">
            <v>Comprimido</v>
          </cell>
          <cell r="G636" t="str">
            <v>300 mg + 150 mg</v>
          </cell>
          <cell r="H636" t="str">
            <v>J04AM02</v>
          </cell>
          <cell r="I636" t="str">
            <v>R</v>
          </cell>
          <cell r="J636">
            <v>0.24402599999999999</v>
          </cell>
          <cell r="K636"/>
        </row>
        <row r="637">
          <cell r="D637" t="str">
            <v>J-04-22</v>
          </cell>
          <cell r="E637" t="str">
            <v>Rifampicina, Clofazimina, Dapsona</v>
          </cell>
          <cell r="F637" t="str">
            <v>Comprimido</v>
          </cell>
          <cell r="G637" t="str">
            <v>300 mg + 50 mg + 50 mg</v>
          </cell>
          <cell r="H637" t="str">
            <v>104BA</v>
          </cell>
          <cell r="I637" t="str">
            <v>R</v>
          </cell>
          <cell r="J637">
            <v>13.4</v>
          </cell>
          <cell r="K637"/>
        </row>
        <row r="638">
          <cell r="D638" t="str">
            <v>J-04-23</v>
          </cell>
          <cell r="E638" t="str">
            <v>Rifampicina, Clofazimina, Dapsona</v>
          </cell>
          <cell r="F638" t="str">
            <v>Comprimido</v>
          </cell>
          <cell r="G638" t="str">
            <v>300 mg + 100 mg + 100 mg</v>
          </cell>
          <cell r="H638" t="str">
            <v>J04BA</v>
          </cell>
          <cell r="I638" t="str">
            <v>R</v>
          </cell>
          <cell r="J638">
            <v>22.22</v>
          </cell>
          <cell r="K638"/>
        </row>
        <row r="639">
          <cell r="D639" t="str">
            <v>J-04-20</v>
          </cell>
          <cell r="E639" t="str">
            <v>Rifampicina, Dapsona</v>
          </cell>
          <cell r="F639" t="str">
            <v>Comprimido</v>
          </cell>
          <cell r="G639" t="str">
            <v>300 mg + 50 mg</v>
          </cell>
          <cell r="H639" t="str">
            <v>J04BA</v>
          </cell>
          <cell r="I639" t="str">
            <v>R</v>
          </cell>
          <cell r="J639">
            <v>2</v>
          </cell>
          <cell r="K639"/>
        </row>
        <row r="640">
          <cell r="D640" t="str">
            <v>J-04-21</v>
          </cell>
          <cell r="E640" t="str">
            <v>Rifampicina, Dapsona</v>
          </cell>
          <cell r="F640" t="str">
            <v>Comprimido</v>
          </cell>
          <cell r="G640" t="str">
            <v>300 mg + 100 mg</v>
          </cell>
          <cell r="H640" t="str">
            <v>J04BA</v>
          </cell>
          <cell r="I640" t="str">
            <v>R</v>
          </cell>
          <cell r="J640">
            <v>1.99</v>
          </cell>
          <cell r="K640"/>
        </row>
        <row r="641">
          <cell r="D641" t="str">
            <v>N-05-12</v>
          </cell>
          <cell r="E641" t="str">
            <v>Risperidona</v>
          </cell>
          <cell r="F641" t="str">
            <v>Comprimido</v>
          </cell>
          <cell r="G641" t="str">
            <v>3 mg</v>
          </cell>
          <cell r="H641" t="str">
            <v>N05AX08</v>
          </cell>
          <cell r="I641"/>
          <cell r="J641">
            <v>4.45</v>
          </cell>
          <cell r="K641"/>
        </row>
        <row r="642">
          <cell r="D642" t="str">
            <v>G-02-06</v>
          </cell>
          <cell r="E642" t="str">
            <v>Ritodrina</v>
          </cell>
          <cell r="F642" t="str">
            <v>Comprimido</v>
          </cell>
          <cell r="G642" t="str">
            <v>10 mg</v>
          </cell>
          <cell r="H642" t="str">
            <v>G02CA01</v>
          </cell>
          <cell r="I642"/>
          <cell r="J642">
            <v>8.24</v>
          </cell>
          <cell r="K642"/>
        </row>
        <row r="643">
          <cell r="D643" t="str">
            <v>G-02-07</v>
          </cell>
          <cell r="E643" t="str">
            <v>Ritodrina</v>
          </cell>
          <cell r="F643" t="str">
            <v>Inyectable</v>
          </cell>
          <cell r="G643" t="str">
            <v>10 mg/ml</v>
          </cell>
          <cell r="H643" t="str">
            <v>G02CA01</v>
          </cell>
          <cell r="I643"/>
          <cell r="J643">
            <v>82.45</v>
          </cell>
          <cell r="K643"/>
        </row>
        <row r="644">
          <cell r="D644" t="str">
            <v>J-05-22</v>
          </cell>
          <cell r="E644" t="str">
            <v>Ritonavir</v>
          </cell>
          <cell r="F644" t="str">
            <v>Cápsula blanda</v>
          </cell>
          <cell r="G644" t="str">
            <v>100 mg</v>
          </cell>
          <cell r="H644" t="str">
            <v>J05AE03</v>
          </cell>
          <cell r="I644"/>
          <cell r="J644">
            <v>17.86</v>
          </cell>
          <cell r="K644"/>
        </row>
        <row r="645">
          <cell r="D645" t="str">
            <v>L-01-41</v>
          </cell>
          <cell r="E645" t="str">
            <v>Rituximab</v>
          </cell>
          <cell r="F645" t="str">
            <v>Inyectable</v>
          </cell>
          <cell r="G645" t="str">
            <v>500 mg/50 ml</v>
          </cell>
          <cell r="H645" t="str">
            <v>L01XC02</v>
          </cell>
          <cell r="I645" t="str">
            <v>R</v>
          </cell>
          <cell r="J645">
            <v>10287.700000000001</v>
          </cell>
          <cell r="K645"/>
        </row>
        <row r="646">
          <cell r="D646" t="str">
            <v>L-01-56</v>
          </cell>
          <cell r="E646" t="str">
            <v>Rituximab</v>
          </cell>
          <cell r="F646" t="str">
            <v>Inyectable</v>
          </cell>
          <cell r="G646" t="str">
            <v>100 mg/10ml</v>
          </cell>
          <cell r="H646" t="str">
            <v>L01XC02</v>
          </cell>
          <cell r="I646" t="str">
            <v>R</v>
          </cell>
          <cell r="J646">
            <v>6612.8</v>
          </cell>
          <cell r="K646"/>
        </row>
        <row r="647">
          <cell r="D647" t="str">
            <v>B-01-07</v>
          </cell>
          <cell r="E647" t="str">
            <v>Rivaroxabán</v>
          </cell>
          <cell r="F647" t="str">
            <v>Comprimido</v>
          </cell>
          <cell r="G647" t="str">
            <v>10 mg</v>
          </cell>
          <cell r="H647" t="str">
            <v>B01AX06</v>
          </cell>
          <cell r="I647" t="str">
            <v>R</v>
          </cell>
          <cell r="J647">
            <v>25.42</v>
          </cell>
          <cell r="K647"/>
        </row>
        <row r="648">
          <cell r="D648" t="str">
            <v>M-03-03</v>
          </cell>
          <cell r="E648" t="str">
            <v>Rocuronio bromuro</v>
          </cell>
          <cell r="F648" t="str">
            <v>Inyectable</v>
          </cell>
          <cell r="G648" t="str">
            <v>10 mg/ml</v>
          </cell>
          <cell r="H648" t="str">
            <v>M03AC09</v>
          </cell>
          <cell r="I648"/>
          <cell r="J648">
            <v>79.702500000000001</v>
          </cell>
          <cell r="K648"/>
        </row>
        <row r="649">
          <cell r="D649" t="str">
            <v>C-10-03</v>
          </cell>
          <cell r="E649" t="str">
            <v>Rosuvastatina</v>
          </cell>
          <cell r="F649" t="str">
            <v>Comprimido</v>
          </cell>
          <cell r="G649" t="str">
            <v>20 mg</v>
          </cell>
          <cell r="H649" t="str">
            <v>C10AA07</v>
          </cell>
          <cell r="I649"/>
          <cell r="J649">
            <v>12.02</v>
          </cell>
          <cell r="K649"/>
        </row>
        <row r="650">
          <cell r="D650" t="str">
            <v>R-03-04</v>
          </cell>
          <cell r="E650" t="str">
            <v>Salbutamol</v>
          </cell>
          <cell r="F650" t="str">
            <v>Solución para nebulización</v>
          </cell>
          <cell r="G650" t="str">
            <v>5 mg/ml</v>
          </cell>
          <cell r="H650" t="str">
            <v>R03AC02</v>
          </cell>
          <cell r="I650"/>
          <cell r="J650">
            <v>29.206666666666667</v>
          </cell>
          <cell r="K650"/>
        </row>
        <row r="651">
          <cell r="D651" t="str">
            <v>R-03-05</v>
          </cell>
          <cell r="E651" t="str">
            <v>Salbutamol</v>
          </cell>
          <cell r="F651" t="str">
            <v>Comprimido</v>
          </cell>
          <cell r="G651" t="str">
            <v>4 mg</v>
          </cell>
          <cell r="H651" t="str">
            <v>R03CC02</v>
          </cell>
          <cell r="I651"/>
          <cell r="J651">
            <v>0.48</v>
          </cell>
          <cell r="K651"/>
        </row>
        <row r="652">
          <cell r="D652" t="str">
            <v>R-03-06</v>
          </cell>
          <cell r="E652" t="str">
            <v>Salbutamol</v>
          </cell>
          <cell r="F652" t="str">
            <v>Aerosol</v>
          </cell>
          <cell r="G652" t="str">
            <v>0,1 mg/inhalación</v>
          </cell>
          <cell r="H652" t="str">
            <v>R03AC02</v>
          </cell>
          <cell r="I652"/>
          <cell r="J652">
            <v>19.687875000000002</v>
          </cell>
          <cell r="K652" t="str">
            <v>200 dósis</v>
          </cell>
        </row>
        <row r="653">
          <cell r="D653" t="str">
            <v>A-07-06</v>
          </cell>
          <cell r="E653" t="str">
            <v>Sales de rehidratación oral (SRO) baja osmolaridad</v>
          </cell>
          <cell r="F653" t="str">
            <v>Sobres</v>
          </cell>
          <cell r="G653" t="str">
            <v>Según concentración estándar</v>
          </cell>
          <cell r="H653" t="str">
            <v>A07CA**</v>
          </cell>
          <cell r="I653"/>
          <cell r="J653">
            <v>1.96</v>
          </cell>
          <cell r="K653"/>
        </row>
        <row r="654">
          <cell r="D654" t="str">
            <v>R-03-11</v>
          </cell>
          <cell r="E654" t="str">
            <v>Salmeterol + Fluticasona</v>
          </cell>
          <cell r="F654" t="str">
            <v>Aerosol</v>
          </cell>
          <cell r="G654" t="str">
            <v>25 mcg + 125 mcg</v>
          </cell>
          <cell r="H654" t="str">
            <v>R03AK06</v>
          </cell>
          <cell r="I654"/>
          <cell r="J654">
            <v>109.66444444444444</v>
          </cell>
          <cell r="K654" t="str">
            <v>120 dósis</v>
          </cell>
        </row>
        <row r="655">
          <cell r="D655" t="str">
            <v>N-01-14</v>
          </cell>
          <cell r="E655" t="str">
            <v>Sevoflurano (Trifluorometil etil)</v>
          </cell>
          <cell r="F655" t="str">
            <v>Solución</v>
          </cell>
          <cell r="G655" t="str">
            <v>250 ml</v>
          </cell>
          <cell r="H655" t="str">
            <v>N01AB08</v>
          </cell>
          <cell r="I655"/>
          <cell r="J655">
            <v>1093.5925925925928</v>
          </cell>
          <cell r="K655"/>
        </row>
        <row r="656">
          <cell r="D656" t="str">
            <v>C-02-08</v>
          </cell>
          <cell r="E656" t="str">
            <v>Sildenafilo</v>
          </cell>
          <cell r="F656" t="str">
            <v>Comprimido</v>
          </cell>
          <cell r="G656" t="str">
            <v>50 mg</v>
          </cell>
          <cell r="H656" t="str">
            <v>C02KX</v>
          </cell>
          <cell r="I656"/>
          <cell r="J656">
            <v>2.82</v>
          </cell>
          <cell r="K656"/>
        </row>
        <row r="657">
          <cell r="D657" t="str">
            <v>A-03-12</v>
          </cell>
          <cell r="E657" t="str">
            <v>Simeticona</v>
          </cell>
          <cell r="F657" t="str">
            <v>Suspensión</v>
          </cell>
          <cell r="G657" t="str">
            <v>3% o 4%</v>
          </cell>
          <cell r="H657" t="str">
            <v>A03AX13</v>
          </cell>
          <cell r="I657"/>
          <cell r="J657">
            <v>22.35</v>
          </cell>
          <cell r="K657" t="str">
            <v>30ML</v>
          </cell>
        </row>
        <row r="658">
          <cell r="D658" t="str">
            <v>A-03-13</v>
          </cell>
          <cell r="E658" t="str">
            <v>Simeticona</v>
          </cell>
          <cell r="F658" t="str">
            <v>Comprimido</v>
          </cell>
          <cell r="G658" t="str">
            <v>100 mg</v>
          </cell>
          <cell r="H658" t="str">
            <v>A03AX13</v>
          </cell>
          <cell r="I658"/>
          <cell r="J658">
            <v>1.1499999999999999</v>
          </cell>
          <cell r="K658"/>
        </row>
        <row r="659">
          <cell r="D659" t="str">
            <v>J-05-41</v>
          </cell>
          <cell r="E659" t="str">
            <v>Sofosbuvir</v>
          </cell>
          <cell r="F659" t="str">
            <v>Comprimido</v>
          </cell>
          <cell r="G659" t="str">
            <v>400 mg</v>
          </cell>
          <cell r="H659" t="str">
            <v>J05AX15</v>
          </cell>
          <cell r="I659"/>
          <cell r="J659">
            <v>380.51</v>
          </cell>
          <cell r="K659"/>
        </row>
        <row r="660">
          <cell r="D660" t="str">
            <v>B-05-13</v>
          </cell>
          <cell r="E660" t="str">
            <v>Solucion Acida</v>
          </cell>
          <cell r="F660" t="str">
            <v>Solución</v>
          </cell>
          <cell r="G660" t="str">
            <v>Según disponibilidad</v>
          </cell>
          <cell r="H660" t="str">
            <v>B05Z**</v>
          </cell>
          <cell r="I660"/>
          <cell r="J660">
            <v>120.89</v>
          </cell>
          <cell r="K660" t="str">
            <v>10 L</v>
          </cell>
        </row>
        <row r="661">
          <cell r="D661" t="str">
            <v>B-05-14</v>
          </cell>
          <cell r="E661" t="str">
            <v>Solución Básica</v>
          </cell>
          <cell r="F661" t="str">
            <v>Solución</v>
          </cell>
          <cell r="G661" t="str">
            <v>Según disponibilidad</v>
          </cell>
          <cell r="H661" t="str">
            <v>B05Z**</v>
          </cell>
          <cell r="I661"/>
          <cell r="J661">
            <v>120.97</v>
          </cell>
          <cell r="K661" t="str">
            <v>10 L</v>
          </cell>
        </row>
        <row r="662">
          <cell r="D662" t="str">
            <v>B-05-15</v>
          </cell>
          <cell r="E662" t="str">
            <v>Solución de glucosa</v>
          </cell>
          <cell r="F662" t="str">
            <v>Solución parenteral de gran volumen</v>
          </cell>
          <cell r="G662" t="str">
            <v>5% (500 ml)</v>
          </cell>
          <cell r="H662" t="str">
            <v>B05CX01</v>
          </cell>
          <cell r="I662"/>
          <cell r="J662">
            <v>8.5891453030303051</v>
          </cell>
          <cell r="K662"/>
        </row>
        <row r="663">
          <cell r="D663" t="str">
            <v>B-05-16</v>
          </cell>
          <cell r="E663" t="str">
            <v>Solución de glucosa</v>
          </cell>
          <cell r="F663" t="str">
            <v>Solución parenteral de gran volumen</v>
          </cell>
          <cell r="G663" t="str">
            <v>5% (1.000 ml)</v>
          </cell>
          <cell r="H663" t="str">
            <v>B05CX01</v>
          </cell>
          <cell r="I663"/>
          <cell r="J663">
            <v>13.44</v>
          </cell>
          <cell r="K663"/>
        </row>
        <row r="664">
          <cell r="D664" t="str">
            <v>B-05-17</v>
          </cell>
          <cell r="E664" t="str">
            <v>Solución de glucosa</v>
          </cell>
          <cell r="F664" t="str">
            <v>Solución parenteral de gran volumen</v>
          </cell>
          <cell r="G664" t="str">
            <v>10% (500 ml)</v>
          </cell>
          <cell r="H664" t="str">
            <v>B05CX01</v>
          </cell>
          <cell r="I664"/>
          <cell r="J664">
            <v>8.8699999999999992</v>
          </cell>
          <cell r="K664"/>
        </row>
        <row r="665">
          <cell r="D665" t="str">
            <v>B-05-18</v>
          </cell>
          <cell r="E665" t="str">
            <v>Solución de glucosa</v>
          </cell>
          <cell r="F665" t="str">
            <v>Solución parenteral de gran volumen</v>
          </cell>
          <cell r="G665" t="str">
            <v>10% (1.000 ml)</v>
          </cell>
          <cell r="H665" t="str">
            <v>B05CX01</v>
          </cell>
          <cell r="I665"/>
          <cell r="J665">
            <v>10.400833333333335</v>
          </cell>
          <cell r="K665"/>
        </row>
        <row r="666">
          <cell r="D666" t="str">
            <v>B-05-19</v>
          </cell>
          <cell r="E666" t="str">
            <v>Solución de glucosa</v>
          </cell>
          <cell r="F666" t="str">
            <v>Solución parenteral de gran volumen</v>
          </cell>
          <cell r="G666" t="str">
            <v>50% (500 ml)</v>
          </cell>
          <cell r="H666" t="str">
            <v>B05CX01</v>
          </cell>
          <cell r="I666"/>
          <cell r="J666">
            <v>19.399999999999999</v>
          </cell>
          <cell r="K666"/>
        </row>
        <row r="667">
          <cell r="D667" t="str">
            <v>B-05-20</v>
          </cell>
          <cell r="E667" t="str">
            <v>Solución de glucosa</v>
          </cell>
          <cell r="F667" t="str">
            <v>Inyectable</v>
          </cell>
          <cell r="G667" t="str">
            <v>50% (20 ml)</v>
          </cell>
          <cell r="H667" t="str">
            <v>B05CX01</v>
          </cell>
          <cell r="I667"/>
          <cell r="J667">
            <v>6.76</v>
          </cell>
          <cell r="K667"/>
        </row>
        <row r="668">
          <cell r="D668" t="str">
            <v>B-05-36</v>
          </cell>
          <cell r="E668" t="str">
            <v xml:space="preserve">Solución de glucosa </v>
          </cell>
          <cell r="F668" t="str">
            <v>Solución parenteral</v>
          </cell>
          <cell r="G668" t="str">
            <v>10% (250 ml)</v>
          </cell>
          <cell r="H668" t="str">
            <v>B05CX01</v>
          </cell>
          <cell r="I668"/>
          <cell r="J668">
            <v>9</v>
          </cell>
          <cell r="K668"/>
        </row>
        <row r="669">
          <cell r="D669" t="str">
            <v>B-05-21</v>
          </cell>
          <cell r="E669" t="str">
            <v>Solución de Manitol</v>
          </cell>
          <cell r="F669" t="str">
            <v>Solución parenteral de gran volumen</v>
          </cell>
          <cell r="G669" t="str">
            <v>20% (500 ml)</v>
          </cell>
          <cell r="H669" t="str">
            <v>B05CX04</v>
          </cell>
          <cell r="I669"/>
          <cell r="J669">
            <v>23.9</v>
          </cell>
          <cell r="K669"/>
        </row>
        <row r="670">
          <cell r="D670" t="str">
            <v>V-07-01</v>
          </cell>
          <cell r="E670" t="str">
            <v>Solución de preservación de órganos sòlidos HTK</v>
          </cell>
          <cell r="F670" t="str">
            <v>Soluciòn</v>
          </cell>
          <cell r="G670" t="str">
            <v>Según disponibilidad</v>
          </cell>
          <cell r="H670" t="str">
            <v>V07AB</v>
          </cell>
          <cell r="I670" t="str">
            <v>R</v>
          </cell>
          <cell r="J670">
            <v>2440</v>
          </cell>
          <cell r="K670"/>
        </row>
        <row r="671">
          <cell r="D671" t="str">
            <v>B-05-22</v>
          </cell>
          <cell r="E671" t="str">
            <v>Solución Fisiológica</v>
          </cell>
          <cell r="F671" t="str">
            <v>Solución parenteral de gran volumen</v>
          </cell>
          <cell r="G671" t="str">
            <v>0,9% (500 ml)</v>
          </cell>
          <cell r="H671" t="str">
            <v>B05CB01</v>
          </cell>
          <cell r="I671"/>
          <cell r="J671">
            <v>9</v>
          </cell>
          <cell r="K671"/>
        </row>
        <row r="672">
          <cell r="D672" t="str">
            <v>B-05-23</v>
          </cell>
          <cell r="E672" t="str">
            <v>Solución Fisiológica</v>
          </cell>
          <cell r="F672" t="str">
            <v>Solución parenteral de gran volumen</v>
          </cell>
          <cell r="G672" t="str">
            <v>0,9% (1.000 ml)</v>
          </cell>
          <cell r="H672" t="str">
            <v>B05CB01</v>
          </cell>
          <cell r="I672"/>
          <cell r="J672">
            <v>10.71</v>
          </cell>
          <cell r="K672"/>
        </row>
        <row r="673">
          <cell r="D673" t="str">
            <v>B-05-34</v>
          </cell>
          <cell r="E673" t="str">
            <v>Solución Fisiológica</v>
          </cell>
          <cell r="F673" t="str">
            <v xml:space="preserve">Solución parenteral </v>
          </cell>
          <cell r="G673" t="str">
            <v>0,9% (150 ml)</v>
          </cell>
          <cell r="H673" t="str">
            <v>B05CB01</v>
          </cell>
          <cell r="I673"/>
          <cell r="J673">
            <v>7.6450000000000005</v>
          </cell>
          <cell r="K673"/>
        </row>
        <row r="674">
          <cell r="D674" t="str">
            <v>S-01-21</v>
          </cell>
          <cell r="E674" t="str">
            <v>Solución Fisiológica</v>
          </cell>
          <cell r="F674" t="str">
            <v>Solución Nasal</v>
          </cell>
          <cell r="G674" t="str">
            <v>0,9% (15 a 30 ml)</v>
          </cell>
          <cell r="H674" t="str">
            <v>S01X**</v>
          </cell>
          <cell r="I674"/>
          <cell r="J674">
            <v>17.52</v>
          </cell>
          <cell r="K674" t="str">
            <v>15 ML</v>
          </cell>
        </row>
        <row r="675">
          <cell r="D675" t="str">
            <v>B-05-37</v>
          </cell>
          <cell r="E675" t="str">
            <v>Solución Fisiológica</v>
          </cell>
          <cell r="F675" t="str">
            <v>Solución parenteral</v>
          </cell>
          <cell r="G675" t="str">
            <v>0,9% (100 ml)</v>
          </cell>
          <cell r="H675" t="str">
            <v>B05CB01</v>
          </cell>
          <cell r="I675"/>
          <cell r="J675">
            <v>7.05</v>
          </cell>
          <cell r="K675"/>
        </row>
        <row r="676">
          <cell r="D676" t="str">
            <v>B-05-24</v>
          </cell>
          <cell r="E676" t="str">
            <v>Solución glucosada clorurada</v>
          </cell>
          <cell r="F676" t="str">
            <v>Solución parenteral de gran volumen</v>
          </cell>
          <cell r="G676" t="str">
            <v>500 ml</v>
          </cell>
          <cell r="H676" t="str">
            <v>B05CB10</v>
          </cell>
          <cell r="I676"/>
          <cell r="J676">
            <v>7.0520000000000014</v>
          </cell>
          <cell r="K676"/>
        </row>
        <row r="677">
          <cell r="D677" t="str">
            <v>B-05-25</v>
          </cell>
          <cell r="E677" t="str">
            <v>Solución glucosada clorurada</v>
          </cell>
          <cell r="F677" t="str">
            <v>Solución parenteral de gran volumen</v>
          </cell>
          <cell r="G677" t="str">
            <v>1.000 ml</v>
          </cell>
          <cell r="H677" t="str">
            <v>B05CB10</v>
          </cell>
          <cell r="I677"/>
          <cell r="J677">
            <v>10.54</v>
          </cell>
          <cell r="K677" t="str">
            <v>1.000 ML</v>
          </cell>
        </row>
        <row r="678">
          <cell r="D678" t="str">
            <v>B-05-35</v>
          </cell>
          <cell r="E678" t="str">
            <v>Solucion para dialisis intraperitoneal (de acuerdo a composicion apropiada)</v>
          </cell>
          <cell r="F678" t="str">
            <v xml:space="preserve">Solución parenteral </v>
          </cell>
          <cell r="G678" t="str">
            <v>Según disponibilidad</v>
          </cell>
          <cell r="H678" t="str">
            <v>B05D**</v>
          </cell>
          <cell r="I678" t="str">
            <v>R</v>
          </cell>
          <cell r="J678">
            <v>59.5</v>
          </cell>
          <cell r="K678" t="str">
            <v>59,50 bs(2000ML); 79,90bs (6000ML)</v>
          </cell>
        </row>
        <row r="679">
          <cell r="D679" t="str">
            <v>B-05-26</v>
          </cell>
          <cell r="E679" t="str">
            <v>Solución para dialisis peritoneal I</v>
          </cell>
          <cell r="F679" t="str">
            <v>Solución parenteral de gran volumen</v>
          </cell>
          <cell r="G679" t="str">
            <v>1.000 ml</v>
          </cell>
          <cell r="H679" t="str">
            <v>B05DB**</v>
          </cell>
          <cell r="I679"/>
          <cell r="J679">
            <v>14.42</v>
          </cell>
          <cell r="K679"/>
        </row>
        <row r="680">
          <cell r="D680" t="str">
            <v>B-05-27</v>
          </cell>
          <cell r="E680" t="str">
            <v>Solución para dialisis peritoneal II</v>
          </cell>
          <cell r="F680" t="str">
            <v>Solución parenteral de gran volumen</v>
          </cell>
          <cell r="G680" t="str">
            <v>1.000 ml</v>
          </cell>
          <cell r="H680" t="str">
            <v>B05DB**</v>
          </cell>
          <cell r="I680"/>
          <cell r="J680">
            <v>18.424999999999997</v>
          </cell>
          <cell r="K680"/>
        </row>
        <row r="681">
          <cell r="D681" t="str">
            <v>B-05-29</v>
          </cell>
          <cell r="E681" t="str">
            <v>Solución ringer lactato</v>
          </cell>
          <cell r="F681" t="str">
            <v>Solución parenteral de gran volumen</v>
          </cell>
          <cell r="G681" t="str">
            <v>500 ml</v>
          </cell>
          <cell r="H681" t="str">
            <v>B05XA30</v>
          </cell>
          <cell r="I681"/>
          <cell r="J681">
            <v>8.0102597402597411</v>
          </cell>
          <cell r="K681"/>
        </row>
        <row r="682">
          <cell r="D682" t="str">
            <v>B-05-30</v>
          </cell>
          <cell r="E682" t="str">
            <v>Solución ringer lactato</v>
          </cell>
          <cell r="F682" t="str">
            <v>Solución parenteral de gran volumen</v>
          </cell>
          <cell r="G682" t="str">
            <v>1.000 ml</v>
          </cell>
          <cell r="H682" t="str">
            <v>B05XA30</v>
          </cell>
          <cell r="I682"/>
          <cell r="J682">
            <v>11</v>
          </cell>
          <cell r="K682"/>
        </row>
        <row r="683">
          <cell r="D683" t="str">
            <v>B-05-31</v>
          </cell>
          <cell r="E683" t="str">
            <v>Solución ringer normal</v>
          </cell>
          <cell r="F683" t="str">
            <v>Solución parenteral de gran volumen</v>
          </cell>
          <cell r="G683" t="str">
            <v>500 ml</v>
          </cell>
          <cell r="H683" t="str">
            <v>B05XA30</v>
          </cell>
          <cell r="I683"/>
          <cell r="J683">
            <v>8.8000000000000007</v>
          </cell>
          <cell r="K683"/>
        </row>
        <row r="684">
          <cell r="D684" t="str">
            <v>B-05-32</v>
          </cell>
          <cell r="E684" t="str">
            <v>Solución ringer normal</v>
          </cell>
          <cell r="F684" t="str">
            <v>Solución parenteral de gran volumen</v>
          </cell>
          <cell r="G684" t="str">
            <v>1.000 ml</v>
          </cell>
          <cell r="H684" t="str">
            <v>B05XA30</v>
          </cell>
          <cell r="I684"/>
          <cell r="J684">
            <v>11.8</v>
          </cell>
          <cell r="K684"/>
        </row>
        <row r="685">
          <cell r="D685" t="str">
            <v>H-01-04</v>
          </cell>
          <cell r="E685" t="str">
            <v xml:space="preserve">Somatropina </v>
          </cell>
          <cell r="F685" t="str">
            <v>Inyectable</v>
          </cell>
          <cell r="G685" t="str">
            <v>4UI (1,33 mg)</v>
          </cell>
          <cell r="H685" t="str">
            <v>H01AC01</v>
          </cell>
          <cell r="I685" t="str">
            <v>R</v>
          </cell>
          <cell r="J685" t="str">
            <v>SPR</v>
          </cell>
          <cell r="K685"/>
        </row>
        <row r="686">
          <cell r="D686" t="str">
            <v>A-02-07</v>
          </cell>
          <cell r="E686" t="str">
            <v>Sucralfato</v>
          </cell>
          <cell r="F686" t="str">
            <v>Suspensión</v>
          </cell>
          <cell r="G686" t="str">
            <v>1g/5 ml</v>
          </cell>
          <cell r="H686" t="str">
            <v>A02BX02</v>
          </cell>
          <cell r="I686"/>
          <cell r="J686">
            <v>68.3</v>
          </cell>
          <cell r="K686" t="str">
            <v>200 ML</v>
          </cell>
        </row>
        <row r="687">
          <cell r="D687" t="str">
            <v>J-06-10</v>
          </cell>
          <cell r="E687" t="str">
            <v>Suero Antiescorpionico</v>
          </cell>
          <cell r="F687" t="str">
            <v>Inyectable</v>
          </cell>
          <cell r="G687" t="str">
            <v>Según disponibilidad</v>
          </cell>
          <cell r="H687" t="str">
            <v>J06B**</v>
          </cell>
          <cell r="I687"/>
          <cell r="J687">
            <v>60</v>
          </cell>
          <cell r="K687"/>
        </row>
        <row r="688">
          <cell r="D688" t="str">
            <v>J-06-06</v>
          </cell>
          <cell r="E688" t="str">
            <v>Suero Antilatrodectus</v>
          </cell>
          <cell r="F688" t="str">
            <v>Inyectable</v>
          </cell>
          <cell r="G688" t="str">
            <v>Según disponibilidad</v>
          </cell>
          <cell r="H688" t="str">
            <v>J06****</v>
          </cell>
          <cell r="I688"/>
          <cell r="J688">
            <v>60</v>
          </cell>
          <cell r="K688"/>
        </row>
        <row r="689">
          <cell r="D689" t="str">
            <v>J-06-07</v>
          </cell>
          <cell r="E689" t="str">
            <v>Suero Antiofídico Botrópico Crotàlico</v>
          </cell>
          <cell r="F689" t="str">
            <v>Inyectable</v>
          </cell>
          <cell r="G689" t="str">
            <v>Según disponibilidad</v>
          </cell>
          <cell r="H689" t="str">
            <v>J06AA03</v>
          </cell>
          <cell r="I689"/>
          <cell r="J689">
            <v>135</v>
          </cell>
          <cell r="K689"/>
        </row>
        <row r="690">
          <cell r="D690" t="str">
            <v>J-06-08</v>
          </cell>
          <cell r="E690" t="str">
            <v>Suero Antiofídico Botrópico Laquésico</v>
          </cell>
          <cell r="F690" t="str">
            <v>Inyectable</v>
          </cell>
          <cell r="G690" t="str">
            <v>Según disponibilidad</v>
          </cell>
          <cell r="H690" t="str">
            <v>J06AA03</v>
          </cell>
          <cell r="I690"/>
          <cell r="J690">
            <v>135</v>
          </cell>
          <cell r="K690"/>
        </row>
        <row r="691">
          <cell r="D691" t="str">
            <v>J-06-09</v>
          </cell>
          <cell r="E691" t="str">
            <v>Suero Antirràbico (heterólogo)</v>
          </cell>
          <cell r="F691" t="str">
            <v>Inyectable</v>
          </cell>
          <cell r="G691" t="str">
            <v>Según disponibilidad</v>
          </cell>
          <cell r="H691" t="str">
            <v>J06AA06</v>
          </cell>
          <cell r="I691"/>
          <cell r="J691">
            <v>90</v>
          </cell>
          <cell r="K691"/>
        </row>
        <row r="692">
          <cell r="D692" t="str">
            <v>D-06-02</v>
          </cell>
          <cell r="E692" t="str">
            <v>Sulfadiazina de plata</v>
          </cell>
          <cell r="F692" t="str">
            <v>Crema o Pomada</v>
          </cell>
          <cell r="G692">
            <v>0.01</v>
          </cell>
          <cell r="H692" t="str">
            <v>D06BA01</v>
          </cell>
          <cell r="I692"/>
          <cell r="J692">
            <v>48.1</v>
          </cell>
          <cell r="K692" t="str">
            <v>60 G Bs 48.10.  500 G Bs 202</v>
          </cell>
        </row>
        <row r="693">
          <cell r="D693" t="str">
            <v>P-01-19</v>
          </cell>
          <cell r="E693" t="str">
            <v>Sulfadoxina + Pirimetamina</v>
          </cell>
          <cell r="F693" t="str">
            <v>Comprimido</v>
          </cell>
          <cell r="G693" t="str">
            <v>500 mg + 25 mg</v>
          </cell>
          <cell r="H693" t="str">
            <v>P01BD51</v>
          </cell>
          <cell r="I693"/>
          <cell r="J693">
            <v>0.32</v>
          </cell>
          <cell r="K693"/>
        </row>
        <row r="694">
          <cell r="D694" t="str">
            <v>V-08-08</v>
          </cell>
          <cell r="E694" t="str">
            <v>Sulfato de Bario</v>
          </cell>
          <cell r="F694" t="str">
            <v>Suspensión</v>
          </cell>
          <cell r="G694" t="str">
            <v>Según disponibilidad</v>
          </cell>
          <cell r="H694" t="str">
            <v>V08BA02</v>
          </cell>
          <cell r="I694"/>
          <cell r="J694">
            <v>235</v>
          </cell>
          <cell r="K694"/>
        </row>
        <row r="695">
          <cell r="D695" t="str">
            <v>V-08-09</v>
          </cell>
          <cell r="E695" t="str">
            <v>Sulfato de Bario</v>
          </cell>
          <cell r="F695" t="str">
            <v>Polvo para enema</v>
          </cell>
          <cell r="G695" t="str">
            <v>Según disponibilidad</v>
          </cell>
          <cell r="H695" t="str">
            <v>V08BA02</v>
          </cell>
          <cell r="I695"/>
          <cell r="J695">
            <v>321.5</v>
          </cell>
          <cell r="K695"/>
        </row>
        <row r="696">
          <cell r="D696" t="str">
            <v>A-06-08</v>
          </cell>
          <cell r="E696" t="str">
            <v>Sulfato de Magnesio</v>
          </cell>
          <cell r="F696" t="str">
            <v>Granulado</v>
          </cell>
          <cell r="G696" t="str">
            <v>20 g a 30 g</v>
          </cell>
          <cell r="H696" t="str">
            <v>A06AD04</v>
          </cell>
          <cell r="I696"/>
          <cell r="J696">
            <v>2.08</v>
          </cell>
          <cell r="K696" t="str">
            <v>30 G</v>
          </cell>
        </row>
        <row r="697">
          <cell r="D697" t="str">
            <v>B-05-33</v>
          </cell>
          <cell r="E697" t="str">
            <v>Sulfato de Magnesio</v>
          </cell>
          <cell r="F697" t="str">
            <v>Inyectable</v>
          </cell>
          <cell r="G697">
            <v>0.1</v>
          </cell>
          <cell r="H697" t="str">
            <v>B05XA05</v>
          </cell>
          <cell r="I697"/>
          <cell r="J697">
            <v>5.2</v>
          </cell>
          <cell r="K697" t="str">
            <v>10 ML</v>
          </cell>
        </row>
        <row r="698">
          <cell r="D698" t="str">
            <v>B-03-06</v>
          </cell>
          <cell r="E698" t="str">
            <v>Sulfato ferroso</v>
          </cell>
          <cell r="F698" t="str">
            <v>Comprimido</v>
          </cell>
          <cell r="G698" t="str">
            <v>200 mg</v>
          </cell>
          <cell r="H698" t="str">
            <v>B03AA07</v>
          </cell>
          <cell r="I698"/>
          <cell r="J698">
            <v>0.37</v>
          </cell>
          <cell r="K698"/>
        </row>
        <row r="699">
          <cell r="D699" t="str">
            <v>B-03-07</v>
          </cell>
          <cell r="E699" t="str">
            <v>Sulfato ferroso</v>
          </cell>
          <cell r="F699" t="str">
            <v>Solución oral</v>
          </cell>
          <cell r="G699" t="str">
            <v>125 mg/ml</v>
          </cell>
          <cell r="H699" t="str">
            <v>B03AA07</v>
          </cell>
          <cell r="I699"/>
          <cell r="J699">
            <v>12.86</v>
          </cell>
          <cell r="K699"/>
        </row>
        <row r="700">
          <cell r="D700" t="str">
            <v>B-03-08</v>
          </cell>
          <cell r="E700" t="str">
            <v>Sulfato ferroso + Ac. Fólico + Vitamina C</v>
          </cell>
          <cell r="F700" t="str">
            <v>Comprimido</v>
          </cell>
          <cell r="G700" t="str">
            <v>200 mg + 0,5 mg + 150 mg</v>
          </cell>
          <cell r="H700" t="str">
            <v>B03AE10</v>
          </cell>
          <cell r="I700"/>
          <cell r="J700">
            <v>0.45</v>
          </cell>
          <cell r="K700"/>
        </row>
        <row r="701">
          <cell r="D701" t="str">
            <v>B-03-09</v>
          </cell>
          <cell r="E701" t="str">
            <v>Sulfato ferroso + Ac. Fólico + Vitamina C</v>
          </cell>
          <cell r="F701" t="str">
            <v>Solución oral</v>
          </cell>
          <cell r="G701" t="str">
            <v>125 mg + 0,25 mg + 30 mg</v>
          </cell>
          <cell r="H701" t="str">
            <v>B03AE10</v>
          </cell>
          <cell r="I701"/>
          <cell r="J701">
            <v>7.35</v>
          </cell>
          <cell r="K701" t="str">
            <v>30 ML</v>
          </cell>
        </row>
        <row r="702">
          <cell r="D702" t="str">
            <v>R-07-01</v>
          </cell>
          <cell r="E702" t="str">
            <v>Surfactante pulmonar</v>
          </cell>
          <cell r="F702" t="str">
            <v>Inyectable</v>
          </cell>
          <cell r="G702" t="str">
            <v>25 a 35 mg/ml</v>
          </cell>
          <cell r="H702" t="str">
            <v>R07AA02</v>
          </cell>
          <cell r="I702"/>
          <cell r="J702">
            <v>1444.0555555555554</v>
          </cell>
          <cell r="K702" t="str">
            <v>5 ML</v>
          </cell>
        </row>
        <row r="703">
          <cell r="D703" t="str">
            <v>M-03-04</v>
          </cell>
          <cell r="E703" t="str">
            <v>Suxametonio (Succinil colina)</v>
          </cell>
          <cell r="F703" t="str">
            <v>Inyectable</v>
          </cell>
          <cell r="G703" t="str">
            <v>500 mg</v>
          </cell>
          <cell r="H703" t="str">
            <v>M03AB01</v>
          </cell>
          <cell r="I703"/>
          <cell r="J703">
            <v>64.081111111111113</v>
          </cell>
          <cell r="K703"/>
        </row>
        <row r="704">
          <cell r="D704" t="str">
            <v>L-04-10</v>
          </cell>
          <cell r="E704" t="str">
            <v>Tacrolimus</v>
          </cell>
          <cell r="F704" t="str">
            <v>Cápsula</v>
          </cell>
          <cell r="G704" t="str">
            <v>1 mg</v>
          </cell>
          <cell r="H704" t="str">
            <v>L04AA05</v>
          </cell>
          <cell r="I704" t="str">
            <v>R</v>
          </cell>
          <cell r="J704">
            <v>10.091444444444445</v>
          </cell>
          <cell r="K704"/>
        </row>
        <row r="705">
          <cell r="D705" t="str">
            <v>L-04-08</v>
          </cell>
          <cell r="E705" t="str">
            <v>Talidomida</v>
          </cell>
          <cell r="F705" t="str">
            <v>Comprimido</v>
          </cell>
          <cell r="G705" t="str">
            <v>100 mg</v>
          </cell>
          <cell r="H705" t="str">
            <v>L04AX02</v>
          </cell>
          <cell r="I705" t="str">
            <v>R</v>
          </cell>
          <cell r="J705">
            <v>16.133333333333333</v>
          </cell>
          <cell r="K705"/>
        </row>
        <row r="706">
          <cell r="D706" t="str">
            <v>L-02-05</v>
          </cell>
          <cell r="E706" t="str">
            <v>Tamoxifeno</v>
          </cell>
          <cell r="F706" t="str">
            <v>Comprimido</v>
          </cell>
          <cell r="G706" t="str">
            <v>20 mg</v>
          </cell>
          <cell r="H706" t="str">
            <v>L02BA01</v>
          </cell>
          <cell r="I706"/>
          <cell r="J706">
            <v>2.9738888888888884</v>
          </cell>
          <cell r="K706"/>
        </row>
        <row r="707">
          <cell r="D707" t="str">
            <v>L-01-51</v>
          </cell>
          <cell r="E707" t="str">
            <v>Temozolomida</v>
          </cell>
          <cell r="F707" t="str">
            <v>Cápsula</v>
          </cell>
          <cell r="G707" t="str">
            <v>20 mg</v>
          </cell>
          <cell r="H707" t="str">
            <v>L01AX03</v>
          </cell>
          <cell r="I707" t="str">
            <v>R</v>
          </cell>
          <cell r="J707">
            <v>68.5</v>
          </cell>
          <cell r="K707"/>
        </row>
        <row r="708">
          <cell r="D708" t="str">
            <v>L-01-52</v>
          </cell>
          <cell r="E708" t="str">
            <v>Temozolomida</v>
          </cell>
          <cell r="F708" t="str">
            <v>Cápsula</v>
          </cell>
          <cell r="G708" t="str">
            <v>100 mg</v>
          </cell>
          <cell r="H708" t="str">
            <v>L01AX04</v>
          </cell>
          <cell r="I708" t="str">
            <v>R</v>
          </cell>
          <cell r="J708">
            <v>222.26666666666668</v>
          </cell>
          <cell r="K708"/>
        </row>
        <row r="709">
          <cell r="D709" t="str">
            <v>L-01-53</v>
          </cell>
          <cell r="E709" t="str">
            <v>Temozolomida</v>
          </cell>
          <cell r="F709" t="str">
            <v>Cápsula</v>
          </cell>
          <cell r="G709" t="str">
            <v>250 mg</v>
          </cell>
          <cell r="H709" t="str">
            <v>L01AX05</v>
          </cell>
          <cell r="I709" t="str">
            <v>R</v>
          </cell>
          <cell r="J709">
            <v>754.5</v>
          </cell>
          <cell r="K709"/>
        </row>
        <row r="710">
          <cell r="D710" t="str">
            <v>B-01-08</v>
          </cell>
          <cell r="E710" t="str">
            <v xml:space="preserve">Tenecteplasa  </v>
          </cell>
          <cell r="F710" t="str">
            <v>Polvo para Inyectable</v>
          </cell>
          <cell r="G710" t="str">
            <v>50 mg</v>
          </cell>
          <cell r="H710" t="str">
            <v>B01AD11</v>
          </cell>
          <cell r="I710" t="str">
            <v>R</v>
          </cell>
          <cell r="J710">
            <v>6626.77</v>
          </cell>
          <cell r="K710"/>
        </row>
        <row r="711">
          <cell r="D711" t="str">
            <v>J-05-28</v>
          </cell>
          <cell r="E711" t="str">
            <v>Tenofovir disoproxilo</v>
          </cell>
          <cell r="F711" t="str">
            <v>Comprimido</v>
          </cell>
          <cell r="G711" t="str">
            <v>245 mg (Equiv. a 300  mg como fumarato)</v>
          </cell>
          <cell r="H711" t="str">
            <v>J05AF07</v>
          </cell>
          <cell r="I711"/>
          <cell r="J711">
            <v>2.36</v>
          </cell>
          <cell r="K711"/>
        </row>
        <row r="712">
          <cell r="D712" t="str">
            <v>J-05-38</v>
          </cell>
          <cell r="E712" t="str">
            <v>Tenofovir disoproxilo + Efavirenz + Lamivudina</v>
          </cell>
          <cell r="F712" t="str">
            <v>Comprimido</v>
          </cell>
          <cell r="G712" t="str">
            <v xml:space="preserve">300 mg + 600 mg + 300 mg </v>
          </cell>
          <cell r="H712" t="str">
            <v>J05AR11</v>
          </cell>
          <cell r="I712"/>
          <cell r="J712">
            <v>3.15</v>
          </cell>
          <cell r="K712"/>
        </row>
        <row r="713">
          <cell r="D713" t="str">
            <v>R-03-08</v>
          </cell>
          <cell r="E713" t="str">
            <v>Teofilina</v>
          </cell>
          <cell r="F713" t="str">
            <v>Comprimido</v>
          </cell>
          <cell r="G713" t="str">
            <v>300 mg</v>
          </cell>
          <cell r="H713" t="str">
            <v>R03DA04</v>
          </cell>
          <cell r="I713"/>
          <cell r="J713">
            <v>4.3133333333333335</v>
          </cell>
          <cell r="K713"/>
        </row>
        <row r="714">
          <cell r="D714" t="str">
            <v>D-01-08</v>
          </cell>
          <cell r="E714" t="str">
            <v>Terbinafina</v>
          </cell>
          <cell r="F714" t="str">
            <v>Comprimido</v>
          </cell>
          <cell r="G714" t="str">
            <v>250 mg</v>
          </cell>
          <cell r="H714" t="str">
            <v>D01AE15</v>
          </cell>
          <cell r="I714"/>
          <cell r="J714">
            <v>12.27</v>
          </cell>
          <cell r="K714"/>
        </row>
        <row r="715">
          <cell r="D715" t="str">
            <v>H-01-03</v>
          </cell>
          <cell r="E715" t="str">
            <v>Terlipresina</v>
          </cell>
          <cell r="F715" t="str">
            <v>Inyectable</v>
          </cell>
          <cell r="G715" t="str">
            <v>1 mg</v>
          </cell>
          <cell r="H715" t="str">
            <v>H01BA04</v>
          </cell>
          <cell r="I715" t="str">
            <v>R</v>
          </cell>
          <cell r="J715">
            <v>561</v>
          </cell>
          <cell r="K715"/>
        </row>
        <row r="716">
          <cell r="D716" t="str">
            <v>G-03-18</v>
          </cell>
          <cell r="E716" t="str">
            <v>Testosterona undecanoato</v>
          </cell>
          <cell r="F716" t="str">
            <v>Inyectable</v>
          </cell>
          <cell r="G716" t="str">
            <v>1.000 mg</v>
          </cell>
          <cell r="H716" t="str">
            <v>G03BA03</v>
          </cell>
          <cell r="I716"/>
          <cell r="J716">
            <v>1220.4816666666666</v>
          </cell>
          <cell r="K716"/>
        </row>
        <row r="717">
          <cell r="D717" t="str">
            <v>J-01-54</v>
          </cell>
          <cell r="E717" t="str">
            <v>Tetraciclina</v>
          </cell>
          <cell r="F717" t="str">
            <v>Cápsula o Comprimido</v>
          </cell>
          <cell r="G717" t="str">
            <v>500 mg</v>
          </cell>
          <cell r="H717" t="str">
            <v>J01AA07</v>
          </cell>
          <cell r="I717"/>
          <cell r="J717">
            <v>0.71</v>
          </cell>
          <cell r="K717"/>
        </row>
        <row r="718">
          <cell r="D718" t="str">
            <v>D-01-05</v>
          </cell>
          <cell r="E718" t="str">
            <v>Tiabendazol</v>
          </cell>
          <cell r="F718" t="str">
            <v>Crema o Pomada</v>
          </cell>
          <cell r="G718">
            <v>0.05</v>
          </cell>
          <cell r="H718" t="str">
            <v>D01AC06</v>
          </cell>
          <cell r="I718"/>
          <cell r="J718">
            <v>15.37</v>
          </cell>
          <cell r="K718" t="str">
            <v>20 G</v>
          </cell>
        </row>
        <row r="719">
          <cell r="D719" t="str">
            <v>P-02-10</v>
          </cell>
          <cell r="E719" t="str">
            <v>Tiabendazol</v>
          </cell>
          <cell r="F719" t="str">
            <v>Comprimido</v>
          </cell>
          <cell r="G719" t="str">
            <v>500 mg</v>
          </cell>
          <cell r="H719" t="str">
            <v>P02CA02</v>
          </cell>
          <cell r="I719"/>
          <cell r="J719">
            <v>2.1</v>
          </cell>
          <cell r="K719"/>
        </row>
        <row r="720">
          <cell r="D720" t="str">
            <v>P-02-11</v>
          </cell>
          <cell r="E720" t="str">
            <v>Tiabendazol</v>
          </cell>
          <cell r="F720" t="str">
            <v>Suspensión</v>
          </cell>
          <cell r="G720" t="str">
            <v>500 mg/5 ml</v>
          </cell>
          <cell r="H720" t="str">
            <v>P02CA02</v>
          </cell>
          <cell r="I720"/>
          <cell r="J720">
            <v>24</v>
          </cell>
          <cell r="K720" t="str">
            <v>30 ML</v>
          </cell>
        </row>
        <row r="721">
          <cell r="D721" t="str">
            <v>H-03-04</v>
          </cell>
          <cell r="E721" t="str">
            <v xml:space="preserve">Tiamazol (Metimazol) </v>
          </cell>
          <cell r="F721" t="str">
            <v>Comprimido</v>
          </cell>
          <cell r="G721" t="str">
            <v>20 mg</v>
          </cell>
          <cell r="H721" t="str">
            <v>H03BB02</v>
          </cell>
          <cell r="I721"/>
          <cell r="J721">
            <v>2.06</v>
          </cell>
          <cell r="K721"/>
        </row>
        <row r="722">
          <cell r="D722" t="str">
            <v>A-11-17</v>
          </cell>
          <cell r="E722" t="str">
            <v>Tiamina (Vitamina B 1)</v>
          </cell>
          <cell r="F722" t="str">
            <v>Comprimido</v>
          </cell>
          <cell r="G722" t="str">
            <v>300 mg</v>
          </cell>
          <cell r="H722" t="str">
            <v>A11DA01</v>
          </cell>
          <cell r="I722"/>
          <cell r="J722">
            <v>1.0900000000000001</v>
          </cell>
          <cell r="K722"/>
        </row>
        <row r="723">
          <cell r="D723" t="str">
            <v>A-11-18</v>
          </cell>
          <cell r="E723" t="str">
            <v>Tiamina (Vitamina B 1)</v>
          </cell>
          <cell r="F723" t="str">
            <v>Inyectable</v>
          </cell>
          <cell r="G723" t="str">
            <v>100 mg/ml</v>
          </cell>
          <cell r="H723" t="str">
            <v>A11DA01</v>
          </cell>
          <cell r="I723"/>
          <cell r="J723">
            <v>3.04</v>
          </cell>
          <cell r="K723"/>
        </row>
        <row r="724">
          <cell r="D724" t="str">
            <v>S-01-22</v>
          </cell>
          <cell r="E724" t="str">
            <v>Timolol maleato</v>
          </cell>
          <cell r="F724" t="str">
            <v>Solución oftálmica</v>
          </cell>
          <cell r="G724" t="str">
            <v>0,5%</v>
          </cell>
          <cell r="H724" t="str">
            <v>S01ED01</v>
          </cell>
          <cell r="I724"/>
          <cell r="J724">
            <v>24.31</v>
          </cell>
          <cell r="K724"/>
        </row>
        <row r="725">
          <cell r="D725" t="str">
            <v>N-01-15</v>
          </cell>
          <cell r="E725" t="str">
            <v>Tiopental sódico</v>
          </cell>
          <cell r="F725" t="str">
            <v>Inyectable</v>
          </cell>
          <cell r="G725" t="str">
            <v>1 g</v>
          </cell>
          <cell r="H725" t="str">
            <v>N01AF03</v>
          </cell>
          <cell r="I725"/>
          <cell r="J725">
            <v>36.848222222222219</v>
          </cell>
          <cell r="K725"/>
        </row>
        <row r="726">
          <cell r="D726" t="str">
            <v>N-05-13</v>
          </cell>
          <cell r="E726" t="str">
            <v>Tioridazina</v>
          </cell>
          <cell r="F726" t="str">
            <v>Suspensión</v>
          </cell>
          <cell r="G726" t="str">
            <v>100 mg/5 ml</v>
          </cell>
          <cell r="H726" t="str">
            <v>N05AC02</v>
          </cell>
          <cell r="I726"/>
          <cell r="J726">
            <v>33.71</v>
          </cell>
          <cell r="K726"/>
        </row>
        <row r="727">
          <cell r="D727" t="str">
            <v>N-05-14</v>
          </cell>
          <cell r="E727" t="str">
            <v>Tioridazina</v>
          </cell>
          <cell r="F727" t="str">
            <v>Comprimido</v>
          </cell>
          <cell r="G727" t="str">
            <v>100 mg</v>
          </cell>
          <cell r="H727" t="str">
            <v>N05AC02</v>
          </cell>
          <cell r="I727"/>
          <cell r="J727">
            <v>4.2</v>
          </cell>
          <cell r="K727"/>
        </row>
        <row r="728">
          <cell r="D728" t="str">
            <v>A-11-19</v>
          </cell>
          <cell r="E728" t="str">
            <v>Tocoferol (Vitamina E)</v>
          </cell>
          <cell r="F728" t="str">
            <v>Cápsula blanda</v>
          </cell>
          <cell r="G728" t="str">
            <v>1.000 UI</v>
          </cell>
          <cell r="H728" t="str">
            <v>A11HA03</v>
          </cell>
          <cell r="I728"/>
          <cell r="J728">
            <v>1.6390384615384619</v>
          </cell>
          <cell r="K728"/>
        </row>
        <row r="729">
          <cell r="D729" t="str">
            <v>D-01-06</v>
          </cell>
          <cell r="E729" t="str">
            <v>Tolnaftato</v>
          </cell>
          <cell r="F729" t="str">
            <v>Solución</v>
          </cell>
          <cell r="G729">
            <v>0.01</v>
          </cell>
          <cell r="H729" t="str">
            <v>D01AE18</v>
          </cell>
          <cell r="I729"/>
          <cell r="J729">
            <v>23.15</v>
          </cell>
          <cell r="K729"/>
        </row>
        <row r="730">
          <cell r="D730" t="str">
            <v>J-07-01</v>
          </cell>
          <cell r="E730" t="str">
            <v>Toxoide tetánico adsorbido</v>
          </cell>
          <cell r="F730" t="str">
            <v>Inyectable</v>
          </cell>
          <cell r="G730" t="str">
            <v>120 UI/ml</v>
          </cell>
          <cell r="H730" t="str">
            <v>J07AM01</v>
          </cell>
          <cell r="I730"/>
          <cell r="J730">
            <v>20</v>
          </cell>
          <cell r="K730"/>
        </row>
        <row r="731">
          <cell r="D731" t="str">
            <v>N-02-15</v>
          </cell>
          <cell r="E731" t="str">
            <v>Tramadol</v>
          </cell>
          <cell r="F731" t="str">
            <v>Comprimido</v>
          </cell>
          <cell r="G731" t="str">
            <v>50 mg</v>
          </cell>
          <cell r="H731" t="str">
            <v>N02AX02</v>
          </cell>
          <cell r="I731"/>
          <cell r="J731">
            <v>2</v>
          </cell>
          <cell r="K731"/>
        </row>
        <row r="732">
          <cell r="D732" t="str">
            <v>N-02-14</v>
          </cell>
          <cell r="E732" t="str">
            <v xml:space="preserve">Tramadol </v>
          </cell>
          <cell r="F732" t="str">
            <v>Inyectable</v>
          </cell>
          <cell r="G732" t="str">
            <v>100 mg/2 ml</v>
          </cell>
          <cell r="H732" t="str">
            <v>N02AX02</v>
          </cell>
          <cell r="I732"/>
          <cell r="J732">
            <v>9.1</v>
          </cell>
          <cell r="K732"/>
        </row>
        <row r="733">
          <cell r="D733" t="str">
            <v>N-02-17</v>
          </cell>
          <cell r="E733" t="str">
            <v xml:space="preserve">Tramadol </v>
          </cell>
          <cell r="F733" t="str">
            <v>Solución para gotas orales</v>
          </cell>
          <cell r="G733" t="str">
            <v>100 mg/ml</v>
          </cell>
          <cell r="H733" t="str">
            <v>N02AX02</v>
          </cell>
          <cell r="I733"/>
          <cell r="J733">
            <v>55.191666666666663</v>
          </cell>
          <cell r="K733"/>
        </row>
        <row r="734">
          <cell r="D734" t="str">
            <v>L-01-42</v>
          </cell>
          <cell r="E734" t="str">
            <v>Trastuzumab</v>
          </cell>
          <cell r="F734" t="str">
            <v>Inyectable</v>
          </cell>
          <cell r="G734" t="str">
            <v>440 mg</v>
          </cell>
          <cell r="H734" t="str">
            <v>L01XC03</v>
          </cell>
          <cell r="I734" t="str">
            <v>R</v>
          </cell>
          <cell r="J734">
            <v>5500</v>
          </cell>
          <cell r="K734" t="str">
            <v>20 ML</v>
          </cell>
        </row>
        <row r="735">
          <cell r="D735" t="str">
            <v>L-01-43</v>
          </cell>
          <cell r="E735" t="str">
            <v>Trastuzumab</v>
          </cell>
          <cell r="F735" t="str">
            <v>Inyectable</v>
          </cell>
          <cell r="G735" t="str">
            <v>600 mg</v>
          </cell>
          <cell r="H735" t="str">
            <v>L01XC03</v>
          </cell>
          <cell r="I735" t="str">
            <v>R</v>
          </cell>
          <cell r="J735">
            <v>15835.36</v>
          </cell>
          <cell r="K735" t="str">
            <v>5 ML</v>
          </cell>
        </row>
        <row r="736">
          <cell r="D736" t="str">
            <v>P-02-12</v>
          </cell>
          <cell r="E736" t="str">
            <v>Triclabendazol</v>
          </cell>
          <cell r="F736" t="str">
            <v>Comprimido</v>
          </cell>
          <cell r="G736" t="str">
            <v>250 mg</v>
          </cell>
          <cell r="H736" t="str">
            <v>P02BX04</v>
          </cell>
          <cell r="I736"/>
          <cell r="J736">
            <v>343.15</v>
          </cell>
          <cell r="K736"/>
        </row>
        <row r="737">
          <cell r="D737" t="str">
            <v>L-02-07</v>
          </cell>
          <cell r="E737" t="str">
            <v>Triptorelina</v>
          </cell>
          <cell r="F737" t="str">
            <v>Inyectable</v>
          </cell>
          <cell r="G737" t="str">
            <v>11,25 mg</v>
          </cell>
          <cell r="H737" t="str">
            <v>L02AE04</v>
          </cell>
          <cell r="I737"/>
          <cell r="J737">
            <v>4759.181818181818</v>
          </cell>
          <cell r="K737"/>
        </row>
        <row r="738">
          <cell r="D738" t="str">
            <v>L-02-08</v>
          </cell>
          <cell r="E738" t="str">
            <v>Triptorelina</v>
          </cell>
          <cell r="F738" t="str">
            <v>Inyectable</v>
          </cell>
          <cell r="G738" t="str">
            <v>22,5 mg</v>
          </cell>
          <cell r="H738" t="str">
            <v>L02AE04</v>
          </cell>
          <cell r="I738" t="str">
            <v>R</v>
          </cell>
          <cell r="J738">
            <v>9380.1990000000005</v>
          </cell>
          <cell r="K738"/>
        </row>
        <row r="739">
          <cell r="D739" t="str">
            <v>D-03-01</v>
          </cell>
          <cell r="E739" t="str">
            <v xml:space="preserve">Trolamina </v>
          </cell>
          <cell r="F739" t="str">
            <v>Emulsión dermica</v>
          </cell>
          <cell r="G739" t="str">
            <v>0,67%</v>
          </cell>
          <cell r="H739" t="str">
            <v>D03AX12</v>
          </cell>
          <cell r="I739" t="str">
            <v>R</v>
          </cell>
          <cell r="J739">
            <v>183</v>
          </cell>
          <cell r="K739"/>
        </row>
        <row r="740">
          <cell r="D740" t="str">
            <v>S-01-23</v>
          </cell>
          <cell r="E740" t="str">
            <v>Tropicamida</v>
          </cell>
          <cell r="F740" t="str">
            <v>Solución oftálmica</v>
          </cell>
          <cell r="G740">
            <v>0.01</v>
          </cell>
          <cell r="H740" t="str">
            <v>S01FA06</v>
          </cell>
          <cell r="I740"/>
          <cell r="J740">
            <v>82.45</v>
          </cell>
          <cell r="K740"/>
        </row>
        <row r="741">
          <cell r="D741" t="str">
            <v>D-02-03</v>
          </cell>
          <cell r="E741" t="str">
            <v>Ungüento dérmico eucalipto mentol</v>
          </cell>
          <cell r="F741" t="str">
            <v>Ungüento o crema</v>
          </cell>
          <cell r="G741" t="str">
            <v>Según disponibilidad</v>
          </cell>
          <cell r="H741" t="str">
            <v>D02AX**</v>
          </cell>
          <cell r="I741"/>
          <cell r="J741">
            <v>6.855075757575757</v>
          </cell>
          <cell r="K741"/>
        </row>
        <row r="742">
          <cell r="D742" t="str">
            <v>J-07-02</v>
          </cell>
          <cell r="E742" t="str">
            <v>Vacuna antiamarílica</v>
          </cell>
          <cell r="F742" t="str">
            <v>Inyectable</v>
          </cell>
          <cell r="G742" t="str">
            <v>Norma PAI (20 dosis)</v>
          </cell>
          <cell r="H742" t="str">
            <v>J07BL01</v>
          </cell>
          <cell r="I742"/>
          <cell r="J742">
            <v>10.14</v>
          </cell>
          <cell r="K742"/>
        </row>
        <row r="743">
          <cell r="D743" t="str">
            <v>J-07-03</v>
          </cell>
          <cell r="E743" t="str">
            <v>Vacuna antiamarílica</v>
          </cell>
          <cell r="F743" t="str">
            <v>Inyectable</v>
          </cell>
          <cell r="G743" t="str">
            <v>Norma PAI (10 dosis)</v>
          </cell>
          <cell r="H743" t="str">
            <v>J07BL01</v>
          </cell>
          <cell r="I743"/>
          <cell r="J743">
            <v>9.89</v>
          </cell>
          <cell r="K743"/>
        </row>
        <row r="744">
          <cell r="D744" t="str">
            <v>J-07-04</v>
          </cell>
          <cell r="E744" t="str">
            <v>Vacuna antiamarílica</v>
          </cell>
          <cell r="F744" t="str">
            <v>Inyectable</v>
          </cell>
          <cell r="G744" t="str">
            <v>Norma PAI (5 dosis)</v>
          </cell>
          <cell r="H744" t="str">
            <v>J07BL01</v>
          </cell>
          <cell r="I744"/>
          <cell r="J744">
            <v>8.75</v>
          </cell>
          <cell r="K744"/>
        </row>
        <row r="745">
          <cell r="D745" t="str">
            <v>J-07-05</v>
          </cell>
          <cell r="E745" t="str">
            <v>Vacuna antihepatitis B</v>
          </cell>
          <cell r="F745" t="str">
            <v>Inyectable</v>
          </cell>
          <cell r="G745" t="str">
            <v>Norma PAI</v>
          </cell>
          <cell r="H745" t="str">
            <v>J07BC01</v>
          </cell>
          <cell r="I745"/>
          <cell r="J745">
            <v>2.96</v>
          </cell>
          <cell r="K745"/>
        </row>
        <row r="746">
          <cell r="D746" t="str">
            <v>J-07-22</v>
          </cell>
          <cell r="E746" t="str">
            <v>Vacuna antineumococo  (13 valente)</v>
          </cell>
          <cell r="F746" t="str">
            <v>Inyectable</v>
          </cell>
          <cell r="G746" t="str">
            <v>Norma PAI (Unidosis)</v>
          </cell>
          <cell r="H746" t="str">
            <v>J07AL02</v>
          </cell>
          <cell r="I746"/>
          <cell r="J746">
            <v>63.46</v>
          </cell>
          <cell r="K746"/>
        </row>
        <row r="747">
          <cell r="D747" t="str">
            <v>J-07-23</v>
          </cell>
          <cell r="E747" t="str">
            <v>Vacuna antipoliomielítica bivalente</v>
          </cell>
          <cell r="F747" t="str">
            <v>Solución oral</v>
          </cell>
          <cell r="G747" t="str">
            <v xml:space="preserve">Norma PAI </v>
          </cell>
          <cell r="H747" t="str">
            <v>J07BF04</v>
          </cell>
          <cell r="I747"/>
          <cell r="J747">
            <v>1.1299999999999999</v>
          </cell>
          <cell r="K747"/>
        </row>
        <row r="748">
          <cell r="D748" t="str">
            <v>J-07-24</v>
          </cell>
          <cell r="E748" t="str">
            <v>Vacuna antipoliomielítica inactivada</v>
          </cell>
          <cell r="F748" t="str">
            <v>Inyectable</v>
          </cell>
          <cell r="G748" t="str">
            <v>Norma PAI</v>
          </cell>
          <cell r="H748" t="str">
            <v>J07BF03 </v>
          </cell>
          <cell r="I748"/>
          <cell r="J748">
            <v>17.22</v>
          </cell>
          <cell r="K748"/>
        </row>
        <row r="749">
          <cell r="D749" t="str">
            <v>J-07-18</v>
          </cell>
          <cell r="E749" t="str">
            <v>Vacuna Antirotavírica</v>
          </cell>
          <cell r="F749" t="str">
            <v>Solución oral</v>
          </cell>
          <cell r="G749" t="str">
            <v>Norma PAI Multidosis</v>
          </cell>
          <cell r="H749" t="str">
            <v>J07BH01</v>
          </cell>
          <cell r="I749"/>
          <cell r="J749">
            <v>66.53</v>
          </cell>
          <cell r="K749"/>
        </row>
        <row r="750">
          <cell r="D750" t="str">
            <v>J-07-19</v>
          </cell>
          <cell r="E750" t="str">
            <v>Vacuna Antirotavírica</v>
          </cell>
          <cell r="F750" t="str">
            <v>Solución oral</v>
          </cell>
          <cell r="G750" t="str">
            <v>Norma PAI (Unidosis)</v>
          </cell>
          <cell r="H750" t="str">
            <v>J07BH01</v>
          </cell>
          <cell r="I750"/>
          <cell r="J750">
            <v>58.93</v>
          </cell>
          <cell r="K750"/>
        </row>
        <row r="751">
          <cell r="D751" t="str">
            <v>J-07-08</v>
          </cell>
          <cell r="E751" t="str">
            <v>Vacuna Antirrábica</v>
          </cell>
          <cell r="F751" t="str">
            <v>Inyectable</v>
          </cell>
          <cell r="G751" t="str">
            <v>1 UI/ml</v>
          </cell>
          <cell r="H751" t="str">
            <v>J07BG01</v>
          </cell>
          <cell r="I751"/>
          <cell r="J751">
            <v>70</v>
          </cell>
          <cell r="K751" t="str">
            <v>10 dósis</v>
          </cell>
        </row>
        <row r="752">
          <cell r="D752" t="str">
            <v>J-07-25</v>
          </cell>
          <cell r="E752" t="str">
            <v>Vacuna Antirrábica de uso Humano (Cultivo Celular)</v>
          </cell>
          <cell r="F752" t="str">
            <v>Inyectable</v>
          </cell>
          <cell r="G752" t="str">
            <v>2,5 U.I./0,5 ml</v>
          </cell>
          <cell r="H752" t="str">
            <v>J07BG01</v>
          </cell>
          <cell r="I752"/>
          <cell r="J752">
            <v>283.3</v>
          </cell>
          <cell r="K752"/>
        </row>
        <row r="753">
          <cell r="D753" t="str">
            <v>J-07-11</v>
          </cell>
          <cell r="E753" t="str">
            <v>Vacuna BCG</v>
          </cell>
          <cell r="F753" t="str">
            <v>Inyectable</v>
          </cell>
          <cell r="G753" t="str">
            <v>Norma PAI</v>
          </cell>
          <cell r="H753" t="str">
            <v>J07AN01</v>
          </cell>
          <cell r="I753"/>
          <cell r="J753">
            <v>1.31</v>
          </cell>
          <cell r="K753"/>
        </row>
        <row r="754">
          <cell r="D754" t="str">
            <v>J-07-27</v>
          </cell>
          <cell r="E754" t="str">
            <v>Vacuna contra COVID-19</v>
          </cell>
          <cell r="F754" t="str">
            <v>Inyectable</v>
          </cell>
          <cell r="G754" t="str">
            <v>Norma PAI</v>
          </cell>
          <cell r="H754" t="str">
            <v>J07BX03</v>
          </cell>
          <cell r="I754"/>
          <cell r="J754" t="str">
            <v>SPR</v>
          </cell>
          <cell r="K754"/>
        </row>
        <row r="755">
          <cell r="D755" t="str">
            <v>J-07-21</v>
          </cell>
          <cell r="E755" t="str">
            <v>Vacuna contra Influenza (Adulto)</v>
          </cell>
          <cell r="F755" t="str">
            <v>Inyectable</v>
          </cell>
          <cell r="G755" t="str">
            <v>Norma PAI (10 dosis)</v>
          </cell>
          <cell r="H755" t="str">
            <v>J07BB</v>
          </cell>
          <cell r="I755"/>
          <cell r="J755">
            <v>25.38</v>
          </cell>
          <cell r="K755"/>
        </row>
        <row r="756">
          <cell r="D756" t="str">
            <v>J-07-20</v>
          </cell>
          <cell r="E756" t="str">
            <v>Vacuna contra Influenza (Pediátrica)</v>
          </cell>
          <cell r="F756" t="str">
            <v>Inyectable</v>
          </cell>
          <cell r="G756" t="str">
            <v>Norma PAI (10 dosis)</v>
          </cell>
          <cell r="H756" t="str">
            <v>J07BB</v>
          </cell>
          <cell r="I756"/>
          <cell r="J756">
            <v>12.69</v>
          </cell>
          <cell r="K756"/>
        </row>
        <row r="757">
          <cell r="D757" t="str">
            <v>J-07-26</v>
          </cell>
          <cell r="E757" t="str">
            <v>Vacuna cuadrivalente recombinante contra el Virus del Papiloma Humano</v>
          </cell>
          <cell r="F757" t="str">
            <v>Inyectable</v>
          </cell>
          <cell r="G757" t="str">
            <v>Norma PAI</v>
          </cell>
          <cell r="H757" t="str">
            <v>J07BM01</v>
          </cell>
          <cell r="I757"/>
          <cell r="J757">
            <v>40.79</v>
          </cell>
          <cell r="K757"/>
        </row>
        <row r="758">
          <cell r="D758" t="str">
            <v>J-07-12</v>
          </cell>
          <cell r="E758" t="str">
            <v>Vacuna doble dT (difteria, Tétanos)</v>
          </cell>
          <cell r="F758" t="str">
            <v>Inyectable</v>
          </cell>
          <cell r="G758" t="str">
            <v>Norma PAI</v>
          </cell>
          <cell r="H758" t="str">
            <v>J07AM51</v>
          </cell>
          <cell r="I758"/>
          <cell r="J758">
            <v>1</v>
          </cell>
          <cell r="K758"/>
        </row>
        <row r="759">
          <cell r="D759" t="str">
            <v>J-07-13</v>
          </cell>
          <cell r="E759" t="str">
            <v>Vacuna pentavalente (DPT + Hep. B + H. Influenzae B)</v>
          </cell>
          <cell r="F759" t="str">
            <v>Inyectable</v>
          </cell>
          <cell r="G759" t="str">
            <v>Norma PAI</v>
          </cell>
          <cell r="H759" t="str">
            <v>J07X**</v>
          </cell>
          <cell r="I759"/>
          <cell r="J759">
            <v>19.04</v>
          </cell>
          <cell r="K759"/>
        </row>
        <row r="760">
          <cell r="D760" t="str">
            <v>J-07-14</v>
          </cell>
          <cell r="E760" t="str">
            <v>Vacuna SR (Sarampión, Rubeola)</v>
          </cell>
          <cell r="F760" t="str">
            <v>Inyectable</v>
          </cell>
          <cell r="G760" t="str">
            <v>Norma PAI</v>
          </cell>
          <cell r="H760" t="str">
            <v>J07BD53</v>
          </cell>
          <cell r="I760"/>
          <cell r="J760">
            <v>20.399999999999999</v>
          </cell>
          <cell r="K760"/>
        </row>
        <row r="761">
          <cell r="D761" t="str">
            <v>J-07-15</v>
          </cell>
          <cell r="E761" t="str">
            <v>Vacuna SRP (Sarampión, Rubeola; Paperas)</v>
          </cell>
          <cell r="F761" t="str">
            <v>Inyectable</v>
          </cell>
          <cell r="G761" t="str">
            <v>Norma PAI Multidosis</v>
          </cell>
          <cell r="H761" t="str">
            <v>J07BD01</v>
          </cell>
          <cell r="I761"/>
          <cell r="J761">
            <v>11.66</v>
          </cell>
          <cell r="K761"/>
        </row>
        <row r="762">
          <cell r="D762" t="str">
            <v>J-07-16</v>
          </cell>
          <cell r="E762" t="str">
            <v>Vacuna SRP (Sarampión, Rubeola; Paperas)</v>
          </cell>
          <cell r="F762" t="str">
            <v>Inyectable</v>
          </cell>
          <cell r="G762" t="str">
            <v>Norma PAI (Unidosis)</v>
          </cell>
          <cell r="H762" t="str">
            <v>J07BD01</v>
          </cell>
          <cell r="I762"/>
          <cell r="J762">
            <v>21.48</v>
          </cell>
          <cell r="K762"/>
        </row>
        <row r="763">
          <cell r="D763" t="str">
            <v>J-07-17</v>
          </cell>
          <cell r="E763" t="str">
            <v>Vacuna Triple DPT (Difteria, Pertusis, Tetanos)</v>
          </cell>
          <cell r="F763" t="str">
            <v>Inyectable</v>
          </cell>
          <cell r="G763" t="str">
            <v>Norma PAI</v>
          </cell>
          <cell r="H763" t="str">
            <v>J07X**</v>
          </cell>
          <cell r="I763"/>
          <cell r="J763">
            <v>2.0299999999999998</v>
          </cell>
          <cell r="K763"/>
        </row>
        <row r="764">
          <cell r="D764" t="str">
            <v>J-05-29</v>
          </cell>
          <cell r="E764" t="str">
            <v>Valganciclovir</v>
          </cell>
          <cell r="F764" t="str">
            <v>Comprimido</v>
          </cell>
          <cell r="G764" t="str">
            <v>450 mg</v>
          </cell>
          <cell r="H764" t="str">
            <v>J05AB14</v>
          </cell>
          <cell r="I764" t="str">
            <v>R</v>
          </cell>
          <cell r="J764">
            <v>300.48</v>
          </cell>
          <cell r="K764"/>
        </row>
        <row r="765">
          <cell r="D765" t="str">
            <v>J-01-55</v>
          </cell>
          <cell r="E765" t="str">
            <v>Vancomicina</v>
          </cell>
          <cell r="F765" t="str">
            <v>Inyectable</v>
          </cell>
          <cell r="G765" t="str">
            <v>500 mg</v>
          </cell>
          <cell r="H765" t="str">
            <v>J01XA01</v>
          </cell>
          <cell r="I765" t="str">
            <v>R</v>
          </cell>
          <cell r="J765">
            <v>25.89</v>
          </cell>
          <cell r="K765"/>
        </row>
        <row r="766">
          <cell r="D766" t="str">
            <v>D-02-04</v>
          </cell>
          <cell r="E766" t="str">
            <v>Vaselina liquida</v>
          </cell>
          <cell r="F766" t="str">
            <v>Solución 1 l</v>
          </cell>
          <cell r="G766" t="str">
            <v xml:space="preserve">Según disponibilidad </v>
          </cell>
          <cell r="H766" t="str">
            <v>D02AC**</v>
          </cell>
          <cell r="I766"/>
          <cell r="J766">
            <v>55.33</v>
          </cell>
          <cell r="K766" t="str">
            <v>1 L</v>
          </cell>
        </row>
        <row r="767">
          <cell r="D767" t="str">
            <v>D-02-05</v>
          </cell>
          <cell r="E767" t="str">
            <v>Vaselina sólida</v>
          </cell>
          <cell r="F767" t="str">
            <v>Pasta 1 kg</v>
          </cell>
          <cell r="G767" t="str">
            <v>Según disponibilidad</v>
          </cell>
          <cell r="H767" t="str">
            <v>D02AC**</v>
          </cell>
          <cell r="I767"/>
          <cell r="J767">
            <v>60</v>
          </cell>
          <cell r="K767"/>
        </row>
        <row r="768">
          <cell r="D768" t="str">
            <v>C-08-04</v>
          </cell>
          <cell r="E768" t="str">
            <v>Verapamilo</v>
          </cell>
          <cell r="F768" t="str">
            <v>Comprimido</v>
          </cell>
          <cell r="G768" t="str">
            <v>80 mg</v>
          </cell>
          <cell r="H768" t="str">
            <v>C08DA01</v>
          </cell>
          <cell r="I768"/>
          <cell r="J768">
            <v>0.6</v>
          </cell>
          <cell r="K768"/>
        </row>
        <row r="769">
          <cell r="D769" t="str">
            <v>C-08-05</v>
          </cell>
          <cell r="E769" t="str">
            <v>Verapamilo</v>
          </cell>
          <cell r="F769" t="str">
            <v>Inyectable</v>
          </cell>
          <cell r="G769" t="str">
            <v>2,5 mg/ml</v>
          </cell>
          <cell r="H769" t="str">
            <v>C08DA01</v>
          </cell>
          <cell r="I769"/>
          <cell r="J769">
            <v>28.11</v>
          </cell>
          <cell r="K769"/>
        </row>
        <row r="770">
          <cell r="D770" t="str">
            <v>C-08-06</v>
          </cell>
          <cell r="E770" t="str">
            <v>Verapamilo</v>
          </cell>
          <cell r="F770" t="str">
            <v>Comprimido</v>
          </cell>
          <cell r="G770" t="str">
            <v>40 mg</v>
          </cell>
          <cell r="H770" t="str">
            <v>C08DA01</v>
          </cell>
          <cell r="I770"/>
          <cell r="J770">
            <v>0.61</v>
          </cell>
          <cell r="K770"/>
        </row>
        <row r="771">
          <cell r="D771" t="str">
            <v>L-01-39</v>
          </cell>
          <cell r="E771" t="str">
            <v>Vinblastina</v>
          </cell>
          <cell r="F771" t="str">
            <v>Inyectable</v>
          </cell>
          <cell r="G771" t="str">
            <v>10 mg</v>
          </cell>
          <cell r="H771" t="str">
            <v>L01CA01</v>
          </cell>
          <cell r="I771"/>
          <cell r="J771">
            <v>310.5</v>
          </cell>
          <cell r="K771"/>
        </row>
        <row r="772">
          <cell r="D772" t="str">
            <v>L-01-30</v>
          </cell>
          <cell r="E772" t="str">
            <v>Vincristina</v>
          </cell>
          <cell r="F772" t="str">
            <v>Inyectable</v>
          </cell>
          <cell r="G772" t="str">
            <v>1 mg/ml</v>
          </cell>
          <cell r="H772" t="str">
            <v>L01CA02</v>
          </cell>
          <cell r="I772"/>
          <cell r="J772">
            <v>64.926666666666662</v>
          </cell>
          <cell r="K772" t="str">
            <v xml:space="preserve">1 ML </v>
          </cell>
        </row>
        <row r="773">
          <cell r="D773" t="str">
            <v>L-01-31</v>
          </cell>
          <cell r="E773" t="str">
            <v>Vinorelbina</v>
          </cell>
          <cell r="F773" t="str">
            <v>Inyectable</v>
          </cell>
          <cell r="G773" t="str">
            <v>50 mg</v>
          </cell>
          <cell r="H773" t="str">
            <v>L01CA04</v>
          </cell>
          <cell r="I773"/>
          <cell r="J773">
            <v>855</v>
          </cell>
          <cell r="K773"/>
        </row>
        <row r="774">
          <cell r="D774" t="str">
            <v>D-01-07</v>
          </cell>
          <cell r="E774" t="str">
            <v>Violeta de genciana (Cloruro de metilrosanilina)</v>
          </cell>
          <cell r="F774" t="str">
            <v>Solución</v>
          </cell>
          <cell r="G774">
            <v>0.01</v>
          </cell>
          <cell r="H774" t="str">
            <v>D01AE02</v>
          </cell>
          <cell r="I774"/>
          <cell r="J774">
            <v>2.85</v>
          </cell>
          <cell r="K774" t="str">
            <v>30 ML</v>
          </cell>
        </row>
        <row r="775">
          <cell r="D775" t="str">
            <v>J-02-09</v>
          </cell>
          <cell r="E775" t="str">
            <v>Voriconazol</v>
          </cell>
          <cell r="F775" t="str">
            <v>Polvo para inyectable</v>
          </cell>
          <cell r="G775" t="str">
            <v>200 mg</v>
          </cell>
          <cell r="H775" t="str">
            <v>J02AC03</v>
          </cell>
          <cell r="I775" t="str">
            <v>R</v>
          </cell>
          <cell r="J775">
            <v>600</v>
          </cell>
          <cell r="K775"/>
        </row>
        <row r="776">
          <cell r="D776" t="str">
            <v>B-01-05</v>
          </cell>
          <cell r="E776" t="str">
            <v>Warfarina</v>
          </cell>
          <cell r="F776" t="str">
            <v>Comprimido ranurado</v>
          </cell>
          <cell r="G776" t="str">
            <v>5 mg</v>
          </cell>
          <cell r="H776" t="str">
            <v>B01AA03</v>
          </cell>
          <cell r="I776"/>
          <cell r="J776">
            <v>0.77013888888888893</v>
          </cell>
          <cell r="K776"/>
        </row>
        <row r="777">
          <cell r="D777" t="str">
            <v>J-05-24</v>
          </cell>
          <cell r="E777" t="str">
            <v>Zidovudina</v>
          </cell>
          <cell r="F777" t="str">
            <v>Inyectable</v>
          </cell>
          <cell r="G777" t="str">
            <v>10 mg/ml</v>
          </cell>
          <cell r="H777" t="str">
            <v>J05AF01</v>
          </cell>
          <cell r="I777"/>
          <cell r="J777">
            <v>88.33</v>
          </cell>
          <cell r="K777"/>
        </row>
        <row r="778">
          <cell r="D778" t="str">
            <v>J-05-25</v>
          </cell>
          <cell r="E778" t="str">
            <v>Zidovudina</v>
          </cell>
          <cell r="F778" t="str">
            <v>Suspensión oral</v>
          </cell>
          <cell r="G778" t="str">
            <v>10 mg/ml</v>
          </cell>
          <cell r="H778" t="str">
            <v>J05AF01</v>
          </cell>
          <cell r="I778"/>
          <cell r="J778">
            <v>42.064999999999998</v>
          </cell>
          <cell r="K778"/>
        </row>
        <row r="779">
          <cell r="D779" t="str">
            <v>J-05-27</v>
          </cell>
          <cell r="E779" t="str">
            <v>Zidovudina + Lamivudina</v>
          </cell>
          <cell r="F779" t="str">
            <v>Comprimido</v>
          </cell>
          <cell r="G779" t="str">
            <v>300 mg + 150 mg</v>
          </cell>
          <cell r="H779" t="str">
            <v>J05AF30</v>
          </cell>
          <cell r="I779"/>
          <cell r="J779">
            <v>1.48</v>
          </cell>
          <cell r="K779"/>
        </row>
        <row r="780">
          <cell r="D780" t="str">
            <v>A-12-05</v>
          </cell>
          <cell r="E780" t="str">
            <v>Zinc (como sulfato)</v>
          </cell>
          <cell r="F780" t="str">
            <v>Jarabe</v>
          </cell>
          <cell r="G780" t="str">
            <v xml:space="preserve">20 mg/5 ml </v>
          </cell>
          <cell r="H780" t="str">
            <v>A12CB01</v>
          </cell>
          <cell r="I780"/>
          <cell r="J780">
            <v>15.23</v>
          </cell>
          <cell r="K780"/>
        </row>
        <row r="781">
          <cell r="D781" t="str">
            <v>A-12-06</v>
          </cell>
          <cell r="E781" t="str">
            <v>Zinc (como sulfato)</v>
          </cell>
          <cell r="F781" t="str">
            <v>Comprimido</v>
          </cell>
          <cell r="G781" t="str">
            <v>20 mg</v>
          </cell>
          <cell r="H781" t="str">
            <v>A12CB01</v>
          </cell>
          <cell r="I781"/>
          <cell r="J781">
            <v>0.65</v>
          </cell>
          <cell r="K781"/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D1" t="str">
            <v>Codigo</v>
          </cell>
          <cell r="E1" t="str">
            <v>Medicamento</v>
          </cell>
          <cell r="F1" t="str">
            <v>Forma Farmacéutica</v>
          </cell>
          <cell r="G1" t="str">
            <v>Concentración</v>
          </cell>
          <cell r="H1" t="str">
            <v>Clasific. A.T.Q.</v>
          </cell>
          <cell r="I1" t="str">
            <v>Uso Restrin- gido</v>
          </cell>
          <cell r="J1" t="str">
            <v>Precio Referencial Junio
2024</v>
          </cell>
          <cell r="K1" t="str">
            <v>Precio Referencial Noviembre
2024</v>
          </cell>
          <cell r="L1" t="str">
            <v>Precio Referencial Abril
2025</v>
          </cell>
          <cell r="M1" t="str">
            <v>Precio Referencial Mayo
2025</v>
          </cell>
          <cell r="N1" t="str">
            <v>Precio Referencial Junio
2025</v>
          </cell>
          <cell r="O1" t="str">
            <v>Aclaración de Particularidades</v>
          </cell>
        </row>
        <row r="2">
          <cell r="D2" t="str">
            <v>B-05-02</v>
          </cell>
          <cell r="E2" t="str">
            <v>Albúmina humana</v>
          </cell>
          <cell r="F2" t="str">
            <v>Inyectable</v>
          </cell>
          <cell r="G2">
            <v>0.2</v>
          </cell>
          <cell r="H2" t="str">
            <v>B05AA01</v>
          </cell>
          <cell r="I2"/>
          <cell r="J2">
            <v>305</v>
          </cell>
          <cell r="K2">
            <v>550</v>
          </cell>
          <cell r="L2">
            <v>550</v>
          </cell>
          <cell r="M2">
            <v>550</v>
          </cell>
          <cell r="N2">
            <v>756</v>
          </cell>
          <cell r="O2"/>
        </row>
        <row r="3">
          <cell r="D3" t="str">
            <v>N-03-01</v>
          </cell>
          <cell r="E3" t="str">
            <v>Ácido Valpróico ó Valproato sódico</v>
          </cell>
          <cell r="F3" t="str">
            <v>Jarabe o Solución oral</v>
          </cell>
          <cell r="G3" t="str">
            <v>200 mg/5 ml</v>
          </cell>
          <cell r="H3" t="str">
            <v>N03AG01</v>
          </cell>
          <cell r="I3"/>
          <cell r="J3">
            <v>73.104666666666674</v>
          </cell>
          <cell r="K3">
            <v>73.104666666666674</v>
          </cell>
          <cell r="L3">
            <v>113.39601593625498</v>
          </cell>
          <cell r="M3">
            <v>113.39601593625498</v>
          </cell>
          <cell r="N3">
            <v>113.39601593625498</v>
          </cell>
          <cell r="O3" t="str">
            <v>40 ML</v>
          </cell>
        </row>
        <row r="4">
          <cell r="D4" t="str">
            <v>N-01-13</v>
          </cell>
          <cell r="E4" t="str">
            <v>Propofol</v>
          </cell>
          <cell r="F4" t="str">
            <v>Inyectable</v>
          </cell>
          <cell r="G4" t="str">
            <v>10 mg/ml</v>
          </cell>
          <cell r="H4" t="str">
            <v>N01AX10</v>
          </cell>
          <cell r="I4"/>
          <cell r="J4">
            <v>41.008095238095244</v>
          </cell>
          <cell r="K4">
            <v>41.008095238095244</v>
          </cell>
          <cell r="L4">
            <v>74.318595139920291</v>
          </cell>
          <cell r="M4">
            <v>74.318595139920291</v>
          </cell>
          <cell r="N4">
            <v>74.318595139920291</v>
          </cell>
          <cell r="O4" t="str">
            <v>20 ML</v>
          </cell>
        </row>
        <row r="5">
          <cell r="D5" t="str">
            <v>S-01-18</v>
          </cell>
          <cell r="E5" t="str">
            <v>Lágrimas artificiales</v>
          </cell>
          <cell r="F5" t="str">
            <v>Solución oftálmica</v>
          </cell>
          <cell r="G5" t="str">
            <v>0,3% o 1%</v>
          </cell>
          <cell r="H5" t="str">
            <v>S01XA20</v>
          </cell>
          <cell r="I5"/>
          <cell r="J5">
            <v>21.9</v>
          </cell>
          <cell r="K5">
            <v>21.9</v>
          </cell>
          <cell r="L5">
            <v>21.9</v>
          </cell>
          <cell r="M5">
            <v>48.027437567331262</v>
          </cell>
          <cell r="N5">
            <v>48.027437567331262</v>
          </cell>
          <cell r="O5"/>
        </row>
        <row r="6">
          <cell r="D6" t="str">
            <v>A-02-05</v>
          </cell>
          <cell r="E6" t="str">
            <v>Omeprazol</v>
          </cell>
          <cell r="F6" t="str">
            <v>Inyectable</v>
          </cell>
          <cell r="G6" t="str">
            <v>40 mg/ml</v>
          </cell>
          <cell r="H6" t="str">
            <v>A02BC01</v>
          </cell>
          <cell r="I6"/>
          <cell r="J6">
            <v>14.006008852258852</v>
          </cell>
          <cell r="K6">
            <v>14.006008852258852</v>
          </cell>
          <cell r="L6">
            <v>14.006008852258852</v>
          </cell>
          <cell r="M6">
            <v>29.97</v>
          </cell>
          <cell r="N6">
            <v>29.97</v>
          </cell>
          <cell r="O6" t="str">
            <v>10 ML</v>
          </cell>
        </row>
        <row r="7">
          <cell r="D7" t="str">
            <v>A-11-19</v>
          </cell>
          <cell r="E7" t="str">
            <v>Tocoferol (Vitamina E)</v>
          </cell>
          <cell r="F7" t="str">
            <v>Cápsula blanda</v>
          </cell>
          <cell r="G7" t="str">
            <v>1.000 UI</v>
          </cell>
          <cell r="H7" t="str">
            <v>A11HA03</v>
          </cell>
          <cell r="I7"/>
          <cell r="J7">
            <v>1.6390384615384619</v>
          </cell>
          <cell r="K7">
            <v>1.6390384615384619</v>
          </cell>
          <cell r="L7">
            <v>3.1143753141740995</v>
          </cell>
          <cell r="M7">
            <v>3.1143753141740995</v>
          </cell>
          <cell r="N7">
            <v>3.1143753141740995</v>
          </cell>
          <cell r="O7"/>
        </row>
        <row r="8">
          <cell r="D8" t="str">
            <v>L-01-42</v>
          </cell>
          <cell r="E8" t="str">
            <v>Trastuzumab</v>
          </cell>
          <cell r="F8" t="str">
            <v>Inyectable</v>
          </cell>
          <cell r="G8" t="str">
            <v>440 mg</v>
          </cell>
          <cell r="H8" t="str">
            <v>L01XC03</v>
          </cell>
          <cell r="I8" t="str">
            <v>R</v>
          </cell>
          <cell r="J8">
            <v>5500</v>
          </cell>
          <cell r="K8">
            <v>5500</v>
          </cell>
          <cell r="L8">
            <v>9000</v>
          </cell>
          <cell r="M8">
            <v>9000</v>
          </cell>
          <cell r="N8">
            <v>15835.36</v>
          </cell>
          <cell r="O8" t="str">
            <v>20 ML</v>
          </cell>
        </row>
        <row r="9">
          <cell r="D9" t="str">
            <v>L-01-58</v>
          </cell>
          <cell r="E9" t="str">
            <v>Pertuzumab</v>
          </cell>
          <cell r="F9" t="str">
            <v>Inyectable</v>
          </cell>
          <cell r="G9" t="str">
            <v>420 mg/14 ml</v>
          </cell>
          <cell r="H9" t="str">
            <v>L01XC13</v>
          </cell>
          <cell r="I9" t="str">
            <v>R</v>
          </cell>
          <cell r="J9">
            <v>18792</v>
          </cell>
          <cell r="K9">
            <v>18792</v>
          </cell>
          <cell r="L9">
            <v>25954.75</v>
          </cell>
          <cell r="M9">
            <v>25954.75</v>
          </cell>
          <cell r="N9">
            <v>25954.75</v>
          </cell>
          <cell r="O9"/>
        </row>
        <row r="10">
          <cell r="D10" t="str">
            <v>B-02-08</v>
          </cell>
          <cell r="E10" t="str">
            <v xml:space="preserve">Fibrinógeno humano </v>
          </cell>
          <cell r="F10" t="str">
            <v>Inyectable</v>
          </cell>
          <cell r="G10" t="str">
            <v>1g</v>
          </cell>
          <cell r="H10" t="str">
            <v>B02BB01</v>
          </cell>
          <cell r="I10" t="str">
            <v>R</v>
          </cell>
          <cell r="J10">
            <v>5800</v>
          </cell>
          <cell r="K10">
            <v>5800</v>
          </cell>
          <cell r="L10">
            <v>8990</v>
          </cell>
          <cell r="M10">
            <v>8990</v>
          </cell>
          <cell r="N10">
            <v>8990</v>
          </cell>
          <cell r="O10"/>
        </row>
        <row r="11">
          <cell r="D11" t="str">
            <v>L-01-61</v>
          </cell>
          <cell r="E11" t="str">
            <v>Pegaspargasa</v>
          </cell>
          <cell r="F11" t="str">
            <v>Plegable Frasco Vial</v>
          </cell>
          <cell r="G11" t="str">
            <v xml:space="preserve">750 mg/ml </v>
          </cell>
          <cell r="H11" t="str">
            <v>L01XX24</v>
          </cell>
          <cell r="I11" t="str">
            <v>R</v>
          </cell>
          <cell r="J11">
            <v>7350</v>
          </cell>
          <cell r="K11">
            <v>7350</v>
          </cell>
          <cell r="L11">
            <v>9500</v>
          </cell>
          <cell r="M11">
            <v>9500</v>
          </cell>
          <cell r="N11">
            <v>9500</v>
          </cell>
          <cell r="O11"/>
        </row>
        <row r="12">
          <cell r="D12" t="str">
            <v>B-02-04</v>
          </cell>
          <cell r="E12" t="str">
            <v>Factor VIII de la coagulación</v>
          </cell>
          <cell r="F12" t="str">
            <v>Inyectable</v>
          </cell>
          <cell r="G12" t="str">
            <v>500 UI</v>
          </cell>
          <cell r="H12" t="str">
            <v>B02BD02</v>
          </cell>
          <cell r="I12" t="str">
            <v>R</v>
          </cell>
          <cell r="J12">
            <v>1938.1666666666665</v>
          </cell>
          <cell r="K12">
            <v>1938.1666666666665</v>
          </cell>
          <cell r="L12">
            <v>1938.1666666666665</v>
          </cell>
          <cell r="M12">
            <v>1938.1666666666665</v>
          </cell>
          <cell r="N12">
            <v>3880</v>
          </cell>
          <cell r="O12"/>
        </row>
        <row r="13">
          <cell r="D13" t="str">
            <v>B-02-05</v>
          </cell>
          <cell r="E13" t="str">
            <v>Factor IX de la coagulación</v>
          </cell>
          <cell r="F13" t="str">
            <v>Inyectable</v>
          </cell>
          <cell r="G13" t="str">
            <v>500 UI</v>
          </cell>
          <cell r="H13" t="str">
            <v>B02BD04</v>
          </cell>
          <cell r="I13" t="str">
            <v>R</v>
          </cell>
          <cell r="J13">
            <v>2150</v>
          </cell>
          <cell r="K13">
            <v>2150</v>
          </cell>
          <cell r="L13">
            <v>3000</v>
          </cell>
          <cell r="M13">
            <v>3000</v>
          </cell>
          <cell r="N13">
            <v>3960</v>
          </cell>
          <cell r="O13"/>
        </row>
        <row r="14">
          <cell r="D14" t="str">
            <v>L-01-60</v>
          </cell>
          <cell r="E14" t="str">
            <v xml:space="preserve">Paclitaxel </v>
          </cell>
          <cell r="F14" t="str">
            <v>Inyectable</v>
          </cell>
          <cell r="G14" t="str">
            <v xml:space="preserve">300 mg/50 ml
</v>
          </cell>
          <cell r="H14" t="str">
            <v>L01CD01</v>
          </cell>
          <cell r="I14" t="str">
            <v>R</v>
          </cell>
          <cell r="J14">
            <v>621</v>
          </cell>
          <cell r="K14">
            <v>621</v>
          </cell>
          <cell r="L14">
            <v>989.06</v>
          </cell>
          <cell r="M14">
            <v>989.06</v>
          </cell>
          <cell r="N14">
            <v>1577.28</v>
          </cell>
          <cell r="O14"/>
        </row>
        <row r="15">
          <cell r="D15" t="str">
            <v>L-01-33</v>
          </cell>
          <cell r="E15" t="str">
            <v>Gemcitabina</v>
          </cell>
          <cell r="F15" t="str">
            <v>Inyectable</v>
          </cell>
          <cell r="G15" t="str">
            <v>200 mg</v>
          </cell>
          <cell r="H15" t="str">
            <v>L01BC05</v>
          </cell>
          <cell r="I15"/>
          <cell r="J15">
            <v>192.25</v>
          </cell>
          <cell r="K15">
            <v>192.25</v>
          </cell>
          <cell r="L15">
            <v>192.25</v>
          </cell>
          <cell r="M15">
            <v>192.25</v>
          </cell>
          <cell r="N15">
            <v>1001.3</v>
          </cell>
          <cell r="O15"/>
        </row>
        <row r="16">
          <cell r="D16" t="str">
            <v>J-06-02</v>
          </cell>
          <cell r="E16" t="str">
            <v>Inmunoglobulina anti D (RH +)</v>
          </cell>
          <cell r="F16" t="str">
            <v>Inyectable</v>
          </cell>
          <cell r="G16" t="str">
            <v>0,1 mg/ml a  0,2 mg/ml</v>
          </cell>
          <cell r="H16" t="str">
            <v>J06BB01</v>
          </cell>
          <cell r="I16"/>
          <cell r="J16">
            <v>830.85</v>
          </cell>
          <cell r="K16">
            <v>830.85</v>
          </cell>
          <cell r="L16">
            <v>1600</v>
          </cell>
          <cell r="M16">
            <v>1600</v>
          </cell>
          <cell r="N16">
            <v>1600</v>
          </cell>
          <cell r="O16"/>
        </row>
        <row r="17">
          <cell r="D17" t="str">
            <v>L-01-38</v>
          </cell>
          <cell r="E17" t="str">
            <v>Docetaxel</v>
          </cell>
          <cell r="F17" t="str">
            <v>Inyectable</v>
          </cell>
          <cell r="G17" t="str">
            <v>40 mg/ml  (2ml)</v>
          </cell>
          <cell r="H17" t="str">
            <v>L01CD02</v>
          </cell>
          <cell r="I17"/>
          <cell r="J17">
            <v>543.24250000000006</v>
          </cell>
          <cell r="K17">
            <v>543.24250000000006</v>
          </cell>
          <cell r="L17">
            <v>1002.89</v>
          </cell>
          <cell r="M17">
            <v>1002.89</v>
          </cell>
          <cell r="N17">
            <v>1252.44</v>
          </cell>
          <cell r="O17"/>
        </row>
        <row r="18">
          <cell r="D18" t="str">
            <v>L-01-51</v>
          </cell>
          <cell r="E18" t="str">
            <v>Temozolomida</v>
          </cell>
          <cell r="F18" t="str">
            <v>Cápsula</v>
          </cell>
          <cell r="G18" t="str">
            <v>20 mg</v>
          </cell>
          <cell r="H18" t="str">
            <v>L01AX03</v>
          </cell>
          <cell r="I18" t="str">
            <v>R</v>
          </cell>
          <cell r="J18">
            <v>68.5</v>
          </cell>
          <cell r="K18">
            <v>68.5</v>
          </cell>
          <cell r="L18">
            <v>184</v>
          </cell>
          <cell r="M18">
            <v>184</v>
          </cell>
          <cell r="N18">
            <v>754.5</v>
          </cell>
          <cell r="O18"/>
        </row>
        <row r="19">
          <cell r="D19" t="str">
            <v>L-01-31</v>
          </cell>
          <cell r="E19" t="str">
            <v>Vinorelbina</v>
          </cell>
          <cell r="F19" t="str">
            <v>Inyectable</v>
          </cell>
          <cell r="G19" t="str">
            <v>50 mg</v>
          </cell>
          <cell r="H19" t="str">
            <v>L01CA04</v>
          </cell>
          <cell r="I19"/>
          <cell r="J19">
            <v>855</v>
          </cell>
          <cell r="K19">
            <v>855</v>
          </cell>
          <cell r="L19">
            <v>855</v>
          </cell>
          <cell r="M19">
            <v>855</v>
          </cell>
          <cell r="N19">
            <v>1397.7</v>
          </cell>
          <cell r="O19"/>
        </row>
        <row r="20">
          <cell r="D20" t="str">
            <v>J-06-03</v>
          </cell>
          <cell r="E20" t="str">
            <v>Inmunoglobulina humana normal</v>
          </cell>
          <cell r="F20" t="str">
            <v>Inyectable</v>
          </cell>
          <cell r="G20" t="str">
            <v>5 g IV</v>
          </cell>
          <cell r="H20" t="str">
            <v>J06BA02</v>
          </cell>
          <cell r="I20"/>
          <cell r="J20">
            <v>4250</v>
          </cell>
          <cell r="K20">
            <v>4250</v>
          </cell>
          <cell r="L20">
            <v>4764.4083384426731</v>
          </cell>
          <cell r="M20">
            <v>4764.4083384426731</v>
          </cell>
          <cell r="N20">
            <v>4764.4083384426731</v>
          </cell>
          <cell r="O20"/>
        </row>
        <row r="21">
          <cell r="D21" t="str">
            <v>L-01-04</v>
          </cell>
          <cell r="E21" t="str">
            <v>Carboplatino</v>
          </cell>
          <cell r="F21" t="str">
            <v>Inyectable</v>
          </cell>
          <cell r="G21" t="str">
            <v>450 mg</v>
          </cell>
          <cell r="H21" t="str">
            <v>L01XA02</v>
          </cell>
          <cell r="I21"/>
          <cell r="J21">
            <v>426.09500000000003</v>
          </cell>
          <cell r="K21">
            <v>426.09500000000003</v>
          </cell>
          <cell r="L21">
            <v>426.09500000000003</v>
          </cell>
          <cell r="M21">
            <v>426.09500000000003</v>
          </cell>
          <cell r="N21">
            <v>939.31</v>
          </cell>
          <cell r="O21"/>
        </row>
        <row r="22">
          <cell r="D22" t="str">
            <v>L-01-07</v>
          </cell>
          <cell r="E22" t="str">
            <v>Ciclofosfamida</v>
          </cell>
          <cell r="F22" t="str">
            <v>Comprimido</v>
          </cell>
          <cell r="G22" t="str">
            <v>50 mg</v>
          </cell>
          <cell r="H22" t="str">
            <v>L01AA01</v>
          </cell>
          <cell r="I22"/>
          <cell r="J22">
            <v>5.59</v>
          </cell>
          <cell r="K22">
            <v>5.59</v>
          </cell>
          <cell r="L22">
            <v>5.59</v>
          </cell>
          <cell r="M22">
            <v>5.59</v>
          </cell>
          <cell r="N22">
            <v>516.58000000000004</v>
          </cell>
          <cell r="O22"/>
        </row>
        <row r="23">
          <cell r="D23" t="str">
            <v>L-01-27</v>
          </cell>
          <cell r="E23" t="str">
            <v>Mitomicina</v>
          </cell>
          <cell r="F23" t="str">
            <v>Inyectable</v>
          </cell>
          <cell r="G23" t="str">
            <v>20 mg</v>
          </cell>
          <cell r="H23" t="str">
            <v>L01DC03</v>
          </cell>
          <cell r="I23"/>
          <cell r="J23">
            <v>325.75</v>
          </cell>
          <cell r="K23">
            <v>325.75</v>
          </cell>
          <cell r="L23">
            <v>325.75</v>
          </cell>
          <cell r="M23">
            <v>325.75</v>
          </cell>
          <cell r="N23">
            <v>815.17</v>
          </cell>
          <cell r="O23"/>
        </row>
        <row r="24">
          <cell r="D24" t="str">
            <v>R-07-01</v>
          </cell>
          <cell r="E24" t="str">
            <v>Surfactante pulmonar</v>
          </cell>
          <cell r="F24" t="str">
            <v>Inyectable</v>
          </cell>
          <cell r="G24" t="str">
            <v>25 a 35 mg/ml</v>
          </cell>
          <cell r="H24" t="str">
            <v>R07AA02</v>
          </cell>
          <cell r="I24"/>
          <cell r="J24">
            <v>1444.0555555555554</v>
          </cell>
          <cell r="K24">
            <v>1444.0555555555554</v>
          </cell>
          <cell r="L24">
            <v>1872.03</v>
          </cell>
          <cell r="M24">
            <v>1872.03</v>
          </cell>
          <cell r="N24">
            <v>1872.03</v>
          </cell>
          <cell r="O24" t="str">
            <v>5 ML</v>
          </cell>
        </row>
        <row r="25">
          <cell r="D25" t="str">
            <v>L-01-32</v>
          </cell>
          <cell r="E25" t="str">
            <v>Carboplatino</v>
          </cell>
          <cell r="F25" t="str">
            <v>Inyectable</v>
          </cell>
          <cell r="G25" t="str">
            <v>150 mg</v>
          </cell>
          <cell r="H25" t="str">
            <v>L01XA02</v>
          </cell>
          <cell r="I25"/>
          <cell r="J25">
            <v>208.34375</v>
          </cell>
          <cell r="K25">
            <v>208.34375</v>
          </cell>
          <cell r="L25">
            <v>208.34375</v>
          </cell>
          <cell r="M25">
            <v>208.34375</v>
          </cell>
          <cell r="N25">
            <v>549.17999999999995</v>
          </cell>
          <cell r="O25"/>
        </row>
        <row r="26">
          <cell r="D26" t="str">
            <v>L-01-10</v>
          </cell>
          <cell r="E26" t="str">
            <v>Citarabina</v>
          </cell>
          <cell r="F26" t="str">
            <v>Inyectable</v>
          </cell>
          <cell r="G26" t="str">
            <v>100 mg</v>
          </cell>
          <cell r="H26" t="str">
            <v>L01BC01</v>
          </cell>
          <cell r="I26"/>
          <cell r="J26">
            <v>56.575000000000003</v>
          </cell>
          <cell r="K26">
            <v>56.575000000000003</v>
          </cell>
          <cell r="L26">
            <v>56.575000000000003</v>
          </cell>
          <cell r="M26">
            <v>56.575000000000003</v>
          </cell>
          <cell r="N26">
            <v>380.7</v>
          </cell>
          <cell r="O26"/>
        </row>
        <row r="27">
          <cell r="D27" t="str">
            <v>L-01-26</v>
          </cell>
          <cell r="E27" t="str">
            <v>Metotrexato</v>
          </cell>
          <cell r="F27" t="str">
            <v>Comprimido</v>
          </cell>
          <cell r="G27" t="str">
            <v>2,5 mg</v>
          </cell>
          <cell r="H27" t="str">
            <v>L01BA01</v>
          </cell>
          <cell r="I27"/>
          <cell r="J27">
            <v>3.52</v>
          </cell>
          <cell r="K27">
            <v>3.52</v>
          </cell>
          <cell r="L27">
            <v>3.52</v>
          </cell>
          <cell r="M27">
            <v>6.0483226384109781</v>
          </cell>
          <cell r="N27">
            <v>321.75</v>
          </cell>
          <cell r="O27"/>
        </row>
        <row r="28">
          <cell r="D28" t="str">
            <v>L-01-37</v>
          </cell>
          <cell r="E28" t="str">
            <v xml:space="preserve">Daunorrubicina </v>
          </cell>
          <cell r="F28" t="str">
            <v>Inyectable</v>
          </cell>
          <cell r="G28" t="str">
            <v>20 mg</v>
          </cell>
          <cell r="H28" t="str">
            <v>L01DB02</v>
          </cell>
          <cell r="I28"/>
          <cell r="J28">
            <v>351</v>
          </cell>
          <cell r="K28">
            <v>351</v>
          </cell>
          <cell r="L28">
            <v>351</v>
          </cell>
          <cell r="M28">
            <v>351</v>
          </cell>
          <cell r="N28">
            <v>666.07</v>
          </cell>
          <cell r="O28"/>
        </row>
        <row r="29">
          <cell r="D29" t="str">
            <v>L-01-12</v>
          </cell>
          <cell r="E29" t="str">
            <v>Dacarbazina</v>
          </cell>
          <cell r="F29" t="str">
            <v>Inyectable</v>
          </cell>
          <cell r="G29" t="str">
            <v>200 mg</v>
          </cell>
          <cell r="H29" t="str">
            <v>L01AX04</v>
          </cell>
          <cell r="I29"/>
          <cell r="J29">
            <v>187</v>
          </cell>
          <cell r="K29">
            <v>187</v>
          </cell>
          <cell r="L29">
            <v>414</v>
          </cell>
          <cell r="M29">
            <v>414</v>
          </cell>
          <cell r="N29">
            <v>466.2</v>
          </cell>
          <cell r="O29"/>
        </row>
        <row r="30">
          <cell r="D30" t="str">
            <v>N-01-14</v>
          </cell>
          <cell r="E30" t="str">
            <v>Sevoflurano (Trifluorometil etil)</v>
          </cell>
          <cell r="F30" t="str">
            <v>Solución</v>
          </cell>
          <cell r="G30" t="str">
            <v>250 ml</v>
          </cell>
          <cell r="H30" t="str">
            <v>N01AB08</v>
          </cell>
          <cell r="I30"/>
          <cell r="J30">
            <v>1093.5925925925928</v>
          </cell>
          <cell r="K30">
            <v>1093.5925925925928</v>
          </cell>
          <cell r="L30">
            <v>1350</v>
          </cell>
          <cell r="M30">
            <v>1350</v>
          </cell>
          <cell r="N30">
            <v>1350</v>
          </cell>
          <cell r="O30"/>
        </row>
        <row r="31">
          <cell r="D31" t="str">
            <v>L-01-01</v>
          </cell>
          <cell r="E31" t="str">
            <v>Bleomicina</v>
          </cell>
          <cell r="F31" t="str">
            <v>Inyectable</v>
          </cell>
          <cell r="G31" t="str">
            <v>15 UI</v>
          </cell>
          <cell r="H31" t="str">
            <v>L01DC01</v>
          </cell>
          <cell r="I31"/>
          <cell r="J31">
            <v>304.60833333333335</v>
          </cell>
          <cell r="K31">
            <v>304.60833333333335</v>
          </cell>
          <cell r="L31">
            <v>304.60833333333335</v>
          </cell>
          <cell r="M31">
            <v>304.60833333333335</v>
          </cell>
          <cell r="N31">
            <v>517.5</v>
          </cell>
          <cell r="O31"/>
        </row>
        <row r="32">
          <cell r="D32" t="str">
            <v>V-06-05</v>
          </cell>
          <cell r="E32" t="str">
            <v xml:space="preserve">Complemento nutricional </v>
          </cell>
          <cell r="F32" t="str">
            <v>Polvo</v>
          </cell>
          <cell r="G32" t="str">
            <v>Según concentración estándar</v>
          </cell>
          <cell r="H32" t="str">
            <v>V06DB**</v>
          </cell>
          <cell r="I32"/>
          <cell r="J32">
            <v>179</v>
          </cell>
          <cell r="K32">
            <v>179</v>
          </cell>
          <cell r="L32">
            <v>179</v>
          </cell>
          <cell r="M32">
            <v>389.34737179157145</v>
          </cell>
          <cell r="N32">
            <v>389.34737179157145</v>
          </cell>
          <cell r="O32" t="str">
            <v>1000 G</v>
          </cell>
        </row>
        <row r="33">
          <cell r="D33" t="str">
            <v>B-05-12</v>
          </cell>
          <cell r="E33" t="str">
            <v>Agentes con gelatina</v>
          </cell>
          <cell r="F33" t="str">
            <v>Solución parenteral de gran volúmen</v>
          </cell>
          <cell r="G33" t="str">
            <v>Según disponibilidad</v>
          </cell>
          <cell r="H33" t="str">
            <v>B05AA06</v>
          </cell>
          <cell r="I33"/>
          <cell r="J33">
            <v>197.08875</v>
          </cell>
          <cell r="K33">
            <v>197.08875</v>
          </cell>
          <cell r="L33">
            <v>360</v>
          </cell>
          <cell r="M33">
            <v>360</v>
          </cell>
          <cell r="N33">
            <v>360</v>
          </cell>
          <cell r="O33" t="str">
            <v>500 ML</v>
          </cell>
        </row>
        <row r="34">
          <cell r="D34" t="str">
            <v>L-03-01</v>
          </cell>
          <cell r="E34" t="str">
            <v>Filgrastrim</v>
          </cell>
          <cell r="F34" t="str">
            <v>Inyectable</v>
          </cell>
          <cell r="G34" t="str">
            <v>300 mcg/ml</v>
          </cell>
          <cell r="H34" t="str">
            <v>L03AA02</v>
          </cell>
          <cell r="I34"/>
          <cell r="J34">
            <v>103.87625</v>
          </cell>
          <cell r="K34">
            <v>103.87625</v>
          </cell>
          <cell r="L34">
            <v>218.02905403251515</v>
          </cell>
          <cell r="M34">
            <v>218.02905403251515</v>
          </cell>
          <cell r="N34">
            <v>260.89999999999998</v>
          </cell>
          <cell r="O34"/>
        </row>
        <row r="35">
          <cell r="D35" t="str">
            <v>J-01-30</v>
          </cell>
          <cell r="E35" t="str">
            <v>Claritromicina</v>
          </cell>
          <cell r="F35" t="str">
            <v>Suspensión</v>
          </cell>
          <cell r="G35" t="str">
            <v>250 mg/5 ml</v>
          </cell>
          <cell r="H35" t="str">
            <v>J01FA09</v>
          </cell>
          <cell r="I35" t="str">
            <v>R</v>
          </cell>
          <cell r="J35">
            <v>81.55</v>
          </cell>
          <cell r="K35">
            <v>81.55</v>
          </cell>
          <cell r="L35">
            <v>81.55</v>
          </cell>
          <cell r="M35">
            <v>217.80538240341281</v>
          </cell>
          <cell r="N35">
            <v>217.80538240341281</v>
          </cell>
          <cell r="O35" t="str">
            <v>80 ML</v>
          </cell>
        </row>
        <row r="36">
          <cell r="D36" t="str">
            <v>L-01-25</v>
          </cell>
          <cell r="E36" t="str">
            <v>Metotrexato</v>
          </cell>
          <cell r="F36" t="str">
            <v>Inyectable</v>
          </cell>
          <cell r="G36" t="str">
            <v>500 mg</v>
          </cell>
          <cell r="H36" t="str">
            <v>L01BA01</v>
          </cell>
          <cell r="I36"/>
          <cell r="J36">
            <v>132.72083333333336</v>
          </cell>
          <cell r="K36">
            <v>132.72083333333336</v>
          </cell>
          <cell r="L36">
            <v>132.72083333333336</v>
          </cell>
          <cell r="M36">
            <v>132.72083333333336</v>
          </cell>
          <cell r="N36">
            <v>245.74</v>
          </cell>
          <cell r="O36"/>
        </row>
        <row r="37">
          <cell r="D37" t="str">
            <v>V-06-06</v>
          </cell>
          <cell r="E37" t="str">
            <v>Complemento nutricional (Diabético)</v>
          </cell>
          <cell r="F37" t="str">
            <v>Polvo</v>
          </cell>
          <cell r="G37" t="str">
            <v>Según concentración estándar</v>
          </cell>
          <cell r="H37" t="str">
            <v>V06DB**</v>
          </cell>
          <cell r="I37"/>
          <cell r="J37">
            <v>57.140000000000008</v>
          </cell>
          <cell r="K37">
            <v>57.140000000000008</v>
          </cell>
          <cell r="L37">
            <v>166.27658093212145</v>
          </cell>
          <cell r="M37">
            <v>166.27658093212145</v>
          </cell>
          <cell r="N37">
            <v>166.27658093212145</v>
          </cell>
          <cell r="O37" t="str">
            <v>460 GR</v>
          </cell>
        </row>
        <row r="38">
          <cell r="D38" t="str">
            <v>L-01-15</v>
          </cell>
          <cell r="E38" t="str">
            <v>Doxorubicina clorhidrato (Adriamicina clorh.)</v>
          </cell>
          <cell r="F38" t="str">
            <v>Inyectable</v>
          </cell>
          <cell r="G38" t="str">
            <v>50 mg</v>
          </cell>
          <cell r="H38" t="str">
            <v>L01DB01</v>
          </cell>
          <cell r="I38"/>
          <cell r="J38">
            <v>174.06874999999999</v>
          </cell>
          <cell r="K38">
            <v>174.06874999999999</v>
          </cell>
          <cell r="L38">
            <v>174.06874999999999</v>
          </cell>
          <cell r="M38">
            <v>174.06874999999999</v>
          </cell>
          <cell r="N38">
            <v>279.27999999999997</v>
          </cell>
          <cell r="O38"/>
        </row>
        <row r="39">
          <cell r="D39" t="str">
            <v>N-05-07</v>
          </cell>
          <cell r="E39" t="str">
            <v>Haloperidol</v>
          </cell>
          <cell r="F39" t="str">
            <v>Solución oral</v>
          </cell>
          <cell r="G39" t="str">
            <v>2 mg/ml</v>
          </cell>
          <cell r="H39" t="str">
            <v>N05AD01</v>
          </cell>
          <cell r="I39"/>
          <cell r="J39">
            <v>53.44</v>
          </cell>
          <cell r="K39">
            <v>53.44</v>
          </cell>
          <cell r="L39">
            <v>53.44</v>
          </cell>
          <cell r="M39">
            <v>148</v>
          </cell>
          <cell r="N39">
            <v>148</v>
          </cell>
          <cell r="O39"/>
        </row>
        <row r="40">
          <cell r="D40" t="str">
            <v>L-01-52</v>
          </cell>
          <cell r="E40" t="str">
            <v>Temozolomida</v>
          </cell>
          <cell r="F40" t="str">
            <v>Cápsula</v>
          </cell>
          <cell r="G40" t="str">
            <v>100 mg</v>
          </cell>
          <cell r="H40" t="str">
            <v>L01AX04</v>
          </cell>
          <cell r="I40" t="str">
            <v>R</v>
          </cell>
          <cell r="J40">
            <v>222.26666666666668</v>
          </cell>
          <cell r="K40">
            <v>222.26666666666668</v>
          </cell>
          <cell r="L40">
            <v>276</v>
          </cell>
          <cell r="M40">
            <v>276</v>
          </cell>
          <cell r="N40">
            <v>311.64999999999998</v>
          </cell>
          <cell r="O40"/>
        </row>
        <row r="41">
          <cell r="D41" t="str">
            <v>L-01-20</v>
          </cell>
          <cell r="E41" t="str">
            <v>Ifosfamida</v>
          </cell>
          <cell r="F41" t="str">
            <v>Inyectable</v>
          </cell>
          <cell r="G41" t="str">
            <v>1 g</v>
          </cell>
          <cell r="H41" t="str">
            <v>L01AA06</v>
          </cell>
          <cell r="I41"/>
          <cell r="J41">
            <v>131.33333333333334</v>
          </cell>
          <cell r="K41">
            <v>131.33333333333334</v>
          </cell>
          <cell r="L41">
            <v>131.33333333333334</v>
          </cell>
          <cell r="M41">
            <v>131.33333333333334</v>
          </cell>
          <cell r="N41">
            <v>217.8</v>
          </cell>
          <cell r="O41"/>
        </row>
        <row r="42">
          <cell r="D42" t="str">
            <v>L-01-30</v>
          </cell>
          <cell r="E42" t="str">
            <v>Vincristina</v>
          </cell>
          <cell r="F42" t="str">
            <v>Inyectable</v>
          </cell>
          <cell r="G42" t="str">
            <v>1 mg/ml</v>
          </cell>
          <cell r="H42" t="str">
            <v>L01CA02</v>
          </cell>
          <cell r="I42"/>
          <cell r="J42">
            <v>64.926666666666662</v>
          </cell>
          <cell r="K42">
            <v>64.926666666666662</v>
          </cell>
          <cell r="L42">
            <v>64.926666666666662</v>
          </cell>
          <cell r="M42">
            <v>64.926666666666662</v>
          </cell>
          <cell r="N42">
            <v>150.30000000000001</v>
          </cell>
          <cell r="O42" t="str">
            <v xml:space="preserve">1 ML </v>
          </cell>
        </row>
        <row r="43">
          <cell r="D43" t="str">
            <v>H-01-05</v>
          </cell>
          <cell r="E43" t="str">
            <v>Carbetocina</v>
          </cell>
          <cell r="F43" t="str">
            <v>Inyectable</v>
          </cell>
          <cell r="G43" t="str">
            <v>100 mcg/ml</v>
          </cell>
          <cell r="H43" t="str">
            <v>H01BB03</v>
          </cell>
          <cell r="I43" t="str">
            <v>R</v>
          </cell>
          <cell r="J43">
            <v>261.8</v>
          </cell>
          <cell r="K43">
            <v>261.8</v>
          </cell>
          <cell r="L43">
            <v>345.04</v>
          </cell>
          <cell r="M43">
            <v>345.04</v>
          </cell>
          <cell r="N43">
            <v>345.04</v>
          </cell>
          <cell r="O43"/>
        </row>
        <row r="44">
          <cell r="D44" t="str">
            <v>V-03-07</v>
          </cell>
          <cell r="E44" t="str">
            <v>Leucovorina</v>
          </cell>
          <cell r="F44" t="str">
            <v>Inyectable</v>
          </cell>
          <cell r="G44" t="str">
            <v>50 mg</v>
          </cell>
          <cell r="H44" t="str">
            <v>V03AF03</v>
          </cell>
          <cell r="I44"/>
          <cell r="J44">
            <v>47.453333333333333</v>
          </cell>
          <cell r="K44">
            <v>47.453333333333333</v>
          </cell>
          <cell r="L44">
            <v>47.453333333333333</v>
          </cell>
          <cell r="M44">
            <v>47.453333333333333</v>
          </cell>
          <cell r="N44">
            <v>130.5</v>
          </cell>
          <cell r="O44"/>
        </row>
        <row r="45">
          <cell r="D45" t="str">
            <v>N-02-17</v>
          </cell>
          <cell r="E45" t="str">
            <v xml:space="preserve">Tramadol </v>
          </cell>
          <cell r="F45" t="str">
            <v>Solución para gotas orales</v>
          </cell>
          <cell r="G45" t="str">
            <v>100 mg/ml</v>
          </cell>
          <cell r="H45" t="str">
            <v>N02AX02</v>
          </cell>
          <cell r="I45"/>
          <cell r="J45">
            <v>55.191666666666663</v>
          </cell>
          <cell r="K45">
            <v>55.191666666666663</v>
          </cell>
          <cell r="L45">
            <v>55.191666666666663</v>
          </cell>
          <cell r="M45">
            <v>124.85474846070915</v>
          </cell>
          <cell r="N45">
            <v>124.85474846070915</v>
          </cell>
          <cell r="O45"/>
        </row>
        <row r="46">
          <cell r="D46" t="str">
            <v>G-03-19</v>
          </cell>
          <cell r="E46" t="str">
            <v>Levonorgestrel</v>
          </cell>
          <cell r="F46" t="str">
            <v>Implante subdérmico</v>
          </cell>
          <cell r="G46" t="str">
            <v xml:space="preserve">150 mg </v>
          </cell>
          <cell r="H46" t="str">
            <v>G03AC03</v>
          </cell>
          <cell r="I46"/>
          <cell r="J46">
            <v>121.41</v>
          </cell>
          <cell r="K46">
            <v>121.41</v>
          </cell>
          <cell r="L46">
            <v>187</v>
          </cell>
          <cell r="M46">
            <v>187</v>
          </cell>
          <cell r="N46">
            <v>187</v>
          </cell>
          <cell r="O46"/>
        </row>
        <row r="47">
          <cell r="D47" t="str">
            <v>D-08-07</v>
          </cell>
          <cell r="E47" t="str">
            <v>Iodo povidona (Yodopovidona)</v>
          </cell>
          <cell r="F47" t="str">
            <v>Crema o Pomada</v>
          </cell>
          <cell r="G47" t="str">
            <v xml:space="preserve">10% ( 500 g ) </v>
          </cell>
          <cell r="H47" t="str">
            <v>D08AG02</v>
          </cell>
          <cell r="I47"/>
          <cell r="J47">
            <v>120.75</v>
          </cell>
          <cell r="K47">
            <v>120.75</v>
          </cell>
          <cell r="L47">
            <v>120.75</v>
          </cell>
          <cell r="M47">
            <v>185</v>
          </cell>
          <cell r="N47">
            <v>185</v>
          </cell>
          <cell r="O47"/>
        </row>
        <row r="48">
          <cell r="D48" t="str">
            <v>L-01-16</v>
          </cell>
          <cell r="E48" t="str">
            <v>Etopósido</v>
          </cell>
          <cell r="F48" t="str">
            <v>Inyectable</v>
          </cell>
          <cell r="G48" t="str">
            <v>100 mg/5 ml</v>
          </cell>
          <cell r="H48" t="str">
            <v>L01CB01</v>
          </cell>
          <cell r="I48"/>
          <cell r="J48">
            <v>61.944000000000003</v>
          </cell>
          <cell r="K48">
            <v>61.944000000000003</v>
          </cell>
          <cell r="L48">
            <v>61.944000000000003</v>
          </cell>
          <cell r="M48">
            <v>61.944000000000003</v>
          </cell>
          <cell r="N48">
            <v>123.3</v>
          </cell>
          <cell r="O48"/>
        </row>
        <row r="49">
          <cell r="D49" t="str">
            <v>V-08-03</v>
          </cell>
          <cell r="E49" t="str">
            <v>Contraste iodado</v>
          </cell>
          <cell r="F49" t="str">
            <v>Inyectable</v>
          </cell>
          <cell r="G49" t="str">
            <v>Según disponibilidad (100 ml o 200 ml)</v>
          </cell>
          <cell r="H49" t="str">
            <v>V08AB**</v>
          </cell>
          <cell r="I49"/>
          <cell r="J49">
            <v>312.26</v>
          </cell>
          <cell r="K49">
            <v>312.26</v>
          </cell>
          <cell r="L49">
            <v>372.57979267449895</v>
          </cell>
          <cell r="M49">
            <v>372.57979267449895</v>
          </cell>
          <cell r="N49">
            <v>372.57979267449895</v>
          </cell>
          <cell r="O49" t="str">
            <v>100 ml</v>
          </cell>
        </row>
        <row r="50">
          <cell r="D50" t="str">
            <v>V-03-08</v>
          </cell>
          <cell r="E50" t="str">
            <v>Mesna (Mercapto etilsulfonato sódico)</v>
          </cell>
          <cell r="F50" t="str">
            <v>Inyectable</v>
          </cell>
          <cell r="G50" t="str">
            <v>400 mg</v>
          </cell>
          <cell r="H50" t="str">
            <v>V03AF01</v>
          </cell>
          <cell r="I50"/>
          <cell r="J50">
            <v>64.564999999999998</v>
          </cell>
          <cell r="K50">
            <v>64.564999999999998</v>
          </cell>
          <cell r="L50">
            <v>64.564999999999998</v>
          </cell>
          <cell r="M50">
            <v>64.564999999999998</v>
          </cell>
          <cell r="N50">
            <v>123.3</v>
          </cell>
          <cell r="O50"/>
        </row>
        <row r="51">
          <cell r="D51" t="str">
            <v>N-03-02</v>
          </cell>
          <cell r="E51" t="str">
            <v>Ácido Valpróico ó Valproato sódico</v>
          </cell>
          <cell r="F51" t="str">
            <v>Jarabe o Solución oral</v>
          </cell>
          <cell r="G51" t="str">
            <v>250 mg/5 ml</v>
          </cell>
          <cell r="H51" t="str">
            <v>N03AG01</v>
          </cell>
          <cell r="I51"/>
          <cell r="J51">
            <v>90.72</v>
          </cell>
          <cell r="K51">
            <v>90.72</v>
          </cell>
          <cell r="L51">
            <v>140</v>
          </cell>
          <cell r="M51">
            <v>140</v>
          </cell>
          <cell r="N51">
            <v>140</v>
          </cell>
          <cell r="O51" t="str">
            <v>100 ML</v>
          </cell>
        </row>
        <row r="52">
          <cell r="D52" t="str">
            <v>B-03-11</v>
          </cell>
          <cell r="E52" t="str">
            <v>Eritropoyetina</v>
          </cell>
          <cell r="F52" t="str">
            <v>Inyectable</v>
          </cell>
          <cell r="G52" t="str">
            <v>4000 UI</v>
          </cell>
          <cell r="H52" t="str">
            <v>B03XA01</v>
          </cell>
          <cell r="I52"/>
          <cell r="J52">
            <v>42.816666666666663</v>
          </cell>
          <cell r="K52">
            <v>42.816666666666663</v>
          </cell>
          <cell r="L52">
            <v>90.04</v>
          </cell>
          <cell r="M52">
            <v>90.04</v>
          </cell>
          <cell r="N52">
            <v>90.04</v>
          </cell>
          <cell r="O52"/>
        </row>
        <row r="53">
          <cell r="D53" t="str">
            <v>V-08-02</v>
          </cell>
          <cell r="E53" t="str">
            <v>Contraste iodado</v>
          </cell>
          <cell r="F53" t="str">
            <v>Inyectable</v>
          </cell>
          <cell r="G53" t="str">
            <v>Según disponibilidad (50 ml)</v>
          </cell>
          <cell r="H53" t="str">
            <v>V08AB**</v>
          </cell>
          <cell r="I53"/>
          <cell r="J53">
            <v>304.88</v>
          </cell>
          <cell r="K53">
            <v>304.88</v>
          </cell>
          <cell r="L53">
            <v>352</v>
          </cell>
          <cell r="M53">
            <v>352</v>
          </cell>
          <cell r="N53">
            <v>352</v>
          </cell>
          <cell r="O53"/>
        </row>
        <row r="54">
          <cell r="D54" t="str">
            <v>B-03-02</v>
          </cell>
          <cell r="E54" t="str">
            <v>Eritropoyetina</v>
          </cell>
          <cell r="F54" t="str">
            <v>Inyectable</v>
          </cell>
          <cell r="G54" t="str">
            <v>10.000 UI</v>
          </cell>
          <cell r="H54" t="str">
            <v>B03XA01</v>
          </cell>
          <cell r="I54"/>
          <cell r="J54">
            <v>56.724444444444451</v>
          </cell>
          <cell r="K54">
            <v>56.724444444444451</v>
          </cell>
          <cell r="L54">
            <v>102.41</v>
          </cell>
          <cell r="M54">
            <v>102.41</v>
          </cell>
          <cell r="N54">
            <v>102.41</v>
          </cell>
          <cell r="O54"/>
        </row>
        <row r="55">
          <cell r="D55" t="str">
            <v>V-06-04</v>
          </cell>
          <cell r="E55" t="str">
            <v>Complemento nutricional (Carmelo)</v>
          </cell>
          <cell r="F55" t="str">
            <v>Polvo</v>
          </cell>
          <cell r="G55" t="str">
            <v>Según concentración estándar</v>
          </cell>
          <cell r="H55" t="str">
            <v>V06DB**</v>
          </cell>
          <cell r="I55"/>
          <cell r="J55">
            <v>54</v>
          </cell>
          <cell r="K55">
            <v>65.5</v>
          </cell>
          <cell r="L55">
            <v>65.5</v>
          </cell>
          <cell r="M55">
            <v>97.93</v>
          </cell>
          <cell r="N55">
            <v>97.93</v>
          </cell>
          <cell r="O55"/>
        </row>
        <row r="56">
          <cell r="D56" t="str">
            <v>L-01-17</v>
          </cell>
          <cell r="E56" t="str">
            <v>Fluorouracilo</v>
          </cell>
          <cell r="F56" t="str">
            <v>Inyectable</v>
          </cell>
          <cell r="G56" t="str">
            <v>500 mg/10 ml</v>
          </cell>
          <cell r="H56" t="str">
            <v>L01BC02</v>
          </cell>
          <cell r="I56"/>
          <cell r="J56">
            <v>42.163333333333334</v>
          </cell>
          <cell r="K56">
            <v>42.163333333333334</v>
          </cell>
          <cell r="L56">
            <v>42.163333333333334</v>
          </cell>
          <cell r="M56">
            <v>42.163333333333334</v>
          </cell>
          <cell r="N56">
            <v>84.96</v>
          </cell>
          <cell r="O56"/>
        </row>
        <row r="57">
          <cell r="D57" t="str">
            <v>V-08-07</v>
          </cell>
          <cell r="E57" t="str">
            <v>Meglumina diatrizoato</v>
          </cell>
          <cell r="F57" t="str">
            <v>Inyectable</v>
          </cell>
          <cell r="G57" t="str">
            <v>70% o 76% (50 ml)</v>
          </cell>
          <cell r="H57" t="str">
            <v>V08AA01</v>
          </cell>
          <cell r="I57"/>
          <cell r="J57">
            <v>156.80363636363637</v>
          </cell>
          <cell r="K57">
            <v>156.80363636363637</v>
          </cell>
          <cell r="L57">
            <v>198</v>
          </cell>
          <cell r="M57">
            <v>198</v>
          </cell>
          <cell r="N57">
            <v>198</v>
          </cell>
          <cell r="O57"/>
        </row>
        <row r="58">
          <cell r="D58" t="str">
            <v>L-01-35</v>
          </cell>
          <cell r="E58" t="str">
            <v>Oxaliplatino</v>
          </cell>
          <cell r="F58" t="str">
            <v>Inyectable</v>
          </cell>
          <cell r="G58" t="str">
            <v>100 mg</v>
          </cell>
          <cell r="H58" t="str">
            <v>L01XA03</v>
          </cell>
          <cell r="I58"/>
          <cell r="J58">
            <v>301.71750000000003</v>
          </cell>
          <cell r="K58">
            <v>301.71750000000003</v>
          </cell>
          <cell r="L58">
            <v>301.71750000000003</v>
          </cell>
          <cell r="M58">
            <v>301.71750000000003</v>
          </cell>
          <cell r="N58">
            <v>342.66</v>
          </cell>
          <cell r="O58"/>
        </row>
        <row r="59">
          <cell r="D59" t="str">
            <v>A-02-07</v>
          </cell>
          <cell r="E59" t="str">
            <v>Sucralfato</v>
          </cell>
          <cell r="F59" t="str">
            <v>Suspensión</v>
          </cell>
          <cell r="G59" t="str">
            <v>1g/5 ml</v>
          </cell>
          <cell r="H59" t="str">
            <v>A02BX02</v>
          </cell>
          <cell r="I59"/>
          <cell r="J59">
            <v>68.3</v>
          </cell>
          <cell r="K59">
            <v>68.3</v>
          </cell>
          <cell r="L59">
            <v>68.3</v>
          </cell>
          <cell r="M59">
            <v>107.29070152040543</v>
          </cell>
          <cell r="N59">
            <v>107.29070152040543</v>
          </cell>
          <cell r="O59" t="str">
            <v>200 ML</v>
          </cell>
        </row>
        <row r="60">
          <cell r="D60" t="str">
            <v>N-02-18</v>
          </cell>
          <cell r="E60" t="str">
            <v>Paracetamol (Acetaminofeno)</v>
          </cell>
          <cell r="F60" t="str">
            <v>Inyectable</v>
          </cell>
          <cell r="G60" t="str">
            <v>1 gr</v>
          </cell>
          <cell r="H60" t="str">
            <v>N02BE01</v>
          </cell>
          <cell r="I60"/>
          <cell r="J60">
            <v>58</v>
          </cell>
          <cell r="K60">
            <v>58</v>
          </cell>
          <cell r="L60">
            <v>58</v>
          </cell>
          <cell r="M60">
            <v>94.5</v>
          </cell>
          <cell r="N60">
            <v>94.5</v>
          </cell>
          <cell r="O60" t="str">
            <v>1000MG/100ML</v>
          </cell>
        </row>
        <row r="61">
          <cell r="D61" t="str">
            <v>V-06-07</v>
          </cell>
          <cell r="E61" t="str">
            <v>Complemento nutricional (Nutri Mama   con Cañahua, probiótico y Omega-3)</v>
          </cell>
          <cell r="F61" t="str">
            <v>Polvo</v>
          </cell>
          <cell r="G61" t="str">
            <v>Según concentración estándar</v>
          </cell>
          <cell r="H61" t="str">
            <v>V06DB**</v>
          </cell>
          <cell r="I61"/>
          <cell r="J61">
            <v>65.400000000000006</v>
          </cell>
          <cell r="K61">
            <v>68.5</v>
          </cell>
          <cell r="L61">
            <v>68.5</v>
          </cell>
          <cell r="M61">
            <v>101.23</v>
          </cell>
          <cell r="N61">
            <v>101.23</v>
          </cell>
          <cell r="O61" t="str">
            <v>800 g</v>
          </cell>
        </row>
        <row r="62">
          <cell r="D62" t="str">
            <v>J-01-65</v>
          </cell>
          <cell r="E62" t="str">
            <v>Cotrimoxazol (Sulfametoxazol + Trimetoprima)</v>
          </cell>
          <cell r="F62" t="str">
            <v>Suspensión</v>
          </cell>
          <cell r="G62" t="str">
            <v>400 mg + 80 mg/5 ml</v>
          </cell>
          <cell r="H62" t="str">
            <v>J01EE01</v>
          </cell>
          <cell r="I62"/>
          <cell r="J62">
            <v>19.28</v>
          </cell>
          <cell r="K62">
            <v>19.28</v>
          </cell>
          <cell r="L62">
            <v>19.28</v>
          </cell>
          <cell r="M62">
            <v>54.627995706683237</v>
          </cell>
          <cell r="N62">
            <v>54.627995706683237</v>
          </cell>
          <cell r="O62" t="str">
            <v>100 ML</v>
          </cell>
        </row>
        <row r="63">
          <cell r="D63" t="str">
            <v>R-05-02</v>
          </cell>
          <cell r="E63" t="str">
            <v>Codeína</v>
          </cell>
          <cell r="F63" t="str">
            <v>Jarabe</v>
          </cell>
          <cell r="G63" t="str">
            <v>10 mg/5 ml</v>
          </cell>
          <cell r="H63" t="str">
            <v>R05DA04</v>
          </cell>
          <cell r="I63"/>
          <cell r="J63">
            <v>17.809999999999999</v>
          </cell>
          <cell r="K63">
            <v>17.809999999999999</v>
          </cell>
          <cell r="L63">
            <v>17.809999999999999</v>
          </cell>
          <cell r="M63">
            <v>51.590434658927791</v>
          </cell>
          <cell r="N63">
            <v>51.590434658927791</v>
          </cell>
          <cell r="O63"/>
        </row>
        <row r="64">
          <cell r="D64" t="str">
            <v>V-06-01</v>
          </cell>
          <cell r="E64" t="str">
            <v>Proteinas para alimentación enteral (alimento)</v>
          </cell>
          <cell r="F64" t="str">
            <v>Polvo</v>
          </cell>
          <cell r="G64" t="str">
            <v>Según disponibilidad</v>
          </cell>
          <cell r="H64" t="str">
            <v>V06DB**</v>
          </cell>
          <cell r="I64"/>
          <cell r="J64">
            <v>85.357916666666668</v>
          </cell>
          <cell r="K64">
            <v>85.357916666666668</v>
          </cell>
          <cell r="L64">
            <v>117.23144664158194</v>
          </cell>
          <cell r="M64">
            <v>117.23144664158194</v>
          </cell>
          <cell r="N64">
            <v>117.23144664158194</v>
          </cell>
          <cell r="O64"/>
        </row>
        <row r="65">
          <cell r="D65" t="str">
            <v>M-03-04</v>
          </cell>
          <cell r="E65" t="str">
            <v>Suxametonio (Succinil colina)</v>
          </cell>
          <cell r="F65" t="str">
            <v>Inyectable</v>
          </cell>
          <cell r="G65" t="str">
            <v>500 mg</v>
          </cell>
          <cell r="H65" t="str">
            <v>M03AB01</v>
          </cell>
          <cell r="I65"/>
          <cell r="J65">
            <v>64.081111111111113</v>
          </cell>
          <cell r="K65">
            <v>64.081111111111113</v>
          </cell>
          <cell r="L65">
            <v>95</v>
          </cell>
          <cell r="M65">
            <v>95</v>
          </cell>
          <cell r="N65">
            <v>95</v>
          </cell>
          <cell r="O65"/>
        </row>
        <row r="66">
          <cell r="D66" t="str">
            <v>B-01-03</v>
          </cell>
          <cell r="E66" t="str">
            <v>Heparina de bajo peso molecular</v>
          </cell>
          <cell r="F66" t="str">
            <v>Inyectable</v>
          </cell>
          <cell r="G66" t="str">
            <v>Según disponibilidad</v>
          </cell>
          <cell r="H66" t="str">
            <v>B01AB**</v>
          </cell>
          <cell r="I66"/>
          <cell r="J66">
            <v>58.877470503352868</v>
          </cell>
          <cell r="K66">
            <v>58.877470503352868</v>
          </cell>
          <cell r="L66">
            <v>89.243130806875783</v>
          </cell>
          <cell r="M66">
            <v>89.243130806875783</v>
          </cell>
          <cell r="N66">
            <v>89.243130806875783</v>
          </cell>
          <cell r="O66"/>
        </row>
        <row r="67">
          <cell r="D67" t="str">
            <v>B-05-09</v>
          </cell>
          <cell r="E67" t="str">
            <v>Emulsión de lípidos</v>
          </cell>
          <cell r="F67" t="str">
            <v>Emulsión inyectable</v>
          </cell>
          <cell r="G67" t="str">
            <v>Según disponibilidad</v>
          </cell>
          <cell r="H67" t="str">
            <v>B05BA02</v>
          </cell>
          <cell r="I67"/>
          <cell r="J67">
            <v>146.88399999999999</v>
          </cell>
          <cell r="K67">
            <v>146.88399999999999</v>
          </cell>
          <cell r="L67">
            <v>173.80010990415337</v>
          </cell>
          <cell r="M67">
            <v>173.80010990415337</v>
          </cell>
          <cell r="N67">
            <v>173.80010990415337</v>
          </cell>
          <cell r="O67"/>
        </row>
        <row r="68">
          <cell r="D68" t="str">
            <v>V-08-06</v>
          </cell>
          <cell r="E68" t="str">
            <v>Meglumina diatrizoato</v>
          </cell>
          <cell r="F68" t="str">
            <v>Inyectable</v>
          </cell>
          <cell r="G68" t="str">
            <v>70% o 76% (20 ml)</v>
          </cell>
          <cell r="H68" t="str">
            <v>V08AA01</v>
          </cell>
          <cell r="I68"/>
          <cell r="J68">
            <v>120.62</v>
          </cell>
          <cell r="K68">
            <v>120.62</v>
          </cell>
          <cell r="L68">
            <v>145.97</v>
          </cell>
          <cell r="M68">
            <v>145.97</v>
          </cell>
          <cell r="N68">
            <v>145.97</v>
          </cell>
          <cell r="O68"/>
        </row>
        <row r="69">
          <cell r="D69" t="str">
            <v>A-06-01</v>
          </cell>
          <cell r="E69" t="str">
            <v>Aceite mineral</v>
          </cell>
          <cell r="F69" t="str">
            <v>Emulsión oral</v>
          </cell>
          <cell r="G69">
            <v>0.4</v>
          </cell>
          <cell r="H69" t="str">
            <v>A06AG06</v>
          </cell>
          <cell r="I69"/>
          <cell r="J69">
            <v>14.9</v>
          </cell>
          <cell r="K69">
            <v>14.9</v>
          </cell>
          <cell r="L69">
            <v>14.9</v>
          </cell>
          <cell r="M69">
            <v>40</v>
          </cell>
          <cell r="N69">
            <v>40</v>
          </cell>
          <cell r="O69" t="str">
            <v>100 ML</v>
          </cell>
        </row>
        <row r="70">
          <cell r="D70" t="str">
            <v>J-02-01</v>
          </cell>
          <cell r="E70" t="str">
            <v>Amfotericina B</v>
          </cell>
          <cell r="F70" t="str">
            <v>Inyectable</v>
          </cell>
          <cell r="G70" t="str">
            <v>50 mg</v>
          </cell>
          <cell r="H70" t="str">
            <v>J02AA01</v>
          </cell>
          <cell r="I70"/>
          <cell r="J70">
            <v>135.97175900000002</v>
          </cell>
          <cell r="K70">
            <v>135.97175900000002</v>
          </cell>
          <cell r="L70">
            <v>160</v>
          </cell>
          <cell r="M70">
            <v>160</v>
          </cell>
          <cell r="N70">
            <v>160</v>
          </cell>
          <cell r="O70"/>
        </row>
        <row r="71">
          <cell r="D71" t="str">
            <v>J-01-11</v>
          </cell>
          <cell r="E71" t="str">
            <v>Amoxicilina + inhibidor betalactamasa</v>
          </cell>
          <cell r="F71" t="str">
            <v>Inyectable</v>
          </cell>
          <cell r="G71" t="str">
            <v>1 g + Según disponibilidad</v>
          </cell>
          <cell r="H71" t="str">
            <v>J01CR02</v>
          </cell>
          <cell r="I71"/>
          <cell r="J71">
            <v>24.11</v>
          </cell>
          <cell r="K71">
            <v>24.11</v>
          </cell>
          <cell r="L71">
            <v>24.11</v>
          </cell>
          <cell r="M71">
            <v>48</v>
          </cell>
          <cell r="N71">
            <v>48</v>
          </cell>
          <cell r="O71" t="str">
            <v>1 G + 500 MG</v>
          </cell>
        </row>
        <row r="72">
          <cell r="D72" t="str">
            <v>V-06-03</v>
          </cell>
          <cell r="E72" t="str">
            <v>Complemento nutricional (Nutribebé)</v>
          </cell>
          <cell r="F72" t="str">
            <v>Polvo</v>
          </cell>
          <cell r="G72" t="str">
            <v>Según concentración estándar</v>
          </cell>
          <cell r="H72" t="str">
            <v>V06DA</v>
          </cell>
          <cell r="I72"/>
          <cell r="J72">
            <v>23.6</v>
          </cell>
          <cell r="K72">
            <v>33.53</v>
          </cell>
          <cell r="L72">
            <v>33.53</v>
          </cell>
          <cell r="M72">
            <v>47.25</v>
          </cell>
          <cell r="N72">
            <v>47.25</v>
          </cell>
          <cell r="O72" t="str">
            <v>750 g</v>
          </cell>
        </row>
        <row r="73">
          <cell r="D73" t="str">
            <v>C-01-08</v>
          </cell>
          <cell r="E73" t="str">
            <v>Dobutamina clorhidrato</v>
          </cell>
          <cell r="F73" t="str">
            <v>Inyectable</v>
          </cell>
          <cell r="G73" t="str">
            <v>250 mg</v>
          </cell>
          <cell r="H73" t="str">
            <v>C01CA07</v>
          </cell>
          <cell r="I73"/>
          <cell r="J73">
            <v>26.47377777777778</v>
          </cell>
          <cell r="K73">
            <v>49.8</v>
          </cell>
          <cell r="L73">
            <v>49.8</v>
          </cell>
          <cell r="M73">
            <v>49.8</v>
          </cell>
          <cell r="N73">
            <v>49.8</v>
          </cell>
          <cell r="O73"/>
        </row>
        <row r="74">
          <cell r="D74" t="str">
            <v>C-01-03</v>
          </cell>
          <cell r="E74" t="str">
            <v>Amiodarona (clorhidrato)</v>
          </cell>
          <cell r="F74" t="str">
            <v>Inyectable</v>
          </cell>
          <cell r="G74" t="str">
            <v>50 mg/ml</v>
          </cell>
          <cell r="H74" t="str">
            <v>C01BD01</v>
          </cell>
          <cell r="I74"/>
          <cell r="J74">
            <v>7.01</v>
          </cell>
          <cell r="K74">
            <v>7.01</v>
          </cell>
          <cell r="L74">
            <v>29.890746934225195</v>
          </cell>
          <cell r="M74">
            <v>29.890746934225195</v>
          </cell>
          <cell r="N74">
            <v>29.890746934225195</v>
          </cell>
          <cell r="O74"/>
        </row>
        <row r="75">
          <cell r="D75" t="str">
            <v>B-05-35</v>
          </cell>
          <cell r="E75" t="str">
            <v>Solución para diálisis intraperitoneal (de acuerdo a composición apropiada)</v>
          </cell>
          <cell r="F75" t="str">
            <v xml:space="preserve">Solución parenteral </v>
          </cell>
          <cell r="G75" t="str">
            <v>Según disponibilidad</v>
          </cell>
          <cell r="H75" t="str">
            <v>B05D**</v>
          </cell>
          <cell r="I75" t="str">
            <v>R</v>
          </cell>
          <cell r="J75">
            <v>59.5</v>
          </cell>
          <cell r="K75">
            <v>79</v>
          </cell>
          <cell r="L75">
            <v>79</v>
          </cell>
          <cell r="M75">
            <v>79</v>
          </cell>
          <cell r="N75">
            <v>79</v>
          </cell>
          <cell r="O75" t="str">
            <v>79 Bs (2000 ml)</v>
          </cell>
        </row>
        <row r="76">
          <cell r="D76" t="str">
            <v>L-01-34</v>
          </cell>
          <cell r="E76" t="str">
            <v>Oxaliplatino</v>
          </cell>
          <cell r="F76" t="str">
            <v>Inyectable</v>
          </cell>
          <cell r="G76" t="str">
            <v>50 mg</v>
          </cell>
          <cell r="H76" t="str">
            <v>L01XA03</v>
          </cell>
          <cell r="I76"/>
          <cell r="J76">
            <v>211.69499999999999</v>
          </cell>
          <cell r="K76">
            <v>211.69499999999999</v>
          </cell>
          <cell r="L76">
            <v>211.69499999999999</v>
          </cell>
          <cell r="M76">
            <v>211.69499999999999</v>
          </cell>
          <cell r="N76">
            <v>229.47</v>
          </cell>
          <cell r="O76"/>
        </row>
        <row r="77">
          <cell r="D77" t="str">
            <v>L-01-09</v>
          </cell>
          <cell r="E77" t="str">
            <v>Cisplatino</v>
          </cell>
          <cell r="F77" t="str">
            <v>Inyectable</v>
          </cell>
          <cell r="G77" t="str">
            <v>50 mg</v>
          </cell>
          <cell r="H77" t="str">
            <v>L01XA01</v>
          </cell>
          <cell r="I77"/>
          <cell r="J77">
            <v>119.04166666666666</v>
          </cell>
          <cell r="K77">
            <v>119.04166666666666</v>
          </cell>
          <cell r="L77">
            <v>119.04166666666666</v>
          </cell>
          <cell r="M77">
            <v>119.04166666666666</v>
          </cell>
          <cell r="N77">
            <v>136.19</v>
          </cell>
          <cell r="O77"/>
        </row>
        <row r="78">
          <cell r="D78" t="str">
            <v>J-07-01</v>
          </cell>
          <cell r="E78" t="str">
            <v>Toxoide tetánico adsorbido</v>
          </cell>
          <cell r="F78" t="str">
            <v>Inyectable</v>
          </cell>
          <cell r="G78" t="str">
            <v>120 UI/ml</v>
          </cell>
          <cell r="H78" t="str">
            <v>J07AM01</v>
          </cell>
          <cell r="I78"/>
          <cell r="J78">
            <v>20</v>
          </cell>
          <cell r="K78">
            <v>20</v>
          </cell>
          <cell r="L78">
            <v>36</v>
          </cell>
          <cell r="M78">
            <v>36</v>
          </cell>
          <cell r="N78">
            <v>36</v>
          </cell>
          <cell r="O78"/>
        </row>
        <row r="79">
          <cell r="D79" t="str">
            <v>M-03-01</v>
          </cell>
          <cell r="E79" t="str">
            <v>Atracurio besilato</v>
          </cell>
          <cell r="F79" t="str">
            <v>Inyectable</v>
          </cell>
          <cell r="G79" t="str">
            <v>10 mg/ml</v>
          </cell>
          <cell r="H79" t="str">
            <v>M03AC04</v>
          </cell>
          <cell r="I79"/>
          <cell r="J79">
            <v>27</v>
          </cell>
          <cell r="K79">
            <v>27</v>
          </cell>
          <cell r="L79">
            <v>27</v>
          </cell>
          <cell r="M79">
            <v>42.79965018209699</v>
          </cell>
          <cell r="N79">
            <v>42.79965018209699</v>
          </cell>
          <cell r="O79"/>
        </row>
        <row r="80">
          <cell r="D80" t="str">
            <v>A-07-04</v>
          </cell>
          <cell r="E80" t="str">
            <v>Nistatina</v>
          </cell>
          <cell r="F80" t="str">
            <v>Suspensión</v>
          </cell>
          <cell r="G80" t="str">
            <v>500.000 UI/5 ml</v>
          </cell>
          <cell r="H80" t="str">
            <v>A07AA02</v>
          </cell>
          <cell r="I80"/>
          <cell r="J80">
            <v>19</v>
          </cell>
          <cell r="K80">
            <v>19</v>
          </cell>
          <cell r="L80">
            <v>19</v>
          </cell>
          <cell r="M80">
            <v>32.650421294363255</v>
          </cell>
          <cell r="N80">
            <v>32.650421294363255</v>
          </cell>
          <cell r="O80"/>
        </row>
        <row r="81">
          <cell r="D81" t="str">
            <v>B-01-04</v>
          </cell>
          <cell r="E81" t="str">
            <v>Heparina sódica</v>
          </cell>
          <cell r="F81" t="str">
            <v>Inyectable</v>
          </cell>
          <cell r="G81" t="str">
            <v>5.000 UI/ml</v>
          </cell>
          <cell r="H81" t="str">
            <v>B01AB01</v>
          </cell>
          <cell r="I81"/>
          <cell r="J81">
            <v>44.118796296296296</v>
          </cell>
          <cell r="K81">
            <v>57.2</v>
          </cell>
          <cell r="L81">
            <v>57.2</v>
          </cell>
          <cell r="M81">
            <v>57.2</v>
          </cell>
          <cell r="N81">
            <v>57.2</v>
          </cell>
          <cell r="O81"/>
        </row>
        <row r="82">
          <cell r="D82" t="str">
            <v>A-10-02</v>
          </cell>
          <cell r="E82" t="str">
            <v>Insulina recombinante humana NPH</v>
          </cell>
          <cell r="F82" t="str">
            <v>Inyectable</v>
          </cell>
          <cell r="G82" t="str">
            <v>100 UI/ml</v>
          </cell>
          <cell r="H82" t="str">
            <v>A10AC01</v>
          </cell>
          <cell r="I82"/>
          <cell r="J82">
            <v>125</v>
          </cell>
          <cell r="K82">
            <v>125</v>
          </cell>
          <cell r="L82">
            <v>136.10612426175663</v>
          </cell>
          <cell r="M82">
            <v>136.10612426175663</v>
          </cell>
          <cell r="N82">
            <v>136.10612426175663</v>
          </cell>
          <cell r="O82"/>
        </row>
        <row r="83">
          <cell r="D83" t="str">
            <v>N-01-03</v>
          </cell>
          <cell r="E83" t="str">
            <v>Bupivacaina clorhidrato con Epinefrina sin conservante</v>
          </cell>
          <cell r="F83" t="str">
            <v>Inyectable</v>
          </cell>
          <cell r="G83" t="str">
            <v xml:space="preserve">0,5% 1:200.000 </v>
          </cell>
          <cell r="H83" t="str">
            <v>N01BB51</v>
          </cell>
          <cell r="I83"/>
          <cell r="J83">
            <v>24</v>
          </cell>
          <cell r="K83">
            <v>24</v>
          </cell>
          <cell r="L83">
            <v>35</v>
          </cell>
          <cell r="M83">
            <v>35</v>
          </cell>
          <cell r="N83">
            <v>35</v>
          </cell>
          <cell r="O83" t="str">
            <v>20 ML</v>
          </cell>
        </row>
        <row r="84">
          <cell r="D84" t="str">
            <v>R-06-08</v>
          </cell>
          <cell r="E84" t="str">
            <v>Cetirizina</v>
          </cell>
          <cell r="F84" t="str">
            <v>Jarabe</v>
          </cell>
          <cell r="G84" t="str">
            <v>5 mg/5 ml</v>
          </cell>
          <cell r="H84" t="str">
            <v>R06AE07</v>
          </cell>
          <cell r="I84"/>
          <cell r="J84">
            <v>17.77</v>
          </cell>
          <cell r="K84">
            <v>17.77</v>
          </cell>
          <cell r="L84">
            <v>17.77</v>
          </cell>
          <cell r="M84">
            <v>28.452281755967284</v>
          </cell>
          <cell r="N84">
            <v>28.452281755967284</v>
          </cell>
          <cell r="O84" t="str">
            <v>100 ML</v>
          </cell>
        </row>
        <row r="85">
          <cell r="D85" t="str">
            <v>B-05-37</v>
          </cell>
          <cell r="E85" t="str">
            <v>Solución Fisiológica</v>
          </cell>
          <cell r="F85" t="str">
            <v>Solución parenteral</v>
          </cell>
          <cell r="G85" t="str">
            <v>0,9% (100 ml)</v>
          </cell>
          <cell r="H85" t="str">
            <v>B05CB01</v>
          </cell>
          <cell r="I85"/>
          <cell r="J85">
            <v>7.05</v>
          </cell>
          <cell r="K85">
            <v>7.05</v>
          </cell>
          <cell r="L85">
            <v>7.05</v>
          </cell>
          <cell r="M85">
            <v>17.52</v>
          </cell>
          <cell r="N85">
            <v>17.52</v>
          </cell>
          <cell r="O85"/>
        </row>
        <row r="86">
          <cell r="D86" t="str">
            <v>L-02-03</v>
          </cell>
          <cell r="E86" t="str">
            <v>Flutamida</v>
          </cell>
          <cell r="F86" t="str">
            <v>Comprimido</v>
          </cell>
          <cell r="G86" t="str">
            <v>250 mg</v>
          </cell>
          <cell r="H86" t="str">
            <v>L02BB01</v>
          </cell>
          <cell r="I86"/>
          <cell r="J86">
            <v>3.2349999999999999</v>
          </cell>
          <cell r="K86">
            <v>3.2349999999999999</v>
          </cell>
          <cell r="L86">
            <v>6.09</v>
          </cell>
          <cell r="M86">
            <v>6.09</v>
          </cell>
          <cell r="N86">
            <v>13</v>
          </cell>
          <cell r="O86"/>
        </row>
        <row r="87">
          <cell r="D87" t="str">
            <v>J-01-21</v>
          </cell>
          <cell r="E87" t="str">
            <v>Cefazolina</v>
          </cell>
          <cell r="F87" t="str">
            <v>Inyectable</v>
          </cell>
          <cell r="G87" t="str">
            <v>1 g</v>
          </cell>
          <cell r="H87" t="str">
            <v>J01DB04</v>
          </cell>
          <cell r="I87"/>
          <cell r="J87">
            <v>10.78</v>
          </cell>
          <cell r="K87">
            <v>10.78</v>
          </cell>
          <cell r="L87">
            <v>10.78</v>
          </cell>
          <cell r="M87">
            <v>19.616554106199679</v>
          </cell>
          <cell r="N87">
            <v>19.616554106199679</v>
          </cell>
          <cell r="O87"/>
        </row>
        <row r="88">
          <cell r="D88" t="str">
            <v>C-01-09</v>
          </cell>
          <cell r="E88" t="str">
            <v>Dopamina clorhidrato</v>
          </cell>
          <cell r="F88" t="str">
            <v>Inyectable</v>
          </cell>
          <cell r="G88" t="str">
            <v>200 mg</v>
          </cell>
          <cell r="H88" t="str">
            <v>C01CA04</v>
          </cell>
          <cell r="I88"/>
          <cell r="J88">
            <v>5.2600000000000007</v>
          </cell>
          <cell r="K88">
            <v>5.2600000000000007</v>
          </cell>
          <cell r="L88">
            <v>13.786086956521739</v>
          </cell>
          <cell r="M88">
            <v>13.786086956521739</v>
          </cell>
          <cell r="N88">
            <v>13.786086956521739</v>
          </cell>
          <cell r="O88"/>
        </row>
        <row r="89">
          <cell r="D89" t="str">
            <v>D-02-02</v>
          </cell>
          <cell r="E89" t="str">
            <v>Oxido de Zinc con o sin aceite</v>
          </cell>
          <cell r="F89" t="str">
            <v>Pasta o Pomada</v>
          </cell>
          <cell r="G89" t="str">
            <v>Según disponibilidad</v>
          </cell>
          <cell r="H89" t="str">
            <v>D02AB**</v>
          </cell>
          <cell r="I89"/>
          <cell r="J89">
            <v>16.25</v>
          </cell>
          <cell r="K89">
            <v>16.25</v>
          </cell>
          <cell r="L89">
            <v>16.25</v>
          </cell>
          <cell r="M89">
            <v>24.680088814210272</v>
          </cell>
          <cell r="N89">
            <v>24.680088814210272</v>
          </cell>
          <cell r="O89" t="str">
            <v>30 G</v>
          </cell>
        </row>
        <row r="90">
          <cell r="D90" t="str">
            <v>A-04-02</v>
          </cell>
          <cell r="E90" t="str">
            <v>Ondansetrón</v>
          </cell>
          <cell r="F90" t="str">
            <v>Comprimido</v>
          </cell>
          <cell r="G90" t="str">
            <v>8 mg</v>
          </cell>
          <cell r="H90" t="str">
            <v>A04AA01</v>
          </cell>
          <cell r="I90"/>
          <cell r="J90">
            <v>9.7399999999999984</v>
          </cell>
          <cell r="K90">
            <v>9.7399999999999984</v>
          </cell>
          <cell r="L90">
            <v>9.7399999999999984</v>
          </cell>
          <cell r="M90">
            <v>9.7399999999999984</v>
          </cell>
          <cell r="N90">
            <v>17.53</v>
          </cell>
          <cell r="O90"/>
        </row>
        <row r="91">
          <cell r="D91" t="str">
            <v>N-01-10</v>
          </cell>
          <cell r="E91" t="str">
            <v>Lidocaína clorhidrato + Epinefrina</v>
          </cell>
          <cell r="F91" t="str">
            <v>Inyectable</v>
          </cell>
          <cell r="G91" t="str">
            <v>2% 1:200.000</v>
          </cell>
          <cell r="H91" t="str">
            <v>N01BB52</v>
          </cell>
          <cell r="I91"/>
          <cell r="J91">
            <v>18.425000000000001</v>
          </cell>
          <cell r="K91">
            <v>18.425000000000001</v>
          </cell>
          <cell r="L91">
            <v>26</v>
          </cell>
          <cell r="M91">
            <v>26</v>
          </cell>
          <cell r="N91">
            <v>26</v>
          </cell>
          <cell r="O91"/>
        </row>
        <row r="92">
          <cell r="D92" t="str">
            <v>D-01-08</v>
          </cell>
          <cell r="E92" t="str">
            <v>Terbinafina</v>
          </cell>
          <cell r="F92" t="str">
            <v>Comprimido</v>
          </cell>
          <cell r="G92" t="str">
            <v>250 mg</v>
          </cell>
          <cell r="H92" t="str">
            <v>D01AE15</v>
          </cell>
          <cell r="I92"/>
          <cell r="J92">
            <v>12.27</v>
          </cell>
          <cell r="K92">
            <v>12.27</v>
          </cell>
          <cell r="L92">
            <v>12.27</v>
          </cell>
          <cell r="M92">
            <v>19.749629225736097</v>
          </cell>
          <cell r="N92">
            <v>19.749629225736097</v>
          </cell>
          <cell r="O92"/>
        </row>
        <row r="93">
          <cell r="D93" t="str">
            <v>J-01-26</v>
          </cell>
          <cell r="E93" t="str">
            <v>Ceftriaxona</v>
          </cell>
          <cell r="F93" t="str">
            <v>Inyectable</v>
          </cell>
          <cell r="G93" t="str">
            <v>1 g</v>
          </cell>
          <cell r="H93" t="str">
            <v>J01DD04</v>
          </cell>
          <cell r="I93"/>
          <cell r="J93">
            <v>10.27</v>
          </cell>
          <cell r="K93">
            <v>10.27</v>
          </cell>
          <cell r="L93">
            <v>10.27</v>
          </cell>
          <cell r="M93">
            <v>17.613732390090998</v>
          </cell>
          <cell r="N93">
            <v>17.613732390090998</v>
          </cell>
          <cell r="O93"/>
        </row>
        <row r="94">
          <cell r="D94" t="str">
            <v>C-01-13</v>
          </cell>
          <cell r="E94" t="str">
            <v>Etilefrina</v>
          </cell>
          <cell r="F94" t="str">
            <v>Inyectable</v>
          </cell>
          <cell r="G94" t="str">
            <v>10 mg/ml</v>
          </cell>
          <cell r="H94" t="str">
            <v>C01CA01</v>
          </cell>
          <cell r="I94"/>
          <cell r="J94">
            <v>13.8</v>
          </cell>
          <cell r="K94">
            <v>13.8</v>
          </cell>
          <cell r="L94">
            <v>20.5</v>
          </cell>
          <cell r="M94">
            <v>20.5</v>
          </cell>
          <cell r="N94">
            <v>20.5</v>
          </cell>
          <cell r="O94" t="str">
            <v>1 ML</v>
          </cell>
        </row>
        <row r="95">
          <cell r="D95" t="str">
            <v>N-03-03</v>
          </cell>
          <cell r="E95" t="str">
            <v>Ácido Valpróico ó Valproato sódico</v>
          </cell>
          <cell r="F95" t="str">
            <v>Cápsula o Comprimido</v>
          </cell>
          <cell r="G95" t="str">
            <v>500 mg</v>
          </cell>
          <cell r="H95" t="str">
            <v>N03AG01</v>
          </cell>
          <cell r="I95"/>
          <cell r="J95">
            <v>3.9435555555555553</v>
          </cell>
          <cell r="K95">
            <v>3.9435555555555553</v>
          </cell>
          <cell r="L95">
            <v>10.54</v>
          </cell>
          <cell r="M95">
            <v>10.54</v>
          </cell>
          <cell r="N95">
            <v>10.54</v>
          </cell>
          <cell r="O95"/>
        </row>
        <row r="96">
          <cell r="D96" t="str">
            <v>N-02-04</v>
          </cell>
          <cell r="E96" t="str">
            <v>Metadona</v>
          </cell>
          <cell r="F96" t="str">
            <v>Comprimido</v>
          </cell>
          <cell r="G96" t="str">
            <v>5 mg</v>
          </cell>
          <cell r="H96" t="str">
            <v>N02AC**</v>
          </cell>
          <cell r="I96"/>
          <cell r="J96">
            <v>4.25</v>
          </cell>
          <cell r="K96">
            <v>4.25</v>
          </cell>
          <cell r="L96">
            <v>4.25</v>
          </cell>
          <cell r="M96">
            <v>10.5</v>
          </cell>
          <cell r="N96">
            <v>10.5</v>
          </cell>
          <cell r="O96"/>
        </row>
        <row r="97">
          <cell r="D97" t="str">
            <v>J-01-71</v>
          </cell>
          <cell r="E97" t="str">
            <v>Amoxicilina + inhibidor betalactamasa</v>
          </cell>
          <cell r="F97" t="str">
            <v>Comprimido</v>
          </cell>
          <cell r="G97" t="str">
            <v>875 mg + Según disponibilidad</v>
          </cell>
          <cell r="H97" t="str">
            <v>J01CR03</v>
          </cell>
          <cell r="I97"/>
          <cell r="J97">
            <v>6.9</v>
          </cell>
          <cell r="K97">
            <v>6.9</v>
          </cell>
          <cell r="L97">
            <v>6.9</v>
          </cell>
          <cell r="M97">
            <v>12.814932820689997</v>
          </cell>
          <cell r="N97">
            <v>12.814932820689997</v>
          </cell>
          <cell r="O97"/>
        </row>
        <row r="98">
          <cell r="D98" t="str">
            <v>R-03-14</v>
          </cell>
          <cell r="E98" t="str">
            <v>Montelukast</v>
          </cell>
          <cell r="F98" t="str">
            <v>Comprimido</v>
          </cell>
          <cell r="G98" t="str">
            <v>5 mg</v>
          </cell>
          <cell r="H98" t="str">
            <v>R03DC03</v>
          </cell>
          <cell r="I98"/>
          <cell r="J98">
            <v>4.7</v>
          </cell>
          <cell r="K98">
            <v>4.7</v>
          </cell>
          <cell r="L98">
            <v>4.7</v>
          </cell>
          <cell r="M98">
            <v>10.347503267957602</v>
          </cell>
          <cell r="N98">
            <v>10.347503267957602</v>
          </cell>
          <cell r="O98"/>
        </row>
        <row r="99">
          <cell r="D99" t="str">
            <v>M-01-10</v>
          </cell>
          <cell r="E99" t="str">
            <v>Ketoprofeno</v>
          </cell>
          <cell r="F99" t="str">
            <v>Inyectable</v>
          </cell>
          <cell r="G99" t="str">
            <v>100 mg</v>
          </cell>
          <cell r="H99" t="str">
            <v>M01AE03</v>
          </cell>
          <cell r="I99"/>
          <cell r="J99">
            <v>13.8</v>
          </cell>
          <cell r="K99">
            <v>13.8</v>
          </cell>
          <cell r="L99">
            <v>13.8</v>
          </cell>
          <cell r="M99">
            <v>19.351167588734349</v>
          </cell>
          <cell r="N99">
            <v>19.351167588734349</v>
          </cell>
          <cell r="O99"/>
        </row>
        <row r="100">
          <cell r="D100" t="str">
            <v>D-07-02</v>
          </cell>
          <cell r="E100" t="str">
            <v>Clobetasol</v>
          </cell>
          <cell r="F100" t="str">
            <v>Crema o Pomada</v>
          </cell>
          <cell r="G100" t="str">
            <v>0,05%</v>
          </cell>
          <cell r="H100" t="str">
            <v>D07AD01</v>
          </cell>
          <cell r="I100"/>
          <cell r="J100">
            <v>13.31</v>
          </cell>
          <cell r="K100">
            <v>13.31</v>
          </cell>
          <cell r="L100">
            <v>13.31</v>
          </cell>
          <cell r="M100">
            <v>18.802144581804132</v>
          </cell>
          <cell r="N100">
            <v>18.802144581804132</v>
          </cell>
          <cell r="O100" t="str">
            <v>25 G</v>
          </cell>
        </row>
        <row r="101">
          <cell r="D101" t="str">
            <v>N-03-20</v>
          </cell>
          <cell r="E101" t="str">
            <v>Pregabalina</v>
          </cell>
          <cell r="F101" t="str">
            <v>Comprimido o Cápsula</v>
          </cell>
          <cell r="G101" t="str">
            <v>75 mg</v>
          </cell>
          <cell r="H101" t="str">
            <v>N03AX16</v>
          </cell>
          <cell r="I101" t="str">
            <v>R</v>
          </cell>
          <cell r="J101">
            <v>6.68</v>
          </cell>
          <cell r="K101">
            <v>6.68</v>
          </cell>
          <cell r="L101">
            <v>6.68</v>
          </cell>
          <cell r="M101">
            <v>12.051255955063734</v>
          </cell>
          <cell r="N101">
            <v>12.051255955063734</v>
          </cell>
          <cell r="O101"/>
        </row>
        <row r="102">
          <cell r="D102" t="str">
            <v>P-02-02</v>
          </cell>
          <cell r="E102" t="str">
            <v>Albendazol</v>
          </cell>
          <cell r="F102" t="str">
            <v>Suspensión</v>
          </cell>
          <cell r="G102" t="str">
            <v>200 mg/5 ml</v>
          </cell>
          <cell r="H102" t="str">
            <v>P02CA03</v>
          </cell>
          <cell r="I102"/>
          <cell r="J102">
            <v>9.81</v>
          </cell>
          <cell r="K102">
            <v>9.81</v>
          </cell>
          <cell r="L102">
            <v>9.81</v>
          </cell>
          <cell r="M102">
            <v>14.864775922070422</v>
          </cell>
          <cell r="N102">
            <v>14.864775922070422</v>
          </cell>
          <cell r="O102" t="str">
            <v>10 ML</v>
          </cell>
        </row>
        <row r="103">
          <cell r="D103" t="str">
            <v>B-05-30</v>
          </cell>
          <cell r="E103" t="str">
            <v>Solución ringer lactato</v>
          </cell>
          <cell r="F103" t="str">
            <v>Solución parenteral de gran volumen</v>
          </cell>
          <cell r="G103" t="str">
            <v>1.000 ml</v>
          </cell>
          <cell r="H103" t="str">
            <v>B05XA30</v>
          </cell>
          <cell r="I103"/>
          <cell r="J103">
            <v>11</v>
          </cell>
          <cell r="K103">
            <v>11</v>
          </cell>
          <cell r="L103">
            <v>11</v>
          </cell>
          <cell r="M103">
            <v>15.84850253507841</v>
          </cell>
          <cell r="N103">
            <v>15.84850253507841</v>
          </cell>
          <cell r="O103"/>
        </row>
        <row r="104">
          <cell r="D104" t="str">
            <v>P-01-07</v>
          </cell>
          <cell r="E104" t="str">
            <v>Metronidazol</v>
          </cell>
          <cell r="F104" t="str">
            <v>Inyectable</v>
          </cell>
          <cell r="G104" t="str">
            <v>500 mg</v>
          </cell>
          <cell r="H104" t="str">
            <v>P01AB01</v>
          </cell>
          <cell r="I104"/>
          <cell r="J104">
            <v>12.68</v>
          </cell>
          <cell r="K104">
            <v>12.68</v>
          </cell>
          <cell r="L104">
            <v>12.68</v>
          </cell>
          <cell r="M104">
            <v>17.469779026419577</v>
          </cell>
          <cell r="N104">
            <v>17.469779026419577</v>
          </cell>
          <cell r="O104"/>
        </row>
        <row r="105">
          <cell r="D105" t="str">
            <v>N-03-16</v>
          </cell>
          <cell r="E105" t="str">
            <v>Lamotrigina</v>
          </cell>
          <cell r="F105" t="str">
            <v>Comprimido</v>
          </cell>
          <cell r="G105" t="str">
            <v>50 mg</v>
          </cell>
          <cell r="H105" t="str">
            <v>N03AX09</v>
          </cell>
          <cell r="I105" t="str">
            <v>R</v>
          </cell>
          <cell r="J105">
            <v>8.0574999999999992</v>
          </cell>
          <cell r="K105">
            <v>8.0574999999999992</v>
          </cell>
          <cell r="L105">
            <v>12.770000000000001</v>
          </cell>
          <cell r="M105">
            <v>12.770000000000001</v>
          </cell>
          <cell r="N105">
            <v>12.770000000000001</v>
          </cell>
          <cell r="O105"/>
        </row>
        <row r="106">
          <cell r="D106" t="str">
            <v>M-01-09</v>
          </cell>
          <cell r="E106" t="str">
            <v>Ketorolaco</v>
          </cell>
          <cell r="F106" t="str">
            <v>Inyectable</v>
          </cell>
          <cell r="G106" t="str">
            <v>30 mg/ml</v>
          </cell>
          <cell r="H106" t="str">
            <v>M01AB15</v>
          </cell>
          <cell r="I106"/>
          <cell r="J106">
            <v>6.3</v>
          </cell>
          <cell r="K106">
            <v>6.3</v>
          </cell>
          <cell r="L106">
            <v>6.3</v>
          </cell>
          <cell r="M106">
            <v>10.901929335648667</v>
          </cell>
          <cell r="N106">
            <v>10.901929335648667</v>
          </cell>
          <cell r="O106" t="str">
            <v>1 ML</v>
          </cell>
        </row>
        <row r="107">
          <cell r="D107" t="str">
            <v>B-02-06</v>
          </cell>
          <cell r="E107" t="str">
            <v>Ácido Tranexámico</v>
          </cell>
          <cell r="F107" t="str">
            <v>Inyectable</v>
          </cell>
          <cell r="G107" t="str">
            <v xml:space="preserve">500 mg </v>
          </cell>
          <cell r="H107" t="str">
            <v>B02AA02</v>
          </cell>
          <cell r="I107" t="str">
            <v>R</v>
          </cell>
          <cell r="J107">
            <v>26.574285714285715</v>
          </cell>
          <cell r="K107">
            <v>26.574285714285715</v>
          </cell>
          <cell r="L107">
            <v>31.093789833664701</v>
          </cell>
          <cell r="M107">
            <v>31.093789833664701</v>
          </cell>
          <cell r="N107">
            <v>31.093789833664701</v>
          </cell>
          <cell r="O107"/>
        </row>
        <row r="108">
          <cell r="D108" t="str">
            <v>N-05-11</v>
          </cell>
          <cell r="E108" t="str">
            <v>Midazolam</v>
          </cell>
          <cell r="F108" t="str">
            <v>Inyectable</v>
          </cell>
          <cell r="G108" t="str">
            <v>15 mg/3 ml</v>
          </cell>
          <cell r="H108" t="str">
            <v>N05CD08</v>
          </cell>
          <cell r="I108"/>
          <cell r="J108">
            <v>20.5</v>
          </cell>
          <cell r="K108">
            <v>20.5</v>
          </cell>
          <cell r="L108">
            <v>20.5</v>
          </cell>
          <cell r="M108">
            <v>24.464143541849452</v>
          </cell>
          <cell r="N108">
            <v>24.464143541849452</v>
          </cell>
          <cell r="O108"/>
        </row>
        <row r="109">
          <cell r="D109" t="str">
            <v>N-07-05</v>
          </cell>
          <cell r="E109" t="str">
            <v>Neostigmina</v>
          </cell>
          <cell r="F109" t="str">
            <v>Inyectable</v>
          </cell>
          <cell r="G109" t="str">
            <v>0,5 mg/ml</v>
          </cell>
          <cell r="H109" t="str">
            <v>N07AA01</v>
          </cell>
          <cell r="I109"/>
          <cell r="J109">
            <v>6</v>
          </cell>
          <cell r="K109">
            <v>6</v>
          </cell>
          <cell r="L109">
            <v>6</v>
          </cell>
          <cell r="M109">
            <v>9.66</v>
          </cell>
          <cell r="N109">
            <v>9.66</v>
          </cell>
          <cell r="O109"/>
        </row>
        <row r="110">
          <cell r="D110" t="str">
            <v>L-01-03</v>
          </cell>
          <cell r="E110" t="str">
            <v>Capecitabine</v>
          </cell>
          <cell r="F110" t="str">
            <v>Comprimido</v>
          </cell>
          <cell r="G110" t="str">
            <v>500 mg</v>
          </cell>
          <cell r="H110" t="str">
            <v>L01BC06</v>
          </cell>
          <cell r="I110"/>
          <cell r="J110">
            <v>13.392142857142858</v>
          </cell>
          <cell r="K110">
            <v>13.392142857142858</v>
          </cell>
          <cell r="L110">
            <v>13.392142857142858</v>
          </cell>
          <cell r="M110">
            <v>13.392142857142858</v>
          </cell>
          <cell r="N110">
            <v>16.95</v>
          </cell>
          <cell r="O110"/>
        </row>
        <row r="111">
          <cell r="D111" t="str">
            <v>N-02-14</v>
          </cell>
          <cell r="E111" t="str">
            <v xml:space="preserve">Tramadol </v>
          </cell>
          <cell r="F111" t="str">
            <v>Inyectable</v>
          </cell>
          <cell r="G111" t="str">
            <v>100 mg/2 ml</v>
          </cell>
          <cell r="H111" t="str">
            <v>N02AX02</v>
          </cell>
          <cell r="I111"/>
          <cell r="J111">
            <v>9.1</v>
          </cell>
          <cell r="K111">
            <v>9.1</v>
          </cell>
          <cell r="L111">
            <v>9.1</v>
          </cell>
          <cell r="M111">
            <v>12.64</v>
          </cell>
          <cell r="N111">
            <v>12.64</v>
          </cell>
          <cell r="O111"/>
        </row>
        <row r="112">
          <cell r="D112" t="str">
            <v>N-02-06</v>
          </cell>
          <cell r="E112" t="str">
            <v>Morfina</v>
          </cell>
          <cell r="F112" t="str">
            <v>Cápsula o Comprimido</v>
          </cell>
          <cell r="G112" t="str">
            <v>10 mg</v>
          </cell>
          <cell r="H112" t="str">
            <v>N02AA01</v>
          </cell>
          <cell r="I112"/>
          <cell r="J112">
            <v>2</v>
          </cell>
          <cell r="K112">
            <v>2</v>
          </cell>
          <cell r="L112">
            <v>2</v>
          </cell>
          <cell r="M112">
            <v>5.4877856792545368</v>
          </cell>
          <cell r="N112">
            <v>5.4877856792545368</v>
          </cell>
          <cell r="O112"/>
        </row>
        <row r="113">
          <cell r="D113" t="str">
            <v>N-02-05</v>
          </cell>
          <cell r="E113" t="str">
            <v>Metamizol (Dipirona)</v>
          </cell>
          <cell r="F113" t="str">
            <v>Inyectable</v>
          </cell>
          <cell r="G113" t="str">
            <v>1 g</v>
          </cell>
          <cell r="H113" t="str">
            <v>N02BB02</v>
          </cell>
          <cell r="I113"/>
          <cell r="J113">
            <v>1.82</v>
          </cell>
          <cell r="K113">
            <v>1.82</v>
          </cell>
          <cell r="L113">
            <v>1.82</v>
          </cell>
          <cell r="M113">
            <v>5</v>
          </cell>
          <cell r="N113">
            <v>5</v>
          </cell>
          <cell r="O113"/>
        </row>
        <row r="114">
          <cell r="D114" t="str">
            <v>N-02-15</v>
          </cell>
          <cell r="E114" t="str">
            <v>Tramadol</v>
          </cell>
          <cell r="F114" t="str">
            <v>Comprimido</v>
          </cell>
          <cell r="G114" t="str">
            <v>50 mg</v>
          </cell>
          <cell r="H114" t="str">
            <v>N02AX02</v>
          </cell>
          <cell r="I114"/>
          <cell r="J114">
            <v>2</v>
          </cell>
          <cell r="K114">
            <v>2</v>
          </cell>
          <cell r="L114">
            <v>2</v>
          </cell>
          <cell r="M114">
            <v>5.0999999999999996</v>
          </cell>
          <cell r="N114">
            <v>5.0999999999999996</v>
          </cell>
          <cell r="O114"/>
        </row>
        <row r="115">
          <cell r="D115" t="str">
            <v>J-01-22</v>
          </cell>
          <cell r="E115" t="str">
            <v>Cefotaxima</v>
          </cell>
          <cell r="F115" t="str">
            <v>Inyectable</v>
          </cell>
          <cell r="G115" t="str">
            <v>1 g</v>
          </cell>
          <cell r="H115" t="str">
            <v>J01DD01</v>
          </cell>
          <cell r="I115"/>
          <cell r="J115">
            <v>7.35</v>
          </cell>
          <cell r="K115">
            <v>7.35</v>
          </cell>
          <cell r="L115">
            <v>7.35</v>
          </cell>
          <cell r="M115">
            <v>10.376439273084261</v>
          </cell>
          <cell r="N115">
            <v>10.376439273084261</v>
          </cell>
          <cell r="O115"/>
        </row>
        <row r="116">
          <cell r="D116" t="str">
            <v>L-01-23</v>
          </cell>
          <cell r="E116" t="str">
            <v>Mercaptopurina</v>
          </cell>
          <cell r="F116" t="str">
            <v>Comprimido ranurado</v>
          </cell>
          <cell r="G116" t="str">
            <v>50 mg</v>
          </cell>
          <cell r="H116" t="str">
            <v>L01BB02</v>
          </cell>
          <cell r="I116"/>
          <cell r="J116">
            <v>7.7975000000000003</v>
          </cell>
          <cell r="K116">
            <v>7.7975000000000003</v>
          </cell>
          <cell r="L116">
            <v>8.2799999999999994</v>
          </cell>
          <cell r="M116">
            <v>8.2799999999999994</v>
          </cell>
          <cell r="N116">
            <v>10.76</v>
          </cell>
          <cell r="O116"/>
        </row>
        <row r="117">
          <cell r="D117" t="str">
            <v>N-03-21</v>
          </cell>
          <cell r="E117" t="str">
            <v>Pregabalina</v>
          </cell>
          <cell r="F117" t="str">
            <v>Comprimido o Cápsula</v>
          </cell>
          <cell r="G117" t="str">
            <v>150 mg</v>
          </cell>
          <cell r="H117" t="str">
            <v>N03AX16</v>
          </cell>
          <cell r="I117" t="str">
            <v>R</v>
          </cell>
          <cell r="J117">
            <v>14.08</v>
          </cell>
          <cell r="K117">
            <v>14.08</v>
          </cell>
          <cell r="L117">
            <v>14.08</v>
          </cell>
          <cell r="M117">
            <v>17.037955079804767</v>
          </cell>
          <cell r="N117">
            <v>17.037955079804767</v>
          </cell>
          <cell r="O117"/>
        </row>
        <row r="118">
          <cell r="D118" t="str">
            <v>L-01-19</v>
          </cell>
          <cell r="E118" t="str">
            <v>Hidroxiurea</v>
          </cell>
          <cell r="F118" t="str">
            <v>Cápsula</v>
          </cell>
          <cell r="G118" t="str">
            <v>500 mg</v>
          </cell>
          <cell r="H118" t="str">
            <v>L01XX05</v>
          </cell>
          <cell r="I118"/>
          <cell r="J118">
            <v>3.3391666666666664</v>
          </cell>
          <cell r="K118">
            <v>3.3391666666666664</v>
          </cell>
          <cell r="L118">
            <v>3.3391666666666664</v>
          </cell>
          <cell r="M118">
            <v>3.3391666666666664</v>
          </cell>
          <cell r="N118">
            <v>6.21</v>
          </cell>
          <cell r="O118"/>
        </row>
        <row r="119">
          <cell r="D119" t="str">
            <v>L-02-05</v>
          </cell>
          <cell r="E119" t="str">
            <v>Tamoxifeno</v>
          </cell>
          <cell r="F119" t="str">
            <v>Comprimido</v>
          </cell>
          <cell r="G119" t="str">
            <v>20 mg</v>
          </cell>
          <cell r="H119" t="str">
            <v>L02BA01</v>
          </cell>
          <cell r="I119"/>
          <cell r="J119">
            <v>2.9738888888888884</v>
          </cell>
          <cell r="K119">
            <v>2.9738888888888884</v>
          </cell>
          <cell r="L119">
            <v>2.9738888888888884</v>
          </cell>
          <cell r="M119">
            <v>2.9738888888888884</v>
          </cell>
          <cell r="N119">
            <v>5.75</v>
          </cell>
          <cell r="O119"/>
        </row>
        <row r="120">
          <cell r="D120" t="str">
            <v>N-03-06</v>
          </cell>
          <cell r="E120" t="str">
            <v>Clonazepam</v>
          </cell>
          <cell r="F120" t="str">
            <v>Comprimido ranurado</v>
          </cell>
          <cell r="G120" t="str">
            <v>2 mg</v>
          </cell>
          <cell r="H120" t="str">
            <v>N03AE01</v>
          </cell>
          <cell r="I120"/>
          <cell r="J120">
            <v>2.3199999999999998</v>
          </cell>
          <cell r="K120">
            <v>2.3199999999999998</v>
          </cell>
          <cell r="L120">
            <v>2.3199999999999998</v>
          </cell>
          <cell r="M120">
            <v>4.8372826648146123</v>
          </cell>
          <cell r="N120">
            <v>4.8372826648146123</v>
          </cell>
          <cell r="O120"/>
        </row>
        <row r="121">
          <cell r="D121" t="str">
            <v>B-05-34</v>
          </cell>
          <cell r="E121" t="str">
            <v>Solución Fisiológica</v>
          </cell>
          <cell r="F121" t="str">
            <v xml:space="preserve">Solución parenteral </v>
          </cell>
          <cell r="G121" t="str">
            <v>0,9% (150 ml)</v>
          </cell>
          <cell r="H121" t="str">
            <v>B05CB01</v>
          </cell>
          <cell r="I121"/>
          <cell r="J121">
            <v>7.6450000000000005</v>
          </cell>
          <cell r="K121">
            <v>7.6450000000000005</v>
          </cell>
          <cell r="L121">
            <v>7.6450000000000005</v>
          </cell>
          <cell r="M121">
            <v>10.114739845585767</v>
          </cell>
          <cell r="N121">
            <v>10.114739845585767</v>
          </cell>
          <cell r="O121"/>
        </row>
        <row r="122">
          <cell r="D122" t="str">
            <v>J-02-04</v>
          </cell>
          <cell r="E122" t="str">
            <v>Griseofulvina</v>
          </cell>
          <cell r="F122" t="str">
            <v>Comprimido</v>
          </cell>
          <cell r="G122" t="str">
            <v>500 mg</v>
          </cell>
          <cell r="H122" t="str">
            <v>J02AX**</v>
          </cell>
          <cell r="I122"/>
          <cell r="J122">
            <v>1.83</v>
          </cell>
          <cell r="K122">
            <v>1.83</v>
          </cell>
          <cell r="L122">
            <v>1.83</v>
          </cell>
          <cell r="M122">
            <v>4.1929693741677765</v>
          </cell>
          <cell r="N122">
            <v>4.1929693741677765</v>
          </cell>
          <cell r="O122"/>
        </row>
        <row r="123">
          <cell r="D123" t="str">
            <v>G-02-03</v>
          </cell>
          <cell r="E123" t="str">
            <v>Ergometrina maleato</v>
          </cell>
          <cell r="F123" t="str">
            <v>Comprimido</v>
          </cell>
          <cell r="G123" t="str">
            <v>0,2 mg</v>
          </cell>
          <cell r="H123" t="str">
            <v>G02AB03</v>
          </cell>
          <cell r="I123"/>
          <cell r="J123">
            <v>1.7853030303030302</v>
          </cell>
          <cell r="K123">
            <v>1.7853030303030302</v>
          </cell>
          <cell r="L123">
            <v>4.0525897742280366</v>
          </cell>
          <cell r="M123">
            <v>4.0525897742280366</v>
          </cell>
          <cell r="N123">
            <v>4.0525897742280366</v>
          </cell>
          <cell r="O123"/>
        </row>
        <row r="124">
          <cell r="D124" t="str">
            <v>J-01-55</v>
          </cell>
          <cell r="E124" t="str">
            <v>Vancomicina</v>
          </cell>
          <cell r="F124" t="str">
            <v>Inyectable</v>
          </cell>
          <cell r="G124" t="str">
            <v>500 mg</v>
          </cell>
          <cell r="H124" t="str">
            <v>J01XA01</v>
          </cell>
          <cell r="I124" t="str">
            <v>R</v>
          </cell>
          <cell r="J124">
            <v>25.89</v>
          </cell>
          <cell r="K124">
            <v>25.89</v>
          </cell>
          <cell r="L124">
            <v>25.89</v>
          </cell>
          <cell r="M124">
            <v>28</v>
          </cell>
          <cell r="N124">
            <v>28</v>
          </cell>
          <cell r="O124"/>
        </row>
        <row r="125">
          <cell r="D125" t="str">
            <v>H-02-04</v>
          </cell>
          <cell r="E125" t="str">
            <v>Dexametasona</v>
          </cell>
          <cell r="F125" t="str">
            <v>Inyectable</v>
          </cell>
          <cell r="G125" t="str">
            <v>4 mg/ml</v>
          </cell>
          <cell r="H125" t="str">
            <v>H02AB02</v>
          </cell>
          <cell r="I125"/>
          <cell r="J125">
            <v>2.0499999999999998</v>
          </cell>
          <cell r="K125">
            <v>2.0499999999999998</v>
          </cell>
          <cell r="L125">
            <v>2.0499999999999998</v>
          </cell>
          <cell r="M125">
            <v>4</v>
          </cell>
          <cell r="N125">
            <v>4</v>
          </cell>
          <cell r="O125" t="str">
            <v>1 ML</v>
          </cell>
        </row>
        <row r="126">
          <cell r="D126" t="str">
            <v>L-04-12</v>
          </cell>
          <cell r="E126" t="str">
            <v>Leflunomida</v>
          </cell>
          <cell r="F126" t="str">
            <v>Comprimido</v>
          </cell>
          <cell r="G126" t="str">
            <v>20 mg</v>
          </cell>
          <cell r="H126" t="str">
            <v>L04AA13</v>
          </cell>
          <cell r="I126" t="str">
            <v>R</v>
          </cell>
          <cell r="J126">
            <v>10.86</v>
          </cell>
          <cell r="K126">
            <v>10.86</v>
          </cell>
          <cell r="L126">
            <v>10.86</v>
          </cell>
          <cell r="M126">
            <v>12.75111444277861</v>
          </cell>
          <cell r="N126">
            <v>12.75111444277861</v>
          </cell>
          <cell r="O126"/>
        </row>
        <row r="127">
          <cell r="D127" t="str">
            <v>J-01-58</v>
          </cell>
          <cell r="E127" t="str">
            <v>Cefixima</v>
          </cell>
          <cell r="F127" t="str">
            <v>Comprimido o Cápsula</v>
          </cell>
          <cell r="G127" t="str">
            <v>400 mg</v>
          </cell>
          <cell r="H127" t="str">
            <v>J01DD08</v>
          </cell>
          <cell r="I127" t="str">
            <v>R</v>
          </cell>
          <cell r="J127">
            <v>7.38</v>
          </cell>
          <cell r="K127">
            <v>7.38</v>
          </cell>
          <cell r="L127">
            <v>7.38</v>
          </cell>
          <cell r="M127">
            <v>9.2173367143715552</v>
          </cell>
          <cell r="N127">
            <v>9.2173367143715552</v>
          </cell>
          <cell r="O127"/>
        </row>
        <row r="128">
          <cell r="D128" t="str">
            <v>J-01-28</v>
          </cell>
          <cell r="E128" t="str">
            <v>Ciprofloxacina</v>
          </cell>
          <cell r="F128" t="str">
            <v>Inyectable</v>
          </cell>
          <cell r="G128" t="str">
            <v>200 mg</v>
          </cell>
          <cell r="H128" t="str">
            <v>J01MA02</v>
          </cell>
          <cell r="I128"/>
          <cell r="J128">
            <v>11.64</v>
          </cell>
          <cell r="K128">
            <v>11.64</v>
          </cell>
          <cell r="L128">
            <v>11.64</v>
          </cell>
          <cell r="M128">
            <v>13.317484002341743</v>
          </cell>
          <cell r="N128">
            <v>13.317484002341743</v>
          </cell>
          <cell r="O128"/>
        </row>
        <row r="129">
          <cell r="D129" t="str">
            <v>V-03-01</v>
          </cell>
          <cell r="E129" t="str">
            <v>Acetil Cisteina</v>
          </cell>
          <cell r="F129" t="str">
            <v>Inyectable</v>
          </cell>
          <cell r="G129">
            <v>0.1</v>
          </cell>
          <cell r="H129" t="str">
            <v>V03AB23</v>
          </cell>
          <cell r="I129"/>
          <cell r="J129">
            <v>13.393781055900622</v>
          </cell>
          <cell r="K129">
            <v>13.393781055900622</v>
          </cell>
          <cell r="L129">
            <v>13.393781055900622</v>
          </cell>
          <cell r="M129">
            <v>15</v>
          </cell>
          <cell r="N129">
            <v>15</v>
          </cell>
          <cell r="O129" t="str">
            <v>3 ML</v>
          </cell>
        </row>
        <row r="130">
          <cell r="D130" t="str">
            <v>J-01-04</v>
          </cell>
          <cell r="E130" t="str">
            <v>Amikacina</v>
          </cell>
          <cell r="F130" t="str">
            <v>Inyectable</v>
          </cell>
          <cell r="G130" t="str">
            <v>500mg /2 ml</v>
          </cell>
          <cell r="H130" t="str">
            <v>J01GB06</v>
          </cell>
          <cell r="I130"/>
          <cell r="J130">
            <v>6.17</v>
          </cell>
          <cell r="K130">
            <v>6.17</v>
          </cell>
          <cell r="L130">
            <v>6.17</v>
          </cell>
          <cell r="M130">
            <v>7.7667349285603633</v>
          </cell>
          <cell r="N130">
            <v>7.7667349285603633</v>
          </cell>
          <cell r="O130" t="str">
            <v>2 ML</v>
          </cell>
        </row>
        <row r="131">
          <cell r="D131" t="str">
            <v>N-05-08</v>
          </cell>
          <cell r="E131" t="str">
            <v>Haloperidol</v>
          </cell>
          <cell r="F131" t="str">
            <v>Comprimido</v>
          </cell>
          <cell r="G131" t="str">
            <v>5 mg</v>
          </cell>
          <cell r="H131" t="str">
            <v>N05AD01</v>
          </cell>
          <cell r="I131"/>
          <cell r="J131">
            <v>1.2</v>
          </cell>
          <cell r="K131">
            <v>1.2</v>
          </cell>
          <cell r="L131">
            <v>1.2</v>
          </cell>
          <cell r="M131">
            <v>2.7782210345485781</v>
          </cell>
          <cell r="N131">
            <v>2.7782210345485781</v>
          </cell>
          <cell r="O131"/>
        </row>
        <row r="132">
          <cell r="D132" t="str">
            <v>B-05-22</v>
          </cell>
          <cell r="E132" t="str">
            <v>Solución Fisiológica</v>
          </cell>
          <cell r="F132" t="str">
            <v>Solución parenteral de gran volumen</v>
          </cell>
          <cell r="G132" t="str">
            <v>0,9% (500 ml)</v>
          </cell>
          <cell r="H132" t="str">
            <v>B05CB01</v>
          </cell>
          <cell r="I132"/>
          <cell r="J132">
            <v>9</v>
          </cell>
          <cell r="K132">
            <v>9</v>
          </cell>
          <cell r="L132">
            <v>9</v>
          </cell>
          <cell r="M132">
            <v>10.407477587945175</v>
          </cell>
          <cell r="N132">
            <v>10.407477587945175</v>
          </cell>
          <cell r="O132"/>
        </row>
        <row r="133">
          <cell r="D133" t="str">
            <v>N-06-04</v>
          </cell>
          <cell r="E133" t="str">
            <v>Fluoxetina</v>
          </cell>
          <cell r="F133" t="str">
            <v>Cápsula o Comprimido</v>
          </cell>
          <cell r="G133" t="str">
            <v>20 mg</v>
          </cell>
          <cell r="H133" t="str">
            <v>N06AB03</v>
          </cell>
          <cell r="I133"/>
          <cell r="J133">
            <v>0.94</v>
          </cell>
          <cell r="K133">
            <v>0.94</v>
          </cell>
          <cell r="L133">
            <v>0.94</v>
          </cell>
          <cell r="M133">
            <v>2.2199672951401683</v>
          </cell>
          <cell r="N133">
            <v>2.2199672951401683</v>
          </cell>
          <cell r="O133"/>
        </row>
        <row r="134">
          <cell r="D134" t="str">
            <v>N-04-02</v>
          </cell>
          <cell r="E134" t="str">
            <v>Levodopa + Carbidopa</v>
          </cell>
          <cell r="F134" t="str">
            <v>Comprimido</v>
          </cell>
          <cell r="G134" t="str">
            <v>250 mg + 25 mg</v>
          </cell>
          <cell r="H134" t="str">
            <v>N04BA02</v>
          </cell>
          <cell r="I134"/>
          <cell r="J134">
            <v>3.45</v>
          </cell>
          <cell r="K134">
            <v>3.45</v>
          </cell>
          <cell r="L134">
            <v>3.45</v>
          </cell>
          <cell r="M134">
            <v>4.6507755788326364</v>
          </cell>
          <cell r="N134">
            <v>4.6507755788326364</v>
          </cell>
          <cell r="O134"/>
        </row>
        <row r="135">
          <cell r="D135" t="str">
            <v>A-03-13</v>
          </cell>
          <cell r="E135" t="str">
            <v>Simeticona</v>
          </cell>
          <cell r="F135" t="str">
            <v>Comprimido</v>
          </cell>
          <cell r="G135" t="str">
            <v>100 mg</v>
          </cell>
          <cell r="H135" t="str">
            <v>A03AX13</v>
          </cell>
          <cell r="I135"/>
          <cell r="J135">
            <v>1.1499999999999999</v>
          </cell>
          <cell r="K135">
            <v>1.1499999999999999</v>
          </cell>
          <cell r="L135">
            <v>1.1499999999999999</v>
          </cell>
          <cell r="M135">
            <v>2.2999999999999998</v>
          </cell>
          <cell r="N135">
            <v>2.2999999999999998</v>
          </cell>
          <cell r="O135"/>
        </row>
        <row r="136">
          <cell r="D136" t="str">
            <v>G-03-22</v>
          </cell>
          <cell r="E136" t="str">
            <v xml:space="preserve">Progesterona </v>
          </cell>
          <cell r="F136" t="str">
            <v>Cápsula</v>
          </cell>
          <cell r="G136" t="str">
            <v>200 mg</v>
          </cell>
          <cell r="H136" t="str">
            <v>G03DA04</v>
          </cell>
          <cell r="I136"/>
          <cell r="J136">
            <v>6.75</v>
          </cell>
          <cell r="K136">
            <v>6.75</v>
          </cell>
          <cell r="L136">
            <v>7.8871181688373504</v>
          </cell>
          <cell r="M136">
            <v>7.8871181688373504</v>
          </cell>
          <cell r="N136">
            <v>7.8871181688373504</v>
          </cell>
          <cell r="O136"/>
        </row>
        <row r="137">
          <cell r="D137" t="str">
            <v>J-01-27</v>
          </cell>
          <cell r="E137" t="str">
            <v>Ciprofloxacina</v>
          </cell>
          <cell r="F137" t="str">
            <v>Comprimido</v>
          </cell>
          <cell r="G137" t="str">
            <v>500 mg</v>
          </cell>
          <cell r="H137" t="str">
            <v>J01MA02</v>
          </cell>
          <cell r="I137"/>
          <cell r="J137">
            <v>0.7</v>
          </cell>
          <cell r="K137">
            <v>0.7</v>
          </cell>
          <cell r="L137">
            <v>0.7</v>
          </cell>
          <cell r="M137">
            <v>1.8</v>
          </cell>
          <cell r="N137">
            <v>1.8</v>
          </cell>
          <cell r="O137"/>
        </row>
        <row r="138">
          <cell r="D138" t="str">
            <v>J-01-37</v>
          </cell>
          <cell r="E138" t="str">
            <v>Cotrimoxazol (Sulfametoxazol + Trimetoprima)</v>
          </cell>
          <cell r="F138" t="str">
            <v>Comprimido</v>
          </cell>
          <cell r="G138" t="str">
            <v>800 mg + 160 mg</v>
          </cell>
          <cell r="H138" t="str">
            <v>J01EE01</v>
          </cell>
          <cell r="I138"/>
          <cell r="J138">
            <v>0.75</v>
          </cell>
          <cell r="K138">
            <v>0.75</v>
          </cell>
          <cell r="L138">
            <v>0.75</v>
          </cell>
          <cell r="M138">
            <v>1.7824539941604221</v>
          </cell>
          <cell r="N138">
            <v>1.7824539941604221</v>
          </cell>
          <cell r="O138"/>
        </row>
        <row r="139">
          <cell r="D139" t="str">
            <v>R-06-07</v>
          </cell>
          <cell r="E139" t="str">
            <v>Cetirizina</v>
          </cell>
          <cell r="F139" t="str">
            <v xml:space="preserve">Cápsula o Comprimido </v>
          </cell>
          <cell r="G139" t="str">
            <v>10 mg</v>
          </cell>
          <cell r="H139" t="str">
            <v>R06AE07</v>
          </cell>
          <cell r="I139"/>
          <cell r="J139">
            <v>0.76</v>
          </cell>
          <cell r="K139">
            <v>0.76</v>
          </cell>
          <cell r="L139">
            <v>0.76</v>
          </cell>
          <cell r="M139">
            <v>1.779018348905328</v>
          </cell>
          <cell r="N139">
            <v>1.779018348905328</v>
          </cell>
          <cell r="O139"/>
        </row>
        <row r="140">
          <cell r="D140" t="str">
            <v>J-01-50</v>
          </cell>
          <cell r="E140" t="str">
            <v>Imipenem + Cilastatina</v>
          </cell>
          <cell r="F140" t="str">
            <v>Inyectable</v>
          </cell>
          <cell r="G140" t="str">
            <v>500 mg + 500 mg</v>
          </cell>
          <cell r="H140" t="str">
            <v>J01DH51</v>
          </cell>
          <cell r="I140" t="str">
            <v>R</v>
          </cell>
          <cell r="J140">
            <v>68.3</v>
          </cell>
          <cell r="K140">
            <v>68.3</v>
          </cell>
          <cell r="L140">
            <v>68.3</v>
          </cell>
          <cell r="M140">
            <v>69.293815657828915</v>
          </cell>
          <cell r="N140">
            <v>69.293815657828915</v>
          </cell>
          <cell r="O140"/>
        </row>
        <row r="141">
          <cell r="D141" t="str">
            <v>A-12-02</v>
          </cell>
          <cell r="E141" t="str">
            <v>Calcio + Vitamina D</v>
          </cell>
          <cell r="F141" t="str">
            <v>Comprimido o Cápsula</v>
          </cell>
          <cell r="G141" t="str">
            <v>500 mg (ión calcio); Según disponibilidad</v>
          </cell>
          <cell r="H141" t="str">
            <v>A12AX**</v>
          </cell>
          <cell r="I141"/>
          <cell r="J141">
            <v>0.62</v>
          </cell>
          <cell r="K141">
            <v>0.62</v>
          </cell>
          <cell r="L141">
            <v>0.62</v>
          </cell>
          <cell r="M141">
            <v>1.6</v>
          </cell>
          <cell r="N141">
            <v>1.6</v>
          </cell>
          <cell r="O141"/>
        </row>
        <row r="142">
          <cell r="D142" t="str">
            <v>M-01-11</v>
          </cell>
          <cell r="E142" t="str">
            <v>Meloxicam</v>
          </cell>
          <cell r="F142" t="str">
            <v>Comprimido</v>
          </cell>
          <cell r="G142" t="str">
            <v>15 mg</v>
          </cell>
          <cell r="H142" t="str">
            <v>M01AC06</v>
          </cell>
          <cell r="I142"/>
          <cell r="J142">
            <v>3.03</v>
          </cell>
          <cell r="K142">
            <v>3.03</v>
          </cell>
          <cell r="L142">
            <v>3.03</v>
          </cell>
          <cell r="M142">
            <v>4.0006973000036652</v>
          </cell>
          <cell r="N142">
            <v>4.0006973000036652</v>
          </cell>
          <cell r="O142"/>
        </row>
        <row r="143">
          <cell r="D143" t="str">
            <v>C-03-05</v>
          </cell>
          <cell r="E143" t="str">
            <v>Furosemida</v>
          </cell>
          <cell r="F143" t="str">
            <v>Inyectable</v>
          </cell>
          <cell r="G143" t="str">
            <v>10 mg/ml</v>
          </cell>
          <cell r="H143" t="str">
            <v>C03CA01</v>
          </cell>
          <cell r="I143"/>
          <cell r="J143">
            <v>1.8</v>
          </cell>
          <cell r="K143">
            <v>1.8</v>
          </cell>
          <cell r="L143">
            <v>1.8</v>
          </cell>
          <cell r="M143">
            <v>2.7590709280915191</v>
          </cell>
          <cell r="N143">
            <v>2.7590709280915191</v>
          </cell>
          <cell r="O143" t="str">
            <v>2 ML</v>
          </cell>
        </row>
        <row r="144">
          <cell r="D144" t="str">
            <v>C-01-02</v>
          </cell>
          <cell r="E144" t="str">
            <v>Amiodarona (clorhidrato)</v>
          </cell>
          <cell r="F144" t="str">
            <v>Comprimido</v>
          </cell>
          <cell r="G144" t="str">
            <v>200 mg</v>
          </cell>
          <cell r="H144" t="str">
            <v>C01BD01</v>
          </cell>
          <cell r="I144"/>
          <cell r="J144">
            <v>2.57</v>
          </cell>
          <cell r="K144">
            <v>2.57</v>
          </cell>
          <cell r="L144">
            <v>2.57</v>
          </cell>
          <cell r="M144">
            <v>3.4650035457699517</v>
          </cell>
          <cell r="N144">
            <v>3.4650035457699517</v>
          </cell>
          <cell r="O144"/>
        </row>
        <row r="145">
          <cell r="D145" t="str">
            <v>A-03-10</v>
          </cell>
          <cell r="E145" t="str">
            <v>Propinoxato</v>
          </cell>
          <cell r="F145" t="str">
            <v>Comprimido</v>
          </cell>
          <cell r="G145" t="str">
            <v>10 mg</v>
          </cell>
          <cell r="H145" t="str">
            <v>A03AC**</v>
          </cell>
          <cell r="I145"/>
          <cell r="J145">
            <v>1.9</v>
          </cell>
          <cell r="K145">
            <v>1.9</v>
          </cell>
          <cell r="L145">
            <v>1.9</v>
          </cell>
          <cell r="M145">
            <v>2.76</v>
          </cell>
          <cell r="N145">
            <v>2.76</v>
          </cell>
          <cell r="O145"/>
        </row>
        <row r="146">
          <cell r="D146" t="str">
            <v>N-05-02</v>
          </cell>
          <cell r="E146" t="str">
            <v>Clorpromazina</v>
          </cell>
          <cell r="F146" t="str">
            <v>Comprimido</v>
          </cell>
          <cell r="G146" t="str">
            <v>100 mg</v>
          </cell>
          <cell r="H146" t="str">
            <v>N05AA01</v>
          </cell>
          <cell r="I146"/>
          <cell r="J146">
            <v>1.7</v>
          </cell>
          <cell r="K146">
            <v>1.7</v>
          </cell>
          <cell r="L146">
            <v>2.5</v>
          </cell>
          <cell r="M146">
            <v>2.5</v>
          </cell>
          <cell r="N146">
            <v>2.5</v>
          </cell>
          <cell r="O146"/>
        </row>
        <row r="147">
          <cell r="D147" t="str">
            <v>C-09-02</v>
          </cell>
          <cell r="E147" t="str">
            <v>Losartán</v>
          </cell>
          <cell r="F147" t="str">
            <v>Comprimido</v>
          </cell>
          <cell r="G147" t="str">
            <v>50 mg</v>
          </cell>
          <cell r="H147" t="str">
            <v>C09CA01</v>
          </cell>
          <cell r="I147"/>
          <cell r="J147">
            <v>0.67</v>
          </cell>
          <cell r="K147">
            <v>0.67</v>
          </cell>
          <cell r="L147">
            <v>0.67</v>
          </cell>
          <cell r="M147">
            <v>1.4005399593920562</v>
          </cell>
          <cell r="N147">
            <v>1.4005399593920562</v>
          </cell>
          <cell r="O147" t="str">
            <v>50 MG</v>
          </cell>
        </row>
        <row r="148">
          <cell r="D148" t="str">
            <v>J-05-04</v>
          </cell>
          <cell r="E148" t="str">
            <v>Aciclovir</v>
          </cell>
          <cell r="F148" t="str">
            <v>Comprimido</v>
          </cell>
          <cell r="G148" t="str">
            <v>400 mg</v>
          </cell>
          <cell r="H148" t="str">
            <v>J05AB01</v>
          </cell>
          <cell r="I148"/>
          <cell r="J148">
            <v>1.4</v>
          </cell>
          <cell r="K148">
            <v>1.4</v>
          </cell>
          <cell r="L148">
            <v>1.4</v>
          </cell>
          <cell r="M148">
            <v>2.0995898700550182</v>
          </cell>
          <cell r="N148">
            <v>2.0995898700550182</v>
          </cell>
          <cell r="O148"/>
        </row>
        <row r="149">
          <cell r="D149" t="str">
            <v>N-05-18</v>
          </cell>
          <cell r="E149" t="str">
            <v>Quetiapina</v>
          </cell>
          <cell r="F149" t="str">
            <v>Comprimido</v>
          </cell>
          <cell r="G149" t="str">
            <v>100 mg</v>
          </cell>
          <cell r="H149" t="str">
            <v>N05AH04</v>
          </cell>
          <cell r="I149" t="str">
            <v>R</v>
          </cell>
          <cell r="J149">
            <v>9.7411111111111115</v>
          </cell>
          <cell r="K149">
            <v>9.7411111111111115</v>
          </cell>
          <cell r="L149">
            <v>9.7411111111111115</v>
          </cell>
          <cell r="M149">
            <v>10.419604709423917</v>
          </cell>
          <cell r="N149">
            <v>10.419604709423917</v>
          </cell>
          <cell r="O149"/>
        </row>
        <row r="150">
          <cell r="D150" t="str">
            <v>N-03-04</v>
          </cell>
          <cell r="E150" t="str">
            <v>Carbamazepina</v>
          </cell>
          <cell r="F150" t="str">
            <v>Comprimido</v>
          </cell>
          <cell r="G150" t="str">
            <v>200 mg</v>
          </cell>
          <cell r="H150" t="str">
            <v>N03AF01</v>
          </cell>
          <cell r="I150"/>
          <cell r="J150">
            <v>0.47</v>
          </cell>
          <cell r="K150">
            <v>0.47</v>
          </cell>
          <cell r="L150">
            <v>0.47</v>
          </cell>
          <cell r="M150">
            <v>1.0775686289215094</v>
          </cell>
          <cell r="N150">
            <v>1.0775686289215094</v>
          </cell>
          <cell r="O150"/>
        </row>
        <row r="151">
          <cell r="D151" t="str">
            <v>A-06-05</v>
          </cell>
          <cell r="E151" t="str">
            <v>Glicerol (Glicerina)</v>
          </cell>
          <cell r="F151" t="str">
            <v>Supositorio</v>
          </cell>
          <cell r="G151" t="str">
            <v>2 g a 4 g (adulto)</v>
          </cell>
          <cell r="H151" t="str">
            <v>A06AX01</v>
          </cell>
          <cell r="I151"/>
          <cell r="J151">
            <v>2.02</v>
          </cell>
          <cell r="K151">
            <v>2.02</v>
          </cell>
          <cell r="L151">
            <v>2.02</v>
          </cell>
          <cell r="M151">
            <v>2.6065876876527407</v>
          </cell>
          <cell r="N151">
            <v>2.6065876876527407</v>
          </cell>
          <cell r="O151"/>
        </row>
        <row r="152">
          <cell r="D152" t="str">
            <v>C-03-01</v>
          </cell>
          <cell r="E152" t="str">
            <v>Acetazolamida</v>
          </cell>
          <cell r="F152" t="str">
            <v>Comprimido</v>
          </cell>
          <cell r="G152" t="str">
            <v>250 mg</v>
          </cell>
          <cell r="H152" t="str">
            <v>C03**</v>
          </cell>
          <cell r="I152"/>
          <cell r="J152">
            <v>1.66</v>
          </cell>
          <cell r="K152">
            <v>1.66</v>
          </cell>
          <cell r="L152">
            <v>1.66</v>
          </cell>
          <cell r="M152">
            <v>2.209186694686601</v>
          </cell>
          <cell r="N152">
            <v>2.209186694686601</v>
          </cell>
          <cell r="O152"/>
        </row>
        <row r="153">
          <cell r="D153" t="str">
            <v>C-07-05</v>
          </cell>
          <cell r="E153" t="str">
            <v>Carvedilol</v>
          </cell>
          <cell r="F153" t="str">
            <v>Comprimido</v>
          </cell>
          <cell r="G153" t="str">
            <v>12,5 mg</v>
          </cell>
          <cell r="H153" t="str">
            <v>C07AG02</v>
          </cell>
          <cell r="I153"/>
          <cell r="J153">
            <v>2.12</v>
          </cell>
          <cell r="K153">
            <v>2.12</v>
          </cell>
          <cell r="L153">
            <v>2.12</v>
          </cell>
          <cell r="M153">
            <v>2.6639435678646279</v>
          </cell>
          <cell r="N153">
            <v>2.6639435678646279</v>
          </cell>
          <cell r="O153"/>
        </row>
        <row r="154">
          <cell r="D154" t="str">
            <v>C-08-07</v>
          </cell>
          <cell r="E154" t="str">
            <v>Amlodipina</v>
          </cell>
          <cell r="F154" t="str">
            <v>Comprimido</v>
          </cell>
          <cell r="G154" t="str">
            <v>10 mg</v>
          </cell>
          <cell r="H154" t="str">
            <v>C08CA01</v>
          </cell>
          <cell r="I154"/>
          <cell r="J154">
            <v>0.63</v>
          </cell>
          <cell r="K154">
            <v>0.63</v>
          </cell>
          <cell r="L154">
            <v>0.63</v>
          </cell>
          <cell r="M154">
            <v>1.1205499009732129</v>
          </cell>
          <cell r="N154">
            <v>1.1205499009732129</v>
          </cell>
          <cell r="O154"/>
        </row>
        <row r="155">
          <cell r="D155" t="str">
            <v>C-01-06</v>
          </cell>
          <cell r="E155" t="str">
            <v>Digoxina</v>
          </cell>
          <cell r="F155" t="str">
            <v>Comprimido ranurado</v>
          </cell>
          <cell r="G155" t="str">
            <v>0,25 mg</v>
          </cell>
          <cell r="H155" t="str">
            <v>C01AA05</v>
          </cell>
          <cell r="I155"/>
          <cell r="J155">
            <v>0.54</v>
          </cell>
          <cell r="K155">
            <v>0.54</v>
          </cell>
          <cell r="L155">
            <v>0.54</v>
          </cell>
          <cell r="M155">
            <v>1.0113343929575742</v>
          </cell>
          <cell r="N155">
            <v>1.0113343929575742</v>
          </cell>
          <cell r="O155"/>
        </row>
        <row r="156">
          <cell r="D156" t="str">
            <v>N-01-08</v>
          </cell>
          <cell r="E156" t="str">
            <v>Ketamina (Cetamina)</v>
          </cell>
          <cell r="F156" t="str">
            <v>Inyectable</v>
          </cell>
          <cell r="G156" t="str">
            <v>50 mg/ml</v>
          </cell>
          <cell r="H156" t="str">
            <v>N01AX03</v>
          </cell>
          <cell r="I156"/>
          <cell r="J156">
            <v>41.462083333333332</v>
          </cell>
          <cell r="K156">
            <v>41.462083333333332</v>
          </cell>
          <cell r="L156">
            <v>41.896774193548389</v>
          </cell>
          <cell r="M156">
            <v>41.896774193548389</v>
          </cell>
          <cell r="N156">
            <v>41.896774193548389</v>
          </cell>
          <cell r="O156" t="str">
            <v>5 ML</v>
          </cell>
        </row>
        <row r="157">
          <cell r="D157" t="str">
            <v>H-02-08</v>
          </cell>
          <cell r="E157" t="str">
            <v>Prednisona</v>
          </cell>
          <cell r="F157" t="str">
            <v>Comprimido</v>
          </cell>
          <cell r="G157" t="str">
            <v>5 mg</v>
          </cell>
          <cell r="H157" t="str">
            <v>H02AB07</v>
          </cell>
          <cell r="I157"/>
          <cell r="J157">
            <v>0.34</v>
          </cell>
          <cell r="K157">
            <v>0.34</v>
          </cell>
          <cell r="L157">
            <v>0.34</v>
          </cell>
          <cell r="M157">
            <v>0.74618311090939948</v>
          </cell>
          <cell r="N157">
            <v>0.74618311090939948</v>
          </cell>
          <cell r="O157"/>
        </row>
        <row r="158">
          <cell r="D158" t="str">
            <v>H-02-05</v>
          </cell>
          <cell r="E158" t="str">
            <v>Hidrocortisona succinato sódico</v>
          </cell>
          <cell r="F158" t="str">
            <v>Inyectable</v>
          </cell>
          <cell r="G158" t="str">
            <v>100 mg</v>
          </cell>
          <cell r="H158" t="str">
            <v>H02AB09</v>
          </cell>
          <cell r="I158"/>
          <cell r="J158">
            <v>11.47</v>
          </cell>
          <cell r="K158">
            <v>11.47</v>
          </cell>
          <cell r="L158">
            <v>11.87</v>
          </cell>
          <cell r="M158">
            <v>11.87</v>
          </cell>
          <cell r="N158">
            <v>11.87</v>
          </cell>
          <cell r="O158"/>
        </row>
        <row r="159">
          <cell r="D159" t="str">
            <v>C-07-04</v>
          </cell>
          <cell r="E159" t="str">
            <v>Carvedilol</v>
          </cell>
          <cell r="F159" t="str">
            <v>Comprimido</v>
          </cell>
          <cell r="G159" t="str">
            <v>6,25 mg</v>
          </cell>
          <cell r="H159" t="str">
            <v>C07AG02</v>
          </cell>
          <cell r="I159"/>
          <cell r="J159">
            <v>1.93</v>
          </cell>
          <cell r="K159">
            <v>1.93</v>
          </cell>
          <cell r="L159">
            <v>1.93</v>
          </cell>
          <cell r="M159">
            <v>2.269083716752573</v>
          </cell>
          <cell r="N159">
            <v>2.269083716752573</v>
          </cell>
          <cell r="O159"/>
        </row>
        <row r="160">
          <cell r="D160" t="str">
            <v>B-05-23</v>
          </cell>
          <cell r="E160" t="str">
            <v>Solución Fisiológica</v>
          </cell>
          <cell r="F160" t="str">
            <v>Solución parenteral de gran volumen</v>
          </cell>
          <cell r="G160" t="str">
            <v>0,9% (1.000 ml)</v>
          </cell>
          <cell r="H160" t="str">
            <v>B05CB01</v>
          </cell>
          <cell r="I160"/>
          <cell r="J160">
            <v>10.71</v>
          </cell>
          <cell r="K160">
            <v>10.71</v>
          </cell>
          <cell r="L160">
            <v>10.71</v>
          </cell>
          <cell r="M160">
            <v>11</v>
          </cell>
          <cell r="N160">
            <v>11</v>
          </cell>
          <cell r="O160"/>
        </row>
        <row r="161">
          <cell r="D161" t="str">
            <v>C-03-04</v>
          </cell>
          <cell r="E161" t="str">
            <v>Furosemida</v>
          </cell>
          <cell r="F161" t="str">
            <v>Comprimido ranurado</v>
          </cell>
          <cell r="G161" t="str">
            <v>40 mg</v>
          </cell>
          <cell r="H161" t="str">
            <v>C03CA01</v>
          </cell>
          <cell r="I161"/>
          <cell r="J161">
            <v>0.33</v>
          </cell>
          <cell r="K161">
            <v>0.33</v>
          </cell>
          <cell r="L161">
            <v>0.33</v>
          </cell>
          <cell r="M161">
            <v>0.61728286769944896</v>
          </cell>
          <cell r="N161">
            <v>0.61728286769944896</v>
          </cell>
          <cell r="O161"/>
        </row>
        <row r="162">
          <cell r="D162" t="str">
            <v>N-03-07</v>
          </cell>
          <cell r="E162" t="str">
            <v>Fenitoína</v>
          </cell>
          <cell r="F162" t="str">
            <v>Inyectable</v>
          </cell>
          <cell r="G162" t="str">
            <v>50 mg/ml</v>
          </cell>
          <cell r="H162" t="str">
            <v>N03AB02</v>
          </cell>
          <cell r="I162"/>
          <cell r="J162">
            <v>12.990644841269841</v>
          </cell>
          <cell r="K162">
            <v>12.990644841269841</v>
          </cell>
          <cell r="L162">
            <v>13.254482506447019</v>
          </cell>
          <cell r="M162">
            <v>13.254482506447019</v>
          </cell>
          <cell r="N162">
            <v>13.254482506447019</v>
          </cell>
          <cell r="O162"/>
        </row>
        <row r="163">
          <cell r="D163" t="str">
            <v>C-10-05</v>
          </cell>
          <cell r="E163" t="str">
            <v>Atorvastatina</v>
          </cell>
          <cell r="F163" t="str">
            <v>Comprimido</v>
          </cell>
          <cell r="G163" t="str">
            <v>20 mg</v>
          </cell>
          <cell r="H163" t="str">
            <v>C10AA05</v>
          </cell>
          <cell r="I163"/>
          <cell r="J163">
            <v>1.17</v>
          </cell>
          <cell r="K163">
            <v>1.17</v>
          </cell>
          <cell r="L163">
            <v>1.17</v>
          </cell>
          <cell r="M163">
            <v>1.4032298121617661</v>
          </cell>
          <cell r="N163">
            <v>1.4032298121617661</v>
          </cell>
          <cell r="O163"/>
        </row>
        <row r="164">
          <cell r="D164" t="str">
            <v>H-02-09</v>
          </cell>
          <cell r="E164" t="str">
            <v>Prednisona</v>
          </cell>
          <cell r="F164" t="str">
            <v>Comprimido ranurado</v>
          </cell>
          <cell r="G164" t="str">
            <v>20 mg</v>
          </cell>
          <cell r="H164" t="str">
            <v>H02AB07</v>
          </cell>
          <cell r="I164"/>
          <cell r="J164">
            <v>0.92</v>
          </cell>
          <cell r="K164">
            <v>0.92</v>
          </cell>
          <cell r="L164">
            <v>0.92</v>
          </cell>
          <cell r="M164">
            <v>1.1505536071994904</v>
          </cell>
          <cell r="N164">
            <v>1.1505536071994904</v>
          </cell>
          <cell r="O164"/>
        </row>
        <row r="165">
          <cell r="D165" t="str">
            <v>C-10-02</v>
          </cell>
          <cell r="E165" t="str">
            <v>Gemfibrozilo</v>
          </cell>
          <cell r="F165" t="str">
            <v>Comprimido</v>
          </cell>
          <cell r="G165" t="str">
            <v>600 mg</v>
          </cell>
          <cell r="H165" t="str">
            <v>C10AB04</v>
          </cell>
          <cell r="I165"/>
          <cell r="J165">
            <v>2.33</v>
          </cell>
          <cell r="K165">
            <v>2.33</v>
          </cell>
          <cell r="L165">
            <v>2.33</v>
          </cell>
          <cell r="M165">
            <v>2.5337638954869357</v>
          </cell>
          <cell r="N165">
            <v>2.5337638954869357</v>
          </cell>
          <cell r="O165"/>
        </row>
        <row r="166">
          <cell r="D166" t="str">
            <v>H-03-01</v>
          </cell>
          <cell r="E166" t="str">
            <v>Levotiroxina sódica</v>
          </cell>
          <cell r="F166" t="str">
            <v>Comprimido ranurado</v>
          </cell>
          <cell r="G166" t="str">
            <v>0,1 mg</v>
          </cell>
          <cell r="H166" t="str">
            <v>H03AA01</v>
          </cell>
          <cell r="I166"/>
          <cell r="J166">
            <v>0.50142857142857145</v>
          </cell>
          <cell r="K166">
            <v>0.50142857142857145</v>
          </cell>
          <cell r="L166">
            <v>0.67</v>
          </cell>
          <cell r="M166">
            <v>0.67</v>
          </cell>
          <cell r="N166">
            <v>0.67</v>
          </cell>
          <cell r="O166"/>
        </row>
        <row r="167">
          <cell r="D167" t="str">
            <v>R-03-13</v>
          </cell>
          <cell r="E167" t="str">
            <v>Montelukast</v>
          </cell>
          <cell r="F167" t="str">
            <v>Comprimido o Cápsula</v>
          </cell>
          <cell r="G167" t="str">
            <v>10 mg</v>
          </cell>
          <cell r="H167" t="str">
            <v>R03DC03</v>
          </cell>
          <cell r="I167"/>
          <cell r="J167">
            <v>5.84</v>
          </cell>
          <cell r="K167">
            <v>5.84</v>
          </cell>
          <cell r="L167">
            <v>5.84</v>
          </cell>
          <cell r="M167">
            <v>6</v>
          </cell>
          <cell r="N167">
            <v>6</v>
          </cell>
          <cell r="O167"/>
        </row>
        <row r="168">
          <cell r="D168" t="str">
            <v>J-01-23</v>
          </cell>
          <cell r="E168" t="str">
            <v>Cefradina</v>
          </cell>
          <cell r="F168" t="str">
            <v>Cápsula o Comprimido</v>
          </cell>
          <cell r="G168" t="str">
            <v>500 mg</v>
          </cell>
          <cell r="H168" t="str">
            <v>J01DB09</v>
          </cell>
          <cell r="I168"/>
          <cell r="J168">
            <v>2.23</v>
          </cell>
          <cell r="K168">
            <v>2.23</v>
          </cell>
          <cell r="L168">
            <v>2.23</v>
          </cell>
          <cell r="M168">
            <v>2.3832984156345498</v>
          </cell>
          <cell r="N168">
            <v>2.3832984156345498</v>
          </cell>
          <cell r="O168"/>
        </row>
        <row r="169">
          <cell r="D169" t="str">
            <v>G-04-01</v>
          </cell>
          <cell r="E169" t="str">
            <v>Finasterida</v>
          </cell>
          <cell r="F169" t="str">
            <v>Comprimido</v>
          </cell>
          <cell r="G169" t="str">
            <v>5 mg</v>
          </cell>
          <cell r="H169" t="str">
            <v>G04CB01</v>
          </cell>
          <cell r="I169"/>
          <cell r="J169">
            <v>2.88</v>
          </cell>
          <cell r="K169">
            <v>2.88</v>
          </cell>
          <cell r="L169">
            <v>2.88</v>
          </cell>
          <cell r="M169">
            <v>3</v>
          </cell>
          <cell r="N169">
            <v>3</v>
          </cell>
          <cell r="O169"/>
        </row>
        <row r="170">
          <cell r="D170" t="str">
            <v>N-03-08</v>
          </cell>
          <cell r="E170" t="str">
            <v>Fenitoína</v>
          </cell>
          <cell r="F170" t="str">
            <v>Cápsula o Comprimido</v>
          </cell>
          <cell r="G170" t="str">
            <v>100 mg</v>
          </cell>
          <cell r="H170" t="str">
            <v>N03AB02</v>
          </cell>
          <cell r="I170"/>
          <cell r="J170">
            <v>0.6</v>
          </cell>
          <cell r="K170">
            <v>0.6</v>
          </cell>
          <cell r="L170">
            <v>0.6</v>
          </cell>
          <cell r="M170">
            <v>0.71151188752949568</v>
          </cell>
          <cell r="N170">
            <v>0.71151188752949568</v>
          </cell>
          <cell r="O170"/>
        </row>
        <row r="171">
          <cell r="D171" t="str">
            <v>B-05-07</v>
          </cell>
          <cell r="E171" t="str">
            <v>Cloruro de sodio</v>
          </cell>
          <cell r="F171" t="str">
            <v>Inyectable</v>
          </cell>
          <cell r="G171">
            <v>0.2</v>
          </cell>
          <cell r="H171" t="str">
            <v>B05CB01</v>
          </cell>
          <cell r="I171"/>
          <cell r="J171">
            <v>3.53</v>
          </cell>
          <cell r="K171">
            <v>3.53</v>
          </cell>
          <cell r="L171">
            <v>3.53</v>
          </cell>
          <cell r="M171">
            <v>3.6313065931182762</v>
          </cell>
          <cell r="N171">
            <v>3.6313065931182762</v>
          </cell>
          <cell r="O171"/>
        </row>
        <row r="172">
          <cell r="D172" t="str">
            <v>A-03-07</v>
          </cell>
          <cell r="E172" t="str">
            <v>Metoclopramida</v>
          </cell>
          <cell r="F172" t="str">
            <v>Comprimido</v>
          </cell>
          <cell r="G172" t="str">
            <v>10 mg</v>
          </cell>
          <cell r="H172" t="str">
            <v>A03FA01</v>
          </cell>
          <cell r="I172"/>
          <cell r="J172">
            <v>0.38</v>
          </cell>
          <cell r="K172">
            <v>0.38</v>
          </cell>
          <cell r="L172">
            <v>0.38</v>
          </cell>
          <cell r="M172">
            <v>0.43794017319697398</v>
          </cell>
          <cell r="N172">
            <v>0.43794017319697398</v>
          </cell>
          <cell r="O172"/>
        </row>
        <row r="173">
          <cell r="D173" t="str">
            <v>N-05-12</v>
          </cell>
          <cell r="E173" t="str">
            <v>Risperidona</v>
          </cell>
          <cell r="F173" t="str">
            <v>Comprimido</v>
          </cell>
          <cell r="G173" t="str">
            <v>3 mg</v>
          </cell>
          <cell r="H173" t="str">
            <v>N05AX08</v>
          </cell>
          <cell r="I173"/>
          <cell r="J173">
            <v>4.45</v>
          </cell>
          <cell r="K173">
            <v>4.45</v>
          </cell>
          <cell r="L173">
            <v>4.45</v>
          </cell>
          <cell r="M173">
            <v>4.5</v>
          </cell>
          <cell r="N173">
            <v>4.5</v>
          </cell>
          <cell r="O173"/>
        </row>
        <row r="174">
          <cell r="D174" t="str">
            <v>M-01-05</v>
          </cell>
          <cell r="E174" t="str">
            <v>Ibuprofeno</v>
          </cell>
          <cell r="F174" t="str">
            <v>Comprimido</v>
          </cell>
          <cell r="G174" t="str">
            <v>400 mg</v>
          </cell>
          <cell r="H174" t="str">
            <v>M01AE01</v>
          </cell>
          <cell r="I174"/>
          <cell r="J174">
            <v>0.31</v>
          </cell>
          <cell r="K174">
            <v>0.31</v>
          </cell>
          <cell r="L174">
            <v>0.31</v>
          </cell>
          <cell r="M174">
            <v>0.35719090972892914</v>
          </cell>
          <cell r="N174">
            <v>0.35719090972892914</v>
          </cell>
          <cell r="O174"/>
        </row>
        <row r="175">
          <cell r="D175" t="str">
            <v>B-05-33</v>
          </cell>
          <cell r="E175" t="str">
            <v>Sulfato de Magnesio</v>
          </cell>
          <cell r="F175" t="str">
            <v>Inyectable</v>
          </cell>
          <cell r="G175">
            <v>0.1</v>
          </cell>
          <cell r="H175" t="str">
            <v>B05XA05</v>
          </cell>
          <cell r="I175"/>
          <cell r="J175">
            <v>5.2</v>
          </cell>
          <cell r="K175">
            <v>5.2</v>
          </cell>
          <cell r="L175">
            <v>5.2</v>
          </cell>
          <cell r="M175">
            <v>5.2425283961654197</v>
          </cell>
          <cell r="N175">
            <v>5.2425283961654197</v>
          </cell>
          <cell r="O175" t="str">
            <v>10 ML</v>
          </cell>
        </row>
        <row r="176">
          <cell r="D176" t="str">
            <v>B-03-01</v>
          </cell>
          <cell r="E176" t="str">
            <v>Ácido fólico</v>
          </cell>
          <cell r="F176" t="str">
            <v>Comprimido</v>
          </cell>
          <cell r="G176" t="str">
            <v>5 mg</v>
          </cell>
          <cell r="H176" t="str">
            <v>B03BB01</v>
          </cell>
          <cell r="I176"/>
          <cell r="J176">
            <v>0.46</v>
          </cell>
          <cell r="K176">
            <v>0.46</v>
          </cell>
          <cell r="L176">
            <v>0.46</v>
          </cell>
          <cell r="M176">
            <v>0.50002652018601312</v>
          </cell>
          <cell r="N176">
            <v>0.50002652018601312</v>
          </cell>
          <cell r="O176"/>
        </row>
        <row r="177">
          <cell r="D177" t="str">
            <v>A-03-08</v>
          </cell>
          <cell r="E177" t="str">
            <v>Metoclopramida</v>
          </cell>
          <cell r="F177" t="str">
            <v>Inyectable</v>
          </cell>
          <cell r="G177" t="str">
            <v>10mg / 2ml</v>
          </cell>
          <cell r="H177" t="str">
            <v>A03FA01</v>
          </cell>
          <cell r="I177"/>
          <cell r="J177">
            <v>2.62</v>
          </cell>
          <cell r="K177">
            <v>2.62</v>
          </cell>
          <cell r="L177">
            <v>2.62</v>
          </cell>
          <cell r="M177">
            <v>2.6528148352676064</v>
          </cell>
          <cell r="N177">
            <v>2.6528148352676064</v>
          </cell>
          <cell r="O177" t="str">
            <v>2 ML</v>
          </cell>
        </row>
        <row r="178">
          <cell r="D178" t="str">
            <v>N-02-08</v>
          </cell>
          <cell r="E178" t="str">
            <v>Paracetamol (Acetaminofeno)</v>
          </cell>
          <cell r="F178" t="str">
            <v>Comprimido</v>
          </cell>
          <cell r="G178" t="str">
            <v>500 mg</v>
          </cell>
          <cell r="H178" t="str">
            <v>N02BE01</v>
          </cell>
          <cell r="I178"/>
          <cell r="J178">
            <v>0.21</v>
          </cell>
          <cell r="K178">
            <v>0.21</v>
          </cell>
          <cell r="L178">
            <v>0.21</v>
          </cell>
          <cell r="M178">
            <v>0.22977675875700279</v>
          </cell>
          <cell r="N178">
            <v>0.22977675875700279</v>
          </cell>
          <cell r="O178"/>
        </row>
        <row r="179">
          <cell r="D179" t="str">
            <v>B-05-06</v>
          </cell>
          <cell r="E179" t="str">
            <v>Cloruro de potasio</v>
          </cell>
          <cell r="F179" t="str">
            <v>Inyectable</v>
          </cell>
          <cell r="G179">
            <v>0.2</v>
          </cell>
          <cell r="H179" t="str">
            <v>B05XA01</v>
          </cell>
          <cell r="I179"/>
          <cell r="J179">
            <v>3.55</v>
          </cell>
          <cell r="K179">
            <v>3.55</v>
          </cell>
          <cell r="L179">
            <v>3.55</v>
          </cell>
          <cell r="M179">
            <v>3.5645144011326848</v>
          </cell>
          <cell r="N179">
            <v>3.5645144011326848</v>
          </cell>
          <cell r="O179"/>
        </row>
        <row r="180">
          <cell r="D180" t="str">
            <v>A-11-06</v>
          </cell>
          <cell r="E180" t="str">
            <v>Complejo  B (B1 + B6 + B12)</v>
          </cell>
          <cell r="F180" t="str">
            <v>Comprimido</v>
          </cell>
          <cell r="G180" t="str">
            <v>Según concentración estándar</v>
          </cell>
          <cell r="H180" t="str">
            <v>A11DB**</v>
          </cell>
          <cell r="I180"/>
          <cell r="J180">
            <v>0.22</v>
          </cell>
          <cell r="K180">
            <v>0.22</v>
          </cell>
          <cell r="L180">
            <v>0.22</v>
          </cell>
          <cell r="M180">
            <v>0.22785442514915075</v>
          </cell>
          <cell r="N180">
            <v>0.22785442514915075</v>
          </cell>
          <cell r="O180"/>
        </row>
        <row r="181">
          <cell r="D181" t="str">
            <v>J-05-01</v>
          </cell>
          <cell r="E181" t="str">
            <v>Abacavir</v>
          </cell>
          <cell r="F181" t="str">
            <v>Comprimido</v>
          </cell>
          <cell r="G181" t="str">
            <v>300 mg</v>
          </cell>
          <cell r="H181" t="str">
            <v>J05AF06</v>
          </cell>
          <cell r="I181"/>
          <cell r="J181">
            <v>2.89</v>
          </cell>
          <cell r="K181">
            <v>2.89</v>
          </cell>
          <cell r="L181">
            <v>2.89</v>
          </cell>
          <cell r="M181">
            <v>2.89</v>
          </cell>
          <cell r="N181">
            <v>2.89</v>
          </cell>
          <cell r="O181"/>
        </row>
        <row r="182">
          <cell r="D182" t="str">
            <v>L-02-09</v>
          </cell>
          <cell r="E182" t="str">
            <v>Abiraterona Acetato</v>
          </cell>
          <cell r="F182" t="str">
            <v>Comprimido</v>
          </cell>
          <cell r="G182" t="str">
            <v>250 mg</v>
          </cell>
          <cell r="H182" t="str">
            <v>L02BX03</v>
          </cell>
          <cell r="I182" t="str">
            <v>R</v>
          </cell>
          <cell r="J182">
            <v>114.22</v>
          </cell>
          <cell r="K182">
            <v>114.22</v>
          </cell>
          <cell r="L182">
            <v>114.22</v>
          </cell>
          <cell r="M182">
            <v>114.22</v>
          </cell>
          <cell r="N182">
            <v>114.22</v>
          </cell>
          <cell r="O182"/>
        </row>
        <row r="183">
          <cell r="D183" t="str">
            <v>A-11-01</v>
          </cell>
          <cell r="E183" t="str">
            <v>Aceite vitaminado (alimento)</v>
          </cell>
          <cell r="F183" t="str">
            <v>Emulsión oral</v>
          </cell>
          <cell r="G183" t="str">
            <v>Según disponibilidad</v>
          </cell>
          <cell r="H183" t="str">
            <v>A11CB**</v>
          </cell>
          <cell r="I183"/>
          <cell r="J183">
            <v>10.453636363636363</v>
          </cell>
          <cell r="K183">
            <v>10.453636363636363</v>
          </cell>
          <cell r="L183">
            <v>10.453636363636363</v>
          </cell>
          <cell r="M183">
            <v>10.453636363636363</v>
          </cell>
          <cell r="N183">
            <v>10.453636363636363</v>
          </cell>
          <cell r="O183" t="str">
            <v>1 L</v>
          </cell>
        </row>
        <row r="184">
          <cell r="D184" t="str">
            <v>D-06-03</v>
          </cell>
          <cell r="E184" t="str">
            <v>Aciclovir</v>
          </cell>
          <cell r="F184" t="str">
            <v xml:space="preserve">Crema dérmica </v>
          </cell>
          <cell r="G184">
            <v>0.05</v>
          </cell>
          <cell r="H184" t="str">
            <v>D06BB03</v>
          </cell>
          <cell r="I184"/>
          <cell r="J184">
            <v>16.8</v>
          </cell>
          <cell r="K184">
            <v>16.8</v>
          </cell>
          <cell r="L184">
            <v>16.8</v>
          </cell>
          <cell r="M184">
            <v>16.8</v>
          </cell>
          <cell r="N184">
            <v>16.8</v>
          </cell>
          <cell r="O184" t="str">
            <v xml:space="preserve">5 G </v>
          </cell>
        </row>
        <row r="185">
          <cell r="D185" t="str">
            <v>J-05-30</v>
          </cell>
          <cell r="E185" t="str">
            <v>Aciclovir</v>
          </cell>
          <cell r="F185" t="str">
            <v>Suspensión</v>
          </cell>
          <cell r="G185" t="str">
            <v>200 mg/5 ml</v>
          </cell>
          <cell r="H185" t="str">
            <v>J05AB01</v>
          </cell>
          <cell r="I185"/>
          <cell r="J185">
            <v>70.67</v>
          </cell>
          <cell r="K185">
            <v>70.67</v>
          </cell>
          <cell r="L185">
            <v>70.67</v>
          </cell>
          <cell r="M185">
            <v>70.67</v>
          </cell>
          <cell r="N185">
            <v>70.67</v>
          </cell>
          <cell r="O185" t="str">
            <v>100 ML</v>
          </cell>
        </row>
        <row r="186">
          <cell r="D186" t="str">
            <v>J-05-42</v>
          </cell>
          <cell r="E186" t="str">
            <v>Aciclovir</v>
          </cell>
          <cell r="F186" t="str">
            <v>Comprimido</v>
          </cell>
          <cell r="G186" t="str">
            <v>200 mg</v>
          </cell>
          <cell r="H186" t="str">
            <v>J05AB01</v>
          </cell>
          <cell r="I186"/>
          <cell r="J186">
            <v>2.2999999999999998</v>
          </cell>
          <cell r="K186">
            <v>2.2999999999999998</v>
          </cell>
          <cell r="L186">
            <v>2.2999999999999998</v>
          </cell>
          <cell r="M186">
            <v>2.2999999999999998</v>
          </cell>
          <cell r="N186">
            <v>2.2999999999999998</v>
          </cell>
          <cell r="O186"/>
        </row>
        <row r="187">
          <cell r="D187" t="str">
            <v>J-05-43</v>
          </cell>
          <cell r="E187" t="str">
            <v>Aciclovir</v>
          </cell>
          <cell r="F187" t="str">
            <v>Comprimido</v>
          </cell>
          <cell r="G187" t="str">
            <v>800 mg</v>
          </cell>
          <cell r="H187" t="str">
            <v>J05AB01</v>
          </cell>
          <cell r="I187"/>
          <cell r="J187">
            <v>7.75</v>
          </cell>
          <cell r="K187">
            <v>7.75</v>
          </cell>
          <cell r="L187">
            <v>7.75</v>
          </cell>
          <cell r="M187">
            <v>7.75</v>
          </cell>
          <cell r="N187">
            <v>7.75</v>
          </cell>
          <cell r="O187"/>
        </row>
        <row r="188">
          <cell r="D188" t="str">
            <v>J-05-44</v>
          </cell>
          <cell r="E188" t="str">
            <v>Aciclovir</v>
          </cell>
          <cell r="F188" t="str">
            <v>Inyectable</v>
          </cell>
          <cell r="G188" t="str">
            <v>250 mg</v>
          </cell>
          <cell r="H188" t="str">
            <v>J05AB01</v>
          </cell>
          <cell r="I188"/>
          <cell r="J188">
            <v>47.5</v>
          </cell>
          <cell r="K188">
            <v>47.5</v>
          </cell>
          <cell r="L188">
            <v>47.5</v>
          </cell>
          <cell r="M188">
            <v>47.5</v>
          </cell>
          <cell r="N188">
            <v>47.5</v>
          </cell>
          <cell r="O188"/>
        </row>
        <row r="189">
          <cell r="D189" t="str">
            <v>J-05-45</v>
          </cell>
          <cell r="E189" t="str">
            <v>Aciclovir</v>
          </cell>
          <cell r="F189" t="str">
            <v>Inyectable</v>
          </cell>
          <cell r="G189" t="str">
            <v>500 mg</v>
          </cell>
          <cell r="H189" t="str">
            <v>J05AB01</v>
          </cell>
          <cell r="I189"/>
          <cell r="J189">
            <v>47.5</v>
          </cell>
          <cell r="K189">
            <v>47.5</v>
          </cell>
          <cell r="L189">
            <v>47.5</v>
          </cell>
          <cell r="M189">
            <v>47.5</v>
          </cell>
          <cell r="N189">
            <v>47.5</v>
          </cell>
          <cell r="O189"/>
        </row>
        <row r="190">
          <cell r="D190" t="str">
            <v>S-01-01</v>
          </cell>
          <cell r="E190" t="str">
            <v>Aciclovir</v>
          </cell>
          <cell r="F190" t="str">
            <v>Crema o Pomada oftálmica</v>
          </cell>
          <cell r="G190">
            <v>0.03</v>
          </cell>
          <cell r="H190" t="str">
            <v>S01AD03</v>
          </cell>
          <cell r="I190"/>
          <cell r="J190">
            <v>40.566111111111105</v>
          </cell>
          <cell r="K190">
            <v>40.566111111111105</v>
          </cell>
          <cell r="L190">
            <v>40.566111111111105</v>
          </cell>
          <cell r="M190">
            <v>40.566111111111105</v>
          </cell>
          <cell r="N190">
            <v>40.566111111111105</v>
          </cell>
          <cell r="O190" t="str">
            <v>5 G</v>
          </cell>
        </row>
        <row r="191">
          <cell r="D191" t="str">
            <v>G-01-01</v>
          </cell>
          <cell r="E191" t="str">
            <v>Ácido acético (Ácido tricloroacético)</v>
          </cell>
          <cell r="F191" t="str">
            <v>Solución tópica</v>
          </cell>
          <cell r="G191">
            <v>0.5</v>
          </cell>
          <cell r="H191" t="str">
            <v>G01AD02</v>
          </cell>
          <cell r="I191"/>
          <cell r="J191">
            <v>74.06</v>
          </cell>
          <cell r="K191">
            <v>74.06</v>
          </cell>
          <cell r="L191">
            <v>74.06</v>
          </cell>
          <cell r="M191">
            <v>74.06</v>
          </cell>
          <cell r="N191">
            <v>74.06</v>
          </cell>
          <cell r="O191" t="str">
            <v>5 ML</v>
          </cell>
        </row>
        <row r="192">
          <cell r="D192" t="str">
            <v>B-01-01</v>
          </cell>
          <cell r="E192" t="str">
            <v>Ácido acetil salicílico</v>
          </cell>
          <cell r="F192" t="str">
            <v>Comprimido</v>
          </cell>
          <cell r="G192" t="str">
            <v>100 mg</v>
          </cell>
          <cell r="H192" t="str">
            <v>B01AC06</v>
          </cell>
          <cell r="I192"/>
          <cell r="J192">
            <v>0.37</v>
          </cell>
          <cell r="K192">
            <v>0.37</v>
          </cell>
          <cell r="L192">
            <v>0.37</v>
          </cell>
          <cell r="M192">
            <v>0.37</v>
          </cell>
          <cell r="N192">
            <v>0.37</v>
          </cell>
          <cell r="O192"/>
        </row>
        <row r="193">
          <cell r="D193" t="str">
            <v>N-02-01</v>
          </cell>
          <cell r="E193" t="str">
            <v>Ácido acetil salicílico</v>
          </cell>
          <cell r="F193" t="str">
            <v>Comprimido</v>
          </cell>
          <cell r="G193" t="str">
            <v>500 mg</v>
          </cell>
          <cell r="H193" t="str">
            <v>N02BA01</v>
          </cell>
          <cell r="I193"/>
          <cell r="J193">
            <v>0.32</v>
          </cell>
          <cell r="K193">
            <v>0.32</v>
          </cell>
          <cell r="L193">
            <v>0.32</v>
          </cell>
          <cell r="M193">
            <v>0.32</v>
          </cell>
          <cell r="N193">
            <v>0.32</v>
          </cell>
          <cell r="O193"/>
        </row>
        <row r="194">
          <cell r="D194" t="str">
            <v>M-05-03</v>
          </cell>
          <cell r="E194" t="str">
            <v>Ácido Alendrónico (Alendronato)</v>
          </cell>
          <cell r="F194" t="str">
            <v>Comprimido</v>
          </cell>
          <cell r="G194" t="str">
            <v>70 mg</v>
          </cell>
          <cell r="H194" t="str">
            <v>M05BA04</v>
          </cell>
          <cell r="I194"/>
          <cell r="J194">
            <v>6.65</v>
          </cell>
          <cell r="K194">
            <v>6.65</v>
          </cell>
          <cell r="L194">
            <v>6.65</v>
          </cell>
          <cell r="M194">
            <v>6.65</v>
          </cell>
          <cell r="N194">
            <v>6.65</v>
          </cell>
          <cell r="O194"/>
        </row>
        <row r="195">
          <cell r="D195" t="str">
            <v>B-02-01</v>
          </cell>
          <cell r="E195" t="str">
            <v>Ácido aminocapróico</v>
          </cell>
          <cell r="F195" t="str">
            <v>Inyectable</v>
          </cell>
          <cell r="G195" t="str">
            <v>2g /10 ml</v>
          </cell>
          <cell r="H195" t="str">
            <v>B02AA01</v>
          </cell>
          <cell r="I195"/>
          <cell r="J195">
            <v>60.32</v>
          </cell>
          <cell r="K195">
            <v>60.32</v>
          </cell>
          <cell r="L195">
            <v>60.32</v>
          </cell>
          <cell r="M195">
            <v>60.32</v>
          </cell>
          <cell r="N195">
            <v>60.32</v>
          </cell>
          <cell r="O195" t="str">
            <v>10 ML</v>
          </cell>
        </row>
        <row r="196">
          <cell r="D196" t="str">
            <v>A-11-02</v>
          </cell>
          <cell r="E196" t="str">
            <v>Ácido Ascorbico (Vitamina C)</v>
          </cell>
          <cell r="F196" t="str">
            <v>Inyectable</v>
          </cell>
          <cell r="G196" t="str">
            <v>500 mg/ml (2 ml)</v>
          </cell>
          <cell r="H196" t="str">
            <v>A11GA01</v>
          </cell>
          <cell r="I196"/>
          <cell r="J196">
            <v>2.2000000000000002</v>
          </cell>
          <cell r="K196">
            <v>2.2000000000000002</v>
          </cell>
          <cell r="L196">
            <v>2.2000000000000002</v>
          </cell>
          <cell r="M196">
            <v>2.2000000000000002</v>
          </cell>
          <cell r="N196">
            <v>2.2000000000000002</v>
          </cell>
          <cell r="O196" t="str">
            <v>1 ML</v>
          </cell>
        </row>
        <row r="197">
          <cell r="D197" t="str">
            <v>A-11-03</v>
          </cell>
          <cell r="E197" t="str">
            <v>Ácido Ascórbico (Vitamina C)</v>
          </cell>
          <cell r="F197" t="str">
            <v>Solución oral gotas</v>
          </cell>
          <cell r="G197" t="str">
            <v>Según disponibilidad</v>
          </cell>
          <cell r="H197" t="str">
            <v>A11GA01</v>
          </cell>
          <cell r="I197"/>
          <cell r="J197">
            <v>20.3</v>
          </cell>
          <cell r="K197">
            <v>20.3</v>
          </cell>
          <cell r="L197">
            <v>20.3</v>
          </cell>
          <cell r="M197">
            <v>20.3</v>
          </cell>
          <cell r="N197">
            <v>20.3</v>
          </cell>
          <cell r="O197" t="str">
            <v>30 ML</v>
          </cell>
        </row>
        <row r="198">
          <cell r="D198" t="str">
            <v>B-03-10</v>
          </cell>
          <cell r="E198" t="str">
            <v>Ácido Fólico</v>
          </cell>
          <cell r="F198" t="str">
            <v>Comprimido</v>
          </cell>
          <cell r="G198" t="str">
            <v>800 mcg</v>
          </cell>
          <cell r="H198" t="str">
            <v>B03BB01</v>
          </cell>
          <cell r="I198"/>
          <cell r="J198">
            <v>0.57999999999999996</v>
          </cell>
          <cell r="K198">
            <v>0.57999999999999996</v>
          </cell>
          <cell r="L198">
            <v>0.57999999999999996</v>
          </cell>
          <cell r="M198">
            <v>0.57999999999999996</v>
          </cell>
          <cell r="N198">
            <v>0.57999999999999996</v>
          </cell>
          <cell r="O198"/>
        </row>
        <row r="199">
          <cell r="D199" t="str">
            <v>V-08-12</v>
          </cell>
          <cell r="E199" t="str">
            <v>Ácido Gadotérico</v>
          </cell>
          <cell r="F199" t="str">
            <v>Inyectable</v>
          </cell>
          <cell r="G199" t="str">
            <v>0.5 mmol/ml</v>
          </cell>
          <cell r="H199" t="str">
            <v>V08CA02</v>
          </cell>
          <cell r="I199"/>
          <cell r="J199">
            <v>390</v>
          </cell>
          <cell r="K199">
            <v>390</v>
          </cell>
          <cell r="L199">
            <v>390</v>
          </cell>
          <cell r="M199">
            <v>390</v>
          </cell>
          <cell r="N199">
            <v>390</v>
          </cell>
          <cell r="O199" t="str">
            <v> 15 ml</v>
          </cell>
        </row>
        <row r="200">
          <cell r="D200" t="str">
            <v>J-01-01</v>
          </cell>
          <cell r="E200" t="str">
            <v>Ácido nalidíxico</v>
          </cell>
          <cell r="F200" t="str">
            <v>Comprimido</v>
          </cell>
          <cell r="G200" t="str">
            <v>500 mg</v>
          </cell>
          <cell r="H200" t="str">
            <v>J01MB02</v>
          </cell>
          <cell r="I200"/>
          <cell r="J200">
            <v>1.66</v>
          </cell>
          <cell r="K200">
            <v>1.66</v>
          </cell>
          <cell r="L200">
            <v>1.66</v>
          </cell>
          <cell r="M200">
            <v>1.66</v>
          </cell>
          <cell r="N200">
            <v>1.66</v>
          </cell>
          <cell r="O200"/>
        </row>
        <row r="201">
          <cell r="D201" t="str">
            <v>J-01-02</v>
          </cell>
          <cell r="E201" t="str">
            <v>Ácido nalidíxico</v>
          </cell>
          <cell r="F201" t="str">
            <v>Suspensión</v>
          </cell>
          <cell r="G201" t="str">
            <v>250 mg/5 ml</v>
          </cell>
          <cell r="H201" t="str">
            <v>J01MB02</v>
          </cell>
          <cell r="I201"/>
          <cell r="J201">
            <v>29.16</v>
          </cell>
          <cell r="K201">
            <v>29.16</v>
          </cell>
          <cell r="L201">
            <v>29.16</v>
          </cell>
          <cell r="M201">
            <v>29.16</v>
          </cell>
          <cell r="N201">
            <v>29.16</v>
          </cell>
          <cell r="O201" t="str">
            <v>120 ML</v>
          </cell>
        </row>
        <row r="202">
          <cell r="D202" t="str">
            <v>J-01-03</v>
          </cell>
          <cell r="E202" t="str">
            <v>Ácido nalidíxico</v>
          </cell>
          <cell r="F202" t="str">
            <v>Suspensión</v>
          </cell>
          <cell r="G202" t="str">
            <v>125 mg/5 ml</v>
          </cell>
          <cell r="H202" t="str">
            <v>J01MB02</v>
          </cell>
          <cell r="I202"/>
          <cell r="J202">
            <v>20</v>
          </cell>
          <cell r="K202">
            <v>20</v>
          </cell>
          <cell r="L202">
            <v>20</v>
          </cell>
          <cell r="M202">
            <v>20</v>
          </cell>
          <cell r="N202">
            <v>20</v>
          </cell>
          <cell r="O202" t="str">
            <v>120 ML</v>
          </cell>
        </row>
        <row r="203">
          <cell r="D203" t="str">
            <v>J-04-11</v>
          </cell>
          <cell r="E203" t="str">
            <v>Acido p-aminosalicilico</v>
          </cell>
          <cell r="F203" t="str">
            <v>Polvo para solución oral</v>
          </cell>
          <cell r="G203" t="str">
            <v>4 g</v>
          </cell>
          <cell r="H203" t="str">
            <v>J04AA01</v>
          </cell>
          <cell r="I203"/>
          <cell r="J203">
            <v>14.33</v>
          </cell>
          <cell r="K203">
            <v>14.33</v>
          </cell>
          <cell r="L203">
            <v>14.33</v>
          </cell>
          <cell r="M203">
            <v>14.33</v>
          </cell>
          <cell r="N203">
            <v>14.33</v>
          </cell>
          <cell r="O203"/>
        </row>
        <row r="204">
          <cell r="D204" t="str">
            <v>D-01-01</v>
          </cell>
          <cell r="E204" t="str">
            <v>Ácido salicílico</v>
          </cell>
          <cell r="F204" t="str">
            <v>Solución tópica</v>
          </cell>
          <cell r="G204">
            <v>0.05</v>
          </cell>
          <cell r="H204" t="str">
            <v>D01AE12</v>
          </cell>
          <cell r="I204"/>
          <cell r="J204">
            <v>27.102499999999999</v>
          </cell>
          <cell r="K204">
            <v>27.102499999999999</v>
          </cell>
          <cell r="L204">
            <v>27.102499999999999</v>
          </cell>
          <cell r="M204">
            <v>27.102499999999999</v>
          </cell>
          <cell r="N204">
            <v>27.102499999999999</v>
          </cell>
          <cell r="O204"/>
        </row>
        <row r="205">
          <cell r="D205" t="str">
            <v>B-02-07</v>
          </cell>
          <cell r="E205" t="str">
            <v>Ácido Tranexámico</v>
          </cell>
          <cell r="F205" t="str">
            <v>Comprimido</v>
          </cell>
          <cell r="G205" t="str">
            <v>500 mg</v>
          </cell>
          <cell r="H205" t="str">
            <v>B02AA02</v>
          </cell>
          <cell r="I205"/>
          <cell r="J205">
            <v>10</v>
          </cell>
          <cell r="K205">
            <v>10</v>
          </cell>
          <cell r="L205">
            <v>10</v>
          </cell>
          <cell r="M205">
            <v>10</v>
          </cell>
          <cell r="N205">
            <v>10</v>
          </cell>
          <cell r="O205"/>
        </row>
        <row r="206">
          <cell r="D206" t="str">
            <v>A-05-01</v>
          </cell>
          <cell r="E206" t="str">
            <v>Ácido Ursodeoxicólico</v>
          </cell>
          <cell r="F206" t="str">
            <v>Cápsula</v>
          </cell>
          <cell r="G206" t="str">
            <v>250 mg</v>
          </cell>
          <cell r="H206" t="str">
            <v>A05AA02</v>
          </cell>
          <cell r="I206"/>
          <cell r="J206">
            <v>9.27</v>
          </cell>
          <cell r="K206">
            <v>9.27</v>
          </cell>
          <cell r="L206">
            <v>9.27</v>
          </cell>
          <cell r="M206">
            <v>9.27</v>
          </cell>
          <cell r="N206">
            <v>9.27</v>
          </cell>
          <cell r="O206"/>
        </row>
        <row r="207">
          <cell r="D207" t="str">
            <v>N-03-22</v>
          </cell>
          <cell r="E207" t="str">
            <v>Ácido Valpróico ó Valproato sódico</v>
          </cell>
          <cell r="F207" t="str">
            <v>Jarabe o Solución Oral</v>
          </cell>
          <cell r="G207" t="str">
            <v>200 mg/ml</v>
          </cell>
          <cell r="H207" t="str">
            <v>N03AG01</v>
          </cell>
          <cell r="I207"/>
          <cell r="J207">
            <v>99.06</v>
          </cell>
          <cell r="K207">
            <v>99.06</v>
          </cell>
          <cell r="L207">
            <v>99.06</v>
          </cell>
          <cell r="M207">
            <v>99.06</v>
          </cell>
          <cell r="N207">
            <v>99.06</v>
          </cell>
          <cell r="O207" t="str">
            <v>40 ML</v>
          </cell>
        </row>
        <row r="208">
          <cell r="D208" t="str">
            <v>M-05-04</v>
          </cell>
          <cell r="E208" t="str">
            <v>Ácido Zoledrónico</v>
          </cell>
          <cell r="F208" t="str">
            <v>Inyectable</v>
          </cell>
          <cell r="G208" t="str">
            <v>4 mg</v>
          </cell>
          <cell r="H208" t="str">
            <v>M05BA08</v>
          </cell>
          <cell r="I208" t="str">
            <v>R</v>
          </cell>
          <cell r="J208">
            <v>486.30916666666667</v>
          </cell>
          <cell r="K208">
            <v>486.30916666666667</v>
          </cell>
          <cell r="L208">
            <v>486.30916666666667</v>
          </cell>
          <cell r="M208">
            <v>486.30916666666667</v>
          </cell>
          <cell r="N208">
            <v>486.30916666666667</v>
          </cell>
          <cell r="O208"/>
        </row>
        <row r="209">
          <cell r="D209" t="str">
            <v>C-01-01</v>
          </cell>
          <cell r="E209" t="str">
            <v>Adenosina</v>
          </cell>
          <cell r="F209" t="str">
            <v>Inyectable</v>
          </cell>
          <cell r="G209" t="str">
            <v>6 mg/2 ml</v>
          </cell>
          <cell r="H209" t="str">
            <v>C01EB10</v>
          </cell>
          <cell r="I209"/>
          <cell r="J209">
            <v>85.39</v>
          </cell>
          <cell r="K209">
            <v>85.39</v>
          </cell>
          <cell r="L209">
            <v>85.39</v>
          </cell>
          <cell r="M209">
            <v>85.39</v>
          </cell>
          <cell r="N209">
            <v>85.39</v>
          </cell>
          <cell r="O209"/>
        </row>
        <row r="210">
          <cell r="D210" t="str">
            <v>B-05-01</v>
          </cell>
          <cell r="E210" t="str">
            <v>Agua para inyección</v>
          </cell>
          <cell r="F210" t="str">
            <v>Inyectable</v>
          </cell>
          <cell r="G210" t="str">
            <v>5 ml</v>
          </cell>
          <cell r="H210" t="str">
            <v>B05X**</v>
          </cell>
          <cell r="I210"/>
          <cell r="J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/>
        </row>
        <row r="211">
          <cell r="D211" t="str">
            <v>P-02-01</v>
          </cell>
          <cell r="E211" t="str">
            <v>Albendazol</v>
          </cell>
          <cell r="F211" t="str">
            <v>Comprimido</v>
          </cell>
          <cell r="G211" t="str">
            <v>200 mg</v>
          </cell>
          <cell r="H211" t="str">
            <v>P02CA03</v>
          </cell>
          <cell r="I211"/>
          <cell r="J211">
            <v>1.21</v>
          </cell>
          <cell r="K211">
            <v>1.21</v>
          </cell>
          <cell r="L211">
            <v>1.21</v>
          </cell>
          <cell r="M211">
            <v>1.21</v>
          </cell>
          <cell r="N211">
            <v>1.21</v>
          </cell>
          <cell r="O211"/>
        </row>
        <row r="212">
          <cell r="D212" t="str">
            <v>D-08-01</v>
          </cell>
          <cell r="E212" t="str">
            <v>Alcohol etílico (Etanol)</v>
          </cell>
          <cell r="F212" t="str">
            <v>Solución 1 l</v>
          </cell>
          <cell r="G212" t="str">
            <v>70% a 95%</v>
          </cell>
          <cell r="H212" t="str">
            <v>D08AX08</v>
          </cell>
          <cell r="I212"/>
          <cell r="J212">
            <v>22.68</v>
          </cell>
          <cell r="K212">
            <v>22.68</v>
          </cell>
          <cell r="L212">
            <v>22.68</v>
          </cell>
          <cell r="M212">
            <v>22.68</v>
          </cell>
          <cell r="N212">
            <v>22.68</v>
          </cell>
          <cell r="O212" t="str">
            <v>1 L</v>
          </cell>
        </row>
        <row r="213">
          <cell r="D213" t="str">
            <v>V-06-02</v>
          </cell>
          <cell r="E213" t="str">
            <v>Alimentos Terapéutico Listo para Uso (ATLU)</v>
          </cell>
          <cell r="F213" t="str">
            <v>Polvo, pasta o Granulado según disponibilidad</v>
          </cell>
          <cell r="G213" t="str">
            <v>Según concentración estándar</v>
          </cell>
          <cell r="H213" t="str">
            <v>V06DB**</v>
          </cell>
          <cell r="I213"/>
          <cell r="J213">
            <v>9.7152000000000012</v>
          </cell>
          <cell r="K213">
            <v>9.7152000000000012</v>
          </cell>
          <cell r="L213">
            <v>9.7152000000000012</v>
          </cell>
          <cell r="M213">
            <v>9.7152000000000012</v>
          </cell>
          <cell r="N213">
            <v>9.7152000000000012</v>
          </cell>
          <cell r="O213"/>
        </row>
        <row r="214">
          <cell r="D214" t="str">
            <v>M-04-01</v>
          </cell>
          <cell r="E214" t="str">
            <v>Alopurinol</v>
          </cell>
          <cell r="F214" t="str">
            <v>Comprimido</v>
          </cell>
          <cell r="G214" t="str">
            <v>300 mg</v>
          </cell>
          <cell r="H214" t="str">
            <v>M04AA01</v>
          </cell>
          <cell r="I214"/>
          <cell r="J214">
            <v>0.89</v>
          </cell>
          <cell r="K214">
            <v>0.89</v>
          </cell>
          <cell r="L214">
            <v>0.89</v>
          </cell>
          <cell r="M214">
            <v>0.89</v>
          </cell>
          <cell r="N214">
            <v>0.89</v>
          </cell>
          <cell r="O214"/>
        </row>
        <row r="215">
          <cell r="D215" t="str">
            <v>N-05-01</v>
          </cell>
          <cell r="E215" t="str">
            <v>Alprazolam</v>
          </cell>
          <cell r="F215" t="str">
            <v>Comprimido ranurado</v>
          </cell>
          <cell r="G215" t="str">
            <v>0,5 mg</v>
          </cell>
          <cell r="H215" t="str">
            <v>N05BA12</v>
          </cell>
          <cell r="I215"/>
          <cell r="J215">
            <v>0.94</v>
          </cell>
          <cell r="K215">
            <v>0.94</v>
          </cell>
          <cell r="L215">
            <v>0.94</v>
          </cell>
          <cell r="M215">
            <v>0.94</v>
          </cell>
          <cell r="N215">
            <v>0.94</v>
          </cell>
          <cell r="O215"/>
        </row>
        <row r="216">
          <cell r="D216" t="str">
            <v>B-05-03</v>
          </cell>
          <cell r="E216" t="str">
            <v>Aminoácidos</v>
          </cell>
          <cell r="F216" t="str">
            <v>Solución parenteral de gran volumen</v>
          </cell>
          <cell r="G216">
            <v>0.1</v>
          </cell>
          <cell r="H216" t="str">
            <v>B05BA01</v>
          </cell>
          <cell r="I216"/>
          <cell r="J216">
            <v>161.05000000000001</v>
          </cell>
          <cell r="K216">
            <v>161.05000000000001</v>
          </cell>
          <cell r="L216">
            <v>161.05000000000001</v>
          </cell>
          <cell r="M216">
            <v>161.05000000000001</v>
          </cell>
          <cell r="N216">
            <v>161.05000000000001</v>
          </cell>
          <cell r="O216" t="str">
            <v xml:space="preserve"> 500ML</v>
          </cell>
        </row>
        <row r="217">
          <cell r="D217" t="str">
            <v>R-03-01</v>
          </cell>
          <cell r="E217" t="str">
            <v>Aminofilina</v>
          </cell>
          <cell r="F217" t="str">
            <v>Inyectable</v>
          </cell>
          <cell r="G217" t="str">
            <v>250 mg / 10 ml</v>
          </cell>
          <cell r="H217" t="str">
            <v>R03DA05</v>
          </cell>
          <cell r="I217"/>
          <cell r="J217">
            <v>8.1245238095238097</v>
          </cell>
          <cell r="K217">
            <v>8.1245238095238097</v>
          </cell>
          <cell r="L217">
            <v>8.1245238095238097</v>
          </cell>
          <cell r="M217">
            <v>8.1245238095238097</v>
          </cell>
          <cell r="N217">
            <v>8.1245238095238097</v>
          </cell>
          <cell r="O217"/>
        </row>
        <row r="218">
          <cell r="D218" t="str">
            <v>R-03-02</v>
          </cell>
          <cell r="E218" t="str">
            <v>Aminofilina</v>
          </cell>
          <cell r="F218" t="str">
            <v>Comprimido</v>
          </cell>
          <cell r="G218" t="str">
            <v>200 mg</v>
          </cell>
          <cell r="H218" t="str">
            <v>R03DA05</v>
          </cell>
          <cell r="I218"/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/>
        </row>
        <row r="219">
          <cell r="D219" t="str">
            <v>N-06-01</v>
          </cell>
          <cell r="E219" t="str">
            <v>Amitriptilina</v>
          </cell>
          <cell r="F219" t="str">
            <v>Comprimido ranurado</v>
          </cell>
          <cell r="G219" t="str">
            <v>25 mg</v>
          </cell>
          <cell r="H219" t="str">
            <v>N06AA09</v>
          </cell>
          <cell r="I219"/>
          <cell r="J219">
            <v>0.47</v>
          </cell>
          <cell r="K219">
            <v>0.47</v>
          </cell>
          <cell r="L219">
            <v>0.47</v>
          </cell>
          <cell r="M219">
            <v>0.47</v>
          </cell>
          <cell r="N219">
            <v>0.47</v>
          </cell>
          <cell r="O219"/>
        </row>
        <row r="220">
          <cell r="D220" t="str">
            <v>J-01-05</v>
          </cell>
          <cell r="E220" t="str">
            <v>Amoxicilina</v>
          </cell>
          <cell r="F220" t="str">
            <v>Comprimido</v>
          </cell>
          <cell r="G220" t="str">
            <v>1 g</v>
          </cell>
          <cell r="H220" t="str">
            <v>J01CA04</v>
          </cell>
          <cell r="I220"/>
          <cell r="J220">
            <v>1.22</v>
          </cell>
          <cell r="K220">
            <v>1.22</v>
          </cell>
          <cell r="L220">
            <v>1.22</v>
          </cell>
          <cell r="M220">
            <v>1.22</v>
          </cell>
          <cell r="N220">
            <v>1.22</v>
          </cell>
          <cell r="O220" t="str">
            <v>1 G</v>
          </cell>
        </row>
        <row r="221">
          <cell r="D221" t="str">
            <v>J-01-06</v>
          </cell>
          <cell r="E221" t="str">
            <v>Amoxicilina</v>
          </cell>
          <cell r="F221" t="str">
            <v>Comprimido</v>
          </cell>
          <cell r="G221" t="str">
            <v>500 mg</v>
          </cell>
          <cell r="H221" t="str">
            <v>J01CA05</v>
          </cell>
          <cell r="I221"/>
          <cell r="J221">
            <v>0.57999999999999996</v>
          </cell>
          <cell r="K221">
            <v>0.57999999999999996</v>
          </cell>
          <cell r="L221">
            <v>0.57999999999999996</v>
          </cell>
          <cell r="M221">
            <v>0.57999999999999996</v>
          </cell>
          <cell r="N221">
            <v>0.57999999999999996</v>
          </cell>
          <cell r="O221"/>
        </row>
        <row r="222">
          <cell r="D222" t="str">
            <v>J-01-08</v>
          </cell>
          <cell r="E222" t="str">
            <v>Amoxicilina</v>
          </cell>
          <cell r="F222" t="str">
            <v>Inyectable</v>
          </cell>
          <cell r="G222" t="str">
            <v>1 g</v>
          </cell>
          <cell r="H222" t="str">
            <v>J01CA06</v>
          </cell>
          <cell r="I222"/>
          <cell r="J222">
            <v>8.08</v>
          </cell>
          <cell r="K222">
            <v>8.08</v>
          </cell>
          <cell r="L222">
            <v>8.08</v>
          </cell>
          <cell r="M222">
            <v>8.08</v>
          </cell>
          <cell r="N222">
            <v>8.08</v>
          </cell>
          <cell r="O222"/>
        </row>
        <row r="223">
          <cell r="D223" t="str">
            <v>J-01-57</v>
          </cell>
          <cell r="E223" t="str">
            <v>Amoxicilina</v>
          </cell>
          <cell r="F223" t="str">
            <v>Suspensión</v>
          </cell>
          <cell r="G223" t="str">
            <v>500 mg/5 ml</v>
          </cell>
          <cell r="H223" t="str">
            <v>J01CA07</v>
          </cell>
          <cell r="I223"/>
          <cell r="J223">
            <v>12.72</v>
          </cell>
          <cell r="K223">
            <v>12.72</v>
          </cell>
          <cell r="L223">
            <v>12.72</v>
          </cell>
          <cell r="M223">
            <v>12.72</v>
          </cell>
          <cell r="N223">
            <v>12.72</v>
          </cell>
          <cell r="O223" t="str">
            <v>60 ML</v>
          </cell>
        </row>
        <row r="224">
          <cell r="D224" t="str">
            <v>J-01-09</v>
          </cell>
          <cell r="E224" t="str">
            <v>Amoxicilina + inhibidor betalactamasa</v>
          </cell>
          <cell r="F224" t="str">
            <v>Comprimido</v>
          </cell>
          <cell r="G224" t="str">
            <v>500 mg + Según disponibilidad</v>
          </cell>
          <cell r="H224" t="str">
            <v>J01CR02</v>
          </cell>
          <cell r="I224"/>
          <cell r="J224">
            <v>6.36</v>
          </cell>
          <cell r="K224">
            <v>6.36</v>
          </cell>
          <cell r="L224">
            <v>6.36</v>
          </cell>
          <cell r="M224">
            <v>6.36</v>
          </cell>
          <cell r="N224">
            <v>6.36</v>
          </cell>
          <cell r="O224" t="str">
            <v>500 MG/125 MG</v>
          </cell>
        </row>
        <row r="225">
          <cell r="D225" t="str">
            <v>J-01-10</v>
          </cell>
          <cell r="E225" t="str">
            <v>Amoxicilina + inhibidor betalactamasa</v>
          </cell>
          <cell r="F225" t="str">
            <v>Suspensión</v>
          </cell>
          <cell r="G225" t="str">
            <v>250 mg + Según disponibilidad</v>
          </cell>
          <cell r="H225" t="str">
            <v>J01CR02</v>
          </cell>
          <cell r="I225"/>
          <cell r="J225">
            <v>56.36</v>
          </cell>
          <cell r="K225">
            <v>56.36</v>
          </cell>
          <cell r="L225">
            <v>56.36</v>
          </cell>
          <cell r="M225">
            <v>56.36</v>
          </cell>
          <cell r="N225">
            <v>56.36</v>
          </cell>
          <cell r="O225" t="str">
            <v>100 ML</v>
          </cell>
        </row>
        <row r="226">
          <cell r="D226" t="str">
            <v>J-01-12</v>
          </cell>
          <cell r="E226" t="str">
            <v>Ampicilina</v>
          </cell>
          <cell r="F226" t="str">
            <v>Inyectable</v>
          </cell>
          <cell r="G226" t="str">
            <v>1 g</v>
          </cell>
          <cell r="H226" t="str">
            <v>J01CA01</v>
          </cell>
          <cell r="I226"/>
          <cell r="J226">
            <v>5</v>
          </cell>
          <cell r="K226">
            <v>5</v>
          </cell>
          <cell r="L226">
            <v>5</v>
          </cell>
          <cell r="M226">
            <v>5</v>
          </cell>
          <cell r="N226">
            <v>5</v>
          </cell>
          <cell r="O226"/>
        </row>
        <row r="227">
          <cell r="D227" t="str">
            <v>L-02-01</v>
          </cell>
          <cell r="E227" t="str">
            <v>Anastrozol</v>
          </cell>
          <cell r="F227" t="str">
            <v>Comprimido</v>
          </cell>
          <cell r="G227" t="str">
            <v>1 mg</v>
          </cell>
          <cell r="H227" t="str">
            <v>L02BG03</v>
          </cell>
          <cell r="I227"/>
          <cell r="J227">
            <v>10.448809523809524</v>
          </cell>
          <cell r="K227">
            <v>10.448809523809524</v>
          </cell>
          <cell r="L227">
            <v>10.448809523809524</v>
          </cell>
          <cell r="M227">
            <v>10.448809523809524</v>
          </cell>
          <cell r="N227">
            <v>10.448809523809524</v>
          </cell>
          <cell r="O227"/>
        </row>
        <row r="228">
          <cell r="D228" t="str">
            <v>R-05-01</v>
          </cell>
          <cell r="E228" t="str">
            <v>Antigripal (Paracetamol + Antihistamínico + Vasoconstrictor con o sin Cafeína)</v>
          </cell>
          <cell r="F228" t="str">
            <v>Comprimido</v>
          </cell>
          <cell r="G228" t="str">
            <v>Según disponibilidad</v>
          </cell>
          <cell r="H228" t="str">
            <v>R05X**</v>
          </cell>
          <cell r="I228"/>
          <cell r="J228">
            <v>0.54</v>
          </cell>
          <cell r="K228">
            <v>0.54</v>
          </cell>
          <cell r="L228">
            <v>0.54</v>
          </cell>
          <cell r="M228">
            <v>0.54</v>
          </cell>
          <cell r="N228">
            <v>0.54</v>
          </cell>
          <cell r="O228"/>
        </row>
        <row r="229">
          <cell r="D229" t="str">
            <v>J-06-01</v>
          </cell>
          <cell r="E229" t="str">
            <v>Antitóxina tetánica</v>
          </cell>
          <cell r="F229" t="str">
            <v>Inyectable</v>
          </cell>
          <cell r="G229" t="str">
            <v>Norma PAI según disponibilidad</v>
          </cell>
          <cell r="H229" t="str">
            <v>J06AA02</v>
          </cell>
          <cell r="I229"/>
          <cell r="J229">
            <v>50.24</v>
          </cell>
          <cell r="K229">
            <v>50.24</v>
          </cell>
          <cell r="L229">
            <v>50.24</v>
          </cell>
          <cell r="M229">
            <v>50.24</v>
          </cell>
          <cell r="N229">
            <v>50.24</v>
          </cell>
          <cell r="O229"/>
        </row>
        <row r="230">
          <cell r="D230" t="str">
            <v>N-05-15</v>
          </cell>
          <cell r="E230" t="str">
            <v>Aripiprazol</v>
          </cell>
          <cell r="F230" t="str">
            <v>Comprimido</v>
          </cell>
          <cell r="G230" t="str">
            <v>10 mg</v>
          </cell>
          <cell r="H230" t="str">
            <v>N05AX12</v>
          </cell>
          <cell r="I230" t="str">
            <v>R</v>
          </cell>
          <cell r="J230">
            <v>9.2650000000000006</v>
          </cell>
          <cell r="K230">
            <v>9.2650000000000006</v>
          </cell>
          <cell r="L230">
            <v>9.2650000000000006</v>
          </cell>
          <cell r="M230">
            <v>9.2650000000000006</v>
          </cell>
          <cell r="N230">
            <v>9.2650000000000006</v>
          </cell>
          <cell r="O230"/>
        </row>
        <row r="231">
          <cell r="D231" t="str">
            <v>N-05-16</v>
          </cell>
          <cell r="E231" t="str">
            <v>Aripiprazol</v>
          </cell>
          <cell r="F231" t="str">
            <v>Comprimido</v>
          </cell>
          <cell r="G231" t="str">
            <v>15 mg</v>
          </cell>
          <cell r="H231" t="str">
            <v>N05AX12</v>
          </cell>
          <cell r="I231" t="str">
            <v>R</v>
          </cell>
          <cell r="J231">
            <v>11.342499999999999</v>
          </cell>
          <cell r="K231">
            <v>11.342499999999999</v>
          </cell>
          <cell r="L231">
            <v>11.342499999999999</v>
          </cell>
          <cell r="M231">
            <v>11.342499999999999</v>
          </cell>
          <cell r="N231">
            <v>11.342499999999999</v>
          </cell>
          <cell r="O231"/>
        </row>
        <row r="232">
          <cell r="D232" t="str">
            <v>P-01-23</v>
          </cell>
          <cell r="E232" t="str">
            <v>Artemeter + Lumefantrina</v>
          </cell>
          <cell r="F232" t="str">
            <v>Comprimido</v>
          </cell>
          <cell r="G232" t="str">
            <v>20 mg + 120 mg</v>
          </cell>
          <cell r="H232" t="str">
            <v>P01BF01</v>
          </cell>
          <cell r="I232"/>
          <cell r="J232">
            <v>0.3</v>
          </cell>
          <cell r="K232">
            <v>0.3</v>
          </cell>
          <cell r="L232">
            <v>0.3</v>
          </cell>
          <cell r="M232">
            <v>0.3</v>
          </cell>
          <cell r="N232">
            <v>0.3</v>
          </cell>
          <cell r="O232"/>
        </row>
        <row r="233">
          <cell r="D233" t="str">
            <v>P-01-01</v>
          </cell>
          <cell r="E233" t="str">
            <v>Artesunato</v>
          </cell>
          <cell r="F233" t="str">
            <v>Comprimido</v>
          </cell>
          <cell r="G233" t="str">
            <v>50 mg</v>
          </cell>
          <cell r="H233" t="str">
            <v>P01BE03</v>
          </cell>
          <cell r="I233"/>
          <cell r="J233">
            <v>3.67</v>
          </cell>
          <cell r="K233">
            <v>3.67</v>
          </cell>
          <cell r="L233">
            <v>3.67</v>
          </cell>
          <cell r="M233">
            <v>3.67</v>
          </cell>
          <cell r="N233">
            <v>3.67</v>
          </cell>
          <cell r="O233"/>
        </row>
        <row r="234">
          <cell r="D234" t="str">
            <v>P-01-24</v>
          </cell>
          <cell r="E234" t="str">
            <v xml:space="preserve">Artesunato </v>
          </cell>
          <cell r="F234" t="str">
            <v>Inyectable</v>
          </cell>
          <cell r="G234" t="str">
            <v>60 mg</v>
          </cell>
          <cell r="H234" t="str">
            <v>P01BE03</v>
          </cell>
          <cell r="I234"/>
          <cell r="J234">
            <v>3.31</v>
          </cell>
          <cell r="K234">
            <v>3.31</v>
          </cell>
          <cell r="L234">
            <v>3.31</v>
          </cell>
          <cell r="M234">
            <v>3.31</v>
          </cell>
          <cell r="N234">
            <v>3.31</v>
          </cell>
          <cell r="O234"/>
        </row>
        <row r="235">
          <cell r="D235" t="str">
            <v>P-01-21</v>
          </cell>
          <cell r="E235" t="str">
            <v>Artesunato + Mefloquina</v>
          </cell>
          <cell r="F235" t="str">
            <v>Comprimido</v>
          </cell>
          <cell r="G235" t="str">
            <v>25 mg + 55 mg</v>
          </cell>
          <cell r="H235" t="str">
            <v>P01BE03</v>
          </cell>
          <cell r="I235"/>
          <cell r="J235">
            <v>1.1499999999999999</v>
          </cell>
          <cell r="K235">
            <v>1.1499999999999999</v>
          </cell>
          <cell r="L235">
            <v>1.1499999999999999</v>
          </cell>
          <cell r="M235">
            <v>1.1499999999999999</v>
          </cell>
          <cell r="N235">
            <v>1.1499999999999999</v>
          </cell>
          <cell r="O235"/>
        </row>
        <row r="236">
          <cell r="D236" t="str">
            <v>P-01-22</v>
          </cell>
          <cell r="E236" t="str">
            <v>Artesunato + Mefloquina</v>
          </cell>
          <cell r="F236" t="str">
            <v>Comprimido</v>
          </cell>
          <cell r="G236" t="str">
            <v>100 mg + 220 mg</v>
          </cell>
          <cell r="H236" t="str">
            <v>P01BE03</v>
          </cell>
          <cell r="I236"/>
          <cell r="J236">
            <v>2.33</v>
          </cell>
          <cell r="K236">
            <v>2.33</v>
          </cell>
          <cell r="L236">
            <v>2.33</v>
          </cell>
          <cell r="M236">
            <v>2.33</v>
          </cell>
          <cell r="N236">
            <v>2.33</v>
          </cell>
          <cell r="O236"/>
        </row>
        <row r="237">
          <cell r="D237" t="str">
            <v>L-01-21</v>
          </cell>
          <cell r="E237" t="str">
            <v>Asparaginasa</v>
          </cell>
          <cell r="F237" t="str">
            <v>Inyectable</v>
          </cell>
          <cell r="G237" t="str">
            <v>10.000 UI</v>
          </cell>
          <cell r="H237" t="str">
            <v>L01XX02</v>
          </cell>
          <cell r="I237"/>
          <cell r="J237">
            <v>1626.2474999999999</v>
          </cell>
          <cell r="K237">
            <v>1626.2474999999999</v>
          </cell>
          <cell r="L237">
            <v>1626.2474999999999</v>
          </cell>
          <cell r="M237">
            <v>1626.2474999999999</v>
          </cell>
          <cell r="N237">
            <v>1626.2474999999999</v>
          </cell>
          <cell r="O237"/>
        </row>
        <row r="238">
          <cell r="D238" t="str">
            <v>J-05-31</v>
          </cell>
          <cell r="E238" t="str">
            <v>Atazanavir (sulfato)</v>
          </cell>
          <cell r="F238" t="str">
            <v>Cápsula o Comprimido</v>
          </cell>
          <cell r="G238" t="str">
            <v>300 mg</v>
          </cell>
          <cell r="H238" t="str">
            <v>J05AE08</v>
          </cell>
          <cell r="I238" t="str">
            <v>R</v>
          </cell>
          <cell r="J238">
            <v>7.47</v>
          </cell>
          <cell r="K238">
            <v>7.47</v>
          </cell>
          <cell r="L238">
            <v>7.47</v>
          </cell>
          <cell r="M238">
            <v>7.47</v>
          </cell>
          <cell r="N238">
            <v>7.47</v>
          </cell>
          <cell r="O238"/>
        </row>
        <row r="239">
          <cell r="D239" t="str">
            <v>J-05-39</v>
          </cell>
          <cell r="E239" t="str">
            <v>Atazanavir + Ritonavir</v>
          </cell>
          <cell r="F239" t="str">
            <v>Cápsula o Comprimido</v>
          </cell>
          <cell r="G239" t="str">
            <v>300 mg + 100 mg</v>
          </cell>
          <cell r="H239" t="str">
            <v>J05AR**</v>
          </cell>
          <cell r="I239"/>
          <cell r="J239">
            <v>6.07</v>
          </cell>
          <cell r="K239">
            <v>6.07</v>
          </cell>
          <cell r="L239">
            <v>6.07</v>
          </cell>
          <cell r="M239">
            <v>6.07</v>
          </cell>
          <cell r="N239">
            <v>6.07</v>
          </cell>
          <cell r="O239"/>
        </row>
        <row r="240">
          <cell r="D240" t="str">
            <v>C-07-01</v>
          </cell>
          <cell r="E240" t="str">
            <v>Atenolol</v>
          </cell>
          <cell r="F240" t="str">
            <v>Comprimido ranurado</v>
          </cell>
          <cell r="G240" t="str">
            <v>100 mg</v>
          </cell>
          <cell r="H240" t="str">
            <v>C07AB03</v>
          </cell>
          <cell r="I240"/>
          <cell r="J240">
            <v>0.57999999999999996</v>
          </cell>
          <cell r="K240">
            <v>0.57999999999999996</v>
          </cell>
          <cell r="L240">
            <v>0.57999999999999996</v>
          </cell>
          <cell r="M240">
            <v>0.57999999999999996</v>
          </cell>
          <cell r="N240">
            <v>0.57999999999999996</v>
          </cell>
          <cell r="O240"/>
        </row>
        <row r="241">
          <cell r="D241" t="str">
            <v>C-10-01</v>
          </cell>
          <cell r="E241" t="str">
            <v>Atorvastatina</v>
          </cell>
          <cell r="F241" t="str">
            <v>Comprimido</v>
          </cell>
          <cell r="G241" t="str">
            <v>10 mg</v>
          </cell>
          <cell r="H241" t="str">
            <v>C10AA05</v>
          </cell>
          <cell r="I241"/>
          <cell r="J241">
            <v>0.97</v>
          </cell>
          <cell r="K241">
            <v>0.97</v>
          </cell>
          <cell r="L241">
            <v>0.97</v>
          </cell>
          <cell r="M241">
            <v>0.97</v>
          </cell>
          <cell r="N241">
            <v>0.97</v>
          </cell>
          <cell r="O241"/>
        </row>
        <row r="242">
          <cell r="D242" t="str">
            <v>A-03-01</v>
          </cell>
          <cell r="E242" t="str">
            <v>Atropina sulfato</v>
          </cell>
          <cell r="F242" t="str">
            <v>Inyectable</v>
          </cell>
          <cell r="G242" t="str">
            <v>1 mg/ml</v>
          </cell>
          <cell r="H242" t="str">
            <v>A03BA01</v>
          </cell>
          <cell r="I242"/>
          <cell r="J242">
            <v>3.63</v>
          </cell>
          <cell r="K242">
            <v>3.63</v>
          </cell>
          <cell r="L242">
            <v>3.63</v>
          </cell>
          <cell r="M242">
            <v>3.63</v>
          </cell>
          <cell r="N242">
            <v>3.63</v>
          </cell>
          <cell r="O242"/>
        </row>
        <row r="243">
          <cell r="D243" t="str">
            <v>S-01-02</v>
          </cell>
          <cell r="E243" t="str">
            <v>Atropina sulfato</v>
          </cell>
          <cell r="F243" t="str">
            <v>Solución oftálmica</v>
          </cell>
          <cell r="G243">
            <v>0.01</v>
          </cell>
          <cell r="H243" t="str">
            <v>S01FA01</v>
          </cell>
          <cell r="I243"/>
          <cell r="J243">
            <v>29.6</v>
          </cell>
          <cell r="K243">
            <v>29.6</v>
          </cell>
          <cell r="L243">
            <v>29.6</v>
          </cell>
          <cell r="M243">
            <v>29.6</v>
          </cell>
          <cell r="N243">
            <v>29.6</v>
          </cell>
          <cell r="O243"/>
        </row>
        <row r="244">
          <cell r="D244" t="str">
            <v>L-04-01</v>
          </cell>
          <cell r="E244" t="str">
            <v>Azatioprina</v>
          </cell>
          <cell r="F244" t="str">
            <v>Comprimido</v>
          </cell>
          <cell r="G244" t="str">
            <v>50 mg</v>
          </cell>
          <cell r="H244" t="str">
            <v>L04AX01</v>
          </cell>
          <cell r="I244"/>
          <cell r="J244">
            <v>3.3867857142857138</v>
          </cell>
          <cell r="K244">
            <v>3.3867857142857138</v>
          </cell>
          <cell r="L244">
            <v>3.3867857142857138</v>
          </cell>
          <cell r="M244">
            <v>3.3867857142857138</v>
          </cell>
          <cell r="N244">
            <v>3.3867857142857138</v>
          </cell>
          <cell r="O244"/>
        </row>
        <row r="245">
          <cell r="D245" t="str">
            <v>L-04-02</v>
          </cell>
          <cell r="E245" t="str">
            <v>Azatioprina</v>
          </cell>
          <cell r="F245" t="str">
            <v>Inyectable</v>
          </cell>
          <cell r="G245" t="str">
            <v>20 mg/ml</v>
          </cell>
          <cell r="H245" t="str">
            <v>L04AX01</v>
          </cell>
          <cell r="I245"/>
          <cell r="J245">
            <v>214.77</v>
          </cell>
          <cell r="K245">
            <v>214.77</v>
          </cell>
          <cell r="L245">
            <v>214.77</v>
          </cell>
          <cell r="M245">
            <v>214.77</v>
          </cell>
          <cell r="N245">
            <v>214.77</v>
          </cell>
          <cell r="O245"/>
        </row>
        <row r="246">
          <cell r="D246" t="str">
            <v>J-01-13</v>
          </cell>
          <cell r="E246" t="str">
            <v>Azitromicina</v>
          </cell>
          <cell r="F246" t="str">
            <v>Comprimido</v>
          </cell>
          <cell r="G246" t="str">
            <v>500 mg</v>
          </cell>
          <cell r="H246" t="str">
            <v>J01FA10</v>
          </cell>
          <cell r="I246"/>
          <cell r="J246">
            <v>5.56</v>
          </cell>
          <cell r="K246">
            <v>5.56</v>
          </cell>
          <cell r="L246">
            <v>5.56</v>
          </cell>
          <cell r="M246">
            <v>5.56</v>
          </cell>
          <cell r="N246">
            <v>5.56</v>
          </cell>
          <cell r="O246"/>
        </row>
        <row r="247">
          <cell r="D247" t="str">
            <v>J-01-62</v>
          </cell>
          <cell r="E247" t="str">
            <v>Azitromicina</v>
          </cell>
          <cell r="F247" t="str">
            <v>Suspensión</v>
          </cell>
          <cell r="G247" t="str">
            <v>200 mg/5 ml</v>
          </cell>
          <cell r="H247" t="str">
            <v>J01FA10</v>
          </cell>
          <cell r="I247"/>
          <cell r="J247">
            <v>32.11</v>
          </cell>
          <cell r="K247">
            <v>32.11</v>
          </cell>
          <cell r="L247">
            <v>32.11</v>
          </cell>
          <cell r="M247">
            <v>32.11</v>
          </cell>
          <cell r="N247">
            <v>32.11</v>
          </cell>
          <cell r="O247" t="str">
            <v>30 ML</v>
          </cell>
        </row>
        <row r="248">
          <cell r="D248" t="str">
            <v>D-01-02</v>
          </cell>
          <cell r="E248" t="str">
            <v>Bacitracina + Neomicina sulfato</v>
          </cell>
          <cell r="F248" t="str">
            <v>Crema o Pomada</v>
          </cell>
          <cell r="G248" t="str">
            <v>500 UI + 5 mg/g</v>
          </cell>
          <cell r="H248" t="str">
            <v>D01AA20</v>
          </cell>
          <cell r="I248"/>
          <cell r="J248">
            <v>6.9</v>
          </cell>
          <cell r="K248">
            <v>6.9</v>
          </cell>
          <cell r="L248">
            <v>6.9</v>
          </cell>
          <cell r="M248">
            <v>6.9</v>
          </cell>
          <cell r="N248">
            <v>6.9</v>
          </cell>
          <cell r="O248" t="str">
            <v>10 G</v>
          </cell>
        </row>
        <row r="249">
          <cell r="D249" t="str">
            <v>L-04-09</v>
          </cell>
          <cell r="E249" t="str">
            <v>Basiliximab</v>
          </cell>
          <cell r="F249" t="str">
            <v>Polvo para inyectable</v>
          </cell>
          <cell r="G249" t="str">
            <v>20 mg</v>
          </cell>
          <cell r="H249" t="str">
            <v>L04AA09</v>
          </cell>
          <cell r="I249" t="str">
            <v>R</v>
          </cell>
          <cell r="J249">
            <v>16013.62</v>
          </cell>
          <cell r="K249">
            <v>16013.62</v>
          </cell>
          <cell r="L249">
            <v>16013.62</v>
          </cell>
          <cell r="M249">
            <v>16013.62</v>
          </cell>
          <cell r="N249">
            <v>16013.62</v>
          </cell>
          <cell r="O249"/>
        </row>
        <row r="250">
          <cell r="D250" t="str">
            <v>R-03-03</v>
          </cell>
          <cell r="E250" t="str">
            <v>Beclometasona dipropionato</v>
          </cell>
          <cell r="F250" t="str">
            <v>Aerosol</v>
          </cell>
          <cell r="G250" t="str">
            <v>50 mcg/inhalación</v>
          </cell>
          <cell r="H250" t="str">
            <v>R03BA01</v>
          </cell>
          <cell r="I250"/>
          <cell r="J250">
            <v>67.691000000000003</v>
          </cell>
          <cell r="K250">
            <v>67.691000000000003</v>
          </cell>
          <cell r="L250">
            <v>67.691000000000003</v>
          </cell>
          <cell r="M250">
            <v>67.691000000000003</v>
          </cell>
          <cell r="N250">
            <v>67.691000000000003</v>
          </cell>
          <cell r="O250" t="str">
            <v>200 dósis</v>
          </cell>
        </row>
        <row r="251">
          <cell r="D251" t="str">
            <v>J-04-18</v>
          </cell>
          <cell r="E251" t="str">
            <v xml:space="preserve">Bedaquilina </v>
          </cell>
          <cell r="F251" t="str">
            <v xml:space="preserve">Comprimido </v>
          </cell>
          <cell r="G251" t="str">
            <v>100 mg</v>
          </cell>
          <cell r="H251" t="str">
            <v>J04AK05</v>
          </cell>
          <cell r="I251"/>
          <cell r="J251">
            <v>53.05</v>
          </cell>
          <cell r="K251">
            <v>53.05</v>
          </cell>
          <cell r="L251">
            <v>53.05</v>
          </cell>
          <cell r="M251">
            <v>53.05</v>
          </cell>
          <cell r="N251">
            <v>53.05</v>
          </cell>
          <cell r="O251"/>
        </row>
        <row r="252">
          <cell r="D252" t="str">
            <v>J-01-14</v>
          </cell>
          <cell r="E252" t="str">
            <v>Bencilpenicilina benzatínica</v>
          </cell>
          <cell r="F252" t="str">
            <v>Inyectable</v>
          </cell>
          <cell r="G252" t="str">
            <v>600.000 UI</v>
          </cell>
          <cell r="H252" t="str">
            <v>J01CE08</v>
          </cell>
          <cell r="I252"/>
          <cell r="J252">
            <v>5.09</v>
          </cell>
          <cell r="K252">
            <v>5.09</v>
          </cell>
          <cell r="L252">
            <v>5.09</v>
          </cell>
          <cell r="M252">
            <v>5.09</v>
          </cell>
          <cell r="N252">
            <v>5.09</v>
          </cell>
          <cell r="O252"/>
        </row>
        <row r="253">
          <cell r="D253" t="str">
            <v>J-01-15</v>
          </cell>
          <cell r="E253" t="str">
            <v>Bencilpenicilina benzatínica</v>
          </cell>
          <cell r="F253" t="str">
            <v>Inyectable</v>
          </cell>
          <cell r="G253" t="str">
            <v>1.200.000 UI</v>
          </cell>
          <cell r="H253" t="str">
            <v>J01CE09</v>
          </cell>
          <cell r="I253"/>
          <cell r="J253">
            <v>6</v>
          </cell>
          <cell r="K253">
            <v>6</v>
          </cell>
          <cell r="L253">
            <v>6</v>
          </cell>
          <cell r="M253">
            <v>6</v>
          </cell>
          <cell r="N253">
            <v>6</v>
          </cell>
          <cell r="O253"/>
        </row>
        <row r="254">
          <cell r="D254" t="str">
            <v>J-01-16</v>
          </cell>
          <cell r="E254" t="str">
            <v>Bencilpenicilina benzatínica</v>
          </cell>
          <cell r="F254" t="str">
            <v>Inyectable</v>
          </cell>
          <cell r="G254" t="str">
            <v>2.400.000 UI</v>
          </cell>
          <cell r="H254" t="str">
            <v>J01CE10</v>
          </cell>
          <cell r="I254"/>
          <cell r="J254">
            <v>11.22</v>
          </cell>
          <cell r="K254">
            <v>11.22</v>
          </cell>
          <cell r="L254">
            <v>11.22</v>
          </cell>
          <cell r="M254">
            <v>11.22</v>
          </cell>
          <cell r="N254">
            <v>11.22</v>
          </cell>
          <cell r="O254"/>
        </row>
        <row r="255">
          <cell r="D255" t="str">
            <v>J-01-17</v>
          </cell>
          <cell r="E255" t="str">
            <v>Bencilpenicilina procaínica</v>
          </cell>
          <cell r="F255" t="str">
            <v>Inyectable</v>
          </cell>
          <cell r="G255" t="str">
            <v>400.000 UI</v>
          </cell>
          <cell r="H255" t="str">
            <v>J01CE09</v>
          </cell>
          <cell r="I255"/>
          <cell r="J255">
            <v>5.83</v>
          </cell>
          <cell r="K255">
            <v>5.83</v>
          </cell>
          <cell r="L255">
            <v>5.83</v>
          </cell>
          <cell r="M255">
            <v>5.83</v>
          </cell>
          <cell r="N255">
            <v>5.83</v>
          </cell>
          <cell r="O255"/>
        </row>
        <row r="256">
          <cell r="D256" t="str">
            <v>J-01-18</v>
          </cell>
          <cell r="E256" t="str">
            <v>Bencilpenicilina procaínica</v>
          </cell>
          <cell r="F256" t="str">
            <v>Inyectable</v>
          </cell>
          <cell r="G256" t="str">
            <v>800.000 UI</v>
          </cell>
          <cell r="H256" t="str">
            <v>J01CE10</v>
          </cell>
          <cell r="I256"/>
          <cell r="J256">
            <v>6.84</v>
          </cell>
          <cell r="K256">
            <v>6.84</v>
          </cell>
          <cell r="L256">
            <v>6.84</v>
          </cell>
          <cell r="M256">
            <v>6.84</v>
          </cell>
          <cell r="N256">
            <v>6.84</v>
          </cell>
          <cell r="O256"/>
        </row>
        <row r="257">
          <cell r="D257" t="str">
            <v>J-01-19</v>
          </cell>
          <cell r="E257" t="str">
            <v>Bencilpenicilina sódica</v>
          </cell>
          <cell r="F257" t="str">
            <v>Inyectable</v>
          </cell>
          <cell r="G257" t="str">
            <v>1.000.000 UI</v>
          </cell>
          <cell r="H257" t="str">
            <v>J01CE01</v>
          </cell>
          <cell r="I257"/>
          <cell r="J257">
            <v>5.4</v>
          </cell>
          <cell r="K257">
            <v>5.4</v>
          </cell>
          <cell r="L257">
            <v>5.4</v>
          </cell>
          <cell r="M257">
            <v>5.4</v>
          </cell>
          <cell r="N257">
            <v>5.4</v>
          </cell>
          <cell r="O257"/>
        </row>
        <row r="258">
          <cell r="D258" t="str">
            <v>J-01-20</v>
          </cell>
          <cell r="E258" t="str">
            <v>Bencilpenicilina sódica</v>
          </cell>
          <cell r="F258" t="str">
            <v>Inyectable</v>
          </cell>
          <cell r="G258" t="str">
            <v>30.000.000 UI</v>
          </cell>
          <cell r="H258" t="str">
            <v>J01CE01</v>
          </cell>
          <cell r="I258"/>
          <cell r="J258">
            <v>35.6</v>
          </cell>
          <cell r="K258">
            <v>35.6</v>
          </cell>
          <cell r="L258">
            <v>35.6</v>
          </cell>
          <cell r="M258">
            <v>35.6</v>
          </cell>
          <cell r="N258">
            <v>35.6</v>
          </cell>
          <cell r="O258"/>
        </row>
        <row r="259">
          <cell r="D259" t="str">
            <v>P-01-02</v>
          </cell>
          <cell r="E259" t="str">
            <v>Benznidazol</v>
          </cell>
          <cell r="F259" t="str">
            <v>Comprimido</v>
          </cell>
          <cell r="G259" t="str">
            <v>100 mg</v>
          </cell>
          <cell r="H259" t="str">
            <v>P01CA02</v>
          </cell>
          <cell r="I259"/>
          <cell r="J259">
            <v>8.5350000000000001</v>
          </cell>
          <cell r="K259">
            <v>8.5350000000000001</v>
          </cell>
          <cell r="L259">
            <v>8.5350000000000001</v>
          </cell>
          <cell r="M259">
            <v>8.5350000000000001</v>
          </cell>
          <cell r="N259">
            <v>8.5350000000000001</v>
          </cell>
          <cell r="O259"/>
        </row>
        <row r="260">
          <cell r="D260" t="str">
            <v>P-01-25</v>
          </cell>
          <cell r="E260" t="str">
            <v>Benznidazol</v>
          </cell>
          <cell r="F260" t="str">
            <v>Comprimido</v>
          </cell>
          <cell r="G260" t="str">
            <v>12,5 mg</v>
          </cell>
          <cell r="H260" t="str">
            <v>P01CA02</v>
          </cell>
          <cell r="I260"/>
          <cell r="J260">
            <v>1.07</v>
          </cell>
          <cell r="K260">
            <v>1.07</v>
          </cell>
          <cell r="L260">
            <v>1.07</v>
          </cell>
          <cell r="M260">
            <v>1.07</v>
          </cell>
          <cell r="N260">
            <v>1.07</v>
          </cell>
          <cell r="O260"/>
        </row>
        <row r="261">
          <cell r="D261" t="str">
            <v>P-01-28</v>
          </cell>
          <cell r="E261" t="str">
            <v>Benznidazol</v>
          </cell>
          <cell r="F261" t="str">
            <v>Comprimido</v>
          </cell>
          <cell r="G261" t="str">
            <v>50 mg</v>
          </cell>
          <cell r="H261" t="str">
            <v>P01CA02</v>
          </cell>
          <cell r="I261"/>
          <cell r="J261">
            <v>4.1500000000000004</v>
          </cell>
          <cell r="K261">
            <v>4.1500000000000004</v>
          </cell>
          <cell r="L261">
            <v>4.1500000000000004</v>
          </cell>
          <cell r="M261">
            <v>4.1500000000000004</v>
          </cell>
          <cell r="N261">
            <v>4.1500000000000004</v>
          </cell>
          <cell r="O261"/>
        </row>
        <row r="262">
          <cell r="D262" t="str">
            <v>P-03-01</v>
          </cell>
          <cell r="E262" t="str">
            <v>Benzoato de bencilo</v>
          </cell>
          <cell r="F262" t="str">
            <v>Solución o Loción</v>
          </cell>
          <cell r="G262" t="str">
            <v>20% o 25%</v>
          </cell>
          <cell r="H262" t="str">
            <v>P03AX01</v>
          </cell>
          <cell r="I262"/>
          <cell r="J262">
            <v>9.3800000000000008</v>
          </cell>
          <cell r="K262">
            <v>9.3800000000000008</v>
          </cell>
          <cell r="L262">
            <v>9.3800000000000008</v>
          </cell>
          <cell r="M262">
            <v>9.3800000000000008</v>
          </cell>
          <cell r="N262">
            <v>9.3800000000000008</v>
          </cell>
          <cell r="O262" t="str">
            <v>100 ML</v>
          </cell>
        </row>
        <row r="263">
          <cell r="D263" t="str">
            <v>H-02-01</v>
          </cell>
          <cell r="E263" t="str">
            <v>Betametasona (fosfato)</v>
          </cell>
          <cell r="F263" t="str">
            <v>Inyectable</v>
          </cell>
          <cell r="G263" t="str">
            <v>4 mg</v>
          </cell>
          <cell r="H263" t="str">
            <v>H02AB01</v>
          </cell>
          <cell r="I263"/>
          <cell r="J263">
            <v>6.5</v>
          </cell>
          <cell r="K263">
            <v>6.5</v>
          </cell>
          <cell r="L263">
            <v>6.5</v>
          </cell>
          <cell r="M263">
            <v>6.5</v>
          </cell>
          <cell r="N263">
            <v>6.5</v>
          </cell>
          <cell r="O263"/>
        </row>
        <row r="264">
          <cell r="D264" t="str">
            <v>D-07-01</v>
          </cell>
          <cell r="E264" t="str">
            <v>Betametasona (valerato)</v>
          </cell>
          <cell r="F264" t="str">
            <v>Crema o Pomada</v>
          </cell>
          <cell r="G264" t="str">
            <v>0,1%</v>
          </cell>
          <cell r="H264" t="str">
            <v>D07AC01</v>
          </cell>
          <cell r="I264"/>
          <cell r="J264">
            <v>9.48</v>
          </cell>
          <cell r="K264">
            <v>9.48</v>
          </cell>
          <cell r="L264">
            <v>9.48</v>
          </cell>
          <cell r="M264">
            <v>9.48</v>
          </cell>
          <cell r="N264">
            <v>9.48</v>
          </cell>
          <cell r="O264" t="str">
            <v>15 G</v>
          </cell>
        </row>
        <row r="265">
          <cell r="D265" t="str">
            <v>L-01-36</v>
          </cell>
          <cell r="E265" t="str">
            <v>Bevacizumab</v>
          </cell>
          <cell r="F265" t="str">
            <v>Inyectable</v>
          </cell>
          <cell r="G265" t="str">
            <v>25 mg/ml</v>
          </cell>
          <cell r="H265" t="str">
            <v>L01XC07</v>
          </cell>
          <cell r="I265"/>
          <cell r="J265">
            <v>5782.7371250000006</v>
          </cell>
          <cell r="K265">
            <v>5782.7371250000006</v>
          </cell>
          <cell r="L265">
            <v>5782.7371250000006</v>
          </cell>
          <cell r="M265">
            <v>5782.7371250000006</v>
          </cell>
          <cell r="N265">
            <v>5782.7371250000006</v>
          </cell>
          <cell r="O265"/>
        </row>
        <row r="266">
          <cell r="D266" t="str">
            <v>L-02-12</v>
          </cell>
          <cell r="E266" t="str">
            <v>Bicalutamida</v>
          </cell>
          <cell r="F266" t="str">
            <v>Comprimido</v>
          </cell>
          <cell r="G266" t="str">
            <v>50 mg</v>
          </cell>
          <cell r="H266" t="str">
            <v>L02BB03</v>
          </cell>
          <cell r="I266" t="str">
            <v>R</v>
          </cell>
          <cell r="J266">
            <v>8.33</v>
          </cell>
          <cell r="K266">
            <v>8.33</v>
          </cell>
          <cell r="L266">
            <v>8.33</v>
          </cell>
          <cell r="M266">
            <v>8.33</v>
          </cell>
          <cell r="N266">
            <v>8.33</v>
          </cell>
          <cell r="O266"/>
        </row>
        <row r="267">
          <cell r="D267" t="str">
            <v>A-01-01</v>
          </cell>
          <cell r="E267" t="str">
            <v>Bicarbonato de sodio</v>
          </cell>
          <cell r="F267" t="str">
            <v>Polvo</v>
          </cell>
          <cell r="G267" t="str">
            <v>20 g</v>
          </cell>
          <cell r="H267" t="str">
            <v>A01AB11</v>
          </cell>
          <cell r="I267"/>
          <cell r="J267">
            <v>2.11</v>
          </cell>
          <cell r="K267">
            <v>2.11</v>
          </cell>
          <cell r="L267">
            <v>2.11</v>
          </cell>
          <cell r="M267">
            <v>2.11</v>
          </cell>
          <cell r="N267">
            <v>2.11</v>
          </cell>
          <cell r="O267"/>
        </row>
        <row r="268">
          <cell r="D268" t="str">
            <v>B-05-04</v>
          </cell>
          <cell r="E268" t="str">
            <v>Bicarbonato de sodio</v>
          </cell>
          <cell r="F268" t="str">
            <v>Inyectable</v>
          </cell>
          <cell r="G268">
            <v>0.08</v>
          </cell>
          <cell r="H268" t="str">
            <v>B05XA02</v>
          </cell>
          <cell r="I268"/>
          <cell r="J268">
            <v>8.06</v>
          </cell>
          <cell r="K268">
            <v>8.06</v>
          </cell>
          <cell r="L268">
            <v>8.06</v>
          </cell>
          <cell r="M268">
            <v>8.06</v>
          </cell>
          <cell r="N268">
            <v>8.06</v>
          </cell>
          <cell r="O268"/>
        </row>
        <row r="269">
          <cell r="D269" t="str">
            <v>B-05-05</v>
          </cell>
          <cell r="E269" t="str">
            <v>Bicarbonato de sodio p/hemodiálisis</v>
          </cell>
          <cell r="F269" t="str">
            <v>Polvo</v>
          </cell>
          <cell r="G269" t="str">
            <v>Frasco por 720 g</v>
          </cell>
          <cell r="H269" t="str">
            <v>B05CB04</v>
          </cell>
          <cell r="I269"/>
          <cell r="J269">
            <v>189.42</v>
          </cell>
          <cell r="K269">
            <v>189.42</v>
          </cell>
          <cell r="L269">
            <v>189.42</v>
          </cell>
          <cell r="M269">
            <v>189.42</v>
          </cell>
          <cell r="N269">
            <v>189.42</v>
          </cell>
          <cell r="O269"/>
        </row>
        <row r="270">
          <cell r="D270" t="str">
            <v>N-04-01</v>
          </cell>
          <cell r="E270" t="str">
            <v>Biperideno clorhidrato</v>
          </cell>
          <cell r="F270" t="str">
            <v>Comprimido</v>
          </cell>
          <cell r="G270" t="str">
            <v>4 mg</v>
          </cell>
          <cell r="H270" t="str">
            <v>N04AA02</v>
          </cell>
          <cell r="I270"/>
          <cell r="J270">
            <v>4.2</v>
          </cell>
          <cell r="K270">
            <v>4.2</v>
          </cell>
          <cell r="L270">
            <v>4.2</v>
          </cell>
          <cell r="M270">
            <v>4.2</v>
          </cell>
          <cell r="N270">
            <v>4.2</v>
          </cell>
          <cell r="O270"/>
        </row>
        <row r="271">
          <cell r="D271" t="str">
            <v>A-06-02</v>
          </cell>
          <cell r="E271" t="str">
            <v>Bisacodilo</v>
          </cell>
          <cell r="F271" t="str">
            <v>Comprimido</v>
          </cell>
          <cell r="G271" t="str">
            <v>5 mg</v>
          </cell>
          <cell r="H271" t="str">
            <v>A06AB02</v>
          </cell>
          <cell r="I271"/>
          <cell r="J271">
            <v>0.97</v>
          </cell>
          <cell r="K271">
            <v>0.97</v>
          </cell>
          <cell r="L271">
            <v>0.97</v>
          </cell>
          <cell r="M271">
            <v>0.97</v>
          </cell>
          <cell r="N271">
            <v>0.97</v>
          </cell>
          <cell r="O271"/>
        </row>
        <row r="272">
          <cell r="D272" t="str">
            <v>C-07-06</v>
          </cell>
          <cell r="E272" t="str">
            <v>Bisoprolol</v>
          </cell>
          <cell r="F272" t="str">
            <v>Comprimido</v>
          </cell>
          <cell r="G272" t="str">
            <v xml:space="preserve">5 mg </v>
          </cell>
          <cell r="H272" t="str">
            <v>C07AB07</v>
          </cell>
          <cell r="I272"/>
          <cell r="J272">
            <v>2.96</v>
          </cell>
          <cell r="K272">
            <v>2.96</v>
          </cell>
          <cell r="L272">
            <v>2.96</v>
          </cell>
          <cell r="M272">
            <v>2.96</v>
          </cell>
          <cell r="N272">
            <v>2.96</v>
          </cell>
          <cell r="O272"/>
        </row>
        <row r="273">
          <cell r="D273" t="str">
            <v>L-01-55</v>
          </cell>
          <cell r="E273" t="str">
            <v xml:space="preserve">Bortezomib </v>
          </cell>
          <cell r="F273" t="str">
            <v>Polvo para inyectable</v>
          </cell>
          <cell r="G273" t="str">
            <v>3,5 mg</v>
          </cell>
          <cell r="H273" t="str">
            <v>L01XX32</v>
          </cell>
          <cell r="I273" t="str">
            <v>R</v>
          </cell>
          <cell r="J273">
            <v>13800</v>
          </cell>
          <cell r="K273">
            <v>13800</v>
          </cell>
          <cell r="L273">
            <v>13800</v>
          </cell>
          <cell r="M273">
            <v>13800</v>
          </cell>
          <cell r="N273">
            <v>13800</v>
          </cell>
          <cell r="O273"/>
        </row>
        <row r="274">
          <cell r="D274" t="str">
            <v>G-02-01</v>
          </cell>
          <cell r="E274" t="str">
            <v>Bromocriptina</v>
          </cell>
          <cell r="F274" t="str">
            <v>Comprimido</v>
          </cell>
          <cell r="G274" t="str">
            <v>2,5 mg</v>
          </cell>
          <cell r="H274" t="str">
            <v>G02CB01</v>
          </cell>
          <cell r="I274"/>
          <cell r="J274">
            <v>4.47</v>
          </cell>
          <cell r="K274">
            <v>4.47</v>
          </cell>
          <cell r="L274">
            <v>4.47</v>
          </cell>
          <cell r="M274">
            <v>4.47</v>
          </cell>
          <cell r="N274">
            <v>4.47</v>
          </cell>
          <cell r="O274"/>
        </row>
        <row r="275">
          <cell r="D275" t="str">
            <v>G-02-02</v>
          </cell>
          <cell r="E275" t="str">
            <v>Bromocriptina</v>
          </cell>
          <cell r="F275" t="str">
            <v>Comprimido</v>
          </cell>
          <cell r="G275" t="str">
            <v>5 mg</v>
          </cell>
          <cell r="H275" t="str">
            <v>G02CB01</v>
          </cell>
          <cell r="I275"/>
          <cell r="J275">
            <v>7.2</v>
          </cell>
          <cell r="K275">
            <v>7.2</v>
          </cell>
          <cell r="L275">
            <v>7.2</v>
          </cell>
          <cell r="M275">
            <v>7.2</v>
          </cell>
          <cell r="N275">
            <v>7.2</v>
          </cell>
          <cell r="O275"/>
        </row>
        <row r="276">
          <cell r="D276" t="str">
            <v>R-03-12</v>
          </cell>
          <cell r="E276" t="str">
            <v>Budesonida</v>
          </cell>
          <cell r="F276" t="str">
            <v>Aerosol</v>
          </cell>
          <cell r="G276" t="str">
            <v>100 mcg</v>
          </cell>
          <cell r="H276" t="str">
            <v>R03BA02</v>
          </cell>
          <cell r="I276"/>
          <cell r="J276">
            <v>129.655</v>
          </cell>
          <cell r="K276">
            <v>129.655</v>
          </cell>
          <cell r="L276">
            <v>129.655</v>
          </cell>
          <cell r="M276">
            <v>129.655</v>
          </cell>
          <cell r="N276">
            <v>129.655</v>
          </cell>
          <cell r="O276" t="str">
            <v>20 ML</v>
          </cell>
        </row>
        <row r="277">
          <cell r="D277" t="str">
            <v>N-01-01</v>
          </cell>
          <cell r="E277" t="str">
            <v>Bupivacaina clorhidrato</v>
          </cell>
          <cell r="F277" t="str">
            <v>Inyectable</v>
          </cell>
          <cell r="G277" t="str">
            <v>0,5%</v>
          </cell>
          <cell r="H277" t="str">
            <v>N01BB01</v>
          </cell>
          <cell r="I277"/>
          <cell r="J277">
            <v>18</v>
          </cell>
          <cell r="K277">
            <v>18</v>
          </cell>
          <cell r="L277">
            <v>18</v>
          </cell>
          <cell r="M277">
            <v>18</v>
          </cell>
          <cell r="N277">
            <v>18</v>
          </cell>
          <cell r="O277"/>
        </row>
        <row r="278">
          <cell r="D278" t="str">
            <v>N-01-02</v>
          </cell>
          <cell r="E278" t="str">
            <v>Bupivacaina clorhidrato (pesada)</v>
          </cell>
          <cell r="F278" t="str">
            <v>Inyectable</v>
          </cell>
          <cell r="G278" t="str">
            <v>0,5%</v>
          </cell>
          <cell r="H278" t="str">
            <v>N01BB01</v>
          </cell>
          <cell r="I278"/>
          <cell r="J278">
            <v>13.322628205128204</v>
          </cell>
          <cell r="K278">
            <v>13.322628205128204</v>
          </cell>
          <cell r="L278">
            <v>13.322628205128204</v>
          </cell>
          <cell r="M278">
            <v>13.322628205128204</v>
          </cell>
          <cell r="N278">
            <v>13.322628205128204</v>
          </cell>
          <cell r="O278"/>
        </row>
        <row r="279">
          <cell r="D279" t="str">
            <v>L-01-02</v>
          </cell>
          <cell r="E279" t="str">
            <v>Busulfano</v>
          </cell>
          <cell r="F279" t="str">
            <v>Comprimido</v>
          </cell>
          <cell r="G279" t="str">
            <v>2 mg</v>
          </cell>
          <cell r="H279" t="str">
            <v>L01AB01</v>
          </cell>
          <cell r="I279"/>
          <cell r="J279">
            <v>9.39</v>
          </cell>
          <cell r="K279">
            <v>9.39</v>
          </cell>
          <cell r="L279">
            <v>9.39</v>
          </cell>
          <cell r="M279">
            <v>9.39</v>
          </cell>
          <cell r="N279">
            <v>9.39</v>
          </cell>
          <cell r="O279"/>
        </row>
        <row r="280">
          <cell r="D280" t="str">
            <v>A-03-02</v>
          </cell>
          <cell r="E280" t="str">
            <v>Butilbromuro de Hioscina (Butilescopolamina)</v>
          </cell>
          <cell r="F280" t="str">
            <v>Comprimido</v>
          </cell>
          <cell r="G280" t="str">
            <v>10 mg</v>
          </cell>
          <cell r="H280" t="str">
            <v>A03BB01</v>
          </cell>
          <cell r="I280"/>
          <cell r="J280">
            <v>1.55</v>
          </cell>
          <cell r="K280">
            <v>1.55</v>
          </cell>
          <cell r="L280">
            <v>1.55</v>
          </cell>
          <cell r="M280">
            <v>1.55</v>
          </cell>
          <cell r="N280">
            <v>1.55</v>
          </cell>
          <cell r="O280"/>
        </row>
        <row r="281">
          <cell r="D281" t="str">
            <v>A-03-03</v>
          </cell>
          <cell r="E281" t="str">
            <v>Butilbromuro de Hioscina (Butilescopolamina)</v>
          </cell>
          <cell r="F281" t="str">
            <v>Solución oral gotas</v>
          </cell>
          <cell r="G281" t="str">
            <v>0,1%</v>
          </cell>
          <cell r="H281" t="str">
            <v>A03BB01</v>
          </cell>
          <cell r="I281"/>
          <cell r="J281">
            <v>25.4</v>
          </cell>
          <cell r="K281">
            <v>25.4</v>
          </cell>
          <cell r="L281">
            <v>25.4</v>
          </cell>
          <cell r="M281">
            <v>25.4</v>
          </cell>
          <cell r="N281">
            <v>25.4</v>
          </cell>
          <cell r="O281"/>
        </row>
        <row r="282">
          <cell r="D282" t="str">
            <v>A-03-04</v>
          </cell>
          <cell r="E282" t="str">
            <v>Butilbromuro de Hioscina (Butilescopolamina)</v>
          </cell>
          <cell r="F282" t="str">
            <v>Inyectable</v>
          </cell>
          <cell r="G282" t="str">
            <v>20 mg/ml</v>
          </cell>
          <cell r="H282" t="str">
            <v>A03BB01</v>
          </cell>
          <cell r="I282"/>
          <cell r="J282">
            <v>4.79</v>
          </cell>
          <cell r="K282">
            <v>4.79</v>
          </cell>
          <cell r="L282">
            <v>4.79</v>
          </cell>
          <cell r="M282">
            <v>4.79</v>
          </cell>
          <cell r="N282">
            <v>4.79</v>
          </cell>
          <cell r="O282"/>
        </row>
        <row r="283">
          <cell r="D283" t="str">
            <v>G-02-11</v>
          </cell>
          <cell r="E283" t="str">
            <v>Cabergolina</v>
          </cell>
          <cell r="F283" t="str">
            <v>Comprimido</v>
          </cell>
          <cell r="G283" t="str">
            <v>0,5 mg</v>
          </cell>
          <cell r="H283" t="str">
            <v>G02CB03</v>
          </cell>
          <cell r="I283"/>
          <cell r="J283">
            <v>42.637499999999996</v>
          </cell>
          <cell r="K283">
            <v>42.637499999999996</v>
          </cell>
          <cell r="L283">
            <v>42.637499999999996</v>
          </cell>
          <cell r="M283">
            <v>42.637499999999996</v>
          </cell>
          <cell r="N283">
            <v>42.637499999999996</v>
          </cell>
          <cell r="O283"/>
        </row>
        <row r="284">
          <cell r="D284" t="str">
            <v>N-06-09</v>
          </cell>
          <cell r="E284" t="str">
            <v>Cafeína Citrato</v>
          </cell>
          <cell r="F284" t="str">
            <v>Inyectable</v>
          </cell>
          <cell r="G284" t="str">
            <v>20 mg/ml</v>
          </cell>
          <cell r="H284" t="str">
            <v>N06BC01</v>
          </cell>
          <cell r="I284"/>
          <cell r="J284">
            <v>120</v>
          </cell>
          <cell r="K284">
            <v>120</v>
          </cell>
          <cell r="L284">
            <v>120</v>
          </cell>
          <cell r="M284">
            <v>120</v>
          </cell>
          <cell r="N284">
            <v>120</v>
          </cell>
          <cell r="O284" t="str">
            <v>3 ML</v>
          </cell>
        </row>
        <row r="285">
          <cell r="D285" t="str">
            <v>A-12-01</v>
          </cell>
          <cell r="E285" t="str">
            <v>Calcio (carbonato o citrato)</v>
          </cell>
          <cell r="F285" t="str">
            <v>Comprimido</v>
          </cell>
          <cell r="G285" t="str">
            <v>500 mg (ión calcio)</v>
          </cell>
          <cell r="H285" t="str">
            <v>A12AA04</v>
          </cell>
          <cell r="I285"/>
          <cell r="J285">
            <v>2.0699999999999998</v>
          </cell>
          <cell r="K285">
            <v>2.0699999999999998</v>
          </cell>
          <cell r="L285">
            <v>2.0699999999999998</v>
          </cell>
          <cell r="M285">
            <v>2.0699999999999998</v>
          </cell>
          <cell r="N285">
            <v>2.0699999999999998</v>
          </cell>
          <cell r="O285"/>
        </row>
        <row r="286">
          <cell r="D286" t="str">
            <v>J-04-12</v>
          </cell>
          <cell r="E286" t="str">
            <v>Capreomicina</v>
          </cell>
          <cell r="F286" t="str">
            <v>Inyectable</v>
          </cell>
          <cell r="G286" t="str">
            <v>1 g</v>
          </cell>
          <cell r="H286" t="str">
            <v>J04AB30</v>
          </cell>
          <cell r="I286"/>
          <cell r="J286">
            <v>41.48</v>
          </cell>
          <cell r="K286">
            <v>41.48</v>
          </cell>
          <cell r="L286">
            <v>41.48</v>
          </cell>
          <cell r="M286">
            <v>41.48</v>
          </cell>
          <cell r="N286">
            <v>41.48</v>
          </cell>
          <cell r="O286"/>
        </row>
        <row r="287">
          <cell r="D287" t="str">
            <v>N-03-05</v>
          </cell>
          <cell r="E287" t="str">
            <v>Carbamazepina</v>
          </cell>
          <cell r="F287" t="str">
            <v>Suspensión o Jarabe</v>
          </cell>
          <cell r="G287" t="str">
            <v>2% (100 mg/5 ml)</v>
          </cell>
          <cell r="H287" t="str">
            <v>N03AF01</v>
          </cell>
          <cell r="I287"/>
          <cell r="J287">
            <v>50.79</v>
          </cell>
          <cell r="K287">
            <v>50.79</v>
          </cell>
          <cell r="L287">
            <v>50.79</v>
          </cell>
          <cell r="M287">
            <v>50.79</v>
          </cell>
          <cell r="N287">
            <v>50.79</v>
          </cell>
          <cell r="O287"/>
        </row>
        <row r="288">
          <cell r="D288" t="str">
            <v>A-07-01</v>
          </cell>
          <cell r="E288" t="str">
            <v>Carbón medicinal activado</v>
          </cell>
          <cell r="F288" t="str">
            <v>Polvo</v>
          </cell>
          <cell r="G288" t="str">
            <v>Según disponibilidad</v>
          </cell>
          <cell r="H288" t="str">
            <v>A07BA01</v>
          </cell>
          <cell r="I288"/>
          <cell r="J288">
            <v>2.77</v>
          </cell>
          <cell r="K288">
            <v>2.77</v>
          </cell>
          <cell r="L288">
            <v>2.77</v>
          </cell>
          <cell r="M288">
            <v>2.77</v>
          </cell>
          <cell r="N288">
            <v>2.77</v>
          </cell>
          <cell r="O288"/>
        </row>
        <row r="289">
          <cell r="D289" t="str">
            <v>J-01-74</v>
          </cell>
          <cell r="E289" t="str">
            <v xml:space="preserve">Cefepima </v>
          </cell>
          <cell r="F289" t="str">
            <v>Inyectable</v>
          </cell>
          <cell r="G289" t="str">
            <v>1g</v>
          </cell>
          <cell r="H289" t="str">
            <v>J01DE01</v>
          </cell>
          <cell r="I289"/>
          <cell r="J289">
            <v>120</v>
          </cell>
          <cell r="K289">
            <v>120</v>
          </cell>
          <cell r="L289">
            <v>120</v>
          </cell>
          <cell r="M289">
            <v>120</v>
          </cell>
          <cell r="N289">
            <v>120</v>
          </cell>
          <cell r="O289" t="str">
            <v>15 ML</v>
          </cell>
        </row>
        <row r="290">
          <cell r="D290" t="str">
            <v>J-01-63</v>
          </cell>
          <cell r="E290" t="str">
            <v>Cefixima</v>
          </cell>
          <cell r="F290" t="str">
            <v>Suspensión</v>
          </cell>
          <cell r="G290" t="str">
            <v>100 mg/5 ml</v>
          </cell>
          <cell r="H290" t="str">
            <v>J01DD08</v>
          </cell>
          <cell r="I290"/>
          <cell r="J290">
            <v>38.58</v>
          </cell>
          <cell r="K290">
            <v>38.58</v>
          </cell>
          <cell r="L290">
            <v>38.58</v>
          </cell>
          <cell r="M290">
            <v>38.58</v>
          </cell>
          <cell r="N290">
            <v>38.58</v>
          </cell>
          <cell r="O290" t="str">
            <v>50 ML</v>
          </cell>
        </row>
        <row r="291">
          <cell r="D291" t="str">
            <v>J-01-24</v>
          </cell>
          <cell r="E291" t="str">
            <v>Cefradina</v>
          </cell>
          <cell r="F291" t="str">
            <v>Suspensión</v>
          </cell>
          <cell r="G291" t="str">
            <v>250 mg/5 ml</v>
          </cell>
          <cell r="H291" t="str">
            <v>J01DB09</v>
          </cell>
          <cell r="I291"/>
          <cell r="J291">
            <v>32.4</v>
          </cell>
          <cell r="K291">
            <v>32.4</v>
          </cell>
          <cell r="L291">
            <v>32.4</v>
          </cell>
          <cell r="M291">
            <v>32.4</v>
          </cell>
          <cell r="N291">
            <v>32.4</v>
          </cell>
          <cell r="O291" t="str">
            <v>60 ML</v>
          </cell>
        </row>
        <row r="292">
          <cell r="D292" t="str">
            <v>J-01-25</v>
          </cell>
          <cell r="E292" t="str">
            <v>Ceftazidima</v>
          </cell>
          <cell r="F292" t="str">
            <v>Inyectable</v>
          </cell>
          <cell r="G292" t="str">
            <v>1 g</v>
          </cell>
          <cell r="H292" t="str">
            <v>J01DD02</v>
          </cell>
          <cell r="I292"/>
          <cell r="J292">
            <v>20.87</v>
          </cell>
          <cell r="K292">
            <v>20.87</v>
          </cell>
          <cell r="L292">
            <v>20.87</v>
          </cell>
          <cell r="M292">
            <v>20.87</v>
          </cell>
          <cell r="N292">
            <v>20.87</v>
          </cell>
          <cell r="O292"/>
        </row>
        <row r="293">
          <cell r="D293" t="str">
            <v>A-11-04</v>
          </cell>
          <cell r="E293" t="str">
            <v>Cianocobalamina (Vitamina B12)</v>
          </cell>
          <cell r="F293" t="str">
            <v>Inyectable</v>
          </cell>
          <cell r="G293" t="str">
            <v>1 mg/ml</v>
          </cell>
          <cell r="H293" t="str">
            <v>A11EA**</v>
          </cell>
          <cell r="I293"/>
          <cell r="J293">
            <v>4.8899999999999997</v>
          </cell>
          <cell r="K293">
            <v>4.8899999999999997</v>
          </cell>
          <cell r="L293">
            <v>4.8899999999999997</v>
          </cell>
          <cell r="M293">
            <v>4.8899999999999997</v>
          </cell>
          <cell r="N293">
            <v>4.8899999999999997</v>
          </cell>
          <cell r="O293" t="str">
            <v>1ML</v>
          </cell>
        </row>
        <row r="294">
          <cell r="D294" t="str">
            <v>L-01-05</v>
          </cell>
          <cell r="E294" t="str">
            <v>Ciclofosfamida</v>
          </cell>
          <cell r="F294" t="str">
            <v>Inyectable</v>
          </cell>
          <cell r="G294" t="str">
            <v>500 mg</v>
          </cell>
          <cell r="H294" t="str">
            <v>L01AA01</v>
          </cell>
          <cell r="I294"/>
          <cell r="J294">
            <v>164.59</v>
          </cell>
          <cell r="K294">
            <v>164.59</v>
          </cell>
          <cell r="L294">
            <v>164.59</v>
          </cell>
          <cell r="M294">
            <v>164.59</v>
          </cell>
          <cell r="N294">
            <v>164.59</v>
          </cell>
          <cell r="O294"/>
        </row>
        <row r="295">
          <cell r="D295" t="str">
            <v>J-04-01</v>
          </cell>
          <cell r="E295" t="str">
            <v>Cicloserina</v>
          </cell>
          <cell r="F295" t="str">
            <v>Cápsula</v>
          </cell>
          <cell r="G295" t="str">
            <v>250 mg</v>
          </cell>
          <cell r="H295" t="str">
            <v>J04AB01</v>
          </cell>
          <cell r="I295"/>
          <cell r="J295">
            <v>2.99</v>
          </cell>
          <cell r="K295">
            <v>2.99</v>
          </cell>
          <cell r="L295">
            <v>2.99</v>
          </cell>
          <cell r="M295">
            <v>2.99</v>
          </cell>
          <cell r="N295">
            <v>2.99</v>
          </cell>
          <cell r="O295"/>
        </row>
        <row r="296">
          <cell r="D296" t="str">
            <v>L-04-03</v>
          </cell>
          <cell r="E296" t="str">
            <v>Ciclosporina</v>
          </cell>
          <cell r="F296" t="str">
            <v>Solución oral</v>
          </cell>
          <cell r="G296" t="str">
            <v>100 mg/ml</v>
          </cell>
          <cell r="H296" t="str">
            <v>L04AA01</v>
          </cell>
          <cell r="I296"/>
          <cell r="J296">
            <v>1321.799</v>
          </cell>
          <cell r="K296">
            <v>1321.799</v>
          </cell>
          <cell r="L296">
            <v>1321.799</v>
          </cell>
          <cell r="M296">
            <v>1321.799</v>
          </cell>
          <cell r="N296">
            <v>1321.799</v>
          </cell>
          <cell r="O296"/>
        </row>
        <row r="297">
          <cell r="D297" t="str">
            <v>L-04-04</v>
          </cell>
          <cell r="E297" t="str">
            <v>Ciclosporina</v>
          </cell>
          <cell r="F297" t="str">
            <v>Cápsula blanda</v>
          </cell>
          <cell r="G297" t="str">
            <v>100 mg</v>
          </cell>
          <cell r="H297" t="str">
            <v>L04AA01</v>
          </cell>
          <cell r="I297"/>
          <cell r="J297">
            <v>15.8</v>
          </cell>
          <cell r="K297">
            <v>15.8</v>
          </cell>
          <cell r="L297">
            <v>15.8</v>
          </cell>
          <cell r="M297">
            <v>15.8</v>
          </cell>
          <cell r="N297">
            <v>15.8</v>
          </cell>
          <cell r="O297"/>
        </row>
        <row r="298">
          <cell r="D298" t="str">
            <v>L-04-05</v>
          </cell>
          <cell r="E298" t="str">
            <v>Ciclosporina</v>
          </cell>
          <cell r="F298" t="str">
            <v>Cápsula blanda</v>
          </cell>
          <cell r="G298" t="str">
            <v>25 mg</v>
          </cell>
          <cell r="H298" t="str">
            <v>L04AA01</v>
          </cell>
          <cell r="I298"/>
          <cell r="J298">
            <v>6.625</v>
          </cell>
          <cell r="K298">
            <v>6.625</v>
          </cell>
          <cell r="L298">
            <v>6.625</v>
          </cell>
          <cell r="M298">
            <v>6.625</v>
          </cell>
          <cell r="N298">
            <v>6.625</v>
          </cell>
          <cell r="O298"/>
        </row>
        <row r="299">
          <cell r="D299" t="str">
            <v>L-04-06</v>
          </cell>
          <cell r="E299" t="str">
            <v>Ciclosporina</v>
          </cell>
          <cell r="F299" t="str">
            <v>Cápsula blanda</v>
          </cell>
          <cell r="G299" t="str">
            <v>50 mg</v>
          </cell>
          <cell r="H299" t="str">
            <v>L04AA01</v>
          </cell>
          <cell r="I299"/>
          <cell r="J299">
            <v>8.9499999999999993</v>
          </cell>
          <cell r="K299">
            <v>8.9499999999999993</v>
          </cell>
          <cell r="L299">
            <v>8.9499999999999993</v>
          </cell>
          <cell r="M299">
            <v>8.9499999999999993</v>
          </cell>
          <cell r="N299">
            <v>8.9499999999999993</v>
          </cell>
          <cell r="O299"/>
        </row>
        <row r="300">
          <cell r="D300" t="str">
            <v>S-01-03</v>
          </cell>
          <cell r="E300" t="str">
            <v>Ciclosporina</v>
          </cell>
          <cell r="F300" t="str">
            <v>Solución oftálmica</v>
          </cell>
          <cell r="G300">
            <v>1E-3</v>
          </cell>
          <cell r="H300" t="str">
            <v>S01XA18</v>
          </cell>
          <cell r="I300"/>
          <cell r="J300">
            <v>221.30642499999999</v>
          </cell>
          <cell r="K300">
            <v>221.30642499999999</v>
          </cell>
          <cell r="L300">
            <v>221.30642499999999</v>
          </cell>
          <cell r="M300">
            <v>221.30642499999999</v>
          </cell>
          <cell r="N300">
            <v>221.30642499999999</v>
          </cell>
          <cell r="O300"/>
        </row>
        <row r="301">
          <cell r="D301" t="str">
            <v>J-01-61</v>
          </cell>
          <cell r="E301" t="str">
            <v>Ciprofloxacina</v>
          </cell>
          <cell r="F301" t="str">
            <v>Comprimido</v>
          </cell>
          <cell r="G301" t="str">
            <v>250 mg</v>
          </cell>
          <cell r="H301" t="str">
            <v>J01MA02</v>
          </cell>
          <cell r="I301"/>
          <cell r="J301">
            <v>1.1100000000000001</v>
          </cell>
          <cell r="K301">
            <v>1.1100000000000001</v>
          </cell>
          <cell r="L301">
            <v>1.1100000000000001</v>
          </cell>
          <cell r="M301">
            <v>1.1100000000000001</v>
          </cell>
          <cell r="N301">
            <v>1.1100000000000001</v>
          </cell>
          <cell r="O301"/>
        </row>
        <row r="302">
          <cell r="D302" t="str">
            <v>S-01-04</v>
          </cell>
          <cell r="E302" t="str">
            <v>Ciprofloxacina</v>
          </cell>
          <cell r="F302" t="str">
            <v>Solución oftálmica</v>
          </cell>
          <cell r="G302" t="str">
            <v>0,3%</v>
          </cell>
          <cell r="H302" t="str">
            <v>S01AX13</v>
          </cell>
          <cell r="I302"/>
          <cell r="J302">
            <v>22</v>
          </cell>
          <cell r="K302">
            <v>22</v>
          </cell>
          <cell r="L302">
            <v>22</v>
          </cell>
          <cell r="M302">
            <v>22</v>
          </cell>
          <cell r="N302">
            <v>22</v>
          </cell>
          <cell r="O302"/>
        </row>
        <row r="303">
          <cell r="D303" t="str">
            <v>L-02-02</v>
          </cell>
          <cell r="E303" t="str">
            <v>Ciproterona (acetato)</v>
          </cell>
          <cell r="F303" t="str">
            <v>Comprimido</v>
          </cell>
          <cell r="G303" t="str">
            <v>50 mg</v>
          </cell>
          <cell r="H303" t="str">
            <v>L02AX**</v>
          </cell>
          <cell r="I303"/>
          <cell r="J303">
            <v>6.5</v>
          </cell>
          <cell r="K303">
            <v>6.5</v>
          </cell>
          <cell r="L303">
            <v>6.5</v>
          </cell>
          <cell r="M303">
            <v>6.5</v>
          </cell>
          <cell r="N303">
            <v>6.5</v>
          </cell>
          <cell r="O303"/>
        </row>
        <row r="304">
          <cell r="D304" t="str">
            <v>G-03-01</v>
          </cell>
          <cell r="E304" t="str">
            <v>Ciproterona acetato + Estradiol valerato</v>
          </cell>
          <cell r="F304" t="str">
            <v>Comprimido</v>
          </cell>
          <cell r="G304" t="str">
            <v>2 mg + 1 mg</v>
          </cell>
          <cell r="H304" t="str">
            <v>G03HA01</v>
          </cell>
          <cell r="I304"/>
          <cell r="J304">
            <v>126</v>
          </cell>
          <cell r="K304">
            <v>126</v>
          </cell>
          <cell r="L304">
            <v>126</v>
          </cell>
          <cell r="M304">
            <v>126</v>
          </cell>
          <cell r="N304">
            <v>126</v>
          </cell>
          <cell r="O304" t="str">
            <v>Por cicLo</v>
          </cell>
        </row>
        <row r="305">
          <cell r="D305" t="str">
            <v>G-03-02</v>
          </cell>
          <cell r="E305" t="str">
            <v>Ciproterona acetato + Estradiol valerato</v>
          </cell>
          <cell r="F305" t="str">
            <v>Comprimido</v>
          </cell>
          <cell r="G305" t="str">
            <v xml:space="preserve">2 mg + 0,035 mg  </v>
          </cell>
          <cell r="H305" t="str">
            <v>G03HA01</v>
          </cell>
          <cell r="I305"/>
          <cell r="J305">
            <v>59.49</v>
          </cell>
          <cell r="K305">
            <v>59.49</v>
          </cell>
          <cell r="L305">
            <v>59.49</v>
          </cell>
          <cell r="M305">
            <v>59.49</v>
          </cell>
          <cell r="N305">
            <v>59.49</v>
          </cell>
          <cell r="O305" t="str">
            <v>Por cicLo</v>
          </cell>
        </row>
        <row r="306">
          <cell r="D306" t="str">
            <v>L-01-08</v>
          </cell>
          <cell r="E306" t="str">
            <v>Cisplatino</v>
          </cell>
          <cell r="F306" t="str">
            <v>Inyectable</v>
          </cell>
          <cell r="G306" t="str">
            <v>10 mg</v>
          </cell>
          <cell r="H306" t="str">
            <v>L01XA01</v>
          </cell>
          <cell r="I306"/>
          <cell r="J306">
            <v>75.599999999999994</v>
          </cell>
          <cell r="K306">
            <v>75.599999999999994</v>
          </cell>
          <cell r="L306">
            <v>75.599999999999994</v>
          </cell>
          <cell r="M306">
            <v>75.599999999999994</v>
          </cell>
          <cell r="N306">
            <v>75.599999999999994</v>
          </cell>
          <cell r="O306"/>
        </row>
        <row r="307">
          <cell r="D307" t="str">
            <v>J-01-29</v>
          </cell>
          <cell r="E307" t="str">
            <v>Claritromicina</v>
          </cell>
          <cell r="F307" t="str">
            <v>Comprimido</v>
          </cell>
          <cell r="G307" t="str">
            <v>500 mg</v>
          </cell>
          <cell r="H307" t="str">
            <v>J01FA09</v>
          </cell>
          <cell r="I307" t="str">
            <v>R</v>
          </cell>
          <cell r="J307">
            <v>4.12</v>
          </cell>
          <cell r="K307">
            <v>4.12</v>
          </cell>
          <cell r="L307">
            <v>4.12</v>
          </cell>
          <cell r="M307">
            <v>4.12</v>
          </cell>
          <cell r="N307">
            <v>4.12</v>
          </cell>
          <cell r="O307"/>
        </row>
        <row r="308">
          <cell r="D308" t="str">
            <v>J-01-31</v>
          </cell>
          <cell r="E308" t="str">
            <v>Clindamicina</v>
          </cell>
          <cell r="F308" t="str">
            <v>Suspensión o Jarabe</v>
          </cell>
          <cell r="G308" t="str">
            <v>75 mg/5 ml</v>
          </cell>
          <cell r="H308" t="str">
            <v>J01FF01</v>
          </cell>
          <cell r="I308" t="str">
            <v>R</v>
          </cell>
          <cell r="J308">
            <v>145.25</v>
          </cell>
          <cell r="K308">
            <v>145.25</v>
          </cell>
          <cell r="L308">
            <v>145.25</v>
          </cell>
          <cell r="M308">
            <v>145.25</v>
          </cell>
          <cell r="N308">
            <v>145.25</v>
          </cell>
          <cell r="O308"/>
        </row>
        <row r="309">
          <cell r="D309" t="str">
            <v>J-01-56</v>
          </cell>
          <cell r="E309" t="str">
            <v>Clindamicina</v>
          </cell>
          <cell r="F309" t="str">
            <v>Cápsula o comprimido</v>
          </cell>
          <cell r="G309" t="str">
            <v>300 mg</v>
          </cell>
          <cell r="H309" t="str">
            <v>J01FF01</v>
          </cell>
          <cell r="I309" t="str">
            <v>R</v>
          </cell>
          <cell r="J309">
            <v>10.174583333333333</v>
          </cell>
          <cell r="K309">
            <v>10.174583333333333</v>
          </cell>
          <cell r="L309">
            <v>10.174583333333333</v>
          </cell>
          <cell r="M309">
            <v>10.174583333333333</v>
          </cell>
          <cell r="N309">
            <v>10.174583333333333</v>
          </cell>
          <cell r="O309"/>
        </row>
        <row r="310">
          <cell r="D310" t="str">
            <v>J-01-64</v>
          </cell>
          <cell r="E310" t="str">
            <v>Clindamicina</v>
          </cell>
          <cell r="F310" t="str">
            <v>Inyectable</v>
          </cell>
          <cell r="G310" t="str">
            <v>600 mg</v>
          </cell>
          <cell r="H310" t="str">
            <v>J01FF01</v>
          </cell>
          <cell r="I310"/>
          <cell r="J310">
            <v>17.2</v>
          </cell>
          <cell r="K310">
            <v>17.2</v>
          </cell>
          <cell r="L310">
            <v>17.2</v>
          </cell>
          <cell r="M310">
            <v>17.2</v>
          </cell>
          <cell r="N310">
            <v>17.2</v>
          </cell>
          <cell r="O310"/>
        </row>
        <row r="311">
          <cell r="D311" t="str">
            <v>D-07-03</v>
          </cell>
          <cell r="E311" t="str">
            <v>Clobetasol</v>
          </cell>
          <cell r="F311" t="str">
            <v>Solución</v>
          </cell>
          <cell r="G311" t="str">
            <v>0,05%</v>
          </cell>
          <cell r="H311" t="str">
            <v>D07AD01</v>
          </cell>
          <cell r="I311"/>
          <cell r="J311">
            <v>56.9</v>
          </cell>
          <cell r="K311">
            <v>56.9</v>
          </cell>
          <cell r="L311">
            <v>56.9</v>
          </cell>
          <cell r="M311">
            <v>56.9</v>
          </cell>
          <cell r="N311">
            <v>56.9</v>
          </cell>
          <cell r="O311"/>
        </row>
        <row r="312">
          <cell r="D312" t="str">
            <v>J-04-02</v>
          </cell>
          <cell r="E312" t="str">
            <v>Clofazimina</v>
          </cell>
          <cell r="F312" t="str">
            <v>Cápsula</v>
          </cell>
          <cell r="G312" t="str">
            <v>50 mg</v>
          </cell>
          <cell r="H312" t="str">
            <v>J04BA01</v>
          </cell>
          <cell r="I312"/>
          <cell r="J312">
            <v>5.69</v>
          </cell>
          <cell r="K312">
            <v>5.69</v>
          </cell>
          <cell r="L312">
            <v>5.69</v>
          </cell>
          <cell r="M312">
            <v>5.69</v>
          </cell>
          <cell r="N312">
            <v>5.69</v>
          </cell>
          <cell r="O312"/>
        </row>
        <row r="313">
          <cell r="D313" t="str">
            <v>J-04-15</v>
          </cell>
          <cell r="E313" t="str">
            <v>Clofazimina</v>
          </cell>
          <cell r="F313" t="str">
            <v>Cápsula</v>
          </cell>
          <cell r="G313" t="str">
            <v>100 mg</v>
          </cell>
          <cell r="H313" t="str">
            <v>J04BA01</v>
          </cell>
          <cell r="I313" t="str">
            <v>R</v>
          </cell>
          <cell r="J313">
            <v>10.94</v>
          </cell>
          <cell r="K313">
            <v>10.94</v>
          </cell>
          <cell r="L313">
            <v>10.94</v>
          </cell>
          <cell r="M313">
            <v>10.94</v>
          </cell>
          <cell r="N313">
            <v>10.94</v>
          </cell>
          <cell r="O313"/>
        </row>
        <row r="314">
          <cell r="D314" t="str">
            <v>G-03-03</v>
          </cell>
          <cell r="E314" t="str">
            <v>Clomifeno citrato</v>
          </cell>
          <cell r="F314" t="str">
            <v>Comprimido</v>
          </cell>
          <cell r="G314" t="str">
            <v>50 mg</v>
          </cell>
          <cell r="H314" t="str">
            <v>G03GB02</v>
          </cell>
          <cell r="I314"/>
          <cell r="J314">
            <v>3.77</v>
          </cell>
          <cell r="K314">
            <v>3.77</v>
          </cell>
          <cell r="L314">
            <v>3.77</v>
          </cell>
          <cell r="M314">
            <v>3.77</v>
          </cell>
          <cell r="N314">
            <v>3.77</v>
          </cell>
          <cell r="O314"/>
        </row>
        <row r="315">
          <cell r="D315" t="str">
            <v>N-06-02</v>
          </cell>
          <cell r="E315" t="str">
            <v>Clomipramina</v>
          </cell>
          <cell r="F315" t="str">
            <v>Comprimido</v>
          </cell>
          <cell r="G315" t="str">
            <v>75 mg</v>
          </cell>
          <cell r="H315" t="str">
            <v>N06AA04</v>
          </cell>
          <cell r="I315"/>
          <cell r="J315">
            <v>5</v>
          </cell>
          <cell r="K315">
            <v>5</v>
          </cell>
          <cell r="L315">
            <v>5</v>
          </cell>
          <cell r="M315">
            <v>5</v>
          </cell>
          <cell r="N315">
            <v>5</v>
          </cell>
          <cell r="O315"/>
        </row>
        <row r="316">
          <cell r="D316" t="str">
            <v>N-06-03</v>
          </cell>
          <cell r="E316" t="str">
            <v>Clomipramina (clorhidrato)</v>
          </cell>
          <cell r="F316" t="str">
            <v>Inyectable</v>
          </cell>
          <cell r="G316" t="str">
            <v>25 mg/2 ml</v>
          </cell>
          <cell r="H316" t="str">
            <v>N06AA04</v>
          </cell>
          <cell r="I316"/>
          <cell r="J316">
            <v>15.21</v>
          </cell>
          <cell r="K316">
            <v>15.21</v>
          </cell>
          <cell r="L316">
            <v>15.21</v>
          </cell>
          <cell r="M316">
            <v>15.21</v>
          </cell>
          <cell r="N316">
            <v>15.21</v>
          </cell>
          <cell r="O316"/>
        </row>
        <row r="317">
          <cell r="D317" t="str">
            <v>N-03-12</v>
          </cell>
          <cell r="E317" t="str">
            <v>Clonazepam</v>
          </cell>
          <cell r="F317" t="str">
            <v>Solución oral</v>
          </cell>
          <cell r="G317" t="str">
            <v>2,5 mg/ml</v>
          </cell>
          <cell r="H317" t="str">
            <v>N03AE01</v>
          </cell>
          <cell r="I317"/>
          <cell r="J317">
            <v>70.38</v>
          </cell>
          <cell r="K317">
            <v>70.38</v>
          </cell>
          <cell r="L317">
            <v>70.38</v>
          </cell>
          <cell r="M317">
            <v>70.38</v>
          </cell>
          <cell r="N317">
            <v>70.38</v>
          </cell>
          <cell r="O317" t="str">
            <v>30 ML</v>
          </cell>
        </row>
        <row r="318">
          <cell r="D318" t="str">
            <v>B-01-06</v>
          </cell>
          <cell r="E318" t="str">
            <v>Clopidogrel</v>
          </cell>
          <cell r="F318" t="str">
            <v>Comprimido</v>
          </cell>
          <cell r="G318" t="str">
            <v>75 mg</v>
          </cell>
          <cell r="H318" t="str">
            <v>B01AC04</v>
          </cell>
          <cell r="I318" t="str">
            <v>R</v>
          </cell>
          <cell r="J318">
            <v>3.66</v>
          </cell>
          <cell r="K318">
            <v>3.66</v>
          </cell>
          <cell r="L318">
            <v>3.66</v>
          </cell>
          <cell r="M318">
            <v>3.66</v>
          </cell>
          <cell r="N318">
            <v>3.66</v>
          </cell>
          <cell r="O318"/>
        </row>
        <row r="319">
          <cell r="D319" t="str">
            <v>J-01-32</v>
          </cell>
          <cell r="E319" t="str">
            <v>Cloranfenicol</v>
          </cell>
          <cell r="F319" t="str">
            <v>Cápsula</v>
          </cell>
          <cell r="G319" t="str">
            <v>500 mg</v>
          </cell>
          <cell r="H319" t="str">
            <v>J01BA01</v>
          </cell>
          <cell r="I319"/>
          <cell r="J319">
            <v>1.29</v>
          </cell>
          <cell r="K319">
            <v>1.29</v>
          </cell>
          <cell r="L319">
            <v>1.29</v>
          </cell>
          <cell r="M319">
            <v>1.29</v>
          </cell>
          <cell r="N319">
            <v>1.29</v>
          </cell>
          <cell r="O319"/>
        </row>
        <row r="320">
          <cell r="D320" t="str">
            <v>S-01-05</v>
          </cell>
          <cell r="E320" t="str">
            <v>Cloranfenicol</v>
          </cell>
          <cell r="F320" t="str">
            <v>Solución oftálmica</v>
          </cell>
          <cell r="G320" t="str">
            <v>0,5%</v>
          </cell>
          <cell r="H320" t="str">
            <v>S01AA01</v>
          </cell>
          <cell r="I320"/>
          <cell r="J320">
            <v>11.46</v>
          </cell>
          <cell r="K320">
            <v>11.46</v>
          </cell>
          <cell r="L320">
            <v>11.46</v>
          </cell>
          <cell r="M320">
            <v>11.46</v>
          </cell>
          <cell r="N320">
            <v>11.46</v>
          </cell>
          <cell r="O320"/>
        </row>
        <row r="321">
          <cell r="D321" t="str">
            <v>S-01-06</v>
          </cell>
          <cell r="E321" t="str">
            <v>Cloranfenicol</v>
          </cell>
          <cell r="F321" t="str">
            <v>Ungüento oftálmico</v>
          </cell>
          <cell r="G321">
            <v>0.01</v>
          </cell>
          <cell r="H321" t="str">
            <v>S01AA01</v>
          </cell>
          <cell r="I321"/>
          <cell r="J321">
            <v>17.510000000000002</v>
          </cell>
          <cell r="K321">
            <v>17.510000000000002</v>
          </cell>
          <cell r="L321">
            <v>17.510000000000002</v>
          </cell>
          <cell r="M321">
            <v>17.510000000000002</v>
          </cell>
          <cell r="N321">
            <v>17.510000000000002</v>
          </cell>
          <cell r="O321" t="str">
            <v>5 G</v>
          </cell>
        </row>
        <row r="322">
          <cell r="D322" t="str">
            <v>J-01-33</v>
          </cell>
          <cell r="E322" t="str">
            <v>Cloranfenicol succinato sódico</v>
          </cell>
          <cell r="F322" t="str">
            <v>Inyectable</v>
          </cell>
          <cell r="G322" t="str">
            <v>1 g</v>
          </cell>
          <cell r="H322" t="str">
            <v>J01BA01</v>
          </cell>
          <cell r="I322"/>
          <cell r="J322">
            <v>4.49</v>
          </cell>
          <cell r="K322">
            <v>4.49</v>
          </cell>
          <cell r="L322">
            <v>4.49</v>
          </cell>
          <cell r="M322">
            <v>4.49</v>
          </cell>
          <cell r="N322">
            <v>4.49</v>
          </cell>
          <cell r="O322"/>
        </row>
        <row r="323">
          <cell r="D323" t="str">
            <v>R-06-01</v>
          </cell>
          <cell r="E323" t="str">
            <v>Clorfenamina (Clorfeniramina)</v>
          </cell>
          <cell r="F323" t="str">
            <v>Comprimido</v>
          </cell>
          <cell r="G323" t="str">
            <v>4 mg</v>
          </cell>
          <cell r="H323" t="str">
            <v>R06AB04</v>
          </cell>
          <cell r="I323"/>
          <cell r="J323">
            <v>0.28999999999999998</v>
          </cell>
          <cell r="K323">
            <v>0.28999999999999998</v>
          </cell>
          <cell r="L323">
            <v>0.28999999999999998</v>
          </cell>
          <cell r="M323">
            <v>0.28999999999999998</v>
          </cell>
          <cell r="N323">
            <v>0.28999999999999998</v>
          </cell>
          <cell r="O323"/>
        </row>
        <row r="324">
          <cell r="D324" t="str">
            <v>R-06-02</v>
          </cell>
          <cell r="E324" t="str">
            <v>Clorfenamina (Clorfeniramina)</v>
          </cell>
          <cell r="F324" t="str">
            <v>Jarabe</v>
          </cell>
          <cell r="G324" t="str">
            <v>2 mg/5 ml</v>
          </cell>
          <cell r="H324" t="str">
            <v>R06AB04</v>
          </cell>
          <cell r="I324"/>
          <cell r="J324">
            <v>8.9600000000000009</v>
          </cell>
          <cell r="K324">
            <v>8.9600000000000009</v>
          </cell>
          <cell r="L324">
            <v>8.9600000000000009</v>
          </cell>
          <cell r="M324">
            <v>8.9600000000000009</v>
          </cell>
          <cell r="N324">
            <v>8.9600000000000009</v>
          </cell>
          <cell r="O324"/>
        </row>
        <row r="325">
          <cell r="D325" t="str">
            <v>R-06-03</v>
          </cell>
          <cell r="E325" t="str">
            <v>Clorfenamina (Clorfeniramina)</v>
          </cell>
          <cell r="F325" t="str">
            <v>Inyectable</v>
          </cell>
          <cell r="G325" t="str">
            <v>10 mg/ml</v>
          </cell>
          <cell r="H325" t="str">
            <v>R06AB04</v>
          </cell>
          <cell r="I325"/>
          <cell r="J325">
            <v>2.0499999999999998</v>
          </cell>
          <cell r="K325">
            <v>2.0499999999999998</v>
          </cell>
          <cell r="L325">
            <v>2.0499999999999998</v>
          </cell>
          <cell r="M325">
            <v>2.0499999999999998</v>
          </cell>
          <cell r="N325">
            <v>2.0499999999999998</v>
          </cell>
          <cell r="O325"/>
        </row>
        <row r="326">
          <cell r="D326" t="str">
            <v>D-08-02</v>
          </cell>
          <cell r="E326" t="str">
            <v>Clorhexidina gluconato</v>
          </cell>
          <cell r="F326" t="str">
            <v>Solución</v>
          </cell>
          <cell r="G326" t="str">
            <v>Según disponibilidad</v>
          </cell>
          <cell r="H326" t="str">
            <v>D08AC02</v>
          </cell>
          <cell r="I326"/>
          <cell r="J326">
            <v>146.53</v>
          </cell>
          <cell r="K326">
            <v>146.53</v>
          </cell>
          <cell r="L326">
            <v>146.53</v>
          </cell>
          <cell r="M326">
            <v>146.53</v>
          </cell>
          <cell r="N326">
            <v>146.53</v>
          </cell>
          <cell r="O326" t="str">
            <v>1 L</v>
          </cell>
        </row>
        <row r="327">
          <cell r="D327" t="str">
            <v>P-01-03</v>
          </cell>
          <cell r="E327" t="str">
            <v>Cloroquina fosfato</v>
          </cell>
          <cell r="F327" t="str">
            <v>Comprimido</v>
          </cell>
          <cell r="G327" t="str">
            <v>250 mg (150 mg base)</v>
          </cell>
          <cell r="H327" t="str">
            <v>P01BA01</v>
          </cell>
          <cell r="I327"/>
          <cell r="J327">
            <v>0.37</v>
          </cell>
          <cell r="K327">
            <v>0.37</v>
          </cell>
          <cell r="L327">
            <v>0.37</v>
          </cell>
          <cell r="M327">
            <v>0.37</v>
          </cell>
          <cell r="N327">
            <v>0.37</v>
          </cell>
          <cell r="O327"/>
        </row>
        <row r="328">
          <cell r="D328" t="str">
            <v>N-05-03</v>
          </cell>
          <cell r="E328" t="str">
            <v>Clorpromazina</v>
          </cell>
          <cell r="F328" t="str">
            <v>Inyectable</v>
          </cell>
          <cell r="G328" t="str">
            <v>12,5 mg/ml</v>
          </cell>
          <cell r="H328" t="str">
            <v>N05AA01</v>
          </cell>
          <cell r="I328"/>
          <cell r="J328">
            <v>3.8118945000000002</v>
          </cell>
          <cell r="K328">
            <v>3.8118945000000002</v>
          </cell>
          <cell r="L328">
            <v>3.8118945000000002</v>
          </cell>
          <cell r="M328">
            <v>3.8118945000000002</v>
          </cell>
          <cell r="N328">
            <v>3.8118945000000002</v>
          </cell>
          <cell r="O328" t="str">
            <v xml:space="preserve">2 ML </v>
          </cell>
        </row>
        <row r="329">
          <cell r="D329" t="str">
            <v>A-12-03</v>
          </cell>
          <cell r="E329" t="str">
            <v>Cloruro de potasio</v>
          </cell>
          <cell r="F329" t="str">
            <v>Solución oral</v>
          </cell>
          <cell r="G329" t="str">
            <v>1,3 mEq/ml</v>
          </cell>
          <cell r="H329" t="str">
            <v>A12BA01</v>
          </cell>
          <cell r="I329"/>
          <cell r="J329">
            <v>29.67</v>
          </cell>
          <cell r="K329">
            <v>29.67</v>
          </cell>
          <cell r="L329">
            <v>29.67</v>
          </cell>
          <cell r="M329">
            <v>29.67</v>
          </cell>
          <cell r="N329">
            <v>29.67</v>
          </cell>
          <cell r="O329"/>
        </row>
        <row r="330">
          <cell r="D330" t="str">
            <v>D-01-03</v>
          </cell>
          <cell r="E330" t="str">
            <v>Clotrimazol</v>
          </cell>
          <cell r="F330" t="str">
            <v>Crema o Pomada</v>
          </cell>
          <cell r="G330">
            <v>0.01</v>
          </cell>
          <cell r="H330" t="str">
            <v>D01AC01</v>
          </cell>
          <cell r="I330"/>
          <cell r="J330">
            <v>7.51</v>
          </cell>
          <cell r="K330">
            <v>7.51</v>
          </cell>
          <cell r="L330">
            <v>7.51</v>
          </cell>
          <cell r="M330">
            <v>7.51</v>
          </cell>
          <cell r="N330">
            <v>7.51</v>
          </cell>
          <cell r="O330" t="str">
            <v>20 G</v>
          </cell>
        </row>
        <row r="331">
          <cell r="D331" t="str">
            <v>G-01-02</v>
          </cell>
          <cell r="E331" t="str">
            <v>Clotrimazol</v>
          </cell>
          <cell r="F331" t="str">
            <v>Óvulo</v>
          </cell>
          <cell r="G331" t="str">
            <v>100 mg</v>
          </cell>
          <cell r="H331" t="str">
            <v>G01AF02</v>
          </cell>
          <cell r="I331"/>
          <cell r="J331">
            <v>1.57</v>
          </cell>
          <cell r="K331">
            <v>1.57</v>
          </cell>
          <cell r="L331">
            <v>1.57</v>
          </cell>
          <cell r="M331">
            <v>1.57</v>
          </cell>
          <cell r="N331">
            <v>1.57</v>
          </cell>
          <cell r="O331"/>
        </row>
        <row r="332">
          <cell r="D332" t="str">
            <v>G-01-03</v>
          </cell>
          <cell r="E332" t="str">
            <v>Clotrimazol</v>
          </cell>
          <cell r="F332" t="str">
            <v>Crema vaginal</v>
          </cell>
          <cell r="G332">
            <v>0.01</v>
          </cell>
          <cell r="H332" t="str">
            <v>G01AF02</v>
          </cell>
          <cell r="I332"/>
          <cell r="J332">
            <v>10.51</v>
          </cell>
          <cell r="K332">
            <v>10.51</v>
          </cell>
          <cell r="L332">
            <v>10.51</v>
          </cell>
          <cell r="M332">
            <v>10.51</v>
          </cell>
          <cell r="N332">
            <v>10.51</v>
          </cell>
          <cell r="O332" t="str">
            <v>30 G</v>
          </cell>
        </row>
        <row r="333">
          <cell r="D333" t="str">
            <v>J-01-34</v>
          </cell>
          <cell r="E333" t="str">
            <v>Cloxacilina</v>
          </cell>
          <cell r="F333" t="str">
            <v>Inyectable</v>
          </cell>
          <cell r="G333" t="str">
            <v>500 mg</v>
          </cell>
          <cell r="H333" t="str">
            <v>J01CF02</v>
          </cell>
          <cell r="I333"/>
          <cell r="J333">
            <v>6.88</v>
          </cell>
          <cell r="K333">
            <v>6.88</v>
          </cell>
          <cell r="L333">
            <v>6.88</v>
          </cell>
          <cell r="M333">
            <v>6.88</v>
          </cell>
          <cell r="N333">
            <v>6.88</v>
          </cell>
          <cell r="O333"/>
        </row>
        <row r="334">
          <cell r="D334" t="str">
            <v>J-01-36</v>
          </cell>
          <cell r="E334" t="str">
            <v>Cloxacilina</v>
          </cell>
          <cell r="F334" t="str">
            <v>Inyectable</v>
          </cell>
          <cell r="G334" t="str">
            <v>1 g</v>
          </cell>
          <cell r="H334" t="str">
            <v>J01CF02</v>
          </cell>
          <cell r="I334"/>
          <cell r="J334">
            <v>9.25</v>
          </cell>
          <cell r="K334">
            <v>9.25</v>
          </cell>
          <cell r="L334">
            <v>9.25</v>
          </cell>
          <cell r="M334">
            <v>9.25</v>
          </cell>
          <cell r="N334">
            <v>9.25</v>
          </cell>
          <cell r="O334"/>
        </row>
        <row r="335">
          <cell r="D335" t="str">
            <v>N-02-02</v>
          </cell>
          <cell r="E335" t="str">
            <v>Codeína</v>
          </cell>
          <cell r="F335" t="str">
            <v>Comprimido</v>
          </cell>
          <cell r="G335" t="str">
            <v>30 mg</v>
          </cell>
          <cell r="H335" t="str">
            <v>N02AA07</v>
          </cell>
          <cell r="I335"/>
          <cell r="J335">
            <v>3.79</v>
          </cell>
          <cell r="K335">
            <v>3.79</v>
          </cell>
          <cell r="L335">
            <v>3.79</v>
          </cell>
          <cell r="M335">
            <v>3.79</v>
          </cell>
          <cell r="N335">
            <v>3.79</v>
          </cell>
          <cell r="O335"/>
        </row>
        <row r="336">
          <cell r="D336" t="str">
            <v>M-04-02</v>
          </cell>
          <cell r="E336" t="str">
            <v>Colchicina</v>
          </cell>
          <cell r="F336" t="str">
            <v>Comprimido</v>
          </cell>
          <cell r="G336" t="str">
            <v>0,5 mg</v>
          </cell>
          <cell r="H336" t="str">
            <v>M04AC01</v>
          </cell>
          <cell r="I336"/>
          <cell r="J336">
            <v>1.2</v>
          </cell>
          <cell r="K336">
            <v>1.2</v>
          </cell>
          <cell r="L336">
            <v>1.2</v>
          </cell>
          <cell r="M336">
            <v>1.2</v>
          </cell>
          <cell r="N336">
            <v>1.2</v>
          </cell>
          <cell r="O336"/>
        </row>
        <row r="337">
          <cell r="D337" t="str">
            <v>A-11-05</v>
          </cell>
          <cell r="E337" t="str">
            <v>Colecalciferol (Vitamina D3)</v>
          </cell>
          <cell r="F337" t="str">
            <v>Comprimido o Cápsula blanda</v>
          </cell>
          <cell r="G337" t="str">
            <v>0,25 mcg</v>
          </cell>
          <cell r="H337" t="str">
            <v>A11CC05</v>
          </cell>
          <cell r="I337"/>
          <cell r="J337">
            <v>2.1691025641025639</v>
          </cell>
          <cell r="K337">
            <v>2.1691025641025639</v>
          </cell>
          <cell r="L337">
            <v>2.1691025641025639</v>
          </cell>
          <cell r="M337">
            <v>2.1691025641025639</v>
          </cell>
          <cell r="N337">
            <v>2.1691025641025639</v>
          </cell>
          <cell r="O337"/>
        </row>
        <row r="338">
          <cell r="D338" t="str">
            <v>J-01-67</v>
          </cell>
          <cell r="E338" t="str">
            <v>Colistina</v>
          </cell>
          <cell r="F338" t="str">
            <v>Inyectable</v>
          </cell>
          <cell r="G338" t="str">
            <v>100 mg</v>
          </cell>
          <cell r="H338" t="str">
            <v>J01XB01</v>
          </cell>
          <cell r="I338" t="str">
            <v>R</v>
          </cell>
          <cell r="J338">
            <v>116.97619047619048</v>
          </cell>
          <cell r="K338">
            <v>116.97619047619048</v>
          </cell>
          <cell r="L338">
            <v>116.97619047619048</v>
          </cell>
          <cell r="M338">
            <v>116.97619047619048</v>
          </cell>
          <cell r="N338">
            <v>116.97619047619048</v>
          </cell>
          <cell r="O338"/>
        </row>
        <row r="339">
          <cell r="D339" t="str">
            <v>A-11-07</v>
          </cell>
          <cell r="E339" t="str">
            <v>Complejo  B (B1 + B6 + B12)</v>
          </cell>
          <cell r="F339" t="str">
            <v>Inyectable</v>
          </cell>
          <cell r="G339" t="str">
            <v>Según concentración estándar</v>
          </cell>
          <cell r="H339" t="str">
            <v>A11DB**</v>
          </cell>
          <cell r="I339"/>
          <cell r="J339">
            <v>3.1</v>
          </cell>
          <cell r="K339">
            <v>3.1</v>
          </cell>
          <cell r="L339">
            <v>3.1</v>
          </cell>
          <cell r="M339">
            <v>3.1</v>
          </cell>
          <cell r="N339">
            <v>3.1</v>
          </cell>
          <cell r="O339"/>
        </row>
        <row r="340">
          <cell r="D340" t="str">
            <v>A-11-08</v>
          </cell>
          <cell r="E340" t="str">
            <v>Complejo de vitaminas y minerales (Uso pediatría) CMV</v>
          </cell>
          <cell r="F340" t="str">
            <v>Polvo para solución oral</v>
          </cell>
          <cell r="G340" t="str">
            <v>Según disponibilidad</v>
          </cell>
          <cell r="H340" t="str">
            <v>A11JC**</v>
          </cell>
          <cell r="I340"/>
          <cell r="J340">
            <v>395</v>
          </cell>
          <cell r="K340">
            <v>395</v>
          </cell>
          <cell r="L340">
            <v>395</v>
          </cell>
          <cell r="M340">
            <v>395</v>
          </cell>
          <cell r="N340">
            <v>395</v>
          </cell>
          <cell r="O340"/>
        </row>
        <row r="341">
          <cell r="D341" t="str">
            <v>V-08-01</v>
          </cell>
          <cell r="E341" t="str">
            <v>Contraste iodado</v>
          </cell>
          <cell r="F341" t="str">
            <v>Inyectable</v>
          </cell>
          <cell r="G341" t="str">
            <v>Según disponibilidad (10 ml)</v>
          </cell>
          <cell r="H341" t="str">
            <v>V08AB**</v>
          </cell>
          <cell r="I341"/>
          <cell r="J341">
            <v>195.16</v>
          </cell>
          <cell r="K341">
            <v>195.16</v>
          </cell>
          <cell r="L341">
            <v>195.16</v>
          </cell>
          <cell r="M341">
            <v>195.16</v>
          </cell>
          <cell r="N341">
            <v>195.16</v>
          </cell>
          <cell r="O341"/>
        </row>
        <row r="342">
          <cell r="D342" t="str">
            <v>C-05-01</v>
          </cell>
          <cell r="E342" t="str">
            <v>Corticoide + anestésico</v>
          </cell>
          <cell r="F342" t="str">
            <v>Supositorio</v>
          </cell>
          <cell r="G342" t="str">
            <v>Según disponibilidad</v>
          </cell>
          <cell r="H342" t="str">
            <v>C05AX03</v>
          </cell>
          <cell r="I342"/>
          <cell r="J342">
            <v>3.0282142857142857</v>
          </cell>
          <cell r="K342">
            <v>3.0282142857142857</v>
          </cell>
          <cell r="L342">
            <v>3.0282142857142857</v>
          </cell>
          <cell r="M342">
            <v>3.0282142857142857</v>
          </cell>
          <cell r="N342">
            <v>3.0282142857142857</v>
          </cell>
          <cell r="O342"/>
        </row>
        <row r="343">
          <cell r="D343" t="str">
            <v>C-05-02</v>
          </cell>
          <cell r="E343" t="str">
            <v>Corticoide + anestésico</v>
          </cell>
          <cell r="F343" t="str">
            <v>Crema o Pomada</v>
          </cell>
          <cell r="G343" t="str">
            <v>Según disponibilidad</v>
          </cell>
          <cell r="H343" t="str">
            <v>C05AX03</v>
          </cell>
          <cell r="I343"/>
          <cell r="J343">
            <v>42.05</v>
          </cell>
          <cell r="K343">
            <v>42.05</v>
          </cell>
          <cell r="L343">
            <v>42.05</v>
          </cell>
          <cell r="M343">
            <v>42.05</v>
          </cell>
          <cell r="N343">
            <v>42.05</v>
          </cell>
          <cell r="O343" t="str">
            <v>30 G</v>
          </cell>
        </row>
        <row r="344">
          <cell r="D344" t="str">
            <v>S-01-24</v>
          </cell>
          <cell r="E344" t="str">
            <v>Corticoide + antiinfeccioso de accion tópica</v>
          </cell>
          <cell r="F344" t="str">
            <v>Solución oftálmica</v>
          </cell>
          <cell r="G344" t="str">
            <v>Según disponibilidad</v>
          </cell>
          <cell r="H344" t="str">
            <v>S01CA01</v>
          </cell>
          <cell r="I344"/>
          <cell r="J344">
            <v>22.513030303030305</v>
          </cell>
          <cell r="K344">
            <v>22.513030303030305</v>
          </cell>
          <cell r="L344">
            <v>22.513030303030305</v>
          </cell>
          <cell r="M344">
            <v>22.513030303030305</v>
          </cell>
          <cell r="N344">
            <v>22.513030303030305</v>
          </cell>
          <cell r="O344"/>
        </row>
        <row r="345">
          <cell r="D345" t="str">
            <v>S-01-25</v>
          </cell>
          <cell r="E345" t="str">
            <v>Corticoide + antiinfeccioso de accion tópica</v>
          </cell>
          <cell r="F345" t="str">
            <v>Ungüento oftálmico</v>
          </cell>
          <cell r="G345" t="str">
            <v>Según disponibilidad</v>
          </cell>
          <cell r="H345" t="str">
            <v>S01CA01</v>
          </cell>
          <cell r="I345"/>
          <cell r="J345">
            <v>31.213333333333335</v>
          </cell>
          <cell r="K345">
            <v>31.213333333333335</v>
          </cell>
          <cell r="L345">
            <v>31.213333333333335</v>
          </cell>
          <cell r="M345">
            <v>31.213333333333335</v>
          </cell>
          <cell r="N345">
            <v>31.213333333333335</v>
          </cell>
          <cell r="O345"/>
        </row>
        <row r="346">
          <cell r="D346" t="str">
            <v>H-01-01</v>
          </cell>
          <cell r="E346" t="str">
            <v>Corticotrofina (ACTH)</v>
          </cell>
          <cell r="F346" t="str">
            <v>Inyectable</v>
          </cell>
          <cell r="G346" t="str">
            <v>25 UI o 40 UI</v>
          </cell>
          <cell r="H346" t="str">
            <v>H01AA01</v>
          </cell>
          <cell r="I346"/>
          <cell r="J346">
            <v>109.47</v>
          </cell>
          <cell r="K346">
            <v>109.47</v>
          </cell>
          <cell r="L346">
            <v>109.47</v>
          </cell>
          <cell r="M346">
            <v>109.47</v>
          </cell>
          <cell r="N346">
            <v>109.47</v>
          </cell>
          <cell r="O346"/>
        </row>
        <row r="347">
          <cell r="D347" t="str">
            <v>J-01-38</v>
          </cell>
          <cell r="E347" t="str">
            <v>Cotrimoxazol (Sulfametoxazol + Trimetoprima)</v>
          </cell>
          <cell r="F347" t="str">
            <v>Suspensión</v>
          </cell>
          <cell r="G347" t="str">
            <v>200 mg + 40 mg/5 ml</v>
          </cell>
          <cell r="H347" t="str">
            <v>J01EE01</v>
          </cell>
          <cell r="I347"/>
          <cell r="J347">
            <v>9.18</v>
          </cell>
          <cell r="K347">
            <v>9.18</v>
          </cell>
          <cell r="L347">
            <v>9.18</v>
          </cell>
          <cell r="M347">
            <v>9.18</v>
          </cell>
          <cell r="N347">
            <v>9.18</v>
          </cell>
          <cell r="O347" t="str">
            <v>100 ML</v>
          </cell>
        </row>
        <row r="348">
          <cell r="D348" t="str">
            <v>J-01-39</v>
          </cell>
          <cell r="E348" t="str">
            <v>Cotrimoxazol (Sulfametoxazol + Trimetoprima)</v>
          </cell>
          <cell r="F348" t="str">
            <v>Comprimido</v>
          </cell>
          <cell r="G348" t="str">
            <v>100 mg + 20 mg</v>
          </cell>
          <cell r="H348" t="str">
            <v>J01EE01</v>
          </cell>
          <cell r="I348"/>
          <cell r="J348">
            <v>0.44999999999999996</v>
          </cell>
          <cell r="K348">
            <v>0.44999999999999996</v>
          </cell>
          <cell r="L348">
            <v>0.44999999999999996</v>
          </cell>
          <cell r="M348">
            <v>0.44999999999999996</v>
          </cell>
          <cell r="N348">
            <v>0.44999999999999996</v>
          </cell>
          <cell r="O348"/>
        </row>
        <row r="349">
          <cell r="D349" t="str">
            <v>J-01-40</v>
          </cell>
          <cell r="E349" t="str">
            <v>Cotrimoxazol (Sulfametoxazol + Trimetoprima)</v>
          </cell>
          <cell r="F349" t="str">
            <v>Comprimido</v>
          </cell>
          <cell r="G349" t="str">
            <v>400 mg + 80 mg</v>
          </cell>
          <cell r="H349" t="str">
            <v>J01EE01</v>
          </cell>
          <cell r="I349"/>
          <cell r="J349">
            <v>0.42</v>
          </cell>
          <cell r="K349">
            <v>0.42</v>
          </cell>
          <cell r="L349">
            <v>0.42</v>
          </cell>
          <cell r="M349">
            <v>0.42</v>
          </cell>
          <cell r="N349">
            <v>0.42</v>
          </cell>
          <cell r="O349"/>
        </row>
        <row r="350">
          <cell r="D350" t="str">
            <v>J-01-60</v>
          </cell>
          <cell r="E350" t="str">
            <v>Cotrimoxazol (Sulfametoxazol + Trimetoprima)</v>
          </cell>
          <cell r="F350" t="str">
            <v>Inyectable</v>
          </cell>
          <cell r="G350" t="str">
            <v>400 mg + 80 mg/5 ml</v>
          </cell>
          <cell r="H350" t="str">
            <v>J01EE01</v>
          </cell>
          <cell r="I350"/>
          <cell r="J350">
            <v>39.94</v>
          </cell>
          <cell r="K350">
            <v>39.94</v>
          </cell>
          <cell r="L350">
            <v>39.94</v>
          </cell>
          <cell r="M350">
            <v>39.94</v>
          </cell>
          <cell r="N350">
            <v>39.94</v>
          </cell>
          <cell r="O350"/>
        </row>
        <row r="351">
          <cell r="D351" t="str">
            <v>J-05-40</v>
          </cell>
          <cell r="E351" t="str">
            <v xml:space="preserve">Daclatasvir </v>
          </cell>
          <cell r="F351" t="str">
            <v>Cápsula o Comprimido</v>
          </cell>
          <cell r="G351" t="str">
            <v>60 mg</v>
          </cell>
          <cell r="H351" t="str">
            <v> J05AX14 </v>
          </cell>
          <cell r="I351"/>
          <cell r="J351">
            <v>471.51</v>
          </cell>
          <cell r="K351">
            <v>471.51</v>
          </cell>
          <cell r="L351">
            <v>471.51</v>
          </cell>
          <cell r="M351">
            <v>471.51</v>
          </cell>
          <cell r="N351">
            <v>471.51</v>
          </cell>
          <cell r="O351"/>
        </row>
        <row r="352">
          <cell r="D352" t="str">
            <v>L-01-13</v>
          </cell>
          <cell r="E352" t="str">
            <v>Dactinomicina</v>
          </cell>
          <cell r="F352" t="str">
            <v>Inyectable</v>
          </cell>
          <cell r="G352" t="str">
            <v>0,5 mg/ml</v>
          </cell>
          <cell r="H352" t="str">
            <v>L01DA01</v>
          </cell>
          <cell r="I352"/>
          <cell r="J352">
            <v>315.33</v>
          </cell>
          <cell r="K352">
            <v>315.33</v>
          </cell>
          <cell r="L352">
            <v>315.33</v>
          </cell>
          <cell r="M352">
            <v>315.33</v>
          </cell>
          <cell r="N352">
            <v>315.33</v>
          </cell>
          <cell r="O352"/>
        </row>
        <row r="353">
          <cell r="D353" t="str">
            <v>J-04-03</v>
          </cell>
          <cell r="E353" t="str">
            <v>Dapsona</v>
          </cell>
          <cell r="F353" t="str">
            <v>Comprimido</v>
          </cell>
          <cell r="G353" t="str">
            <v>100 mg</v>
          </cell>
          <cell r="H353" t="str">
            <v>J04BA02</v>
          </cell>
          <cell r="I353"/>
          <cell r="J353">
            <v>6.78</v>
          </cell>
          <cell r="K353">
            <v>6.78</v>
          </cell>
          <cell r="L353">
            <v>6.78</v>
          </cell>
          <cell r="M353">
            <v>6.78</v>
          </cell>
          <cell r="N353">
            <v>6.78</v>
          </cell>
          <cell r="O353"/>
        </row>
        <row r="354">
          <cell r="D354" t="str">
            <v>J-04-16</v>
          </cell>
          <cell r="E354" t="str">
            <v>Dapsona</v>
          </cell>
          <cell r="F354" t="str">
            <v>Comprimido</v>
          </cell>
          <cell r="G354" t="str">
            <v>50 mg</v>
          </cell>
          <cell r="H354" t="str">
            <v>J04BA02</v>
          </cell>
          <cell r="I354" t="str">
            <v>R</v>
          </cell>
          <cell r="J354">
            <v>2.5499999999999998</v>
          </cell>
          <cell r="K354">
            <v>2.5499999999999998</v>
          </cell>
          <cell r="L354">
            <v>2.5499999999999998</v>
          </cell>
          <cell r="M354">
            <v>2.5499999999999998</v>
          </cell>
          <cell r="N354">
            <v>2.5499999999999998</v>
          </cell>
          <cell r="O354"/>
        </row>
        <row r="355">
          <cell r="D355" t="str">
            <v>J-05-32</v>
          </cell>
          <cell r="E355" t="str">
            <v>Darunavir</v>
          </cell>
          <cell r="F355" t="str">
            <v>Comprimido</v>
          </cell>
          <cell r="G355" t="str">
            <v>600 mg</v>
          </cell>
          <cell r="H355" t="str">
            <v>J05AE10</v>
          </cell>
          <cell r="I355" t="str">
            <v>R</v>
          </cell>
          <cell r="J355">
            <v>61.466999999999999</v>
          </cell>
          <cell r="K355">
            <v>61.466999999999999</v>
          </cell>
          <cell r="L355">
            <v>61.466999999999999</v>
          </cell>
          <cell r="M355">
            <v>61.466999999999999</v>
          </cell>
          <cell r="N355">
            <v>61.466999999999999</v>
          </cell>
          <cell r="O355"/>
        </row>
        <row r="356">
          <cell r="D356" t="str">
            <v>L-01-44</v>
          </cell>
          <cell r="E356" t="str">
            <v>Dasatinib</v>
          </cell>
          <cell r="F356" t="str">
            <v>Comprimido</v>
          </cell>
          <cell r="G356" t="str">
            <v>20 mg</v>
          </cell>
          <cell r="H356" t="str">
            <v>L01XE06</v>
          </cell>
          <cell r="I356" t="str">
            <v>R</v>
          </cell>
          <cell r="J356">
            <v>41.67</v>
          </cell>
          <cell r="K356">
            <v>41.67</v>
          </cell>
          <cell r="L356">
            <v>41.67</v>
          </cell>
          <cell r="M356">
            <v>41.67</v>
          </cell>
          <cell r="N356">
            <v>41.67</v>
          </cell>
          <cell r="O356"/>
        </row>
        <row r="357">
          <cell r="D357" t="str">
            <v>L-01-45</v>
          </cell>
          <cell r="E357" t="str">
            <v>Dasatinib</v>
          </cell>
          <cell r="F357" t="str">
            <v>Comprimido</v>
          </cell>
          <cell r="G357" t="str">
            <v>50 mg</v>
          </cell>
          <cell r="H357" t="str">
            <v>L01XE06</v>
          </cell>
          <cell r="I357" t="str">
            <v>R</v>
          </cell>
          <cell r="J357">
            <v>196.63</v>
          </cell>
          <cell r="K357">
            <v>196.63</v>
          </cell>
          <cell r="L357">
            <v>196.63</v>
          </cell>
          <cell r="M357">
            <v>196.63</v>
          </cell>
          <cell r="N357">
            <v>196.63</v>
          </cell>
          <cell r="O357"/>
        </row>
        <row r="358">
          <cell r="D358" t="str">
            <v>L-01-46</v>
          </cell>
          <cell r="E358" t="str">
            <v>Dasatinib</v>
          </cell>
          <cell r="F358" t="str">
            <v>Comprimido</v>
          </cell>
          <cell r="G358" t="str">
            <v>70 mg</v>
          </cell>
          <cell r="H358" t="str">
            <v>L01XE06</v>
          </cell>
          <cell r="I358" t="str">
            <v>R</v>
          </cell>
          <cell r="J358">
            <v>209.73</v>
          </cell>
          <cell r="K358">
            <v>209.73</v>
          </cell>
          <cell r="L358">
            <v>209.73</v>
          </cell>
          <cell r="M358">
            <v>209.73</v>
          </cell>
          <cell r="N358">
            <v>209.73</v>
          </cell>
          <cell r="O358"/>
        </row>
        <row r="359">
          <cell r="D359" t="str">
            <v>L-01-47</v>
          </cell>
          <cell r="E359" t="str">
            <v>Dasatinib</v>
          </cell>
          <cell r="F359" t="str">
            <v>Comprimido</v>
          </cell>
          <cell r="G359" t="str">
            <v>100 mg</v>
          </cell>
          <cell r="H359" t="str">
            <v>L01XE06</v>
          </cell>
          <cell r="I359" t="str">
            <v>R</v>
          </cell>
          <cell r="J359">
            <v>367</v>
          </cell>
          <cell r="K359">
            <v>367</v>
          </cell>
          <cell r="L359">
            <v>367</v>
          </cell>
          <cell r="M359">
            <v>367</v>
          </cell>
          <cell r="N359">
            <v>367</v>
          </cell>
          <cell r="O359"/>
        </row>
        <row r="360">
          <cell r="D360" t="str">
            <v>V-03-02</v>
          </cell>
          <cell r="E360" t="str">
            <v>Deferoxamina mesilato</v>
          </cell>
          <cell r="F360" t="str">
            <v>Inyectable</v>
          </cell>
          <cell r="G360" t="str">
            <v>500 mg</v>
          </cell>
          <cell r="H360" t="str">
            <v>V03AC01</v>
          </cell>
          <cell r="I360"/>
          <cell r="J360">
            <v>111.55</v>
          </cell>
          <cell r="K360">
            <v>111.55</v>
          </cell>
          <cell r="L360">
            <v>111.55</v>
          </cell>
          <cell r="M360">
            <v>111.55</v>
          </cell>
          <cell r="N360">
            <v>111.55</v>
          </cell>
          <cell r="O360"/>
        </row>
        <row r="361">
          <cell r="D361" t="str">
            <v>J-04-19</v>
          </cell>
          <cell r="E361" t="str">
            <v xml:space="preserve">Delamanid </v>
          </cell>
          <cell r="F361" t="str">
            <v xml:space="preserve">Comprimido </v>
          </cell>
          <cell r="G361" t="str">
            <v>100 mg</v>
          </cell>
          <cell r="H361" t="str">
            <v>J04AK06</v>
          </cell>
          <cell r="I361"/>
          <cell r="J361">
            <v>106</v>
          </cell>
          <cell r="K361">
            <v>106</v>
          </cell>
          <cell r="L361">
            <v>106</v>
          </cell>
          <cell r="M361">
            <v>106</v>
          </cell>
          <cell r="N361">
            <v>106</v>
          </cell>
          <cell r="O361"/>
        </row>
        <row r="362">
          <cell r="D362" t="str">
            <v>H-01-02</v>
          </cell>
          <cell r="E362" t="str">
            <v>Desmopresina acetato</v>
          </cell>
          <cell r="F362" t="str">
            <v>Solución nasal</v>
          </cell>
          <cell r="G362" t="str">
            <v>0,1 mg/ml</v>
          </cell>
          <cell r="H362" t="str">
            <v>H01BA02</v>
          </cell>
          <cell r="I362"/>
          <cell r="J362">
            <v>560.19224550000001</v>
          </cell>
          <cell r="K362">
            <v>560.19224550000001</v>
          </cell>
          <cell r="L362">
            <v>560.19224550000001</v>
          </cell>
          <cell r="M362">
            <v>560.19224550000001</v>
          </cell>
          <cell r="N362">
            <v>560.19224550000001</v>
          </cell>
          <cell r="O362" t="str">
            <v>5 ML</v>
          </cell>
        </row>
        <row r="363">
          <cell r="D363" t="str">
            <v>H-02-02</v>
          </cell>
          <cell r="E363" t="str">
            <v>Dexametasona</v>
          </cell>
          <cell r="F363" t="str">
            <v>Comprimido</v>
          </cell>
          <cell r="G363" t="str">
            <v>4 mg</v>
          </cell>
          <cell r="H363" t="str">
            <v>H02AB02</v>
          </cell>
          <cell r="I363"/>
          <cell r="J363">
            <v>0.81583333333333341</v>
          </cell>
          <cell r="K363">
            <v>0.81583333333333341</v>
          </cell>
          <cell r="L363">
            <v>0.81583333333333341</v>
          </cell>
          <cell r="M363">
            <v>0.81583333333333341</v>
          </cell>
          <cell r="N363">
            <v>0.81583333333333341</v>
          </cell>
          <cell r="O363"/>
        </row>
        <row r="364">
          <cell r="D364" t="str">
            <v>H-02-03</v>
          </cell>
          <cell r="E364" t="str">
            <v>Dexametasona</v>
          </cell>
          <cell r="F364" t="str">
            <v>Comprimido</v>
          </cell>
          <cell r="G364" t="str">
            <v>0,5 mg</v>
          </cell>
          <cell r="H364" t="str">
            <v>H02AB02</v>
          </cell>
          <cell r="I364"/>
          <cell r="J364">
            <v>0.57999999999999996</v>
          </cell>
          <cell r="K364">
            <v>0.57999999999999996</v>
          </cell>
          <cell r="L364">
            <v>0.57999999999999996</v>
          </cell>
          <cell r="M364">
            <v>0.57999999999999996</v>
          </cell>
          <cell r="N364">
            <v>0.57999999999999996</v>
          </cell>
          <cell r="O364"/>
        </row>
        <row r="365">
          <cell r="D365" t="str">
            <v>S-01-09</v>
          </cell>
          <cell r="E365" t="str">
            <v>Dexametasona</v>
          </cell>
          <cell r="F365" t="str">
            <v>Solución oftálmica</v>
          </cell>
          <cell r="G365" t="str">
            <v>0,1%</v>
          </cell>
          <cell r="H365" t="str">
            <v>S01BA01</v>
          </cell>
          <cell r="I365"/>
          <cell r="J365">
            <v>17.22</v>
          </cell>
          <cell r="K365">
            <v>17.22</v>
          </cell>
          <cell r="L365">
            <v>17.22</v>
          </cell>
          <cell r="M365">
            <v>17.22</v>
          </cell>
          <cell r="N365">
            <v>17.22</v>
          </cell>
          <cell r="O365" t="str">
            <v>10 ML</v>
          </cell>
        </row>
        <row r="366">
          <cell r="D366" t="str">
            <v>S-01-10</v>
          </cell>
          <cell r="E366" t="str">
            <v>Dexametasona</v>
          </cell>
          <cell r="F366" t="str">
            <v>Ungüento o Pomada oftálmica</v>
          </cell>
          <cell r="G366" t="str">
            <v>0,1%</v>
          </cell>
          <cell r="H366" t="str">
            <v>S01BA01</v>
          </cell>
          <cell r="I366"/>
          <cell r="J366">
            <v>37.81</v>
          </cell>
          <cell r="K366">
            <v>37.81</v>
          </cell>
          <cell r="L366">
            <v>37.81</v>
          </cell>
          <cell r="M366">
            <v>37.81</v>
          </cell>
          <cell r="N366">
            <v>37.81</v>
          </cell>
          <cell r="O366"/>
        </row>
        <row r="367">
          <cell r="D367" t="str">
            <v>N-05-19</v>
          </cell>
          <cell r="E367" t="str">
            <v xml:space="preserve">Dexmedetomidina </v>
          </cell>
          <cell r="F367" t="str">
            <v>Inyectable</v>
          </cell>
          <cell r="G367" t="str">
            <v>100 mcg/ml</v>
          </cell>
          <cell r="H367" t="str">
            <v>N05CM18</v>
          </cell>
          <cell r="I367"/>
          <cell r="J367">
            <v>150</v>
          </cell>
          <cell r="K367">
            <v>150</v>
          </cell>
          <cell r="L367">
            <v>150</v>
          </cell>
          <cell r="M367">
            <v>150</v>
          </cell>
          <cell r="N367">
            <v>150</v>
          </cell>
          <cell r="O367"/>
        </row>
        <row r="368">
          <cell r="D368" t="str">
            <v>L-04-19</v>
          </cell>
          <cell r="E368" t="str">
            <v>Globulina Anti-timocito (conejo)</v>
          </cell>
          <cell r="F368" t="str">
            <v>Inyectable</v>
          </cell>
          <cell r="G368" t="str">
            <v>25 mg</v>
          </cell>
          <cell r="H368" t="str">
            <v>L04AA04</v>
          </cell>
          <cell r="I368" t="str">
            <v>R</v>
          </cell>
          <cell r="J368" t="str">
            <v>SPR</v>
          </cell>
          <cell r="K368" t="str">
            <v>SPR</v>
          </cell>
          <cell r="L368" t="str">
            <v>SPR</v>
          </cell>
          <cell r="M368" t="str">
            <v>SPR</v>
          </cell>
          <cell r="N368" t="str">
            <v>SPR</v>
          </cell>
          <cell r="O368"/>
        </row>
        <row r="369">
          <cell r="D369" t="str">
            <v>B-05-08</v>
          </cell>
          <cell r="E369" t="str">
            <v>Dextrán 70</v>
          </cell>
          <cell r="F369" t="str">
            <v>Solución parenteral de gran volúmen</v>
          </cell>
          <cell r="G369">
            <v>0.06</v>
          </cell>
          <cell r="H369" t="str">
            <v>B05AA05</v>
          </cell>
          <cell r="I369"/>
          <cell r="J369">
            <v>67.2</v>
          </cell>
          <cell r="K369">
            <v>67.2</v>
          </cell>
          <cell r="L369">
            <v>67.2</v>
          </cell>
          <cell r="M369">
            <v>67.2</v>
          </cell>
          <cell r="N369">
            <v>67.2</v>
          </cell>
          <cell r="O369"/>
        </row>
        <row r="370">
          <cell r="D370" t="str">
            <v>R-05-03</v>
          </cell>
          <cell r="E370" t="str">
            <v>Dextrometorfano bromhidrato</v>
          </cell>
          <cell r="F370" t="str">
            <v>Jarabe</v>
          </cell>
          <cell r="G370" t="str">
            <v>10 mg/5 ml</v>
          </cell>
          <cell r="H370" t="str">
            <v>R05DA09</v>
          </cell>
          <cell r="I370"/>
          <cell r="J370">
            <v>9.59</v>
          </cell>
          <cell r="K370">
            <v>9.59</v>
          </cell>
          <cell r="L370">
            <v>9.59</v>
          </cell>
          <cell r="M370">
            <v>9.59</v>
          </cell>
          <cell r="N370">
            <v>9.59</v>
          </cell>
          <cell r="O370"/>
        </row>
        <row r="371">
          <cell r="D371" t="str">
            <v>N-05-04</v>
          </cell>
          <cell r="E371" t="str">
            <v>Diazepam</v>
          </cell>
          <cell r="F371" t="str">
            <v>Comprimido ranurado</v>
          </cell>
          <cell r="G371" t="str">
            <v>10 mg</v>
          </cell>
          <cell r="H371" t="str">
            <v>N05BA01</v>
          </cell>
          <cell r="I371"/>
          <cell r="J371">
            <v>1.39</v>
          </cell>
          <cell r="K371">
            <v>1.39</v>
          </cell>
          <cell r="L371">
            <v>1.39</v>
          </cell>
          <cell r="M371">
            <v>1.39</v>
          </cell>
          <cell r="N371">
            <v>1.39</v>
          </cell>
          <cell r="O371"/>
        </row>
        <row r="372">
          <cell r="D372" t="str">
            <v>N-05-05</v>
          </cell>
          <cell r="E372" t="str">
            <v>Diazepam</v>
          </cell>
          <cell r="F372" t="str">
            <v>Inyectable</v>
          </cell>
          <cell r="G372" t="str">
            <v>10 mg</v>
          </cell>
          <cell r="H372" t="str">
            <v>N05BA01</v>
          </cell>
          <cell r="I372"/>
          <cell r="J372">
            <v>6.96</v>
          </cell>
          <cell r="K372">
            <v>6.96</v>
          </cell>
          <cell r="L372">
            <v>6.96</v>
          </cell>
          <cell r="M372">
            <v>6.96</v>
          </cell>
          <cell r="N372">
            <v>6.96</v>
          </cell>
          <cell r="O372"/>
        </row>
        <row r="373">
          <cell r="D373" t="str">
            <v>N-05-06</v>
          </cell>
          <cell r="E373" t="str">
            <v>Diazepam</v>
          </cell>
          <cell r="F373" t="str">
            <v>Comprimido ranurado</v>
          </cell>
          <cell r="G373" t="str">
            <v>5 mg</v>
          </cell>
          <cell r="H373" t="str">
            <v>N05BA01</v>
          </cell>
          <cell r="I373"/>
          <cell r="J373">
            <v>0.6</v>
          </cell>
          <cell r="K373">
            <v>0.6</v>
          </cell>
          <cell r="L373">
            <v>0.6</v>
          </cell>
          <cell r="M373">
            <v>0.6</v>
          </cell>
          <cell r="N373">
            <v>0.6</v>
          </cell>
          <cell r="O373"/>
        </row>
        <row r="374">
          <cell r="D374" t="str">
            <v>M-01-01</v>
          </cell>
          <cell r="E374" t="str">
            <v>Diclofenaco Sódico</v>
          </cell>
          <cell r="F374" t="str">
            <v>Pomada o Gel</v>
          </cell>
          <cell r="G374">
            <v>0.01</v>
          </cell>
          <cell r="H374" t="str">
            <v>M01AB05</v>
          </cell>
          <cell r="I374"/>
          <cell r="J374">
            <v>11.02</v>
          </cell>
          <cell r="K374">
            <v>11.02</v>
          </cell>
          <cell r="L374">
            <v>11.02</v>
          </cell>
          <cell r="M374">
            <v>11.02</v>
          </cell>
          <cell r="N374">
            <v>11.02</v>
          </cell>
          <cell r="O374" t="str">
            <v xml:space="preserve">30G </v>
          </cell>
        </row>
        <row r="375">
          <cell r="D375" t="str">
            <v>M-01-02</v>
          </cell>
          <cell r="E375" t="str">
            <v>Diclofenaco Sódico</v>
          </cell>
          <cell r="F375" t="str">
            <v>Comprimido</v>
          </cell>
          <cell r="G375" t="str">
            <v>50 mg</v>
          </cell>
          <cell r="H375" t="str">
            <v>M01AB05</v>
          </cell>
          <cell r="I375"/>
          <cell r="J375">
            <v>0.18</v>
          </cell>
          <cell r="K375">
            <v>0.18</v>
          </cell>
          <cell r="L375">
            <v>0.18</v>
          </cell>
          <cell r="M375">
            <v>0.18</v>
          </cell>
          <cell r="N375">
            <v>0.18</v>
          </cell>
          <cell r="O375"/>
        </row>
        <row r="376">
          <cell r="D376" t="str">
            <v>M-01-03</v>
          </cell>
          <cell r="E376" t="str">
            <v>Diclofenaco Sódico</v>
          </cell>
          <cell r="F376" t="str">
            <v>Inyectable</v>
          </cell>
          <cell r="G376" t="str">
            <v>75 mg</v>
          </cell>
          <cell r="H376" t="str">
            <v>M01AB05</v>
          </cell>
          <cell r="I376"/>
          <cell r="J376">
            <v>1.45</v>
          </cell>
          <cell r="K376">
            <v>1.45</v>
          </cell>
          <cell r="L376">
            <v>1.45</v>
          </cell>
          <cell r="M376">
            <v>1.45</v>
          </cell>
          <cell r="N376">
            <v>1.45</v>
          </cell>
          <cell r="O376" t="str">
            <v>3 ML</v>
          </cell>
        </row>
        <row r="377">
          <cell r="D377" t="str">
            <v>S-01-11</v>
          </cell>
          <cell r="E377" t="str">
            <v>Diclofenaco Sódico</v>
          </cell>
          <cell r="F377" t="str">
            <v>Solución oftálmica</v>
          </cell>
          <cell r="G377" t="str">
            <v>0,1%</v>
          </cell>
          <cell r="H377" t="str">
            <v>S01BC03</v>
          </cell>
          <cell r="I377"/>
          <cell r="J377">
            <v>11.85</v>
          </cell>
          <cell r="K377">
            <v>11.85</v>
          </cell>
          <cell r="L377">
            <v>11.85</v>
          </cell>
          <cell r="M377">
            <v>11.85</v>
          </cell>
          <cell r="N377">
            <v>11.85</v>
          </cell>
          <cell r="O377"/>
        </row>
        <row r="378">
          <cell r="D378" t="str">
            <v>J-01-41</v>
          </cell>
          <cell r="E378" t="str">
            <v>Dicloxacilina sódica</v>
          </cell>
          <cell r="F378" t="str">
            <v>Cápsula</v>
          </cell>
          <cell r="G378" t="str">
            <v>500 mg</v>
          </cell>
          <cell r="H378" t="str">
            <v>J01CF01</v>
          </cell>
          <cell r="I378"/>
          <cell r="J378">
            <v>1.24</v>
          </cell>
          <cell r="K378">
            <v>1.24</v>
          </cell>
          <cell r="L378">
            <v>1.24</v>
          </cell>
          <cell r="M378">
            <v>1.24</v>
          </cell>
          <cell r="N378">
            <v>1.24</v>
          </cell>
          <cell r="O378"/>
        </row>
        <row r="379">
          <cell r="D379" t="str">
            <v>J-01-42</v>
          </cell>
          <cell r="E379" t="str">
            <v>Dicloxacilina sódica</v>
          </cell>
          <cell r="F379" t="str">
            <v>Suspensión</v>
          </cell>
          <cell r="G379" t="str">
            <v>250 mg/5 ml</v>
          </cell>
          <cell r="H379" t="str">
            <v>J01CF01</v>
          </cell>
          <cell r="I379"/>
          <cell r="J379">
            <v>15.86</v>
          </cell>
          <cell r="K379">
            <v>15.86</v>
          </cell>
          <cell r="L379">
            <v>15.86</v>
          </cell>
          <cell r="M379">
            <v>15.86</v>
          </cell>
          <cell r="N379">
            <v>15.86</v>
          </cell>
          <cell r="O379" t="str">
            <v>100 ML</v>
          </cell>
        </row>
        <row r="380">
          <cell r="D380" t="str">
            <v>C-01-04</v>
          </cell>
          <cell r="E380" t="str">
            <v>Digoxina</v>
          </cell>
          <cell r="F380" t="str">
            <v>Solución oral gotas</v>
          </cell>
          <cell r="G380" t="str">
            <v>0,75 mg/ml</v>
          </cell>
          <cell r="H380" t="str">
            <v>C01AA05</v>
          </cell>
          <cell r="I380"/>
          <cell r="J380">
            <v>104.09</v>
          </cell>
          <cell r="K380">
            <v>104.09</v>
          </cell>
          <cell r="L380">
            <v>104.09</v>
          </cell>
          <cell r="M380">
            <v>104.09</v>
          </cell>
          <cell r="N380">
            <v>104.09</v>
          </cell>
          <cell r="O380" t="str">
            <v>15 ML</v>
          </cell>
        </row>
        <row r="381">
          <cell r="D381" t="str">
            <v>C-01-05</v>
          </cell>
          <cell r="E381" t="str">
            <v>Digoxina</v>
          </cell>
          <cell r="F381" t="str">
            <v>Inyectable</v>
          </cell>
          <cell r="G381" t="str">
            <v>0,25 mg/ml</v>
          </cell>
          <cell r="H381" t="str">
            <v>C01AA05</v>
          </cell>
          <cell r="I381"/>
          <cell r="J381">
            <v>7.7012499999999999</v>
          </cell>
          <cell r="K381">
            <v>7.7012499999999999</v>
          </cell>
          <cell r="L381">
            <v>7.7012499999999999</v>
          </cell>
          <cell r="M381">
            <v>7.7012499999999999</v>
          </cell>
          <cell r="N381">
            <v>7.7012499999999999</v>
          </cell>
          <cell r="O381" t="str">
            <v>2ML</v>
          </cell>
        </row>
        <row r="382">
          <cell r="D382" t="str">
            <v>N-07-01</v>
          </cell>
          <cell r="E382" t="str">
            <v>Dimenhidrinato</v>
          </cell>
          <cell r="F382" t="str">
            <v>Comprimido</v>
          </cell>
          <cell r="G382" t="str">
            <v>50 mg</v>
          </cell>
          <cell r="H382" t="str">
            <v>N07X**</v>
          </cell>
          <cell r="I382"/>
          <cell r="J382">
            <v>0.9</v>
          </cell>
          <cell r="K382">
            <v>0.9</v>
          </cell>
          <cell r="L382">
            <v>0.9</v>
          </cell>
          <cell r="M382">
            <v>0.9</v>
          </cell>
          <cell r="N382">
            <v>0.9</v>
          </cell>
          <cell r="O382"/>
        </row>
        <row r="383">
          <cell r="D383" t="str">
            <v>N-07-02</v>
          </cell>
          <cell r="E383" t="str">
            <v>Dimenhidrinato</v>
          </cell>
          <cell r="F383" t="str">
            <v>Supositorio</v>
          </cell>
          <cell r="G383" t="str">
            <v>50 mg</v>
          </cell>
          <cell r="H383" t="str">
            <v>N07X**</v>
          </cell>
          <cell r="I383"/>
          <cell r="J383">
            <v>4.12</v>
          </cell>
          <cell r="K383">
            <v>4.12</v>
          </cell>
          <cell r="L383">
            <v>4.12</v>
          </cell>
          <cell r="M383">
            <v>4.12</v>
          </cell>
          <cell r="N383">
            <v>4.12</v>
          </cell>
          <cell r="O383"/>
        </row>
        <row r="384">
          <cell r="D384" t="str">
            <v>N-07-03</v>
          </cell>
          <cell r="E384" t="str">
            <v>Dimenhidrinato</v>
          </cell>
          <cell r="F384" t="str">
            <v>Inyectable</v>
          </cell>
          <cell r="G384" t="str">
            <v>50 mg/ml</v>
          </cell>
          <cell r="H384" t="str">
            <v>N07X**</v>
          </cell>
          <cell r="I384"/>
          <cell r="J384">
            <v>14.908928571428572</v>
          </cell>
          <cell r="K384">
            <v>14.908928571428572</v>
          </cell>
          <cell r="L384">
            <v>14.908928571428572</v>
          </cell>
          <cell r="M384">
            <v>14.908928571428572</v>
          </cell>
          <cell r="N384">
            <v>14.908928571428572</v>
          </cell>
          <cell r="O384"/>
        </row>
        <row r="385">
          <cell r="D385" t="str">
            <v>V-03-03</v>
          </cell>
          <cell r="E385" t="str">
            <v>Dimercaprol (B.A.L.)</v>
          </cell>
          <cell r="F385" t="str">
            <v>Inyectable</v>
          </cell>
          <cell r="G385" t="str">
            <v>100 mg/ml</v>
          </cell>
          <cell r="H385" t="str">
            <v>V03AB09</v>
          </cell>
          <cell r="I385"/>
          <cell r="J385">
            <v>758.01</v>
          </cell>
          <cell r="K385">
            <v>758.01</v>
          </cell>
          <cell r="L385">
            <v>758.01</v>
          </cell>
          <cell r="M385">
            <v>758.01</v>
          </cell>
          <cell r="N385">
            <v>758.01</v>
          </cell>
          <cell r="O385"/>
        </row>
        <row r="386">
          <cell r="D386" t="str">
            <v>C-01-07</v>
          </cell>
          <cell r="E386" t="str">
            <v>Dinitrato de isosorbida (Isosorbide dinitrato)</v>
          </cell>
          <cell r="F386" t="str">
            <v>Comprimido sublingual</v>
          </cell>
          <cell r="G386" t="str">
            <v>5 mg</v>
          </cell>
          <cell r="H386" t="str">
            <v>C01DA08</v>
          </cell>
          <cell r="I386"/>
          <cell r="J386">
            <v>1.35</v>
          </cell>
          <cell r="K386">
            <v>1.35</v>
          </cell>
          <cell r="L386">
            <v>1.35</v>
          </cell>
          <cell r="M386">
            <v>1.35</v>
          </cell>
          <cell r="N386">
            <v>1.35</v>
          </cell>
          <cell r="O386"/>
        </row>
        <row r="387">
          <cell r="D387" t="str">
            <v>A-03-06</v>
          </cell>
          <cell r="E387" t="str">
            <v>Domperidona</v>
          </cell>
          <cell r="F387" t="str">
            <v>Comprimido</v>
          </cell>
          <cell r="G387" t="str">
            <v>10 mg</v>
          </cell>
          <cell r="H387" t="str">
            <v>A03FA03</v>
          </cell>
          <cell r="I387"/>
          <cell r="J387">
            <v>0.47062962962962968</v>
          </cell>
          <cell r="K387">
            <v>0.47062962962962968</v>
          </cell>
          <cell r="L387">
            <v>0.47062962962962968</v>
          </cell>
          <cell r="M387">
            <v>0.47062962962962968</v>
          </cell>
          <cell r="N387">
            <v>0.47062962962962968</v>
          </cell>
          <cell r="O387"/>
        </row>
        <row r="388">
          <cell r="D388" t="str">
            <v>S-01-12</v>
          </cell>
          <cell r="E388" t="str">
            <v>Dorzolamida</v>
          </cell>
          <cell r="F388" t="str">
            <v>Solución oftálmica</v>
          </cell>
          <cell r="G388">
            <v>0.02</v>
          </cell>
          <cell r="H388" t="str">
            <v>S01EC03</v>
          </cell>
          <cell r="I388"/>
          <cell r="J388">
            <v>95.14</v>
          </cell>
          <cell r="K388">
            <v>95.14</v>
          </cell>
          <cell r="L388">
            <v>95.14</v>
          </cell>
          <cell r="M388">
            <v>95.14</v>
          </cell>
          <cell r="N388">
            <v>95.14</v>
          </cell>
          <cell r="O388"/>
        </row>
        <row r="389">
          <cell r="D389" t="str">
            <v>J-01-44</v>
          </cell>
          <cell r="E389" t="str">
            <v>Doxiciclina</v>
          </cell>
          <cell r="F389" t="str">
            <v>Cápsula o Comprimido</v>
          </cell>
          <cell r="G389" t="str">
            <v>100 mg</v>
          </cell>
          <cell r="H389" t="str">
            <v>J01AA02</v>
          </cell>
          <cell r="I389"/>
          <cell r="J389">
            <v>0.71</v>
          </cell>
          <cell r="K389">
            <v>0.71</v>
          </cell>
          <cell r="L389">
            <v>0.71</v>
          </cell>
          <cell r="M389">
            <v>0.71</v>
          </cell>
          <cell r="N389">
            <v>0.71</v>
          </cell>
          <cell r="O389"/>
        </row>
        <row r="390">
          <cell r="D390" t="str">
            <v>L-01-48</v>
          </cell>
          <cell r="E390" t="str">
            <v>Doxorrubicina liposomal pegilada</v>
          </cell>
          <cell r="F390" t="str">
            <v>Inyectable</v>
          </cell>
          <cell r="G390" t="str">
            <v>20 mg/ 10 ml</v>
          </cell>
          <cell r="H390" t="str">
            <v>L01DB01</v>
          </cell>
          <cell r="I390" t="str">
            <v>R</v>
          </cell>
          <cell r="J390">
            <v>718.125</v>
          </cell>
          <cell r="K390">
            <v>718.125</v>
          </cell>
          <cell r="L390">
            <v>718.125</v>
          </cell>
          <cell r="M390">
            <v>718.125</v>
          </cell>
          <cell r="N390">
            <v>718.125</v>
          </cell>
          <cell r="O390" t="str">
            <v>10 ML</v>
          </cell>
        </row>
        <row r="391">
          <cell r="D391" t="str">
            <v>L-01-14</v>
          </cell>
          <cell r="E391" t="str">
            <v>Doxorubicina clorhidrato (Adriamicina clorh.)</v>
          </cell>
          <cell r="F391" t="str">
            <v>Inyectable</v>
          </cell>
          <cell r="G391" t="str">
            <v>10 mg</v>
          </cell>
          <cell r="H391" t="str">
            <v>L01DB01</v>
          </cell>
          <cell r="I391"/>
          <cell r="J391">
            <v>120</v>
          </cell>
          <cell r="K391">
            <v>120</v>
          </cell>
          <cell r="L391">
            <v>120</v>
          </cell>
          <cell r="M391">
            <v>120</v>
          </cell>
          <cell r="N391">
            <v>120</v>
          </cell>
          <cell r="O391"/>
        </row>
        <row r="392">
          <cell r="D392" t="str">
            <v>N-01-04</v>
          </cell>
          <cell r="E392" t="str">
            <v>Droperidol</v>
          </cell>
          <cell r="F392" t="str">
            <v>Inyectable</v>
          </cell>
          <cell r="G392" t="str">
            <v>2,5 mg/ml</v>
          </cell>
          <cell r="H392" t="str">
            <v>N01AX01</v>
          </cell>
          <cell r="I392"/>
          <cell r="J392">
            <v>7.61</v>
          </cell>
          <cell r="K392">
            <v>7.61</v>
          </cell>
          <cell r="L392">
            <v>7.61</v>
          </cell>
          <cell r="M392">
            <v>7.61</v>
          </cell>
          <cell r="N392">
            <v>7.61</v>
          </cell>
          <cell r="O392"/>
        </row>
        <row r="393">
          <cell r="D393" t="str">
            <v>N-06-08</v>
          </cell>
          <cell r="E393" t="str">
            <v xml:space="preserve">Duloxetina </v>
          </cell>
          <cell r="F393" t="str">
            <v>Cápsula</v>
          </cell>
          <cell r="G393" t="str">
            <v>30 mg</v>
          </cell>
          <cell r="H393" t="str">
            <v>N06AX21</v>
          </cell>
          <cell r="I393" t="str">
            <v>R</v>
          </cell>
          <cell r="J393">
            <v>8.2220000000000013</v>
          </cell>
          <cell r="K393">
            <v>8.2220000000000013</v>
          </cell>
          <cell r="L393">
            <v>8.2220000000000013</v>
          </cell>
          <cell r="M393">
            <v>8.2220000000000013</v>
          </cell>
          <cell r="N393">
            <v>8.2220000000000013</v>
          </cell>
          <cell r="O393"/>
        </row>
        <row r="394">
          <cell r="D394" t="str">
            <v>V-03-04</v>
          </cell>
          <cell r="E394" t="str">
            <v>Edetato sódico de calcio (EDTA)</v>
          </cell>
          <cell r="F394" t="str">
            <v>Inyectable</v>
          </cell>
          <cell r="G394">
            <v>0.2</v>
          </cell>
          <cell r="H394" t="str">
            <v>V03AB03</v>
          </cell>
          <cell r="I394"/>
          <cell r="J394">
            <v>122.63</v>
          </cell>
          <cell r="K394">
            <v>122.63</v>
          </cell>
          <cell r="L394">
            <v>122.63</v>
          </cell>
          <cell r="M394">
            <v>122.63</v>
          </cell>
          <cell r="N394">
            <v>122.63</v>
          </cell>
          <cell r="O394"/>
        </row>
        <row r="395">
          <cell r="D395" t="str">
            <v>J-05-10</v>
          </cell>
          <cell r="E395" t="str">
            <v>Efavirenz</v>
          </cell>
          <cell r="F395" t="str">
            <v>Comprimido</v>
          </cell>
          <cell r="G395" t="str">
            <v>600 mg</v>
          </cell>
          <cell r="H395" t="str">
            <v>J05AG03</v>
          </cell>
          <cell r="I395"/>
          <cell r="J395">
            <v>1.51</v>
          </cell>
          <cell r="K395">
            <v>1.51</v>
          </cell>
          <cell r="L395">
            <v>1.51</v>
          </cell>
          <cell r="M395">
            <v>1.51</v>
          </cell>
          <cell r="N395">
            <v>1.51</v>
          </cell>
          <cell r="O395"/>
        </row>
        <row r="396">
          <cell r="D396" t="str">
            <v>J-05-33</v>
          </cell>
          <cell r="E396" t="str">
            <v>Efavirenz</v>
          </cell>
          <cell r="F396" t="str">
            <v>Comprimido</v>
          </cell>
          <cell r="G396" t="str">
            <v>200 mg</v>
          </cell>
          <cell r="H396" t="str">
            <v>J05AG03</v>
          </cell>
          <cell r="I396"/>
          <cell r="J396">
            <v>0.73</v>
          </cell>
          <cell r="K396">
            <v>0.73</v>
          </cell>
          <cell r="L396">
            <v>0.73</v>
          </cell>
          <cell r="M396">
            <v>0.73</v>
          </cell>
          <cell r="N396">
            <v>0.73</v>
          </cell>
          <cell r="O396"/>
        </row>
        <row r="397">
          <cell r="D397" t="str">
            <v>C-09-01</v>
          </cell>
          <cell r="E397" t="str">
            <v>Enalapril maleato</v>
          </cell>
          <cell r="F397" t="str">
            <v>Comprimido ranurado</v>
          </cell>
          <cell r="G397" t="str">
            <v>10 mg</v>
          </cell>
          <cell r="H397" t="str">
            <v>C09AA02</v>
          </cell>
          <cell r="I397"/>
          <cell r="J397">
            <v>0.24</v>
          </cell>
          <cell r="K397">
            <v>0.24</v>
          </cell>
          <cell r="L397">
            <v>0.24</v>
          </cell>
          <cell r="M397">
            <v>0.24</v>
          </cell>
          <cell r="N397">
            <v>0.24</v>
          </cell>
          <cell r="O397"/>
        </row>
        <row r="398">
          <cell r="D398" t="str">
            <v>L-02-11</v>
          </cell>
          <cell r="E398" t="str">
            <v>Enzalutamida</v>
          </cell>
          <cell r="F398" t="str">
            <v>Cápsula</v>
          </cell>
          <cell r="G398" t="str">
            <v>40 mg</v>
          </cell>
          <cell r="H398" t="str">
            <v>L02BB04</v>
          </cell>
          <cell r="I398" t="str">
            <v>R</v>
          </cell>
          <cell r="J398">
            <v>192.91666666666669</v>
          </cell>
          <cell r="K398">
            <v>192.91666666666669</v>
          </cell>
          <cell r="L398">
            <v>192.91666666666669</v>
          </cell>
          <cell r="M398">
            <v>192.91666666666669</v>
          </cell>
          <cell r="N398">
            <v>192.91666666666669</v>
          </cell>
          <cell r="O398"/>
        </row>
        <row r="399">
          <cell r="D399" t="str">
            <v>A-09-01</v>
          </cell>
          <cell r="E399" t="str">
            <v>Enzimas pancreáticas (Lipasa, Proteasa y Amilasa en combinación)</v>
          </cell>
          <cell r="F399" t="str">
            <v>Comprimido</v>
          </cell>
          <cell r="G399" t="str">
            <v>Según disponibilidad</v>
          </cell>
          <cell r="H399" t="str">
            <v>A09AA02</v>
          </cell>
          <cell r="I399"/>
          <cell r="J399">
            <v>2.1814285714285715</v>
          </cell>
          <cell r="K399">
            <v>2.1814285714285715</v>
          </cell>
          <cell r="L399">
            <v>2.1814285714285715</v>
          </cell>
          <cell r="M399">
            <v>2.1814285714285715</v>
          </cell>
          <cell r="N399">
            <v>2.1814285714285715</v>
          </cell>
          <cell r="O399" t="str">
            <v>150 MG</v>
          </cell>
        </row>
        <row r="400">
          <cell r="D400" t="str">
            <v>C-01-10</v>
          </cell>
          <cell r="E400" t="str">
            <v>Epinefrina (Adrenalina)</v>
          </cell>
          <cell r="F400" t="str">
            <v>Inyectable</v>
          </cell>
          <cell r="G400" t="str">
            <v>1 mg/ml</v>
          </cell>
          <cell r="H400" t="str">
            <v>C01CA24</v>
          </cell>
          <cell r="I400"/>
          <cell r="J400">
            <v>6.89</v>
          </cell>
          <cell r="K400">
            <v>6.89</v>
          </cell>
          <cell r="L400">
            <v>6.89</v>
          </cell>
          <cell r="M400">
            <v>6.89</v>
          </cell>
          <cell r="N400">
            <v>6.89</v>
          </cell>
          <cell r="O400"/>
        </row>
        <row r="401">
          <cell r="D401" t="str">
            <v>G-02-04</v>
          </cell>
          <cell r="E401" t="str">
            <v>Ergometrina maleato</v>
          </cell>
          <cell r="F401" t="str">
            <v>Inyectable</v>
          </cell>
          <cell r="G401" t="str">
            <v>0,2 mg/ml</v>
          </cell>
          <cell r="H401" t="str">
            <v>G02AB03</v>
          </cell>
          <cell r="I401"/>
          <cell r="J401">
            <v>8.3699999999999992</v>
          </cell>
          <cell r="K401">
            <v>8.3699999999999992</v>
          </cell>
          <cell r="L401">
            <v>8.3699999999999992</v>
          </cell>
          <cell r="M401">
            <v>8.3699999999999992</v>
          </cell>
          <cell r="N401">
            <v>8.3699999999999992</v>
          </cell>
          <cell r="O401" t="str">
            <v>1 ML</v>
          </cell>
        </row>
        <row r="402">
          <cell r="D402" t="str">
            <v>N-02-03</v>
          </cell>
          <cell r="E402" t="str">
            <v>Ergotamina tartrato + Cafeína</v>
          </cell>
          <cell r="F402" t="str">
            <v>Comprimido</v>
          </cell>
          <cell r="G402" t="str">
            <v>1 mg + 100 mg</v>
          </cell>
          <cell r="H402" t="str">
            <v>N02CA72</v>
          </cell>
          <cell r="I402"/>
          <cell r="J402">
            <v>2.6</v>
          </cell>
          <cell r="K402">
            <v>2.6</v>
          </cell>
          <cell r="L402">
            <v>2.6</v>
          </cell>
          <cell r="M402">
            <v>2.6</v>
          </cell>
          <cell r="N402">
            <v>2.6</v>
          </cell>
          <cell r="O402"/>
        </row>
        <row r="403">
          <cell r="D403" t="str">
            <v>D-10-01</v>
          </cell>
          <cell r="E403" t="str">
            <v>Eritromicina</v>
          </cell>
          <cell r="F403" t="str">
            <v>Loción</v>
          </cell>
          <cell r="G403" t="str">
            <v>2% a 4%</v>
          </cell>
          <cell r="H403" t="str">
            <v>D10AF02</v>
          </cell>
          <cell r="I403"/>
          <cell r="J403">
            <v>56.63</v>
          </cell>
          <cell r="K403">
            <v>56.63</v>
          </cell>
          <cell r="L403">
            <v>56.63</v>
          </cell>
          <cell r="M403">
            <v>56.63</v>
          </cell>
          <cell r="N403">
            <v>56.63</v>
          </cell>
          <cell r="O403" t="str">
            <v>3 ML</v>
          </cell>
        </row>
        <row r="404">
          <cell r="D404" t="str">
            <v>J-01-45</v>
          </cell>
          <cell r="E404" t="str">
            <v>Eritromicina (estearato)</v>
          </cell>
          <cell r="F404" t="str">
            <v>Cápsula o Comprimido</v>
          </cell>
          <cell r="G404" t="str">
            <v>500 mg</v>
          </cell>
          <cell r="H404" t="str">
            <v>J01FA01</v>
          </cell>
          <cell r="I404"/>
          <cell r="J404">
            <v>1.39</v>
          </cell>
          <cell r="K404">
            <v>1.39</v>
          </cell>
          <cell r="L404">
            <v>1.39</v>
          </cell>
          <cell r="M404">
            <v>1.39</v>
          </cell>
          <cell r="N404">
            <v>1.39</v>
          </cell>
          <cell r="O404"/>
        </row>
        <row r="405">
          <cell r="D405" t="str">
            <v>J-01-46</v>
          </cell>
          <cell r="E405" t="str">
            <v>Eritromicina (etilsuccinato)</v>
          </cell>
          <cell r="F405" t="str">
            <v>Suspensión</v>
          </cell>
          <cell r="G405" t="str">
            <v>250 mg/5 ml</v>
          </cell>
          <cell r="H405" t="str">
            <v>J01FA01</v>
          </cell>
          <cell r="I405"/>
          <cell r="J405">
            <v>13.8</v>
          </cell>
          <cell r="K405">
            <v>13.8</v>
          </cell>
          <cell r="L405">
            <v>13.8</v>
          </cell>
          <cell r="M405">
            <v>13.8</v>
          </cell>
          <cell r="N405">
            <v>13.8</v>
          </cell>
          <cell r="O405" t="str">
            <v>100 ML</v>
          </cell>
        </row>
        <row r="406">
          <cell r="D406" t="str">
            <v>B-03-03</v>
          </cell>
          <cell r="E406" t="str">
            <v>Eritropoyetina</v>
          </cell>
          <cell r="F406" t="str">
            <v>Inyectable</v>
          </cell>
          <cell r="G406" t="str">
            <v xml:space="preserve">2.000 UI </v>
          </cell>
          <cell r="H406" t="str">
            <v>B03XA01</v>
          </cell>
          <cell r="I406"/>
          <cell r="J406">
            <v>32.99</v>
          </cell>
          <cell r="K406">
            <v>32.99</v>
          </cell>
          <cell r="L406">
            <v>32.99</v>
          </cell>
          <cell r="M406">
            <v>32.99</v>
          </cell>
          <cell r="N406">
            <v>32.99</v>
          </cell>
          <cell r="O406"/>
        </row>
        <row r="407">
          <cell r="D407" t="str">
            <v>L-01-59</v>
          </cell>
          <cell r="E407" t="str">
            <v>Erlotinib</v>
          </cell>
          <cell r="F407" t="str">
            <v>Comprimido</v>
          </cell>
          <cell r="G407" t="str">
            <v>150 mg</v>
          </cell>
          <cell r="H407" t="str">
            <v>L01XE03</v>
          </cell>
          <cell r="I407" t="str">
            <v>R</v>
          </cell>
          <cell r="J407">
            <v>533.33000000000004</v>
          </cell>
          <cell r="K407">
            <v>533.33000000000004</v>
          </cell>
          <cell r="L407">
            <v>533.33000000000004</v>
          </cell>
          <cell r="M407">
            <v>533.33000000000004</v>
          </cell>
          <cell r="N407">
            <v>533.33000000000004</v>
          </cell>
          <cell r="O407"/>
        </row>
        <row r="408">
          <cell r="D408" t="str">
            <v>J-01-47</v>
          </cell>
          <cell r="E408" t="str">
            <v>Espiramicina</v>
          </cell>
          <cell r="F408" t="str">
            <v>Comprimido</v>
          </cell>
          <cell r="G408" t="str">
            <v>500 mg</v>
          </cell>
          <cell r="H408" t="str">
            <v>J01FA02</v>
          </cell>
          <cell r="I408"/>
          <cell r="J408">
            <v>7.58</v>
          </cell>
          <cell r="K408">
            <v>7.58</v>
          </cell>
          <cell r="L408">
            <v>7.58</v>
          </cell>
          <cell r="M408">
            <v>7.58</v>
          </cell>
          <cell r="N408">
            <v>7.58</v>
          </cell>
          <cell r="O408"/>
        </row>
        <row r="409">
          <cell r="D409" t="str">
            <v>C-03-02</v>
          </cell>
          <cell r="E409" t="str">
            <v>Espironolactona</v>
          </cell>
          <cell r="F409" t="str">
            <v>Comprimido</v>
          </cell>
          <cell r="G409" t="str">
            <v>100 mg</v>
          </cell>
          <cell r="H409" t="str">
            <v>C03DA01</v>
          </cell>
          <cell r="I409"/>
          <cell r="J409">
            <v>1.8</v>
          </cell>
          <cell r="K409">
            <v>1.8</v>
          </cell>
          <cell r="L409">
            <v>1.8</v>
          </cell>
          <cell r="M409">
            <v>1.8</v>
          </cell>
          <cell r="N409">
            <v>1.8</v>
          </cell>
          <cell r="O409"/>
        </row>
        <row r="410">
          <cell r="D410" t="str">
            <v>C-03-03</v>
          </cell>
          <cell r="E410" t="str">
            <v>Espironolactona</v>
          </cell>
          <cell r="F410" t="str">
            <v>Comprimido</v>
          </cell>
          <cell r="G410" t="str">
            <v>25 mg</v>
          </cell>
          <cell r="H410" t="str">
            <v>C03DA01</v>
          </cell>
          <cell r="I410"/>
          <cell r="J410">
            <v>0.81904761904761914</v>
          </cell>
          <cell r="K410">
            <v>0.81904761904761914</v>
          </cell>
          <cell r="L410">
            <v>0.81904761904761914</v>
          </cell>
          <cell r="M410">
            <v>0.81904761904761914</v>
          </cell>
          <cell r="N410">
            <v>0.81904761904761914</v>
          </cell>
          <cell r="O410"/>
        </row>
        <row r="411">
          <cell r="D411" t="str">
            <v>G-03-04</v>
          </cell>
          <cell r="E411" t="str">
            <v>Estradiol + Noretisterona acetato</v>
          </cell>
          <cell r="F411" t="str">
            <v>Comprimido</v>
          </cell>
          <cell r="G411" t="str">
            <v>2mg + 1mg</v>
          </cell>
          <cell r="H411" t="str">
            <v>G03FB05</v>
          </cell>
          <cell r="I411"/>
          <cell r="J411">
            <v>146.4957</v>
          </cell>
          <cell r="K411">
            <v>146.4957</v>
          </cell>
          <cell r="L411">
            <v>146.4957</v>
          </cell>
          <cell r="M411">
            <v>146.4957</v>
          </cell>
          <cell r="N411">
            <v>146.4957</v>
          </cell>
          <cell r="O411" t="str">
            <v>Por cicLo</v>
          </cell>
        </row>
        <row r="412">
          <cell r="D412" t="str">
            <v>G-03-05</v>
          </cell>
          <cell r="E412" t="str">
            <v>Estradiol valerianato + Norgestrel</v>
          </cell>
          <cell r="F412" t="str">
            <v>Comprimido</v>
          </cell>
          <cell r="G412" t="str">
            <v>2 mg + 0,5 mg</v>
          </cell>
          <cell r="H412" t="str">
            <v>G03FA10</v>
          </cell>
          <cell r="I412"/>
          <cell r="J412">
            <v>95.09</v>
          </cell>
          <cell r="K412">
            <v>95.09</v>
          </cell>
          <cell r="L412">
            <v>95.09</v>
          </cell>
          <cell r="M412">
            <v>95.09</v>
          </cell>
          <cell r="N412">
            <v>95.09</v>
          </cell>
          <cell r="O412" t="str">
            <v>por cicLo</v>
          </cell>
        </row>
        <row r="413">
          <cell r="D413" t="str">
            <v>G-03-06</v>
          </cell>
          <cell r="E413" t="str">
            <v>Estradiol valerianato + Prasterona enantato</v>
          </cell>
          <cell r="F413" t="str">
            <v>Inyectable</v>
          </cell>
          <cell r="G413" t="str">
            <v>4 mg + 200 mg/ml</v>
          </cell>
          <cell r="H413" t="str">
            <v>G03EA03</v>
          </cell>
          <cell r="I413"/>
          <cell r="J413">
            <v>113.355</v>
          </cell>
          <cell r="K413">
            <v>113.355</v>
          </cell>
          <cell r="L413">
            <v>113.355</v>
          </cell>
          <cell r="M413">
            <v>113.355</v>
          </cell>
          <cell r="N413">
            <v>113.355</v>
          </cell>
          <cell r="O413"/>
        </row>
        <row r="414">
          <cell r="D414" t="str">
            <v>J-04-04</v>
          </cell>
          <cell r="E414" t="str">
            <v>Estreptomicina sulfato</v>
          </cell>
          <cell r="F414" t="str">
            <v>Inyectable</v>
          </cell>
          <cell r="G414" t="str">
            <v>1 g</v>
          </cell>
          <cell r="H414" t="str">
            <v>J04AM**</v>
          </cell>
          <cell r="I414"/>
          <cell r="J414">
            <v>5.1268514999999999</v>
          </cell>
          <cell r="K414">
            <v>5.1268514999999999</v>
          </cell>
          <cell r="L414">
            <v>5.1268514999999999</v>
          </cell>
          <cell r="M414">
            <v>5.1268514999999999</v>
          </cell>
          <cell r="N414">
            <v>5.1268514999999999</v>
          </cell>
          <cell r="O414"/>
        </row>
        <row r="415">
          <cell r="D415" t="str">
            <v>B-01-02</v>
          </cell>
          <cell r="E415" t="str">
            <v>Estreptoquinasa</v>
          </cell>
          <cell r="F415" t="str">
            <v>Inyectable</v>
          </cell>
          <cell r="G415" t="str">
            <v>1.500.000 UI</v>
          </cell>
          <cell r="H415" t="str">
            <v>B01AD01</v>
          </cell>
          <cell r="I415"/>
          <cell r="J415">
            <v>1074.3499999999999</v>
          </cell>
          <cell r="K415">
            <v>1074.3499999999999</v>
          </cell>
          <cell r="L415">
            <v>1074.3499999999999</v>
          </cell>
          <cell r="M415">
            <v>1074.3499999999999</v>
          </cell>
          <cell r="N415">
            <v>1074.3499999999999</v>
          </cell>
          <cell r="O415"/>
        </row>
        <row r="416">
          <cell r="D416" t="str">
            <v>G-03-07</v>
          </cell>
          <cell r="E416" t="str">
            <v>Estrógenos conjugados</v>
          </cell>
          <cell r="F416" t="str">
            <v>Comprimido</v>
          </cell>
          <cell r="G416" t="str">
            <v>0,625 mg</v>
          </cell>
          <cell r="H416" t="str">
            <v>G03CA57</v>
          </cell>
          <cell r="I416"/>
          <cell r="J416">
            <v>4.74</v>
          </cell>
          <cell r="K416">
            <v>4.74</v>
          </cell>
          <cell r="L416">
            <v>4.74</v>
          </cell>
          <cell r="M416">
            <v>4.74</v>
          </cell>
          <cell r="N416">
            <v>4.74</v>
          </cell>
          <cell r="O416"/>
        </row>
        <row r="417">
          <cell r="D417" t="str">
            <v>G-03-08</v>
          </cell>
          <cell r="E417" t="str">
            <v>Estrógenos conjugados</v>
          </cell>
          <cell r="F417" t="str">
            <v>Comprimido</v>
          </cell>
          <cell r="G417" t="str">
            <v>1,25 mg</v>
          </cell>
          <cell r="H417" t="str">
            <v>G03CA57</v>
          </cell>
          <cell r="I417"/>
          <cell r="J417">
            <v>5.05</v>
          </cell>
          <cell r="K417">
            <v>5.05</v>
          </cell>
          <cell r="L417">
            <v>5.05</v>
          </cell>
          <cell r="M417">
            <v>5.05</v>
          </cell>
          <cell r="N417">
            <v>5.05</v>
          </cell>
          <cell r="O417"/>
        </row>
        <row r="418">
          <cell r="D418" t="str">
            <v>G-03-09</v>
          </cell>
          <cell r="E418" t="str">
            <v>Estrógenos conjugados</v>
          </cell>
          <cell r="F418" t="str">
            <v>Crema vaginal</v>
          </cell>
          <cell r="G418" t="str">
            <v>0,625 mg</v>
          </cell>
          <cell r="H418" t="str">
            <v>G03CA57</v>
          </cell>
          <cell r="I418"/>
          <cell r="J418">
            <v>116.21833333333333</v>
          </cell>
          <cell r="K418">
            <v>116.21833333333333</v>
          </cell>
          <cell r="L418">
            <v>116.21833333333333</v>
          </cell>
          <cell r="M418">
            <v>116.21833333333333</v>
          </cell>
          <cell r="N418">
            <v>116.21833333333333</v>
          </cell>
          <cell r="O418" t="str">
            <v>43 G</v>
          </cell>
        </row>
        <row r="419">
          <cell r="D419" t="str">
            <v>J-04-05</v>
          </cell>
          <cell r="E419" t="str">
            <v>Etambutol</v>
          </cell>
          <cell r="F419" t="str">
            <v>Comprimido</v>
          </cell>
          <cell r="G419" t="str">
            <v>400 mg</v>
          </cell>
          <cell r="H419" t="str">
            <v>J04AK02</v>
          </cell>
          <cell r="I419" t="str">
            <v>R</v>
          </cell>
          <cell r="J419">
            <v>0.28999999999999998</v>
          </cell>
          <cell r="K419">
            <v>0.28999999999999998</v>
          </cell>
          <cell r="L419">
            <v>0.28999999999999998</v>
          </cell>
          <cell r="M419">
            <v>0.28999999999999998</v>
          </cell>
          <cell r="N419">
            <v>0.28999999999999998</v>
          </cell>
          <cell r="O419"/>
        </row>
        <row r="420">
          <cell r="D420" t="str">
            <v>B-02-03</v>
          </cell>
          <cell r="E420" t="str">
            <v>Etamsilato</v>
          </cell>
          <cell r="F420" t="str">
            <v>Inyectable</v>
          </cell>
          <cell r="G420" t="str">
            <v>250 mg/2 ml</v>
          </cell>
          <cell r="H420" t="str">
            <v>B02BX01</v>
          </cell>
          <cell r="I420" t="str">
            <v>R</v>
          </cell>
          <cell r="J420">
            <v>31.36333333333333</v>
          </cell>
          <cell r="K420">
            <v>31.36333333333333</v>
          </cell>
          <cell r="L420">
            <v>31.36333333333333</v>
          </cell>
          <cell r="M420">
            <v>31.36333333333333</v>
          </cell>
          <cell r="N420">
            <v>31.36333333333333</v>
          </cell>
          <cell r="O420"/>
        </row>
        <row r="421">
          <cell r="D421" t="str">
            <v>D-08-03</v>
          </cell>
          <cell r="E421" t="str">
            <v>Eter alifático dietilamino etanol</v>
          </cell>
          <cell r="F421" t="str">
            <v>Solución 1 l</v>
          </cell>
          <cell r="G421" t="str">
            <v>Según disponibilidad</v>
          </cell>
          <cell r="H421" t="str">
            <v>D08AC**</v>
          </cell>
          <cell r="I421"/>
          <cell r="J421">
            <v>614.91916666666668</v>
          </cell>
          <cell r="K421">
            <v>614.91916666666668</v>
          </cell>
          <cell r="L421">
            <v>614.91916666666668</v>
          </cell>
          <cell r="M421">
            <v>614.91916666666668</v>
          </cell>
          <cell r="N421">
            <v>614.91916666666668</v>
          </cell>
          <cell r="O421"/>
        </row>
        <row r="422">
          <cell r="D422" t="str">
            <v>J-04-06</v>
          </cell>
          <cell r="E422" t="str">
            <v>Etionamida</v>
          </cell>
          <cell r="F422" t="str">
            <v>Comprimido</v>
          </cell>
          <cell r="G422" t="str">
            <v>250 mg</v>
          </cell>
          <cell r="H422" t="str">
            <v>J04AD03</v>
          </cell>
          <cell r="I422"/>
          <cell r="J422">
            <v>0.73</v>
          </cell>
          <cell r="K422">
            <v>0.73</v>
          </cell>
          <cell r="L422">
            <v>0.73</v>
          </cell>
          <cell r="M422">
            <v>0.73</v>
          </cell>
          <cell r="N422">
            <v>0.73</v>
          </cell>
          <cell r="O422"/>
        </row>
        <row r="423">
          <cell r="D423" t="str">
            <v>J-05-49</v>
          </cell>
          <cell r="E423" t="str">
            <v>Favipiravir</v>
          </cell>
          <cell r="F423" t="str">
            <v>Comprimido recubierto</v>
          </cell>
          <cell r="G423" t="str">
            <v>200 mg</v>
          </cell>
          <cell r="H423" t="str">
            <v>J05AX27</v>
          </cell>
          <cell r="I423" t="str">
            <v>R</v>
          </cell>
          <cell r="J423">
            <v>42.92</v>
          </cell>
          <cell r="K423">
            <v>42.92</v>
          </cell>
          <cell r="L423">
            <v>42.92</v>
          </cell>
          <cell r="M423">
            <v>42.92</v>
          </cell>
          <cell r="N423">
            <v>42.92</v>
          </cell>
          <cell r="O423"/>
        </row>
        <row r="424">
          <cell r="D424" t="str">
            <v>N-03-09</v>
          </cell>
          <cell r="E424" t="str">
            <v>Fenobarbital</v>
          </cell>
          <cell r="F424" t="str">
            <v>Comprimido</v>
          </cell>
          <cell r="G424" t="str">
            <v>100 mg</v>
          </cell>
          <cell r="H424" t="str">
            <v>N03AA02</v>
          </cell>
          <cell r="I424"/>
          <cell r="J424">
            <v>2.62</v>
          </cell>
          <cell r="K424">
            <v>2.62</v>
          </cell>
          <cell r="L424">
            <v>2.62</v>
          </cell>
          <cell r="M424">
            <v>2.62</v>
          </cell>
          <cell r="N424">
            <v>2.62</v>
          </cell>
          <cell r="O424"/>
        </row>
        <row r="425">
          <cell r="D425" t="str">
            <v>N-03-10</v>
          </cell>
          <cell r="E425" t="str">
            <v>Fenobarbital</v>
          </cell>
          <cell r="F425" t="str">
            <v>Gotas</v>
          </cell>
          <cell r="G425" t="str">
            <v>20 mg/ml</v>
          </cell>
          <cell r="H425" t="str">
            <v>N03AA02</v>
          </cell>
          <cell r="I425"/>
          <cell r="J425">
            <v>56.24</v>
          </cell>
          <cell r="K425">
            <v>56.24</v>
          </cell>
          <cell r="L425">
            <v>56.24</v>
          </cell>
          <cell r="M425">
            <v>56.24</v>
          </cell>
          <cell r="N425">
            <v>56.24</v>
          </cell>
          <cell r="O425" t="str">
            <v>15 ML</v>
          </cell>
        </row>
        <row r="426">
          <cell r="D426" t="str">
            <v>N-03-11</v>
          </cell>
          <cell r="E426" t="str">
            <v>Fenobarbital</v>
          </cell>
          <cell r="F426" t="str">
            <v>Inyectable</v>
          </cell>
          <cell r="G426" t="str">
            <v>100 mg/ml</v>
          </cell>
          <cell r="H426" t="str">
            <v>N03AA02</v>
          </cell>
          <cell r="I426"/>
          <cell r="J426">
            <v>37.799999999999997</v>
          </cell>
          <cell r="K426">
            <v>37.799999999999997</v>
          </cell>
          <cell r="L426">
            <v>37.799999999999997</v>
          </cell>
          <cell r="M426">
            <v>37.799999999999997</v>
          </cell>
          <cell r="N426">
            <v>37.799999999999997</v>
          </cell>
          <cell r="O426"/>
        </row>
        <row r="427">
          <cell r="D427" t="str">
            <v>C-10-04</v>
          </cell>
          <cell r="E427" t="str">
            <v>Fenofibrato</v>
          </cell>
          <cell r="F427" t="str">
            <v>Cápsula o Comprimido</v>
          </cell>
          <cell r="G427" t="str">
            <v>200 mg</v>
          </cell>
          <cell r="H427" t="str">
            <v>C10AB05</v>
          </cell>
          <cell r="I427"/>
          <cell r="J427">
            <v>4.9749999999999996</v>
          </cell>
          <cell r="K427">
            <v>4.9749999999999996</v>
          </cell>
          <cell r="L427">
            <v>4.9749999999999996</v>
          </cell>
          <cell r="M427">
            <v>4.9749999999999996</v>
          </cell>
          <cell r="N427">
            <v>4.9749999999999996</v>
          </cell>
          <cell r="O427"/>
        </row>
        <row r="428">
          <cell r="D428" t="str">
            <v>N-01-05</v>
          </cell>
          <cell r="E428" t="str">
            <v>Fentanilo con conservante</v>
          </cell>
          <cell r="F428" t="str">
            <v>Inyectable</v>
          </cell>
          <cell r="G428" t="str">
            <v>0,05 mg/ml</v>
          </cell>
          <cell r="H428" t="str">
            <v>N01AH01</v>
          </cell>
          <cell r="I428"/>
          <cell r="J428">
            <v>33.6</v>
          </cell>
          <cell r="K428">
            <v>33.6</v>
          </cell>
          <cell r="L428">
            <v>33.6</v>
          </cell>
          <cell r="M428">
            <v>33.6</v>
          </cell>
          <cell r="N428">
            <v>33.6</v>
          </cell>
          <cell r="O428"/>
        </row>
        <row r="429">
          <cell r="D429" t="str">
            <v>N-01-06</v>
          </cell>
          <cell r="E429" t="str">
            <v>Fentanilo sin conservante</v>
          </cell>
          <cell r="F429" t="str">
            <v>Inyectable</v>
          </cell>
          <cell r="G429" t="str">
            <v>0,05 mg/ml</v>
          </cell>
          <cell r="H429" t="str">
            <v>N01AH01</v>
          </cell>
          <cell r="I429"/>
          <cell r="J429">
            <v>9.33</v>
          </cell>
          <cell r="K429">
            <v>9.33</v>
          </cell>
          <cell r="L429">
            <v>9.33</v>
          </cell>
          <cell r="M429">
            <v>9.33</v>
          </cell>
          <cell r="N429">
            <v>9.33</v>
          </cell>
          <cell r="O429"/>
        </row>
        <row r="430">
          <cell r="D430" t="str">
            <v>A-06-04</v>
          </cell>
          <cell r="E430" t="str">
            <v>Fibra natural</v>
          </cell>
          <cell r="F430" t="str">
            <v>Polvo o granulado</v>
          </cell>
          <cell r="G430" t="str">
            <v>Según disponibilidad</v>
          </cell>
          <cell r="H430" t="str">
            <v>A06AC07</v>
          </cell>
          <cell r="I430"/>
          <cell r="J430">
            <v>3.49</v>
          </cell>
          <cell r="K430">
            <v>3.49</v>
          </cell>
          <cell r="L430">
            <v>3.49</v>
          </cell>
          <cell r="M430">
            <v>3.49</v>
          </cell>
          <cell r="N430">
            <v>3.49</v>
          </cell>
          <cell r="O430"/>
        </row>
        <row r="431">
          <cell r="D431" t="str">
            <v>L-04-18</v>
          </cell>
          <cell r="E431" t="str">
            <v>Fingolimod</v>
          </cell>
          <cell r="F431" t="str">
            <v>Cápsula</v>
          </cell>
          <cell r="G431" t="str">
            <v>0,5 mg</v>
          </cell>
          <cell r="H431" t="str">
            <v>L04AA27</v>
          </cell>
          <cell r="I431" t="str">
            <v>R</v>
          </cell>
          <cell r="J431">
            <v>187</v>
          </cell>
          <cell r="K431">
            <v>187</v>
          </cell>
          <cell r="L431">
            <v>187</v>
          </cell>
          <cell r="M431">
            <v>187</v>
          </cell>
          <cell r="N431">
            <v>187</v>
          </cell>
          <cell r="O431"/>
        </row>
        <row r="432">
          <cell r="D432" t="str">
            <v>B-02-02</v>
          </cell>
          <cell r="E432" t="str">
            <v>Fitomenadiona  (Vitamina K1)</v>
          </cell>
          <cell r="F432" t="str">
            <v>Inyectable</v>
          </cell>
          <cell r="G432" t="str">
            <v>10 mg/ml</v>
          </cell>
          <cell r="H432" t="str">
            <v>B02BA01</v>
          </cell>
          <cell r="I432"/>
          <cell r="J432">
            <v>2.88</v>
          </cell>
          <cell r="K432">
            <v>2.88</v>
          </cell>
          <cell r="L432">
            <v>2.88</v>
          </cell>
          <cell r="M432">
            <v>2.88</v>
          </cell>
          <cell r="N432">
            <v>2.88</v>
          </cell>
          <cell r="O432"/>
        </row>
        <row r="433">
          <cell r="D433" t="str">
            <v>J-02-02</v>
          </cell>
          <cell r="E433" t="str">
            <v>Fluconazol</v>
          </cell>
          <cell r="F433" t="str">
            <v>Inyectable</v>
          </cell>
          <cell r="G433" t="str">
            <v>200 mg</v>
          </cell>
          <cell r="H433" t="str">
            <v>J02AC01</v>
          </cell>
          <cell r="I433"/>
          <cell r="J433">
            <v>28.56</v>
          </cell>
          <cell r="K433">
            <v>28.56</v>
          </cell>
          <cell r="L433">
            <v>28.56</v>
          </cell>
          <cell r="M433">
            <v>28.56</v>
          </cell>
          <cell r="N433">
            <v>28.56</v>
          </cell>
          <cell r="O433"/>
        </row>
        <row r="434">
          <cell r="D434" t="str">
            <v>J-02-08</v>
          </cell>
          <cell r="E434" t="str">
            <v>Fluconazol</v>
          </cell>
          <cell r="F434" t="str">
            <v>Comprimido o Cápsula</v>
          </cell>
          <cell r="G434" t="str">
            <v>150 mg</v>
          </cell>
          <cell r="H434" t="str">
            <v>J02AC01</v>
          </cell>
          <cell r="I434"/>
          <cell r="J434">
            <v>2.95</v>
          </cell>
          <cell r="K434">
            <v>2.95</v>
          </cell>
          <cell r="L434">
            <v>2.95</v>
          </cell>
          <cell r="M434">
            <v>2.95</v>
          </cell>
          <cell r="N434">
            <v>2.95</v>
          </cell>
          <cell r="O434"/>
        </row>
        <row r="435">
          <cell r="D435" t="str">
            <v>L-01-62</v>
          </cell>
          <cell r="E435" t="str">
            <v>Fludarabina</v>
          </cell>
          <cell r="F435" t="str">
            <v>Inyectable</v>
          </cell>
          <cell r="G435" t="str">
            <v xml:space="preserve">50 mg </v>
          </cell>
          <cell r="H435" t="str">
            <v>L01BB05</v>
          </cell>
          <cell r="I435" t="str">
            <v>R</v>
          </cell>
          <cell r="J435">
            <v>1260</v>
          </cell>
          <cell r="K435">
            <v>1260</v>
          </cell>
          <cell r="L435">
            <v>1260</v>
          </cell>
          <cell r="M435">
            <v>1260</v>
          </cell>
          <cell r="N435">
            <v>1260</v>
          </cell>
          <cell r="O435"/>
        </row>
        <row r="436">
          <cell r="D436" t="str">
            <v>V-03-05</v>
          </cell>
          <cell r="E436" t="str">
            <v>Flumazenil</v>
          </cell>
          <cell r="F436" t="str">
            <v>Inyectable</v>
          </cell>
          <cell r="G436" t="str">
            <v>0,5 mg/5 ml</v>
          </cell>
          <cell r="H436" t="str">
            <v>V03AB25</v>
          </cell>
          <cell r="I436"/>
          <cell r="J436">
            <v>131.64444444444445</v>
          </cell>
          <cell r="K436">
            <v>131.64444444444445</v>
          </cell>
          <cell r="L436">
            <v>131.64444444444445</v>
          </cell>
          <cell r="M436">
            <v>131.64444444444445</v>
          </cell>
          <cell r="N436">
            <v>131.64444444444445</v>
          </cell>
          <cell r="O436"/>
        </row>
        <row r="437">
          <cell r="D437" t="str">
            <v>N-07-08</v>
          </cell>
          <cell r="E437" t="str">
            <v>Flunarizina</v>
          </cell>
          <cell r="F437" t="str">
            <v>Comprimido</v>
          </cell>
          <cell r="G437" t="str">
            <v>10 mg</v>
          </cell>
          <cell r="H437" t="str">
            <v>N07CA03</v>
          </cell>
          <cell r="I437"/>
          <cell r="J437">
            <v>2.75</v>
          </cell>
          <cell r="K437">
            <v>2.75</v>
          </cell>
          <cell r="L437">
            <v>2.75</v>
          </cell>
          <cell r="M437">
            <v>2.75</v>
          </cell>
          <cell r="N437">
            <v>2.75</v>
          </cell>
          <cell r="O437"/>
        </row>
        <row r="438">
          <cell r="D438" t="str">
            <v>S-01-13</v>
          </cell>
          <cell r="E438" t="str">
            <v>Fluoresceina</v>
          </cell>
          <cell r="F438" t="str">
            <v>Inyectable</v>
          </cell>
          <cell r="G438">
            <v>0.1</v>
          </cell>
          <cell r="H438" t="str">
            <v>S01JA01</v>
          </cell>
          <cell r="I438"/>
          <cell r="J438">
            <v>82.59</v>
          </cell>
          <cell r="K438">
            <v>82.59</v>
          </cell>
          <cell r="L438">
            <v>82.59</v>
          </cell>
          <cell r="M438">
            <v>82.59</v>
          </cell>
          <cell r="N438">
            <v>82.59</v>
          </cell>
          <cell r="O438"/>
        </row>
        <row r="439">
          <cell r="D439" t="str">
            <v>S-01-14</v>
          </cell>
          <cell r="E439" t="str">
            <v>Fluoresceina (sal sódica)</v>
          </cell>
          <cell r="F439" t="str">
            <v>Solución oftálmica</v>
          </cell>
          <cell r="G439" t="str">
            <v>0,25%</v>
          </cell>
          <cell r="H439" t="str">
            <v>S01JA01</v>
          </cell>
          <cell r="I439"/>
          <cell r="J439">
            <v>46.32</v>
          </cell>
          <cell r="K439">
            <v>46.32</v>
          </cell>
          <cell r="L439">
            <v>46.32</v>
          </cell>
          <cell r="M439">
            <v>46.32</v>
          </cell>
          <cell r="N439">
            <v>46.32</v>
          </cell>
          <cell r="O439"/>
        </row>
        <row r="440">
          <cell r="D440" t="str">
            <v>A-01-02</v>
          </cell>
          <cell r="E440" t="str">
            <v>Fluoruro de sodio</v>
          </cell>
          <cell r="F440" t="str">
            <v>Gel o Pasta</v>
          </cell>
          <cell r="G440" t="str">
            <v>Según Programa</v>
          </cell>
          <cell r="H440" t="str">
            <v>A01AA01</v>
          </cell>
          <cell r="I440"/>
          <cell r="J440">
            <v>25</v>
          </cell>
          <cell r="K440">
            <v>25</v>
          </cell>
          <cell r="L440">
            <v>25</v>
          </cell>
          <cell r="M440">
            <v>25</v>
          </cell>
          <cell r="N440">
            <v>25</v>
          </cell>
          <cell r="O440"/>
        </row>
        <row r="441">
          <cell r="D441" t="str">
            <v>A-12-04</v>
          </cell>
          <cell r="E441" t="str">
            <v>Fluoruro de sodio</v>
          </cell>
          <cell r="F441" t="str">
            <v>Solución oral gotas</v>
          </cell>
          <cell r="G441" t="str">
            <v>0,2%</v>
          </cell>
          <cell r="H441" t="str">
            <v>A12CD01</v>
          </cell>
          <cell r="I441"/>
          <cell r="J441">
            <v>19.22</v>
          </cell>
          <cell r="K441">
            <v>19.22</v>
          </cell>
          <cell r="L441">
            <v>19.22</v>
          </cell>
          <cell r="M441">
            <v>19.22</v>
          </cell>
          <cell r="N441">
            <v>19.22</v>
          </cell>
          <cell r="O441"/>
        </row>
        <row r="442">
          <cell r="D442" t="str">
            <v>D-08-04</v>
          </cell>
          <cell r="E442" t="str">
            <v>Formaldehido</v>
          </cell>
          <cell r="F442" t="str">
            <v>Solución</v>
          </cell>
          <cell r="G442" t="str">
            <v>40% p/v</v>
          </cell>
          <cell r="H442" t="str">
            <v>D08AC**</v>
          </cell>
          <cell r="I442"/>
          <cell r="J442">
            <v>22</v>
          </cell>
          <cell r="K442">
            <v>22</v>
          </cell>
          <cell r="L442">
            <v>22</v>
          </cell>
          <cell r="M442">
            <v>22</v>
          </cell>
          <cell r="N442">
            <v>22</v>
          </cell>
          <cell r="O442" t="str">
            <v xml:space="preserve"> 1 L</v>
          </cell>
        </row>
        <row r="443">
          <cell r="D443" t="str">
            <v>V-08-11</v>
          </cell>
          <cell r="E443" t="str">
            <v>Gadobutrol</v>
          </cell>
          <cell r="F443" t="str">
            <v>Inyectable</v>
          </cell>
          <cell r="G443" t="str">
            <v>604,72mg/ml</v>
          </cell>
          <cell r="H443" t="str">
            <v>V08CA09</v>
          </cell>
          <cell r="I443"/>
          <cell r="J443">
            <v>450</v>
          </cell>
          <cell r="K443">
            <v>450</v>
          </cell>
          <cell r="L443">
            <v>450</v>
          </cell>
          <cell r="M443">
            <v>450</v>
          </cell>
          <cell r="N443">
            <v>450</v>
          </cell>
          <cell r="O443" t="str">
            <v> 7.5 ml</v>
          </cell>
        </row>
        <row r="444">
          <cell r="D444" t="str">
            <v>V-08-04</v>
          </cell>
          <cell r="E444" t="str">
            <v>Gadodiamida</v>
          </cell>
          <cell r="F444" t="str">
            <v>Inyectable</v>
          </cell>
          <cell r="G444" t="str">
            <v>287 mg/ml</v>
          </cell>
          <cell r="H444" t="str">
            <v>V08CA03</v>
          </cell>
          <cell r="I444"/>
          <cell r="J444">
            <v>473.67</v>
          </cell>
          <cell r="K444">
            <v>473.67</v>
          </cell>
          <cell r="L444">
            <v>473.67</v>
          </cell>
          <cell r="M444">
            <v>473.67</v>
          </cell>
          <cell r="N444">
            <v>473.67</v>
          </cell>
          <cell r="O444"/>
        </row>
        <row r="445">
          <cell r="D445" t="str">
            <v>V-08-05</v>
          </cell>
          <cell r="E445" t="str">
            <v>Gadopentato de dimeglumina</v>
          </cell>
          <cell r="F445" t="str">
            <v>Inyectable</v>
          </cell>
          <cell r="G445" t="str">
            <v>469 mg/ml</v>
          </cell>
          <cell r="H445" t="str">
            <v>V08CA01</v>
          </cell>
          <cell r="I445"/>
          <cell r="J445">
            <v>450</v>
          </cell>
          <cell r="K445">
            <v>450</v>
          </cell>
          <cell r="L445">
            <v>450</v>
          </cell>
          <cell r="M445">
            <v>450</v>
          </cell>
          <cell r="N445">
            <v>450</v>
          </cell>
          <cell r="O445" t="str">
            <v>15 ML</v>
          </cell>
        </row>
        <row r="446">
          <cell r="D446" t="str">
            <v>V-08-10</v>
          </cell>
          <cell r="E446" t="str">
            <v>Gadoversetamida</v>
          </cell>
          <cell r="F446" t="str">
            <v>Inyectable</v>
          </cell>
          <cell r="G446" t="str">
            <v>0.5mmol / ml</v>
          </cell>
          <cell r="H446" t="str">
            <v>V08CA06</v>
          </cell>
          <cell r="I446" t="str">
            <v>R</v>
          </cell>
          <cell r="J446">
            <v>450</v>
          </cell>
          <cell r="K446">
            <v>450</v>
          </cell>
          <cell r="L446">
            <v>450</v>
          </cell>
          <cell r="M446">
            <v>450</v>
          </cell>
          <cell r="N446">
            <v>450</v>
          </cell>
          <cell r="O446"/>
        </row>
        <row r="447">
          <cell r="D447" t="str">
            <v>S-01-15</v>
          </cell>
          <cell r="E447" t="str">
            <v>Gentamicina</v>
          </cell>
          <cell r="F447" t="str">
            <v>Ungüento oftálmico</v>
          </cell>
          <cell r="G447" t="str">
            <v>0,3%</v>
          </cell>
          <cell r="H447" t="str">
            <v>S01AA11</v>
          </cell>
          <cell r="I447"/>
          <cell r="J447">
            <v>26.05</v>
          </cell>
          <cell r="K447">
            <v>26.05</v>
          </cell>
          <cell r="L447">
            <v>26.05</v>
          </cell>
          <cell r="M447">
            <v>26.05</v>
          </cell>
          <cell r="N447">
            <v>26.05</v>
          </cell>
          <cell r="O447" t="str">
            <v>5 G</v>
          </cell>
        </row>
        <row r="448">
          <cell r="D448" t="str">
            <v>S-01-16</v>
          </cell>
          <cell r="E448" t="str">
            <v>Gentamicina</v>
          </cell>
          <cell r="F448" t="str">
            <v>Solución oftálmica</v>
          </cell>
          <cell r="G448" t="str">
            <v>0,3%</v>
          </cell>
          <cell r="H448" t="str">
            <v>S01AA11</v>
          </cell>
          <cell r="I448"/>
          <cell r="J448">
            <v>11.59</v>
          </cell>
          <cell r="K448">
            <v>11.59</v>
          </cell>
          <cell r="L448">
            <v>11.59</v>
          </cell>
          <cell r="M448">
            <v>11.59</v>
          </cell>
          <cell r="N448">
            <v>11.59</v>
          </cell>
          <cell r="O448" t="str">
            <v>5 ML</v>
          </cell>
        </row>
        <row r="449">
          <cell r="D449" t="str">
            <v>J-01-48</v>
          </cell>
          <cell r="E449" t="str">
            <v>Gentamicina sulfato</v>
          </cell>
          <cell r="F449" t="str">
            <v>Inyectable</v>
          </cell>
          <cell r="G449" t="str">
            <v>20 mg</v>
          </cell>
          <cell r="H449" t="str">
            <v>J01GB03</v>
          </cell>
          <cell r="I449"/>
          <cell r="J449">
            <v>2.6</v>
          </cell>
          <cell r="K449">
            <v>2.6</v>
          </cell>
          <cell r="L449">
            <v>2.6</v>
          </cell>
          <cell r="M449">
            <v>2.6</v>
          </cell>
          <cell r="N449">
            <v>2.6</v>
          </cell>
          <cell r="O449"/>
        </row>
        <row r="450">
          <cell r="D450" t="str">
            <v>J-01-49</v>
          </cell>
          <cell r="E450" t="str">
            <v>Gentamicina sulfato</v>
          </cell>
          <cell r="F450" t="str">
            <v>Inyectable</v>
          </cell>
          <cell r="G450" t="str">
            <v>80 mg</v>
          </cell>
          <cell r="H450" t="str">
            <v>J01GB03</v>
          </cell>
          <cell r="I450"/>
          <cell r="J450">
            <v>2.15</v>
          </cell>
          <cell r="K450">
            <v>2.15</v>
          </cell>
          <cell r="L450">
            <v>2.15</v>
          </cell>
          <cell r="M450">
            <v>2.15</v>
          </cell>
          <cell r="N450">
            <v>2.15</v>
          </cell>
          <cell r="O450"/>
        </row>
        <row r="451">
          <cell r="D451" t="str">
            <v>A-10-01</v>
          </cell>
          <cell r="E451" t="str">
            <v>Glibenclamida</v>
          </cell>
          <cell r="F451" t="str">
            <v>Comprimido</v>
          </cell>
          <cell r="G451" t="str">
            <v>5 mg</v>
          </cell>
          <cell r="H451" t="str">
            <v>A10BB01</v>
          </cell>
          <cell r="I451"/>
          <cell r="J451">
            <v>0.22</v>
          </cell>
          <cell r="K451">
            <v>0.22</v>
          </cell>
          <cell r="L451">
            <v>0.22</v>
          </cell>
          <cell r="M451">
            <v>0.22</v>
          </cell>
          <cell r="N451">
            <v>0.22</v>
          </cell>
          <cell r="O451"/>
        </row>
        <row r="452">
          <cell r="D452" t="str">
            <v>S-02-01</v>
          </cell>
          <cell r="E452" t="str">
            <v>Glicerina + carbonato de sodio</v>
          </cell>
          <cell r="F452" t="str">
            <v>Gotas óticas</v>
          </cell>
          <cell r="G452" t="str">
            <v>Según disponibilidad</v>
          </cell>
          <cell r="H452" t="str">
            <v>S02DA30</v>
          </cell>
          <cell r="I452"/>
          <cell r="J452">
            <v>25.33</v>
          </cell>
          <cell r="K452">
            <v>25.33</v>
          </cell>
          <cell r="L452">
            <v>25.33</v>
          </cell>
          <cell r="M452">
            <v>25.33</v>
          </cell>
          <cell r="N452">
            <v>25.33</v>
          </cell>
          <cell r="O452" t="str">
            <v>3G/100ML</v>
          </cell>
        </row>
        <row r="453">
          <cell r="D453" t="str">
            <v>D-02-01</v>
          </cell>
          <cell r="E453" t="str">
            <v>Glicerol (Glicerina bidestilada)</v>
          </cell>
          <cell r="F453" t="str">
            <v>Solución 1 l</v>
          </cell>
          <cell r="G453" t="str">
            <v>Según disponibilidad</v>
          </cell>
          <cell r="H453" t="str">
            <v>D02AX**</v>
          </cell>
          <cell r="I453"/>
          <cell r="J453">
            <v>106.83</v>
          </cell>
          <cell r="K453">
            <v>106.83</v>
          </cell>
          <cell r="L453">
            <v>106.83</v>
          </cell>
          <cell r="M453">
            <v>106.83</v>
          </cell>
          <cell r="N453">
            <v>106.83</v>
          </cell>
          <cell r="O453"/>
        </row>
        <row r="454">
          <cell r="D454" t="str">
            <v>A-06-06</v>
          </cell>
          <cell r="E454" t="str">
            <v>Glicerol (Glicerina)</v>
          </cell>
          <cell r="F454" t="str">
            <v>Supositorio</v>
          </cell>
          <cell r="G454" t="str">
            <v>1 g a 1,80 g (infantil)</v>
          </cell>
          <cell r="H454" t="str">
            <v>A06AX01</v>
          </cell>
          <cell r="I454"/>
          <cell r="J454">
            <v>1.99</v>
          </cell>
          <cell r="K454">
            <v>1.99</v>
          </cell>
          <cell r="L454">
            <v>1.99</v>
          </cell>
          <cell r="M454">
            <v>1.99</v>
          </cell>
          <cell r="N454">
            <v>1.99</v>
          </cell>
          <cell r="O454"/>
        </row>
        <row r="455">
          <cell r="D455" t="str">
            <v>L-04-11</v>
          </cell>
          <cell r="E455" t="str">
            <v>Globulina Anti-timocito</v>
          </cell>
          <cell r="F455" t="str">
            <v>Inyectable</v>
          </cell>
          <cell r="G455" t="str">
            <v>250 mg/5ml</v>
          </cell>
          <cell r="H455" t="str">
            <v>L04AA04</v>
          </cell>
          <cell r="I455" t="str">
            <v>R</v>
          </cell>
          <cell r="J455">
            <v>2813.46</v>
          </cell>
          <cell r="K455">
            <v>2813.46</v>
          </cell>
          <cell r="L455">
            <v>2813.46</v>
          </cell>
          <cell r="M455">
            <v>2813.46</v>
          </cell>
          <cell r="N455">
            <v>2813.46</v>
          </cell>
          <cell r="O455"/>
        </row>
        <row r="456">
          <cell r="D456" t="str">
            <v>B-05-10</v>
          </cell>
          <cell r="E456" t="str">
            <v>Gluconato Cálcico (Calcio Gluconato)</v>
          </cell>
          <cell r="F456" t="str">
            <v>Inyectable</v>
          </cell>
          <cell r="G456">
            <v>0.1</v>
          </cell>
          <cell r="H456" t="str">
            <v xml:space="preserve">B05XA07 </v>
          </cell>
          <cell r="I456"/>
          <cell r="J456">
            <v>3.8</v>
          </cell>
          <cell r="K456">
            <v>3.8</v>
          </cell>
          <cell r="L456">
            <v>3.8</v>
          </cell>
          <cell r="M456">
            <v>3.8</v>
          </cell>
          <cell r="N456">
            <v>3.8</v>
          </cell>
          <cell r="O456"/>
        </row>
        <row r="457">
          <cell r="D457" t="str">
            <v>G-03-10</v>
          </cell>
          <cell r="E457" t="str">
            <v>Gonadotrofina coriónica</v>
          </cell>
          <cell r="F457" t="str">
            <v>Inyectable</v>
          </cell>
          <cell r="G457" t="str">
            <v>5.000 UI/ml</v>
          </cell>
          <cell r="H457" t="str">
            <v>G03GA01</v>
          </cell>
          <cell r="I457"/>
          <cell r="J457">
            <v>241.80666666666667</v>
          </cell>
          <cell r="K457">
            <v>241.80666666666667</v>
          </cell>
          <cell r="L457">
            <v>241.80666666666667</v>
          </cell>
          <cell r="M457">
            <v>241.80666666666667</v>
          </cell>
          <cell r="N457">
            <v>241.80666666666667</v>
          </cell>
          <cell r="O457" t="str">
            <v>1 ML</v>
          </cell>
        </row>
        <row r="458">
          <cell r="D458" t="str">
            <v>J-02-05</v>
          </cell>
          <cell r="E458" t="str">
            <v>Griseofulvina</v>
          </cell>
          <cell r="F458" t="str">
            <v>Suspensión</v>
          </cell>
          <cell r="G458" t="str">
            <v>125 mg/5 ml</v>
          </cell>
          <cell r="H458" t="str">
            <v>J02AX**</v>
          </cell>
          <cell r="I458"/>
          <cell r="J458">
            <v>23.12</v>
          </cell>
          <cell r="K458">
            <v>23.12</v>
          </cell>
          <cell r="L458">
            <v>23.12</v>
          </cell>
          <cell r="M458">
            <v>23.12</v>
          </cell>
          <cell r="N458">
            <v>23.12</v>
          </cell>
          <cell r="O458"/>
        </row>
        <row r="459">
          <cell r="D459" t="str">
            <v>N-05-17</v>
          </cell>
          <cell r="E459" t="str">
            <v>Haloperidol</v>
          </cell>
          <cell r="F459" t="str">
            <v>Inyectable</v>
          </cell>
          <cell r="G459" t="str">
            <v>5 mg/ml</v>
          </cell>
          <cell r="H459" t="str">
            <v>N05AD01</v>
          </cell>
          <cell r="I459"/>
          <cell r="J459">
            <v>27.25</v>
          </cell>
          <cell r="K459">
            <v>27.25</v>
          </cell>
          <cell r="L459">
            <v>27.25</v>
          </cell>
          <cell r="M459">
            <v>27.25</v>
          </cell>
          <cell r="N459">
            <v>27.25</v>
          </cell>
          <cell r="O459" t="str">
            <v>1 ML</v>
          </cell>
        </row>
        <row r="460">
          <cell r="D460" t="str">
            <v>N-05-09</v>
          </cell>
          <cell r="E460" t="str">
            <v>Haloperidol decanoato</v>
          </cell>
          <cell r="F460" t="str">
            <v>Inyectable</v>
          </cell>
          <cell r="G460" t="str">
            <v>50 mg/ml</v>
          </cell>
          <cell r="H460" t="str">
            <v>N05AD01</v>
          </cell>
          <cell r="I460"/>
          <cell r="J460">
            <v>79.498999999999995</v>
          </cell>
          <cell r="K460">
            <v>79.498999999999995</v>
          </cell>
          <cell r="L460">
            <v>79.498999999999995</v>
          </cell>
          <cell r="M460">
            <v>79.498999999999995</v>
          </cell>
          <cell r="N460">
            <v>79.498999999999995</v>
          </cell>
          <cell r="O460" t="str">
            <v>1 ML</v>
          </cell>
        </row>
        <row r="461">
          <cell r="D461" t="str">
            <v>N-01-07</v>
          </cell>
          <cell r="E461" t="str">
            <v>Halotano</v>
          </cell>
          <cell r="F461" t="str">
            <v>Solución</v>
          </cell>
          <cell r="G461" t="str">
            <v>0,01% de timol</v>
          </cell>
          <cell r="H461" t="str">
            <v>N01AB01</v>
          </cell>
          <cell r="I461"/>
          <cell r="J461">
            <v>450</v>
          </cell>
          <cell r="K461">
            <v>450</v>
          </cell>
          <cell r="L461">
            <v>450</v>
          </cell>
          <cell r="M461">
            <v>450</v>
          </cell>
          <cell r="N461">
            <v>450</v>
          </cell>
          <cell r="O461" t="str">
            <v>250 ML</v>
          </cell>
        </row>
        <row r="462">
          <cell r="D462" t="str">
            <v>C-02-03</v>
          </cell>
          <cell r="E462" t="str">
            <v>Hidralazina clorhidrato</v>
          </cell>
          <cell r="F462" t="str">
            <v>Inyectable</v>
          </cell>
          <cell r="G462" t="str">
            <v>20 mg/ml</v>
          </cell>
          <cell r="H462" t="str">
            <v>C02DB02</v>
          </cell>
          <cell r="I462"/>
          <cell r="J462">
            <v>79</v>
          </cell>
          <cell r="K462">
            <v>79</v>
          </cell>
          <cell r="L462">
            <v>79</v>
          </cell>
          <cell r="M462">
            <v>79</v>
          </cell>
          <cell r="N462">
            <v>79</v>
          </cell>
          <cell r="O462"/>
        </row>
        <row r="463">
          <cell r="D463" t="str">
            <v>C-02-07</v>
          </cell>
          <cell r="E463" t="str">
            <v>Hidralazina clorhidrato</v>
          </cell>
          <cell r="F463" t="str">
            <v>Comprimido</v>
          </cell>
          <cell r="G463" t="str">
            <v>25 mg</v>
          </cell>
          <cell r="H463" t="str">
            <v>C02DB02</v>
          </cell>
          <cell r="I463"/>
          <cell r="J463">
            <v>0.79</v>
          </cell>
          <cell r="K463">
            <v>0.79</v>
          </cell>
          <cell r="L463">
            <v>0.79</v>
          </cell>
          <cell r="M463">
            <v>0.79</v>
          </cell>
          <cell r="N463">
            <v>0.79</v>
          </cell>
          <cell r="O463"/>
        </row>
        <row r="464">
          <cell r="D464" t="str">
            <v>C-03-06</v>
          </cell>
          <cell r="E464" t="str">
            <v>Hidroclorotiazida</v>
          </cell>
          <cell r="F464" t="str">
            <v>Comprimido ranurado</v>
          </cell>
          <cell r="G464" t="str">
            <v>50 mg</v>
          </cell>
          <cell r="H464" t="str">
            <v>C03AA03</v>
          </cell>
          <cell r="I464"/>
          <cell r="J464">
            <v>0.78</v>
          </cell>
          <cell r="K464">
            <v>0.78</v>
          </cell>
          <cell r="L464">
            <v>0.78</v>
          </cell>
          <cell r="M464">
            <v>0.78</v>
          </cell>
          <cell r="N464">
            <v>0.78</v>
          </cell>
          <cell r="O464"/>
        </row>
        <row r="465">
          <cell r="D465" t="str">
            <v>C-03-07</v>
          </cell>
          <cell r="E465" t="str">
            <v>Hidroclorotiazida + Amilorida</v>
          </cell>
          <cell r="F465" t="str">
            <v>Comprimido</v>
          </cell>
          <cell r="G465" t="str">
            <v>50 mg + 5 mg</v>
          </cell>
          <cell r="H465" t="str">
            <v>C03AX01</v>
          </cell>
          <cell r="I465"/>
          <cell r="J465">
            <v>1.23</v>
          </cell>
          <cell r="K465">
            <v>1.23</v>
          </cell>
          <cell r="L465">
            <v>1.23</v>
          </cell>
          <cell r="M465">
            <v>1.23</v>
          </cell>
          <cell r="N465">
            <v>1.23</v>
          </cell>
          <cell r="O465"/>
        </row>
        <row r="466">
          <cell r="D466" t="str">
            <v>D-07-04</v>
          </cell>
          <cell r="E466" t="str">
            <v>Hidrocortisona acetato</v>
          </cell>
          <cell r="F466" t="str">
            <v>Crema o Pomada</v>
          </cell>
          <cell r="G466">
            <v>0.01</v>
          </cell>
          <cell r="H466" t="str">
            <v>D07AA02</v>
          </cell>
          <cell r="I466"/>
          <cell r="J466">
            <v>11.39</v>
          </cell>
          <cell r="K466">
            <v>11.39</v>
          </cell>
          <cell r="L466">
            <v>11.39</v>
          </cell>
          <cell r="M466">
            <v>11.39</v>
          </cell>
          <cell r="N466">
            <v>11.39</v>
          </cell>
          <cell r="O466" t="str">
            <v>10 G</v>
          </cell>
        </row>
        <row r="467">
          <cell r="D467" t="str">
            <v>H-02-06</v>
          </cell>
          <cell r="E467" t="str">
            <v>Hidrocortisona succinato sódico</v>
          </cell>
          <cell r="F467" t="str">
            <v>Inyectable</v>
          </cell>
          <cell r="G467" t="str">
            <v>250 mg</v>
          </cell>
          <cell r="H467" t="str">
            <v>H02AB09</v>
          </cell>
          <cell r="I467"/>
          <cell r="J467">
            <v>45.872222222222227</v>
          </cell>
          <cell r="K467">
            <v>45.872222222222227</v>
          </cell>
          <cell r="L467">
            <v>45.872222222222227</v>
          </cell>
          <cell r="M467">
            <v>45.872222222222227</v>
          </cell>
          <cell r="N467">
            <v>45.872222222222227</v>
          </cell>
          <cell r="O467"/>
        </row>
        <row r="468">
          <cell r="D468" t="str">
            <v>D-11-01</v>
          </cell>
          <cell r="E468" t="str">
            <v>Hidroquinona</v>
          </cell>
          <cell r="F468" t="str">
            <v>Loción</v>
          </cell>
          <cell r="G468" t="str">
            <v>4% o 5%</v>
          </cell>
          <cell r="H468" t="str">
            <v>D11AX11</v>
          </cell>
          <cell r="I468"/>
          <cell r="J468">
            <v>51.67099566666667</v>
          </cell>
          <cell r="K468">
            <v>51.67099566666667</v>
          </cell>
          <cell r="L468">
            <v>51.67099566666667</v>
          </cell>
          <cell r="M468">
            <v>51.67099566666667</v>
          </cell>
          <cell r="N468">
            <v>51.67099566666667</v>
          </cell>
          <cell r="O468" t="str">
            <v>30 ML</v>
          </cell>
        </row>
        <row r="469">
          <cell r="D469" t="str">
            <v>D-11-02</v>
          </cell>
          <cell r="E469" t="str">
            <v>Hidroquinona</v>
          </cell>
          <cell r="F469" t="str">
            <v>Crema a Pomada</v>
          </cell>
          <cell r="G469" t="str">
            <v>4% o  5 %</v>
          </cell>
          <cell r="H469" t="str">
            <v>D11AX11</v>
          </cell>
          <cell r="I469"/>
          <cell r="J469">
            <v>37.06</v>
          </cell>
          <cell r="K469">
            <v>37.06</v>
          </cell>
          <cell r="L469">
            <v>37.06</v>
          </cell>
          <cell r="M469">
            <v>37.06</v>
          </cell>
          <cell r="N469">
            <v>37.06</v>
          </cell>
          <cell r="O469" t="str">
            <v>30 G</v>
          </cell>
        </row>
        <row r="470">
          <cell r="D470" t="str">
            <v>P-01-27</v>
          </cell>
          <cell r="E470" t="str">
            <v>Hidroxicloroquina sulfato</v>
          </cell>
          <cell r="F470" t="str">
            <v>Comprimido</v>
          </cell>
          <cell r="G470" t="str">
            <v>200 mg</v>
          </cell>
          <cell r="H470" t="str">
            <v>P01BA02</v>
          </cell>
          <cell r="I470"/>
          <cell r="J470">
            <v>6.8</v>
          </cell>
          <cell r="K470">
            <v>6.8</v>
          </cell>
          <cell r="L470">
            <v>6.8</v>
          </cell>
          <cell r="M470">
            <v>6.8</v>
          </cell>
          <cell r="N470">
            <v>6.8</v>
          </cell>
          <cell r="O470"/>
        </row>
        <row r="471">
          <cell r="D471" t="str">
            <v>A-02-01</v>
          </cell>
          <cell r="E471" t="str">
            <v>Hidróxido de aluminio y magnesio</v>
          </cell>
          <cell r="F471" t="str">
            <v>Suspensión</v>
          </cell>
          <cell r="G471" t="str">
            <v>1:1</v>
          </cell>
          <cell r="H471" t="str">
            <v>A02AD01</v>
          </cell>
          <cell r="I471"/>
          <cell r="J471">
            <v>12.57</v>
          </cell>
          <cell r="K471">
            <v>12.57</v>
          </cell>
          <cell r="L471">
            <v>12.57</v>
          </cell>
          <cell r="M471">
            <v>12.57</v>
          </cell>
          <cell r="N471">
            <v>12.57</v>
          </cell>
          <cell r="O471" t="str">
            <v>120 ML</v>
          </cell>
        </row>
        <row r="472">
          <cell r="D472" t="str">
            <v>B-03-04</v>
          </cell>
          <cell r="E472" t="str">
            <v>Hierro</v>
          </cell>
          <cell r="F472" t="str">
            <v>Inyectable</v>
          </cell>
          <cell r="G472" t="str">
            <v>100 mg - IM o IV</v>
          </cell>
          <cell r="H472" t="str">
            <v>B03AC02</v>
          </cell>
          <cell r="I472"/>
          <cell r="J472">
            <v>34.514444444444443</v>
          </cell>
          <cell r="K472">
            <v>34.514444444444443</v>
          </cell>
          <cell r="L472">
            <v>34.514444444444443</v>
          </cell>
          <cell r="M472">
            <v>34.514444444444443</v>
          </cell>
          <cell r="N472">
            <v>34.514444444444443</v>
          </cell>
          <cell r="O472"/>
        </row>
        <row r="473">
          <cell r="D473" t="str">
            <v>B-03-12</v>
          </cell>
          <cell r="E473" t="str">
            <v>Hierro (como bisglicina quelato)</v>
          </cell>
          <cell r="F473" t="str">
            <v xml:space="preserve">Suspensión </v>
          </cell>
          <cell r="G473" t="str">
            <v xml:space="preserve">30 mg/5 mL </v>
          </cell>
          <cell r="H473" t="str">
            <v>B03AA01</v>
          </cell>
          <cell r="I473"/>
          <cell r="J473">
            <v>69.3</v>
          </cell>
          <cell r="K473">
            <v>69.3</v>
          </cell>
          <cell r="L473">
            <v>69.3</v>
          </cell>
          <cell r="M473">
            <v>69.3</v>
          </cell>
          <cell r="N473">
            <v>69.3</v>
          </cell>
          <cell r="O473" t="str">
            <v>120 ML</v>
          </cell>
        </row>
        <row r="474">
          <cell r="D474" t="str">
            <v>D-08-05</v>
          </cell>
          <cell r="E474" t="str">
            <v>Hipoclorito de sodio</v>
          </cell>
          <cell r="F474" t="str">
            <v>Solución</v>
          </cell>
          <cell r="G474">
            <v>0.08</v>
          </cell>
          <cell r="H474" t="str">
            <v>D08AX07</v>
          </cell>
          <cell r="I474"/>
          <cell r="J474">
            <v>14.71</v>
          </cell>
          <cell r="K474">
            <v>14.71</v>
          </cell>
          <cell r="L474">
            <v>14.71</v>
          </cell>
          <cell r="M474">
            <v>14.71</v>
          </cell>
          <cell r="N474">
            <v>14.71</v>
          </cell>
          <cell r="O474"/>
        </row>
        <row r="475">
          <cell r="D475" t="str">
            <v>C-01-14</v>
          </cell>
          <cell r="E475" t="str">
            <v>Ibuprofeno</v>
          </cell>
          <cell r="F475" t="str">
            <v>Inyectable</v>
          </cell>
          <cell r="G475" t="str">
            <v xml:space="preserve">5 mg/ml </v>
          </cell>
          <cell r="H475" t="str">
            <v>C01EB16</v>
          </cell>
          <cell r="I475"/>
          <cell r="J475">
            <v>34.65</v>
          </cell>
          <cell r="K475">
            <v>34.65</v>
          </cell>
          <cell r="L475">
            <v>34.65</v>
          </cell>
          <cell r="M475">
            <v>34.65</v>
          </cell>
          <cell r="N475">
            <v>34.65</v>
          </cell>
          <cell r="O475"/>
        </row>
        <row r="476">
          <cell r="D476" t="str">
            <v>M-01-04</v>
          </cell>
          <cell r="E476" t="str">
            <v>Ibuprofeno</v>
          </cell>
          <cell r="F476" t="str">
            <v>Suspensión</v>
          </cell>
          <cell r="G476" t="str">
            <v>100 mg/5 ml</v>
          </cell>
          <cell r="H476" t="str">
            <v>M01AE01</v>
          </cell>
          <cell r="I476"/>
          <cell r="J476">
            <v>9.77</v>
          </cell>
          <cell r="K476">
            <v>9.77</v>
          </cell>
          <cell r="L476">
            <v>9.77</v>
          </cell>
          <cell r="M476">
            <v>9.77</v>
          </cell>
          <cell r="N476">
            <v>9.77</v>
          </cell>
          <cell r="O476" t="str">
            <v>100ML</v>
          </cell>
        </row>
        <row r="477">
          <cell r="D477" t="str">
            <v>L-01-49</v>
          </cell>
          <cell r="E477" t="str">
            <v>Imatinib</v>
          </cell>
          <cell r="F477" t="str">
            <v>Comprimido</v>
          </cell>
          <cell r="G477" t="str">
            <v>100 mg</v>
          </cell>
          <cell r="H477" t="str">
            <v>L01XE01</v>
          </cell>
          <cell r="I477" t="str">
            <v>R</v>
          </cell>
          <cell r="J477">
            <v>43.69</v>
          </cell>
          <cell r="K477">
            <v>43.69</v>
          </cell>
          <cell r="L477">
            <v>43.69</v>
          </cell>
          <cell r="M477">
            <v>43.69</v>
          </cell>
          <cell r="N477">
            <v>43.69</v>
          </cell>
          <cell r="O477"/>
        </row>
        <row r="478">
          <cell r="D478" t="str">
            <v>L-01-50</v>
          </cell>
          <cell r="E478" t="str">
            <v>Imatinib</v>
          </cell>
          <cell r="F478" t="str">
            <v>Comprimido</v>
          </cell>
          <cell r="G478" t="str">
            <v>400 mg</v>
          </cell>
          <cell r="H478" t="str">
            <v>L01XE01</v>
          </cell>
          <cell r="I478" t="str">
            <v>R</v>
          </cell>
          <cell r="J478">
            <v>314</v>
          </cell>
          <cell r="K478">
            <v>314</v>
          </cell>
          <cell r="L478">
            <v>314</v>
          </cell>
          <cell r="M478">
            <v>314</v>
          </cell>
          <cell r="N478">
            <v>314</v>
          </cell>
          <cell r="O478"/>
        </row>
        <row r="479">
          <cell r="D479" t="str">
            <v>N-06-05</v>
          </cell>
          <cell r="E479" t="str">
            <v>Imipramina clorhidrato</v>
          </cell>
          <cell r="F479" t="str">
            <v>Comprimido</v>
          </cell>
          <cell r="G479" t="str">
            <v>25 mg</v>
          </cell>
          <cell r="H479" t="str">
            <v>N06AA02</v>
          </cell>
          <cell r="I479"/>
          <cell r="J479">
            <v>0.62</v>
          </cell>
          <cell r="K479">
            <v>0.62</v>
          </cell>
          <cell r="L479">
            <v>0.62</v>
          </cell>
          <cell r="M479">
            <v>0.62</v>
          </cell>
          <cell r="N479">
            <v>0.62</v>
          </cell>
          <cell r="O479"/>
        </row>
        <row r="480">
          <cell r="D480" t="str">
            <v>M-01-06</v>
          </cell>
          <cell r="E480" t="str">
            <v>Indometacina</v>
          </cell>
          <cell r="F480" t="str">
            <v>Cápsula o Comprimido</v>
          </cell>
          <cell r="G480" t="str">
            <v>25 mg</v>
          </cell>
          <cell r="H480" t="str">
            <v>M01AB01</v>
          </cell>
          <cell r="I480"/>
          <cell r="J480">
            <v>0.26</v>
          </cell>
          <cell r="K480">
            <v>0.26</v>
          </cell>
          <cell r="L480">
            <v>0.26</v>
          </cell>
          <cell r="M480">
            <v>0.26</v>
          </cell>
          <cell r="N480">
            <v>0.26</v>
          </cell>
          <cell r="O480"/>
        </row>
        <row r="481">
          <cell r="D481" t="str">
            <v>M-01-07</v>
          </cell>
          <cell r="E481" t="str">
            <v>Indometacina</v>
          </cell>
          <cell r="F481" t="str">
            <v>Supositorio</v>
          </cell>
          <cell r="G481" t="str">
            <v>100 mg</v>
          </cell>
          <cell r="H481" t="str">
            <v>M01AB01</v>
          </cell>
          <cell r="I481"/>
          <cell r="J481">
            <v>1.68</v>
          </cell>
          <cell r="K481">
            <v>1.68</v>
          </cell>
          <cell r="L481">
            <v>1.68</v>
          </cell>
          <cell r="M481">
            <v>1.68</v>
          </cell>
          <cell r="N481">
            <v>1.68</v>
          </cell>
          <cell r="O481"/>
        </row>
        <row r="482">
          <cell r="D482" t="str">
            <v>A-10-05</v>
          </cell>
          <cell r="E482" t="str">
            <v>Insulina Glargina</v>
          </cell>
          <cell r="F482" t="str">
            <v>Inyectable</v>
          </cell>
          <cell r="G482" t="str">
            <v>100 U.I/ml</v>
          </cell>
          <cell r="H482" t="str">
            <v>A10AE04</v>
          </cell>
          <cell r="I482"/>
          <cell r="J482">
            <v>411.01650000000001</v>
          </cell>
          <cell r="K482">
            <v>411.01650000000001</v>
          </cell>
          <cell r="L482">
            <v>411.01650000000001</v>
          </cell>
          <cell r="M482">
            <v>411.01650000000001</v>
          </cell>
          <cell r="N482">
            <v>411.01650000000001</v>
          </cell>
          <cell r="O482" t="str">
            <v>10 ML</v>
          </cell>
        </row>
        <row r="483">
          <cell r="D483" t="str">
            <v>A-10-06</v>
          </cell>
          <cell r="E483" t="str">
            <v>Insulina Glulisina</v>
          </cell>
          <cell r="F483" t="str">
            <v>Inyectable</v>
          </cell>
          <cell r="G483" t="str">
            <v>100 U.I/ml</v>
          </cell>
          <cell r="H483" t="str">
            <v>A10AB06</v>
          </cell>
          <cell r="I483"/>
          <cell r="J483">
            <v>325</v>
          </cell>
          <cell r="K483">
            <v>325</v>
          </cell>
          <cell r="L483">
            <v>325</v>
          </cell>
          <cell r="M483">
            <v>325</v>
          </cell>
          <cell r="N483">
            <v>325</v>
          </cell>
          <cell r="O483" t="str">
            <v>10 ML</v>
          </cell>
        </row>
        <row r="484">
          <cell r="D484" t="str">
            <v>L-01-63</v>
          </cell>
          <cell r="E484" t="str">
            <v>Melfalán</v>
          </cell>
          <cell r="F484" t="str">
            <v>Inyectable</v>
          </cell>
          <cell r="G484" t="str">
            <v>50 mg</v>
          </cell>
          <cell r="H484" t="str">
            <v>L01AA03</v>
          </cell>
          <cell r="I484" t="str">
            <v>R</v>
          </cell>
          <cell r="J484" t="str">
            <v>SPR</v>
          </cell>
          <cell r="K484" t="str">
            <v>SPR</v>
          </cell>
          <cell r="L484" t="str">
            <v>SPR</v>
          </cell>
          <cell r="M484" t="str">
            <v>SPR</v>
          </cell>
          <cell r="N484" t="str">
            <v>SPR</v>
          </cell>
          <cell r="O484"/>
        </row>
        <row r="485">
          <cell r="D485" t="str">
            <v>A-10-03</v>
          </cell>
          <cell r="E485" t="str">
            <v>Insulina zinc cristalina  recombinante humana</v>
          </cell>
          <cell r="F485" t="str">
            <v>Inyectable</v>
          </cell>
          <cell r="G485" t="str">
            <v>100 UI/ml</v>
          </cell>
          <cell r="H485" t="str">
            <v>A10AB01</v>
          </cell>
          <cell r="I485"/>
          <cell r="J485">
            <v>95.842083333333335</v>
          </cell>
          <cell r="K485">
            <v>95.842083333333335</v>
          </cell>
          <cell r="L485">
            <v>95.842083333333335</v>
          </cell>
          <cell r="M485">
            <v>95.842083333333335</v>
          </cell>
          <cell r="N485">
            <v>95.842083333333335</v>
          </cell>
          <cell r="O485" t="str">
            <v>10 ML</v>
          </cell>
        </row>
        <row r="486">
          <cell r="D486" t="str">
            <v>L-03-02</v>
          </cell>
          <cell r="E486" t="str">
            <v>Interferon alfa 2 b recombinante</v>
          </cell>
          <cell r="F486" t="str">
            <v>Inyectable</v>
          </cell>
          <cell r="G486" t="str">
            <v>10.000.000 UI con diluyente (1 ml)</v>
          </cell>
          <cell r="H486" t="str">
            <v>L03AB05</v>
          </cell>
          <cell r="I486"/>
          <cell r="J486">
            <v>195.31</v>
          </cell>
          <cell r="K486">
            <v>195.31</v>
          </cell>
          <cell r="L486">
            <v>195.31</v>
          </cell>
          <cell r="M486">
            <v>195.31</v>
          </cell>
          <cell r="N486">
            <v>195.31</v>
          </cell>
          <cell r="O486"/>
        </row>
        <row r="487">
          <cell r="D487" t="str">
            <v>L-03-03</v>
          </cell>
          <cell r="E487" t="str">
            <v>Interferon alfa 2 b recombinante</v>
          </cell>
          <cell r="F487" t="str">
            <v>Inyectable</v>
          </cell>
          <cell r="G487" t="str">
            <v>3.000.000 UI con diluyente (1 ml)</v>
          </cell>
          <cell r="H487" t="str">
            <v>L03AB05</v>
          </cell>
          <cell r="I487"/>
          <cell r="J487">
            <v>90</v>
          </cell>
          <cell r="K487">
            <v>90</v>
          </cell>
          <cell r="L487">
            <v>90</v>
          </cell>
          <cell r="M487">
            <v>90</v>
          </cell>
          <cell r="N487">
            <v>90</v>
          </cell>
          <cell r="O487"/>
        </row>
        <row r="488">
          <cell r="D488" t="str">
            <v>L-03-04</v>
          </cell>
          <cell r="E488" t="str">
            <v>Interferon beta</v>
          </cell>
          <cell r="F488" t="str">
            <v>Inyectable</v>
          </cell>
          <cell r="G488" t="str">
            <v>0,3 mg</v>
          </cell>
          <cell r="H488" t="str">
            <v>L03AB07</v>
          </cell>
          <cell r="I488"/>
          <cell r="J488">
            <v>535.44749999999999</v>
          </cell>
          <cell r="K488">
            <v>535.44749999999999</v>
          </cell>
          <cell r="L488">
            <v>535.44749999999999</v>
          </cell>
          <cell r="M488">
            <v>535.44749999999999</v>
          </cell>
          <cell r="N488">
            <v>535.44749999999999</v>
          </cell>
          <cell r="O488" t="str">
            <v>1 L</v>
          </cell>
        </row>
        <row r="489">
          <cell r="D489" t="str">
            <v>D-08-06</v>
          </cell>
          <cell r="E489" t="str">
            <v>Iodo (Yodo)</v>
          </cell>
          <cell r="F489" t="str">
            <v>Solución hidroalcohólica</v>
          </cell>
          <cell r="G489">
            <v>0.02</v>
          </cell>
          <cell r="H489" t="str">
            <v>D08AG03</v>
          </cell>
          <cell r="I489"/>
          <cell r="J489">
            <v>86.82</v>
          </cell>
          <cell r="K489">
            <v>86.82</v>
          </cell>
          <cell r="L489">
            <v>86.82</v>
          </cell>
          <cell r="M489">
            <v>86.82</v>
          </cell>
          <cell r="N489">
            <v>86.82</v>
          </cell>
          <cell r="O489" t="str">
            <v>1 L</v>
          </cell>
        </row>
        <row r="490">
          <cell r="D490" t="str">
            <v>D-08-08</v>
          </cell>
          <cell r="E490" t="str">
            <v>Iodo povidona (Yodopovidona)</v>
          </cell>
          <cell r="F490" t="str">
            <v>Solución</v>
          </cell>
          <cell r="G490">
            <v>0.1</v>
          </cell>
          <cell r="H490" t="str">
            <v>D08AG02</v>
          </cell>
          <cell r="I490"/>
          <cell r="J490">
            <v>81.16</v>
          </cell>
          <cell r="K490">
            <v>81.16</v>
          </cell>
          <cell r="L490">
            <v>81.16</v>
          </cell>
          <cell r="M490">
            <v>81.16</v>
          </cell>
          <cell r="N490">
            <v>81.16</v>
          </cell>
          <cell r="O490" t="str">
            <v>1 L</v>
          </cell>
        </row>
        <row r="491">
          <cell r="D491" t="str">
            <v>V-03-06</v>
          </cell>
          <cell r="E491" t="str">
            <v>Ipecacuana</v>
          </cell>
          <cell r="F491" t="str">
            <v>Jarabe</v>
          </cell>
          <cell r="G491">
            <v>7.0000000000000007E-2</v>
          </cell>
          <cell r="H491" t="str">
            <v>V03AB01</v>
          </cell>
          <cell r="I491"/>
          <cell r="J491">
            <v>19.22</v>
          </cell>
          <cell r="K491">
            <v>19.22</v>
          </cell>
          <cell r="L491">
            <v>19.22</v>
          </cell>
          <cell r="M491">
            <v>19.22</v>
          </cell>
          <cell r="N491">
            <v>19.22</v>
          </cell>
          <cell r="O491"/>
        </row>
        <row r="492">
          <cell r="D492" t="str">
            <v>R-03-09</v>
          </cell>
          <cell r="E492" t="str">
            <v>Ipratropio bromuro</v>
          </cell>
          <cell r="F492" t="str">
            <v>Aerosol</v>
          </cell>
          <cell r="G492" t="str">
            <v>20 mcg/dosis</v>
          </cell>
          <cell r="H492" t="str">
            <v>R03BB01</v>
          </cell>
          <cell r="I492"/>
          <cell r="J492">
            <v>138.42000000000002</v>
          </cell>
          <cell r="K492">
            <v>138.42000000000002</v>
          </cell>
          <cell r="L492">
            <v>138.42000000000002</v>
          </cell>
          <cell r="M492">
            <v>138.42000000000002</v>
          </cell>
          <cell r="N492">
            <v>138.42000000000002</v>
          </cell>
          <cell r="O492" t="str">
            <v>200 dosis</v>
          </cell>
        </row>
        <row r="493">
          <cell r="D493" t="str">
            <v>L-01-40</v>
          </cell>
          <cell r="E493" t="str">
            <v>Irinotecan</v>
          </cell>
          <cell r="F493" t="str">
            <v>Inyectable</v>
          </cell>
          <cell r="G493" t="str">
            <v>100 mg /5 ml</v>
          </cell>
          <cell r="H493" t="str">
            <v>L01XX19</v>
          </cell>
          <cell r="I493" t="str">
            <v>R</v>
          </cell>
          <cell r="J493">
            <v>480.83749999999998</v>
          </cell>
          <cell r="K493">
            <v>480.83749999999998</v>
          </cell>
          <cell r="L493">
            <v>480.83749999999998</v>
          </cell>
          <cell r="M493">
            <v>480.83749999999998</v>
          </cell>
          <cell r="N493">
            <v>480.83749999999998</v>
          </cell>
          <cell r="O493"/>
        </row>
        <row r="494">
          <cell r="D494" t="str">
            <v>J-04-07</v>
          </cell>
          <cell r="E494" t="str">
            <v>Isoniazida (INH)</v>
          </cell>
          <cell r="F494" t="str">
            <v>Comprimido</v>
          </cell>
          <cell r="G494" t="str">
            <v>100 mg</v>
          </cell>
          <cell r="H494" t="str">
            <v>J04AC01</v>
          </cell>
          <cell r="I494" t="str">
            <v>R</v>
          </cell>
          <cell r="J494">
            <v>0.13</v>
          </cell>
          <cell r="K494">
            <v>0.13</v>
          </cell>
          <cell r="L494">
            <v>0.13</v>
          </cell>
          <cell r="M494">
            <v>0.13</v>
          </cell>
          <cell r="N494">
            <v>0.13</v>
          </cell>
          <cell r="O494"/>
        </row>
        <row r="495">
          <cell r="D495" t="str">
            <v>C-01-11</v>
          </cell>
          <cell r="E495" t="str">
            <v>Isosorbida Mononitrato</v>
          </cell>
          <cell r="F495" t="str">
            <v>Comprimido</v>
          </cell>
          <cell r="G495" t="str">
            <v>20 mg</v>
          </cell>
          <cell r="H495" t="str">
            <v>C01DA14</v>
          </cell>
          <cell r="I495"/>
          <cell r="J495">
            <v>2.1507142857142858</v>
          </cell>
          <cell r="K495">
            <v>2.1507142857142858</v>
          </cell>
          <cell r="L495">
            <v>2.1507142857142858</v>
          </cell>
          <cell r="M495">
            <v>2.1507142857142858</v>
          </cell>
          <cell r="N495">
            <v>2.1507142857142858</v>
          </cell>
          <cell r="O495"/>
        </row>
        <row r="496">
          <cell r="D496" t="str">
            <v>P-02-13</v>
          </cell>
          <cell r="E496" t="str">
            <v>Ivermectina</v>
          </cell>
          <cell r="F496" t="str">
            <v>Comprimido</v>
          </cell>
          <cell r="G496" t="str">
            <v>3 mg</v>
          </cell>
          <cell r="H496" t="str">
            <v>P02CF01</v>
          </cell>
          <cell r="I496"/>
          <cell r="J496">
            <v>8.4499999999999993</v>
          </cell>
          <cell r="K496">
            <v>8.4499999999999993</v>
          </cell>
          <cell r="L496">
            <v>8.4499999999999993</v>
          </cell>
          <cell r="M496">
            <v>8.4499999999999993</v>
          </cell>
          <cell r="N496">
            <v>8.4499999999999993</v>
          </cell>
          <cell r="O496"/>
        </row>
        <row r="497">
          <cell r="D497" t="str">
            <v>P-02-14</v>
          </cell>
          <cell r="E497" t="str">
            <v>Ivermectina</v>
          </cell>
          <cell r="F497" t="str">
            <v>Comprimido</v>
          </cell>
          <cell r="G497" t="str">
            <v>6 mg</v>
          </cell>
          <cell r="H497" t="str">
            <v>P02CF01</v>
          </cell>
          <cell r="I497"/>
          <cell r="J497">
            <v>10</v>
          </cell>
          <cell r="K497">
            <v>10</v>
          </cell>
          <cell r="L497">
            <v>10</v>
          </cell>
          <cell r="M497">
            <v>10</v>
          </cell>
          <cell r="N497">
            <v>10</v>
          </cell>
          <cell r="O497"/>
        </row>
        <row r="498">
          <cell r="D498" t="str">
            <v>J-04-13</v>
          </cell>
          <cell r="E498" t="str">
            <v>Kanamicina</v>
          </cell>
          <cell r="F498" t="str">
            <v>Inyectable</v>
          </cell>
          <cell r="G498" t="str">
            <v>1 g</v>
          </cell>
          <cell r="H498" t="str">
            <v>J01GB04</v>
          </cell>
          <cell r="I498"/>
          <cell r="J498">
            <v>16.792523500000001</v>
          </cell>
          <cell r="K498">
            <v>16.792523500000001</v>
          </cell>
          <cell r="L498">
            <v>16.792523500000001</v>
          </cell>
          <cell r="M498">
            <v>16.792523500000001</v>
          </cell>
          <cell r="N498">
            <v>16.792523500000001</v>
          </cell>
          <cell r="O498"/>
        </row>
        <row r="499">
          <cell r="D499" t="str">
            <v>R-06-04</v>
          </cell>
          <cell r="E499" t="str">
            <v>Ketotifeno</v>
          </cell>
          <cell r="F499" t="str">
            <v>Comprimido</v>
          </cell>
          <cell r="G499" t="str">
            <v>1 mg</v>
          </cell>
          <cell r="H499" t="str">
            <v>R06AX17</v>
          </cell>
          <cell r="I499"/>
          <cell r="J499">
            <v>3.3079999999999998</v>
          </cell>
          <cell r="K499">
            <v>3.3079999999999998</v>
          </cell>
          <cell r="L499">
            <v>3.3079999999999998</v>
          </cell>
          <cell r="M499">
            <v>3.3079999999999998</v>
          </cell>
          <cell r="N499">
            <v>3.3079999999999998</v>
          </cell>
          <cell r="O499"/>
        </row>
        <row r="500">
          <cell r="D500" t="str">
            <v>S-01-17</v>
          </cell>
          <cell r="E500" t="str">
            <v>Ketotifeno</v>
          </cell>
          <cell r="F500" t="str">
            <v>Solución oftálmica</v>
          </cell>
          <cell r="G500" t="str">
            <v>0,25 mg/ml</v>
          </cell>
          <cell r="H500" t="str">
            <v>S01GX08</v>
          </cell>
          <cell r="I500"/>
          <cell r="J500">
            <v>118.52500000000001</v>
          </cell>
          <cell r="K500">
            <v>118.52500000000001</v>
          </cell>
          <cell r="L500">
            <v>118.52500000000001</v>
          </cell>
          <cell r="M500">
            <v>118.52500000000001</v>
          </cell>
          <cell r="N500">
            <v>118.52500000000001</v>
          </cell>
          <cell r="O500"/>
        </row>
        <row r="501">
          <cell r="D501" t="str">
            <v>C-07-07</v>
          </cell>
          <cell r="E501" t="str">
            <v>Labetalol</v>
          </cell>
          <cell r="F501" t="str">
            <v>Inyectable</v>
          </cell>
          <cell r="G501" t="str">
            <v>20 mg</v>
          </cell>
          <cell r="H501" t="str">
            <v>C07AG01</v>
          </cell>
          <cell r="I501" t="str">
            <v>R</v>
          </cell>
          <cell r="J501">
            <v>60</v>
          </cell>
          <cell r="K501">
            <v>60</v>
          </cell>
          <cell r="L501">
            <v>60</v>
          </cell>
          <cell r="M501">
            <v>60</v>
          </cell>
          <cell r="N501">
            <v>60</v>
          </cell>
          <cell r="O501"/>
        </row>
        <row r="502">
          <cell r="D502" t="str">
            <v>A-06-07</v>
          </cell>
          <cell r="E502" t="str">
            <v>Lactulosa</v>
          </cell>
          <cell r="F502" t="str">
            <v>Solución oral</v>
          </cell>
          <cell r="G502" t="str">
            <v>65% a  67%</v>
          </cell>
          <cell r="H502" t="str">
            <v>A06AD11</v>
          </cell>
          <cell r="I502"/>
          <cell r="J502">
            <v>58.27943181818182</v>
          </cell>
          <cell r="K502">
            <v>58.27943181818182</v>
          </cell>
          <cell r="L502">
            <v>58.27943181818182</v>
          </cell>
          <cell r="M502">
            <v>58.27943181818182</v>
          </cell>
          <cell r="N502">
            <v>58.27943181818182</v>
          </cell>
          <cell r="O502">
            <v>0.65</v>
          </cell>
        </row>
        <row r="503">
          <cell r="D503" t="str">
            <v>S-01-26</v>
          </cell>
          <cell r="E503" t="str">
            <v>Lágrimas artificiales</v>
          </cell>
          <cell r="F503" t="str">
            <v>Gel</v>
          </cell>
          <cell r="G503" t="str">
            <v>0,3% o 1%</v>
          </cell>
          <cell r="H503" t="str">
            <v>S01XA20</v>
          </cell>
          <cell r="I503"/>
          <cell r="J503">
            <v>60.376666666666665</v>
          </cell>
          <cell r="K503">
            <v>60.376666666666665</v>
          </cell>
          <cell r="L503">
            <v>60.376666666666665</v>
          </cell>
          <cell r="M503">
            <v>60.376666666666665</v>
          </cell>
          <cell r="N503">
            <v>60.376666666666665</v>
          </cell>
          <cell r="O503"/>
        </row>
        <row r="504">
          <cell r="D504" t="str">
            <v>J-05-15</v>
          </cell>
          <cell r="E504" t="str">
            <v>Lamivudina</v>
          </cell>
          <cell r="F504" t="str">
            <v>Comprimido</v>
          </cell>
          <cell r="G504" t="str">
            <v>150 mg</v>
          </cell>
          <cell r="H504" t="str">
            <v>J05AF05</v>
          </cell>
          <cell r="I504"/>
          <cell r="J504">
            <v>0.39</v>
          </cell>
          <cell r="K504">
            <v>0.39</v>
          </cell>
          <cell r="L504">
            <v>0.39</v>
          </cell>
          <cell r="M504">
            <v>0.39</v>
          </cell>
          <cell r="N504">
            <v>0.39</v>
          </cell>
          <cell r="O504"/>
        </row>
        <row r="505">
          <cell r="D505" t="str">
            <v>J-05-16</v>
          </cell>
          <cell r="E505" t="str">
            <v>Lamivudina</v>
          </cell>
          <cell r="F505" t="str">
            <v>Jarabe o Solución oral</v>
          </cell>
          <cell r="G505" t="str">
            <v>10 mg/ml</v>
          </cell>
          <cell r="H505" t="str">
            <v>J05AF05</v>
          </cell>
          <cell r="I505"/>
          <cell r="J505">
            <v>19.41</v>
          </cell>
          <cell r="K505">
            <v>19.41</v>
          </cell>
          <cell r="L505">
            <v>19.41</v>
          </cell>
          <cell r="M505">
            <v>19.41</v>
          </cell>
          <cell r="N505">
            <v>19.41</v>
          </cell>
          <cell r="O505"/>
        </row>
        <row r="506">
          <cell r="D506" t="str">
            <v>N-03-15</v>
          </cell>
          <cell r="E506" t="str">
            <v>Lamotrigina</v>
          </cell>
          <cell r="F506" t="str">
            <v>Comprimido</v>
          </cell>
          <cell r="G506" t="str">
            <v>25 mg</v>
          </cell>
          <cell r="H506" t="str">
            <v>N03AX09</v>
          </cell>
          <cell r="I506" t="str">
            <v>R</v>
          </cell>
          <cell r="J506">
            <v>5.62</v>
          </cell>
          <cell r="K506">
            <v>5.62</v>
          </cell>
          <cell r="L506">
            <v>5.62</v>
          </cell>
          <cell r="M506">
            <v>5.62</v>
          </cell>
          <cell r="N506">
            <v>5.62</v>
          </cell>
          <cell r="O506"/>
        </row>
        <row r="507">
          <cell r="D507" t="str">
            <v>N-03-17</v>
          </cell>
          <cell r="E507" t="str">
            <v>Lamotrigina</v>
          </cell>
          <cell r="F507" t="str">
            <v>Comprimido</v>
          </cell>
          <cell r="G507" t="str">
            <v>100 mg</v>
          </cell>
          <cell r="H507" t="str">
            <v>N03AX09</v>
          </cell>
          <cell r="I507" t="str">
            <v>R</v>
          </cell>
          <cell r="J507">
            <v>13.268750000000001</v>
          </cell>
          <cell r="K507">
            <v>13.268750000000001</v>
          </cell>
          <cell r="L507">
            <v>13.268750000000001</v>
          </cell>
          <cell r="M507">
            <v>13.268750000000001</v>
          </cell>
          <cell r="N507">
            <v>13.268750000000001</v>
          </cell>
          <cell r="O507"/>
        </row>
        <row r="508">
          <cell r="D508" t="str">
            <v>N-03-18</v>
          </cell>
          <cell r="E508" t="str">
            <v>Lamotrigina</v>
          </cell>
          <cell r="F508" t="str">
            <v>Comprimido</v>
          </cell>
          <cell r="G508" t="str">
            <v>200 mg</v>
          </cell>
          <cell r="H508" t="str">
            <v>N03AX09</v>
          </cell>
          <cell r="I508" t="str">
            <v>R</v>
          </cell>
          <cell r="J508">
            <v>11.381666666666668</v>
          </cell>
          <cell r="K508">
            <v>11.381666666666668</v>
          </cell>
          <cell r="L508">
            <v>11.381666666666668</v>
          </cell>
          <cell r="M508">
            <v>11.381666666666668</v>
          </cell>
          <cell r="N508">
            <v>11.381666666666668</v>
          </cell>
          <cell r="O508"/>
        </row>
        <row r="509">
          <cell r="D509" t="str">
            <v>S-01-27</v>
          </cell>
          <cell r="E509" t="str">
            <v>Latanoprost</v>
          </cell>
          <cell r="F509" t="str">
            <v>Solución oftálmica</v>
          </cell>
          <cell r="G509" t="str">
            <v>50 mcg/ml</v>
          </cell>
          <cell r="H509" t="str">
            <v>S01EE01</v>
          </cell>
          <cell r="I509"/>
          <cell r="J509">
            <v>83.286111111111111</v>
          </cell>
          <cell r="K509">
            <v>83.286111111111111</v>
          </cell>
          <cell r="L509">
            <v>83.286111111111111</v>
          </cell>
          <cell r="M509">
            <v>83.286111111111111</v>
          </cell>
          <cell r="N509">
            <v>83.286111111111111</v>
          </cell>
          <cell r="O509"/>
        </row>
        <row r="510">
          <cell r="D510" t="str">
            <v>J-05-46</v>
          </cell>
          <cell r="E510" t="str">
            <v>Ledipasvir + Sofosbuvir</v>
          </cell>
          <cell r="F510" t="str">
            <v>Comprimido</v>
          </cell>
          <cell r="G510" t="str">
            <v>90 mg + 400 mg</v>
          </cell>
          <cell r="H510" t="str">
            <v>J05AX65.</v>
          </cell>
          <cell r="I510" t="str">
            <v>R</v>
          </cell>
          <cell r="J510">
            <v>966.65</v>
          </cell>
          <cell r="K510">
            <v>966.65</v>
          </cell>
          <cell r="L510">
            <v>966.65</v>
          </cell>
          <cell r="M510">
            <v>966.65</v>
          </cell>
          <cell r="N510">
            <v>966.65</v>
          </cell>
          <cell r="O510"/>
        </row>
        <row r="511">
          <cell r="D511" t="str">
            <v>L-04-13</v>
          </cell>
          <cell r="E511" t="str">
            <v>Leflunomida</v>
          </cell>
          <cell r="F511" t="str">
            <v>Comprimido</v>
          </cell>
          <cell r="G511" t="str">
            <v>100 mg</v>
          </cell>
          <cell r="H511" t="str">
            <v>L04AA13</v>
          </cell>
          <cell r="I511" t="str">
            <v>R</v>
          </cell>
          <cell r="J511">
            <v>50</v>
          </cell>
          <cell r="K511">
            <v>50</v>
          </cell>
          <cell r="L511">
            <v>50</v>
          </cell>
          <cell r="M511">
            <v>50</v>
          </cell>
          <cell r="N511">
            <v>50</v>
          </cell>
          <cell r="O511"/>
        </row>
        <row r="512">
          <cell r="D512" t="str">
            <v>L-04-14</v>
          </cell>
          <cell r="E512" t="str">
            <v>Lenalidomida</v>
          </cell>
          <cell r="F512" t="str">
            <v>Cápsula</v>
          </cell>
          <cell r="G512" t="str">
            <v>5 mg</v>
          </cell>
          <cell r="H512" t="str">
            <v>L04AX04</v>
          </cell>
          <cell r="I512" t="str">
            <v>R</v>
          </cell>
          <cell r="J512">
            <v>280.62</v>
          </cell>
          <cell r="K512">
            <v>280.62</v>
          </cell>
          <cell r="L512">
            <v>280.62</v>
          </cell>
          <cell r="M512">
            <v>280.62</v>
          </cell>
          <cell r="N512">
            <v>280.62</v>
          </cell>
          <cell r="O512"/>
        </row>
        <row r="513">
          <cell r="D513" t="str">
            <v>L-04-15</v>
          </cell>
          <cell r="E513" t="str">
            <v>Lenalidomida</v>
          </cell>
          <cell r="F513" t="str">
            <v>Cápsula</v>
          </cell>
          <cell r="G513" t="str">
            <v>10 mg</v>
          </cell>
          <cell r="H513" t="str">
            <v>L04AX04</v>
          </cell>
          <cell r="I513" t="str">
            <v>R</v>
          </cell>
          <cell r="J513">
            <v>973.71</v>
          </cell>
          <cell r="K513">
            <v>973.71</v>
          </cell>
          <cell r="L513">
            <v>973.71</v>
          </cell>
          <cell r="M513">
            <v>973.71</v>
          </cell>
          <cell r="N513">
            <v>973.71</v>
          </cell>
          <cell r="O513"/>
        </row>
        <row r="514">
          <cell r="D514" t="str">
            <v>L-04-16</v>
          </cell>
          <cell r="E514" t="str">
            <v>Lenalidomida</v>
          </cell>
          <cell r="F514" t="str">
            <v>Cápsula</v>
          </cell>
          <cell r="G514" t="str">
            <v>15 mg</v>
          </cell>
          <cell r="H514" t="str">
            <v>L04AX04</v>
          </cell>
          <cell r="I514" t="str">
            <v>R</v>
          </cell>
          <cell r="J514">
            <v>1460</v>
          </cell>
          <cell r="K514">
            <v>1460</v>
          </cell>
          <cell r="L514">
            <v>1460</v>
          </cell>
          <cell r="M514">
            <v>1460</v>
          </cell>
          <cell r="N514">
            <v>1460</v>
          </cell>
          <cell r="O514"/>
        </row>
        <row r="515">
          <cell r="D515" t="str">
            <v>L-04-17</v>
          </cell>
          <cell r="E515" t="str">
            <v>Lenalidomida</v>
          </cell>
          <cell r="F515" t="str">
            <v>Cápsula</v>
          </cell>
          <cell r="G515" t="str">
            <v>25 mg</v>
          </cell>
          <cell r="H515" t="str">
            <v>L04AX04</v>
          </cell>
          <cell r="I515" t="str">
            <v>R</v>
          </cell>
          <cell r="J515">
            <v>1683.0066666666667</v>
          </cell>
          <cell r="K515">
            <v>1683.0066666666667</v>
          </cell>
          <cell r="L515">
            <v>1683.0066666666667</v>
          </cell>
          <cell r="M515">
            <v>1683.0066666666667</v>
          </cell>
          <cell r="N515">
            <v>1683.0066666666667</v>
          </cell>
          <cell r="O515"/>
        </row>
        <row r="516">
          <cell r="D516" t="str">
            <v>L-02-04</v>
          </cell>
          <cell r="E516" t="str">
            <v>Letrozol</v>
          </cell>
          <cell r="F516" t="str">
            <v>Comprimido</v>
          </cell>
          <cell r="G516" t="str">
            <v>2,5 mg</v>
          </cell>
          <cell r="H516" t="str">
            <v>L02BG04</v>
          </cell>
          <cell r="I516"/>
          <cell r="J516">
            <v>6.3829166666666666</v>
          </cell>
          <cell r="K516">
            <v>6.3829166666666666</v>
          </cell>
          <cell r="L516">
            <v>6.3829166666666666</v>
          </cell>
          <cell r="M516">
            <v>6.3829166666666666</v>
          </cell>
          <cell r="N516">
            <v>6.3829166666666666</v>
          </cell>
          <cell r="O516"/>
        </row>
        <row r="517">
          <cell r="D517" t="str">
            <v>V-03-14</v>
          </cell>
          <cell r="E517" t="str">
            <v>Leucovorina (Folinato de calcio)</v>
          </cell>
          <cell r="F517" t="str">
            <v>Comprimido</v>
          </cell>
          <cell r="G517" t="str">
            <v>15 mg</v>
          </cell>
          <cell r="H517" t="str">
            <v>V03AF03</v>
          </cell>
          <cell r="I517"/>
          <cell r="J517">
            <v>36.33</v>
          </cell>
          <cell r="K517">
            <v>36.33</v>
          </cell>
          <cell r="L517">
            <v>36.33</v>
          </cell>
          <cell r="M517">
            <v>36.33</v>
          </cell>
          <cell r="N517">
            <v>36.33</v>
          </cell>
          <cell r="O517"/>
        </row>
        <row r="518">
          <cell r="D518" t="str">
            <v>L-02-10</v>
          </cell>
          <cell r="E518" t="str">
            <v>Leuprolide</v>
          </cell>
          <cell r="F518" t="str">
            <v>Inyectable</v>
          </cell>
          <cell r="G518" t="str">
            <v xml:space="preserve">7,5 mg </v>
          </cell>
          <cell r="H518" t="str">
            <v>L02AE02</v>
          </cell>
          <cell r="I518" t="str">
            <v>R</v>
          </cell>
          <cell r="J518">
            <v>1774.5</v>
          </cell>
          <cell r="K518">
            <v>1774.5</v>
          </cell>
          <cell r="L518">
            <v>1774.5</v>
          </cell>
          <cell r="M518">
            <v>1774.5</v>
          </cell>
          <cell r="N518">
            <v>1774.5</v>
          </cell>
          <cell r="O518"/>
        </row>
        <row r="519">
          <cell r="D519" t="str">
            <v>J-01-66</v>
          </cell>
          <cell r="E519" t="str">
            <v>Levofloxacina</v>
          </cell>
          <cell r="F519" t="str">
            <v>Comprimido</v>
          </cell>
          <cell r="G519" t="str">
            <v>500 mg</v>
          </cell>
          <cell r="H519" t="str">
            <v>J01MA12</v>
          </cell>
          <cell r="I519" t="str">
            <v>R</v>
          </cell>
          <cell r="J519">
            <v>2.82</v>
          </cell>
          <cell r="K519">
            <v>2.82</v>
          </cell>
          <cell r="L519">
            <v>2.82</v>
          </cell>
          <cell r="M519">
            <v>2.82</v>
          </cell>
          <cell r="N519">
            <v>2.82</v>
          </cell>
          <cell r="O519"/>
        </row>
        <row r="520">
          <cell r="D520" t="str">
            <v>J-01-68</v>
          </cell>
          <cell r="E520" t="str">
            <v>Levofloxacina</v>
          </cell>
          <cell r="F520" t="str">
            <v>Inyectable</v>
          </cell>
          <cell r="G520" t="str">
            <v>500 mg</v>
          </cell>
          <cell r="H520" t="str">
            <v>J01MA12</v>
          </cell>
          <cell r="I520" t="str">
            <v>R</v>
          </cell>
          <cell r="J520">
            <v>46</v>
          </cell>
          <cell r="K520">
            <v>46</v>
          </cell>
          <cell r="L520">
            <v>46</v>
          </cell>
          <cell r="M520">
            <v>46</v>
          </cell>
          <cell r="N520">
            <v>46</v>
          </cell>
          <cell r="O520" t="str">
            <v>100 ML</v>
          </cell>
        </row>
        <row r="521">
          <cell r="D521" t="str">
            <v>G-03-11</v>
          </cell>
          <cell r="E521" t="str">
            <v>Levonorgestrel</v>
          </cell>
          <cell r="F521" t="str">
            <v>Comprimido</v>
          </cell>
          <cell r="G521" t="str">
            <v>0,75 mg</v>
          </cell>
          <cell r="H521" t="str">
            <v>G03AD01</v>
          </cell>
          <cell r="I521"/>
          <cell r="J521">
            <v>13.863333333333333</v>
          </cell>
          <cell r="K521">
            <v>13.863333333333333</v>
          </cell>
          <cell r="L521">
            <v>13.863333333333333</v>
          </cell>
          <cell r="M521">
            <v>13.863333333333333</v>
          </cell>
          <cell r="N521">
            <v>13.863333333333333</v>
          </cell>
          <cell r="O521"/>
        </row>
        <row r="522">
          <cell r="D522" t="str">
            <v>G-03-20</v>
          </cell>
          <cell r="E522" t="str">
            <v>Levonorgestrel</v>
          </cell>
          <cell r="F522" t="str">
            <v>Comprimido</v>
          </cell>
          <cell r="G522" t="str">
            <v>1,5 mg</v>
          </cell>
          <cell r="H522" t="str">
            <v>G03AD01</v>
          </cell>
          <cell r="I522"/>
          <cell r="J522">
            <v>15.27611111111111</v>
          </cell>
          <cell r="K522">
            <v>15.27611111111111</v>
          </cell>
          <cell r="L522">
            <v>15.27611111111111</v>
          </cell>
          <cell r="M522">
            <v>15.27611111111111</v>
          </cell>
          <cell r="N522">
            <v>15.27611111111111</v>
          </cell>
          <cell r="O522"/>
        </row>
        <row r="523">
          <cell r="D523" t="str">
            <v>G-03-12</v>
          </cell>
          <cell r="E523" t="str">
            <v>Levonorgestrel + Etinilestradiol</v>
          </cell>
          <cell r="F523" t="str">
            <v>Comprimido</v>
          </cell>
          <cell r="G523" t="str">
            <v>0,150 mg + 0,03 mg</v>
          </cell>
          <cell r="H523" t="str">
            <v>G03FB09</v>
          </cell>
          <cell r="I523"/>
          <cell r="J523">
            <v>5.9829355877616743</v>
          </cell>
          <cell r="K523">
            <v>5.9829355877616743</v>
          </cell>
          <cell r="L523">
            <v>5.9829355877616743</v>
          </cell>
          <cell r="M523">
            <v>5.9829355877616743</v>
          </cell>
          <cell r="N523">
            <v>5.9829355877616743</v>
          </cell>
          <cell r="O523" t="str">
            <v>Por ciclo</v>
          </cell>
        </row>
        <row r="524">
          <cell r="D524" t="str">
            <v>H-03-03</v>
          </cell>
          <cell r="E524" t="str">
            <v>Levotiroxina  sòdica</v>
          </cell>
          <cell r="F524" t="str">
            <v>Comprimido</v>
          </cell>
          <cell r="G524" t="str">
            <v xml:space="preserve">0,05 mg </v>
          </cell>
          <cell r="H524" t="str">
            <v>H03AA01</v>
          </cell>
          <cell r="I524"/>
          <cell r="J524">
            <v>0.4</v>
          </cell>
          <cell r="K524">
            <v>0.4</v>
          </cell>
          <cell r="L524">
            <v>0.4</v>
          </cell>
          <cell r="M524">
            <v>0.4</v>
          </cell>
          <cell r="N524">
            <v>0.4</v>
          </cell>
          <cell r="O524" t="str">
            <v>50 MCG</v>
          </cell>
        </row>
        <row r="525">
          <cell r="D525" t="str">
            <v>D-04-01</v>
          </cell>
          <cell r="E525" t="str">
            <v>Lidocaína</v>
          </cell>
          <cell r="F525" t="str">
            <v>Gel o Jalea</v>
          </cell>
          <cell r="G525">
            <v>0.02</v>
          </cell>
          <cell r="H525" t="str">
            <v>D04AB01</v>
          </cell>
          <cell r="I525"/>
          <cell r="J525">
            <v>23.02</v>
          </cell>
          <cell r="K525">
            <v>23.02</v>
          </cell>
          <cell r="L525">
            <v>23.02</v>
          </cell>
          <cell r="M525">
            <v>23.02</v>
          </cell>
          <cell r="N525">
            <v>23.02</v>
          </cell>
          <cell r="O525"/>
        </row>
        <row r="526">
          <cell r="D526" t="str">
            <v>N-01-09</v>
          </cell>
          <cell r="E526" t="str">
            <v>Lidocaína</v>
          </cell>
          <cell r="F526" t="str">
            <v>Cartucho dental</v>
          </cell>
          <cell r="G526">
            <v>0.02</v>
          </cell>
          <cell r="H526" t="str">
            <v>N01BB52</v>
          </cell>
          <cell r="I526"/>
          <cell r="J526">
            <v>3.3</v>
          </cell>
          <cell r="K526">
            <v>3.3</v>
          </cell>
          <cell r="L526">
            <v>3.3</v>
          </cell>
          <cell r="M526">
            <v>3.3</v>
          </cell>
          <cell r="N526">
            <v>3.3</v>
          </cell>
          <cell r="O526"/>
        </row>
        <row r="527">
          <cell r="D527" t="str">
            <v>D-04-02</v>
          </cell>
          <cell r="E527" t="str">
            <v>Lidocaína clorhidrato</v>
          </cell>
          <cell r="F527" t="str">
            <v>Solución para atomización</v>
          </cell>
          <cell r="G527">
            <v>0.1</v>
          </cell>
          <cell r="H527" t="str">
            <v>D04AB01</v>
          </cell>
          <cell r="I527"/>
          <cell r="J527">
            <v>70.94</v>
          </cell>
          <cell r="K527">
            <v>70.94</v>
          </cell>
          <cell r="L527">
            <v>70.94</v>
          </cell>
          <cell r="M527">
            <v>70.94</v>
          </cell>
          <cell r="N527">
            <v>70.94</v>
          </cell>
          <cell r="O527"/>
        </row>
        <row r="528">
          <cell r="D528" t="str">
            <v>N-01-11</v>
          </cell>
          <cell r="E528" t="str">
            <v>Lidocaína clorhidrato + Epinefrina</v>
          </cell>
          <cell r="F528" t="str">
            <v>Cartucho dental</v>
          </cell>
          <cell r="G528" t="str">
            <v>2% 1:200.000</v>
          </cell>
          <cell r="H528" t="str">
            <v>N01BB52</v>
          </cell>
          <cell r="I528"/>
          <cell r="J528">
            <v>3.5</v>
          </cell>
          <cell r="K528">
            <v>3.5</v>
          </cell>
          <cell r="L528">
            <v>3.5</v>
          </cell>
          <cell r="M528">
            <v>3.5</v>
          </cell>
          <cell r="N528">
            <v>3.5</v>
          </cell>
          <cell r="O528"/>
        </row>
        <row r="529">
          <cell r="D529" t="str">
            <v>N-01-12</v>
          </cell>
          <cell r="E529" t="str">
            <v>Lidocaína clorhidrato sin conservante</v>
          </cell>
          <cell r="F529" t="str">
            <v>Inyectable</v>
          </cell>
          <cell r="G529">
            <v>0.02</v>
          </cell>
          <cell r="H529" t="str">
            <v>N01BB02</v>
          </cell>
          <cell r="I529"/>
          <cell r="J529">
            <v>10.67</v>
          </cell>
          <cell r="K529">
            <v>10.67</v>
          </cell>
          <cell r="L529">
            <v>10.67</v>
          </cell>
          <cell r="M529">
            <v>10.67</v>
          </cell>
          <cell r="N529">
            <v>10.67</v>
          </cell>
          <cell r="O529"/>
        </row>
        <row r="530">
          <cell r="D530" t="str">
            <v>J-01-70</v>
          </cell>
          <cell r="E530" t="str">
            <v>Linezolid</v>
          </cell>
          <cell r="F530" t="str">
            <v>Comprimido</v>
          </cell>
          <cell r="G530" t="str">
            <v>600 mg</v>
          </cell>
          <cell r="H530" t="str">
            <v>J01XX08</v>
          </cell>
          <cell r="I530" t="str">
            <v>R</v>
          </cell>
          <cell r="J530">
            <v>15.29</v>
          </cell>
          <cell r="K530">
            <v>15.29</v>
          </cell>
          <cell r="L530">
            <v>15.29</v>
          </cell>
          <cell r="M530">
            <v>15.29</v>
          </cell>
          <cell r="N530">
            <v>15.29</v>
          </cell>
          <cell r="O530"/>
        </row>
        <row r="531">
          <cell r="D531" t="str">
            <v>N-05-10</v>
          </cell>
          <cell r="E531" t="str">
            <v>Litio carbonato</v>
          </cell>
          <cell r="F531" t="str">
            <v>Comprimido</v>
          </cell>
          <cell r="G531" t="str">
            <v>300 mg</v>
          </cell>
          <cell r="H531" t="str">
            <v>N05AN01</v>
          </cell>
          <cell r="I531"/>
          <cell r="J531">
            <v>2.44</v>
          </cell>
          <cell r="K531">
            <v>2.44</v>
          </cell>
          <cell r="L531">
            <v>2.44</v>
          </cell>
          <cell r="M531">
            <v>2.44</v>
          </cell>
          <cell r="N531">
            <v>2.44</v>
          </cell>
          <cell r="O531"/>
        </row>
        <row r="532">
          <cell r="D532" t="str">
            <v>A-07-02</v>
          </cell>
          <cell r="E532" t="str">
            <v>Loperamida</v>
          </cell>
          <cell r="F532" t="str">
            <v>Cápsula o Comprimido</v>
          </cell>
          <cell r="G532" t="str">
            <v>2 mg</v>
          </cell>
          <cell r="H532" t="str">
            <v>A07DA03</v>
          </cell>
          <cell r="I532"/>
          <cell r="J532">
            <v>0.33</v>
          </cell>
          <cell r="K532">
            <v>0.33</v>
          </cell>
          <cell r="L532">
            <v>0.33</v>
          </cell>
          <cell r="M532">
            <v>0.33</v>
          </cell>
          <cell r="N532">
            <v>0.33</v>
          </cell>
          <cell r="O532"/>
        </row>
        <row r="533">
          <cell r="D533" t="str">
            <v>J-05-34</v>
          </cell>
          <cell r="E533" t="str">
            <v>Lopinavir + Ritonavir</v>
          </cell>
          <cell r="F533" t="str">
            <v xml:space="preserve">Comprimido </v>
          </cell>
          <cell r="G533" t="str">
            <v>200 mg + 50 mg</v>
          </cell>
          <cell r="H533" t="str">
            <v>J05AR10</v>
          </cell>
          <cell r="I533"/>
          <cell r="J533">
            <v>3.18</v>
          </cell>
          <cell r="K533">
            <v>3.18</v>
          </cell>
          <cell r="L533">
            <v>3.18</v>
          </cell>
          <cell r="M533">
            <v>3.18</v>
          </cell>
          <cell r="N533">
            <v>3.18</v>
          </cell>
          <cell r="O533"/>
        </row>
        <row r="534">
          <cell r="D534" t="str">
            <v>J-05-35</v>
          </cell>
          <cell r="E534" t="str">
            <v>Lopinavir + Ritonavir</v>
          </cell>
          <cell r="F534" t="str">
            <v>Solución oral</v>
          </cell>
          <cell r="G534" t="str">
            <v>80 mg + 20 mg/ml</v>
          </cell>
          <cell r="H534" t="str">
            <v>J05AR10</v>
          </cell>
          <cell r="I534"/>
          <cell r="J534">
            <v>5.22</v>
          </cell>
          <cell r="K534">
            <v>5.22</v>
          </cell>
          <cell r="L534">
            <v>5.22</v>
          </cell>
          <cell r="M534">
            <v>5.22</v>
          </cell>
          <cell r="N534">
            <v>5.22</v>
          </cell>
          <cell r="O534"/>
        </row>
        <row r="535">
          <cell r="D535" t="str">
            <v>P-02-03</v>
          </cell>
          <cell r="E535" t="str">
            <v>Mebendazol</v>
          </cell>
          <cell r="F535" t="str">
            <v>Comprimido</v>
          </cell>
          <cell r="G535" t="str">
            <v>100 mg</v>
          </cell>
          <cell r="H535" t="str">
            <v>P02CA01</v>
          </cell>
          <cell r="I535"/>
          <cell r="J535">
            <v>0.34</v>
          </cell>
          <cell r="K535">
            <v>0.34</v>
          </cell>
          <cell r="L535">
            <v>0.34</v>
          </cell>
          <cell r="M535">
            <v>0.34</v>
          </cell>
          <cell r="N535">
            <v>0.34</v>
          </cell>
          <cell r="O535"/>
        </row>
        <row r="536">
          <cell r="D536" t="str">
            <v>P-02-04</v>
          </cell>
          <cell r="E536" t="str">
            <v>Mebendazol</v>
          </cell>
          <cell r="F536" t="str">
            <v>Suspensión</v>
          </cell>
          <cell r="G536" t="str">
            <v>100 mg/5 ml</v>
          </cell>
          <cell r="H536" t="str">
            <v>P02CA01</v>
          </cell>
          <cell r="I536"/>
          <cell r="J536">
            <v>5.95</v>
          </cell>
          <cell r="K536">
            <v>5.95</v>
          </cell>
          <cell r="L536">
            <v>5.95</v>
          </cell>
          <cell r="M536">
            <v>5.95</v>
          </cell>
          <cell r="N536">
            <v>5.95</v>
          </cell>
          <cell r="O536"/>
        </row>
        <row r="537">
          <cell r="D537" t="str">
            <v>P-02-05</v>
          </cell>
          <cell r="E537" t="str">
            <v>Mebendazol</v>
          </cell>
          <cell r="F537" t="str">
            <v>Comprimido</v>
          </cell>
          <cell r="G537" t="str">
            <v>500 mg</v>
          </cell>
          <cell r="H537" t="str">
            <v>P02CA01</v>
          </cell>
          <cell r="I537"/>
          <cell r="J537">
            <v>2.89</v>
          </cell>
          <cell r="K537">
            <v>2.89</v>
          </cell>
          <cell r="L537">
            <v>2.89</v>
          </cell>
          <cell r="M537">
            <v>2.89</v>
          </cell>
          <cell r="N537">
            <v>2.89</v>
          </cell>
          <cell r="O537"/>
        </row>
        <row r="538">
          <cell r="D538" t="str">
            <v>G-03-13</v>
          </cell>
          <cell r="E538" t="str">
            <v>Medroxiprogesterona acetato</v>
          </cell>
          <cell r="F538" t="str">
            <v>Inyectable</v>
          </cell>
          <cell r="G538" t="str">
            <v>150 mg/ml</v>
          </cell>
          <cell r="H538" t="str">
            <v>G03AC06</v>
          </cell>
          <cell r="I538"/>
          <cell r="J538">
            <v>11.403055555555556</v>
          </cell>
          <cell r="K538">
            <v>11.403055555555556</v>
          </cell>
          <cell r="L538">
            <v>11.403055555555556</v>
          </cell>
          <cell r="M538">
            <v>11.403055555555556</v>
          </cell>
          <cell r="N538">
            <v>11.403055555555556</v>
          </cell>
          <cell r="O538" t="str">
            <v>1 ML</v>
          </cell>
        </row>
        <row r="539">
          <cell r="D539" t="str">
            <v>G-03-14</v>
          </cell>
          <cell r="E539" t="str">
            <v>Medroxiprogesterona acetato</v>
          </cell>
          <cell r="F539" t="str">
            <v>Comprimido</v>
          </cell>
          <cell r="G539" t="str">
            <v>10 mg</v>
          </cell>
          <cell r="H539" t="str">
            <v>G03DA02</v>
          </cell>
          <cell r="I539"/>
          <cell r="J539">
            <v>2.3199999999999998</v>
          </cell>
          <cell r="K539">
            <v>2.3199999999999998</v>
          </cell>
          <cell r="L539">
            <v>2.3199999999999998</v>
          </cell>
          <cell r="M539">
            <v>2.3199999999999998</v>
          </cell>
          <cell r="N539">
            <v>2.3199999999999998</v>
          </cell>
          <cell r="O539"/>
        </row>
        <row r="540">
          <cell r="D540" t="str">
            <v>G-03-21</v>
          </cell>
          <cell r="E540" t="str">
            <v>Medroxiprogesterona acetato</v>
          </cell>
          <cell r="F540" t="str">
            <v>Inyectable</v>
          </cell>
          <cell r="G540" t="str">
            <v>104mg/0,65 ml</v>
          </cell>
          <cell r="H540" t="str">
            <v>G03AC06</v>
          </cell>
          <cell r="I540"/>
          <cell r="J540">
            <v>9.49</v>
          </cell>
          <cell r="K540">
            <v>9.49</v>
          </cell>
          <cell r="L540">
            <v>9.49</v>
          </cell>
          <cell r="M540">
            <v>9.49</v>
          </cell>
          <cell r="N540">
            <v>9.49</v>
          </cell>
          <cell r="O540"/>
        </row>
        <row r="541">
          <cell r="D541" t="str">
            <v>P-01-04</v>
          </cell>
          <cell r="E541" t="str">
            <v>Mefloquina (clorhidrato)</v>
          </cell>
          <cell r="F541" t="str">
            <v>Comprimido</v>
          </cell>
          <cell r="G541" t="str">
            <v>250 mg</v>
          </cell>
          <cell r="H541" t="str">
            <v>P01BC02</v>
          </cell>
          <cell r="I541"/>
          <cell r="J541">
            <v>5.99</v>
          </cell>
          <cell r="K541">
            <v>5.99</v>
          </cell>
          <cell r="L541">
            <v>5.99</v>
          </cell>
          <cell r="M541">
            <v>5.99</v>
          </cell>
          <cell r="N541">
            <v>5.99</v>
          </cell>
          <cell r="O541"/>
        </row>
        <row r="542">
          <cell r="D542" t="str">
            <v>P-01-05</v>
          </cell>
          <cell r="E542" t="str">
            <v>Meglumina antimoniato</v>
          </cell>
          <cell r="F542" t="str">
            <v>Inyectable</v>
          </cell>
          <cell r="G542" t="str">
            <v>1,5 g/5 ml</v>
          </cell>
          <cell r="H542" t="str">
            <v>P01CB01</v>
          </cell>
          <cell r="I542"/>
          <cell r="J542">
            <v>67.58</v>
          </cell>
          <cell r="K542">
            <v>67.58</v>
          </cell>
          <cell r="L542">
            <v>67.58</v>
          </cell>
          <cell r="M542">
            <v>67.58</v>
          </cell>
          <cell r="N542">
            <v>67.58</v>
          </cell>
          <cell r="O542"/>
        </row>
        <row r="543">
          <cell r="D543" t="str">
            <v>L-01-22</v>
          </cell>
          <cell r="E543" t="str">
            <v>Melfalán</v>
          </cell>
          <cell r="F543" t="str">
            <v>Comprimido</v>
          </cell>
          <cell r="G543" t="str">
            <v>2 mg</v>
          </cell>
          <cell r="H543" t="str">
            <v>L01AA03</v>
          </cell>
          <cell r="I543"/>
          <cell r="J543">
            <v>23</v>
          </cell>
          <cell r="K543">
            <v>23</v>
          </cell>
          <cell r="L543">
            <v>23</v>
          </cell>
          <cell r="M543">
            <v>23</v>
          </cell>
          <cell r="N543">
            <v>23</v>
          </cell>
          <cell r="O543"/>
        </row>
        <row r="544">
          <cell r="D544" t="str">
            <v>J-01-69</v>
          </cell>
          <cell r="E544" t="str">
            <v>Meropenem</v>
          </cell>
          <cell r="F544" t="str">
            <v>Inyectable</v>
          </cell>
          <cell r="G544" t="str">
            <v>500 mg</v>
          </cell>
          <cell r="H544" t="str">
            <v>J01DH02</v>
          </cell>
          <cell r="I544" t="str">
            <v>R</v>
          </cell>
          <cell r="J544">
            <v>106.51359788359787</v>
          </cell>
          <cell r="K544">
            <v>106.51359788359787</v>
          </cell>
          <cell r="L544">
            <v>106.51359788359787</v>
          </cell>
          <cell r="M544">
            <v>106.51359788359787</v>
          </cell>
          <cell r="N544">
            <v>106.51359788359787</v>
          </cell>
          <cell r="O544"/>
        </row>
        <row r="545">
          <cell r="D545" t="str">
            <v>A-07-07</v>
          </cell>
          <cell r="E545" t="str">
            <v>Mesalazina</v>
          </cell>
          <cell r="F545" t="str">
            <v>Comprimido</v>
          </cell>
          <cell r="G545" t="str">
            <v>500 mg</v>
          </cell>
          <cell r="H545" t="str">
            <v>A07S02</v>
          </cell>
          <cell r="I545"/>
          <cell r="J545">
            <v>8.5733333333333341</v>
          </cell>
          <cell r="K545">
            <v>8.5733333333333341</v>
          </cell>
          <cell r="L545">
            <v>8.5733333333333341</v>
          </cell>
          <cell r="M545">
            <v>8.5733333333333341</v>
          </cell>
          <cell r="N545">
            <v>8.5733333333333341</v>
          </cell>
          <cell r="O545"/>
        </row>
        <row r="546">
          <cell r="D546" t="str">
            <v>A-07-08</v>
          </cell>
          <cell r="E546" t="str">
            <v>Mesalazina</v>
          </cell>
          <cell r="F546" t="str">
            <v>Supositorio</v>
          </cell>
          <cell r="G546" t="str">
            <v>1g</v>
          </cell>
          <cell r="H546" t="str">
            <v>A07S02</v>
          </cell>
          <cell r="I546"/>
          <cell r="J546">
            <v>36.79</v>
          </cell>
          <cell r="K546">
            <v>36.79</v>
          </cell>
          <cell r="L546">
            <v>36.79</v>
          </cell>
          <cell r="M546">
            <v>36.79</v>
          </cell>
          <cell r="N546">
            <v>36.79</v>
          </cell>
          <cell r="O546"/>
        </row>
        <row r="547">
          <cell r="D547" t="str">
            <v>A-10-04</v>
          </cell>
          <cell r="E547" t="str">
            <v>Metformina</v>
          </cell>
          <cell r="F547" t="str">
            <v>Comprimido</v>
          </cell>
          <cell r="G547" t="str">
            <v>850 mg</v>
          </cell>
          <cell r="H547" t="str">
            <v>A10BA02</v>
          </cell>
          <cell r="I547"/>
          <cell r="J547">
            <v>1.28</v>
          </cell>
          <cell r="K547">
            <v>1.28</v>
          </cell>
          <cell r="L547">
            <v>1.28</v>
          </cell>
          <cell r="M547">
            <v>1.28</v>
          </cell>
          <cell r="N547">
            <v>1.28</v>
          </cell>
          <cell r="O547"/>
        </row>
        <row r="548">
          <cell r="D548" t="str">
            <v>A-10-07</v>
          </cell>
          <cell r="E548" t="str">
            <v>Metformina</v>
          </cell>
          <cell r="F548" t="str">
            <v>Comprimido</v>
          </cell>
          <cell r="G548" t="str">
            <v>500 mg</v>
          </cell>
          <cell r="H548" t="str">
            <v>A10BA02</v>
          </cell>
          <cell r="I548"/>
          <cell r="J548">
            <v>0.67999999999999994</v>
          </cell>
          <cell r="K548">
            <v>0.67999999999999994</v>
          </cell>
          <cell r="L548">
            <v>0.67999999999999994</v>
          </cell>
          <cell r="M548">
            <v>0.67999999999999994</v>
          </cell>
          <cell r="N548">
            <v>0.67999999999999994</v>
          </cell>
          <cell r="O548"/>
        </row>
        <row r="549">
          <cell r="D549" t="str">
            <v>C-02-04</v>
          </cell>
          <cell r="E549" t="str">
            <v>Metildopa (Alfametildopa)</v>
          </cell>
          <cell r="F549" t="str">
            <v>Comprimido</v>
          </cell>
          <cell r="G549" t="str">
            <v>500 mg</v>
          </cell>
          <cell r="H549" t="str">
            <v>C02AB02</v>
          </cell>
          <cell r="I549"/>
          <cell r="J549">
            <v>1.9145151515151513</v>
          </cell>
          <cell r="K549">
            <v>1.9145151515151513</v>
          </cell>
          <cell r="L549">
            <v>1.9145151515151513</v>
          </cell>
          <cell r="M549">
            <v>1.9145151515151513</v>
          </cell>
          <cell r="N549">
            <v>1.9145151515151513</v>
          </cell>
          <cell r="O549"/>
        </row>
        <row r="550">
          <cell r="D550" t="str">
            <v>N-06-06</v>
          </cell>
          <cell r="E550" t="str">
            <v>Metilfenidato</v>
          </cell>
          <cell r="F550" t="str">
            <v>Comprimido</v>
          </cell>
          <cell r="G550" t="str">
            <v>10 mg</v>
          </cell>
          <cell r="H550" t="str">
            <v>N06BA04</v>
          </cell>
          <cell r="I550"/>
          <cell r="J550">
            <v>16.448571428571427</v>
          </cell>
          <cell r="K550">
            <v>16.448571428571427</v>
          </cell>
          <cell r="L550">
            <v>16.448571428571427</v>
          </cell>
          <cell r="M550">
            <v>16.448571428571427</v>
          </cell>
          <cell r="N550">
            <v>16.448571428571427</v>
          </cell>
          <cell r="O550"/>
        </row>
        <row r="551">
          <cell r="D551" t="str">
            <v>H-02-07</v>
          </cell>
          <cell r="E551" t="str">
            <v>Metilprednisolona succinato sódico</v>
          </cell>
          <cell r="F551" t="str">
            <v>Inyectable</v>
          </cell>
          <cell r="G551" t="str">
            <v>500 mg</v>
          </cell>
          <cell r="H551" t="str">
            <v>H02AB04</v>
          </cell>
          <cell r="I551"/>
          <cell r="J551">
            <v>113.5</v>
          </cell>
          <cell r="K551">
            <v>113.5</v>
          </cell>
          <cell r="L551">
            <v>113.5</v>
          </cell>
          <cell r="M551">
            <v>113.5</v>
          </cell>
          <cell r="N551">
            <v>113.5</v>
          </cell>
          <cell r="O551"/>
        </row>
        <row r="552">
          <cell r="D552" t="str">
            <v>A-03-09</v>
          </cell>
          <cell r="E552" t="str">
            <v>Metoclopramida</v>
          </cell>
          <cell r="F552" t="str">
            <v>Solución oral gotas</v>
          </cell>
          <cell r="G552" t="str">
            <v>0,35% o 0,5%</v>
          </cell>
          <cell r="H552" t="str">
            <v>A03FA01</v>
          </cell>
          <cell r="I552"/>
          <cell r="J552">
            <v>13.28</v>
          </cell>
          <cell r="K552">
            <v>13.28</v>
          </cell>
          <cell r="L552">
            <v>13.28</v>
          </cell>
          <cell r="M552">
            <v>13.28</v>
          </cell>
          <cell r="N552">
            <v>13.28</v>
          </cell>
          <cell r="O552"/>
        </row>
        <row r="553">
          <cell r="D553" t="str">
            <v>G-01-04</v>
          </cell>
          <cell r="E553" t="str">
            <v>Metronidazol</v>
          </cell>
          <cell r="F553" t="str">
            <v>Óvulo</v>
          </cell>
          <cell r="G553" t="str">
            <v>500 mg</v>
          </cell>
          <cell r="H553" t="str">
            <v>G01AF01</v>
          </cell>
          <cell r="I553"/>
          <cell r="J553">
            <v>1.83</v>
          </cell>
          <cell r="K553">
            <v>1.83</v>
          </cell>
          <cell r="L553">
            <v>1.83</v>
          </cell>
          <cell r="M553">
            <v>1.83</v>
          </cell>
          <cell r="N553">
            <v>1.83</v>
          </cell>
          <cell r="O553"/>
        </row>
        <row r="554">
          <cell r="D554" t="str">
            <v>P-01-06</v>
          </cell>
          <cell r="E554" t="str">
            <v>Metronidazol</v>
          </cell>
          <cell r="F554" t="str">
            <v>Suspensión</v>
          </cell>
          <cell r="G554" t="str">
            <v>250 mg/5 ml</v>
          </cell>
          <cell r="H554" t="str">
            <v>P01AB01</v>
          </cell>
          <cell r="I554"/>
          <cell r="J554">
            <v>14</v>
          </cell>
          <cell r="K554">
            <v>14</v>
          </cell>
          <cell r="L554">
            <v>14</v>
          </cell>
          <cell r="M554">
            <v>14</v>
          </cell>
          <cell r="N554">
            <v>14</v>
          </cell>
          <cell r="O554" t="str">
            <v>100 ML</v>
          </cell>
        </row>
        <row r="555">
          <cell r="D555" t="str">
            <v>P-01-08</v>
          </cell>
          <cell r="E555" t="str">
            <v>Metronidazol</v>
          </cell>
          <cell r="F555" t="str">
            <v>Suspensión</v>
          </cell>
          <cell r="G555" t="str">
            <v>125 mg/5 ml</v>
          </cell>
          <cell r="H555" t="str">
            <v>P01AB01</v>
          </cell>
          <cell r="I555"/>
          <cell r="J555">
            <v>14.2</v>
          </cell>
          <cell r="K555">
            <v>14.2</v>
          </cell>
          <cell r="L555">
            <v>14.2</v>
          </cell>
          <cell r="M555">
            <v>14.2</v>
          </cell>
          <cell r="N555">
            <v>14.2</v>
          </cell>
          <cell r="O555"/>
        </row>
        <row r="556">
          <cell r="D556" t="str">
            <v>P-01-09</v>
          </cell>
          <cell r="E556" t="str">
            <v>Metronidazol</v>
          </cell>
          <cell r="F556" t="str">
            <v>Comprimido</v>
          </cell>
          <cell r="G556" t="str">
            <v>500 mg</v>
          </cell>
          <cell r="H556" t="str">
            <v>P01AB01</v>
          </cell>
          <cell r="I556"/>
          <cell r="J556">
            <v>0.57999999999999996</v>
          </cell>
          <cell r="K556">
            <v>0.57999999999999996</v>
          </cell>
          <cell r="L556">
            <v>0.57999999999999996</v>
          </cell>
          <cell r="M556">
            <v>0.57999999999999996</v>
          </cell>
          <cell r="N556">
            <v>0.57999999999999996</v>
          </cell>
          <cell r="O556"/>
        </row>
        <row r="557">
          <cell r="D557" t="str">
            <v>L-04-07</v>
          </cell>
          <cell r="E557" t="str">
            <v>Micofenolato de mofetilo</v>
          </cell>
          <cell r="F557" t="str">
            <v>Comprimido</v>
          </cell>
          <cell r="G557" t="str">
            <v>500 mg</v>
          </cell>
          <cell r="H557" t="str">
            <v>L04AA06</v>
          </cell>
          <cell r="I557" t="str">
            <v>R</v>
          </cell>
          <cell r="J557">
            <v>5.468295454545455</v>
          </cell>
          <cell r="K557">
            <v>5.468295454545455</v>
          </cell>
          <cell r="L557">
            <v>5.468295454545455</v>
          </cell>
          <cell r="M557">
            <v>5.468295454545455</v>
          </cell>
          <cell r="N557">
            <v>5.468295454545455</v>
          </cell>
          <cell r="O557"/>
        </row>
        <row r="558">
          <cell r="D558" t="str">
            <v>B-03-05</v>
          </cell>
          <cell r="E558" t="str">
            <v>Micronutrientes (Vit. C + Vit A + Fe + Zn + Ac. Fólico) (Chispitas nutricionales)</v>
          </cell>
          <cell r="F558" t="str">
            <v>Polvo</v>
          </cell>
          <cell r="G558" t="str">
            <v>Según concentración estándar</v>
          </cell>
          <cell r="H558" t="str">
            <v>B03AE10</v>
          </cell>
          <cell r="I558"/>
          <cell r="J558">
            <v>0.41</v>
          </cell>
          <cell r="K558">
            <v>0.41</v>
          </cell>
          <cell r="L558">
            <v>0.41</v>
          </cell>
          <cell r="M558">
            <v>0.41</v>
          </cell>
          <cell r="N558">
            <v>0.41</v>
          </cell>
          <cell r="O558"/>
        </row>
        <row r="559">
          <cell r="D559" t="str">
            <v>G-02-10</v>
          </cell>
          <cell r="E559" t="str">
            <v>Mifepristona</v>
          </cell>
          <cell r="F559" t="str">
            <v>Comprimido</v>
          </cell>
          <cell r="G559" t="str">
            <v>200 mg</v>
          </cell>
          <cell r="H559" t="str">
            <v>G03XB01</v>
          </cell>
          <cell r="I559"/>
          <cell r="J559">
            <v>122.5</v>
          </cell>
          <cell r="K559">
            <v>122.5</v>
          </cell>
          <cell r="L559">
            <v>122.5</v>
          </cell>
          <cell r="M559">
            <v>122.5</v>
          </cell>
          <cell r="N559">
            <v>122.5</v>
          </cell>
          <cell r="O559"/>
        </row>
        <row r="560">
          <cell r="D560" t="str">
            <v>C-01-16</v>
          </cell>
          <cell r="E560" t="str">
            <v>Milrinona</v>
          </cell>
          <cell r="F560" t="str">
            <v>Inyectable</v>
          </cell>
          <cell r="G560" t="str">
            <v>1 mg/ml</v>
          </cell>
          <cell r="H560" t="str">
            <v>C01CE02</v>
          </cell>
          <cell r="I560" t="str">
            <v>R</v>
          </cell>
          <cell r="J560">
            <v>200</v>
          </cell>
          <cell r="K560">
            <v>200</v>
          </cell>
          <cell r="L560">
            <v>200</v>
          </cell>
          <cell r="M560">
            <v>200</v>
          </cell>
          <cell r="N560">
            <v>200</v>
          </cell>
          <cell r="O560" t="str">
            <v>12 ML</v>
          </cell>
        </row>
        <row r="561">
          <cell r="D561" t="str">
            <v>J-01-73</v>
          </cell>
          <cell r="E561" t="str">
            <v xml:space="preserve">Minociclina </v>
          </cell>
          <cell r="F561" t="str">
            <v>Comprimido</v>
          </cell>
          <cell r="G561" t="str">
            <v>100 mg</v>
          </cell>
          <cell r="H561" t="str">
            <v>J01AA08</v>
          </cell>
          <cell r="I561" t="str">
            <v>R</v>
          </cell>
          <cell r="J561">
            <v>6.88</v>
          </cell>
          <cell r="K561">
            <v>6.88</v>
          </cell>
          <cell r="L561">
            <v>6.88</v>
          </cell>
          <cell r="M561">
            <v>6.88</v>
          </cell>
          <cell r="N561">
            <v>6.88</v>
          </cell>
          <cell r="O561"/>
        </row>
        <row r="562">
          <cell r="D562" t="str">
            <v>A-02-06</v>
          </cell>
          <cell r="E562" t="str">
            <v>Misoprostol</v>
          </cell>
          <cell r="F562" t="str">
            <v>Comprimido</v>
          </cell>
          <cell r="G562" t="str">
            <v>200 mcg</v>
          </cell>
          <cell r="H562" t="str">
            <v>A02BB01</v>
          </cell>
          <cell r="I562" t="str">
            <v>R</v>
          </cell>
          <cell r="J562">
            <v>7.5441666666666674</v>
          </cell>
          <cell r="K562">
            <v>7.5441666666666674</v>
          </cell>
          <cell r="L562">
            <v>7.5441666666666674</v>
          </cell>
          <cell r="M562">
            <v>7.5441666666666674</v>
          </cell>
          <cell r="N562">
            <v>7.5441666666666674</v>
          </cell>
          <cell r="O562"/>
        </row>
        <row r="563">
          <cell r="D563" t="str">
            <v>J-05-47</v>
          </cell>
          <cell r="E563" t="str">
            <v>Oseltamivir</v>
          </cell>
          <cell r="F563" t="str">
            <v>Suspensión</v>
          </cell>
          <cell r="G563" t="str">
            <v>30 mg/5 ml</v>
          </cell>
          <cell r="H563" t="str">
            <v>J05AH02</v>
          </cell>
          <cell r="I563" t="str">
            <v>R</v>
          </cell>
          <cell r="J563" t="str">
            <v>208.00</v>
          </cell>
          <cell r="K563" t="str">
            <v>208.00</v>
          </cell>
          <cell r="L563" t="str">
            <v>208.00</v>
          </cell>
          <cell r="M563" t="str">
            <v>208.00</v>
          </cell>
          <cell r="N563" t="str">
            <v>208.00</v>
          </cell>
          <cell r="O563"/>
        </row>
        <row r="564">
          <cell r="D564" t="str">
            <v>G-02-08</v>
          </cell>
          <cell r="E564" t="str">
            <v>Misoprostol</v>
          </cell>
          <cell r="F564" t="str">
            <v>Comprimido vaginal</v>
          </cell>
          <cell r="G564" t="str">
            <v>25 mcg</v>
          </cell>
          <cell r="H564" t="str">
            <v>G02AD06</v>
          </cell>
          <cell r="I564" t="str">
            <v>R</v>
          </cell>
          <cell r="J564">
            <v>5.9</v>
          </cell>
          <cell r="K564">
            <v>5.9</v>
          </cell>
          <cell r="L564">
            <v>5.9</v>
          </cell>
          <cell r="M564">
            <v>5.9</v>
          </cell>
          <cell r="N564">
            <v>5.9</v>
          </cell>
          <cell r="O564"/>
        </row>
        <row r="565">
          <cell r="D565" t="str">
            <v>M-03-02</v>
          </cell>
          <cell r="E565" t="str">
            <v>Mivacuronio</v>
          </cell>
          <cell r="F565" t="str">
            <v>Inyectable</v>
          </cell>
          <cell r="G565" t="str">
            <v>2 mg/ml</v>
          </cell>
          <cell r="H565" t="str">
            <v>M03AC10</v>
          </cell>
          <cell r="I565"/>
          <cell r="J565">
            <v>118.83</v>
          </cell>
          <cell r="K565">
            <v>118.83</v>
          </cell>
          <cell r="L565">
            <v>118.83</v>
          </cell>
          <cell r="M565">
            <v>118.83</v>
          </cell>
          <cell r="N565">
            <v>118.83</v>
          </cell>
          <cell r="O565"/>
        </row>
        <row r="566">
          <cell r="D566" t="str">
            <v>N-02-07</v>
          </cell>
          <cell r="E566" t="str">
            <v>Morfina (con y sin conservante)</v>
          </cell>
          <cell r="F566" t="str">
            <v>Inyectable</v>
          </cell>
          <cell r="G566" t="str">
            <v>10 mg/ml</v>
          </cell>
          <cell r="H566" t="str">
            <v>N02AA01</v>
          </cell>
          <cell r="I566"/>
          <cell r="J566">
            <v>15</v>
          </cell>
          <cell r="K566">
            <v>15</v>
          </cell>
          <cell r="L566">
            <v>15</v>
          </cell>
          <cell r="M566">
            <v>15</v>
          </cell>
          <cell r="N566">
            <v>15</v>
          </cell>
          <cell r="O566" t="str">
            <v>1 ML</v>
          </cell>
        </row>
        <row r="567">
          <cell r="D567" t="str">
            <v>J-01-72</v>
          </cell>
          <cell r="E567" t="str">
            <v>Moxifloxacina</v>
          </cell>
          <cell r="F567" t="str">
            <v>Comprimido</v>
          </cell>
          <cell r="G567" t="str">
            <v>400 mg</v>
          </cell>
          <cell r="H567" t="str">
            <v>J01MA14</v>
          </cell>
          <cell r="I567" t="str">
            <v>R</v>
          </cell>
          <cell r="J567">
            <v>3.45</v>
          </cell>
          <cell r="K567">
            <v>3.45</v>
          </cell>
          <cell r="L567">
            <v>3.45</v>
          </cell>
          <cell r="M567">
            <v>3.45</v>
          </cell>
          <cell r="N567">
            <v>3.45</v>
          </cell>
          <cell r="O567"/>
        </row>
        <row r="568">
          <cell r="D568" t="str">
            <v>A-11-09</v>
          </cell>
          <cell r="E568" t="str">
            <v>Multivitaminas</v>
          </cell>
          <cell r="F568" t="str">
            <v>Comprimido</v>
          </cell>
          <cell r="G568" t="str">
            <v>Según concentración estándar</v>
          </cell>
          <cell r="H568" t="str">
            <v>A11AA03</v>
          </cell>
          <cell r="I568"/>
          <cell r="J568">
            <v>0.45</v>
          </cell>
          <cell r="K568">
            <v>0.45</v>
          </cell>
          <cell r="L568">
            <v>0.45</v>
          </cell>
          <cell r="M568">
            <v>0.45</v>
          </cell>
          <cell r="N568">
            <v>0.45</v>
          </cell>
          <cell r="O568"/>
        </row>
        <row r="569">
          <cell r="D569" t="str">
            <v>A-11-10</v>
          </cell>
          <cell r="E569" t="str">
            <v>Multivitaminas</v>
          </cell>
          <cell r="F569" t="str">
            <v>Jarabe</v>
          </cell>
          <cell r="G569" t="str">
            <v>Según concentración estándar</v>
          </cell>
          <cell r="H569" t="str">
            <v>A11AA03</v>
          </cell>
          <cell r="I569"/>
          <cell r="J569">
            <v>16.5575625</v>
          </cell>
          <cell r="K569">
            <v>16.5575625</v>
          </cell>
          <cell r="L569">
            <v>16.5575625</v>
          </cell>
          <cell r="M569">
            <v>16.5575625</v>
          </cell>
          <cell r="N569">
            <v>16.5575625</v>
          </cell>
          <cell r="O569" t="str">
            <v>100 ML</v>
          </cell>
        </row>
        <row r="570">
          <cell r="D570" t="str">
            <v>A-11-20</v>
          </cell>
          <cell r="E570" t="str">
            <v>Multivitaminas</v>
          </cell>
          <cell r="F570" t="str">
            <v>Polvo liofilizado</v>
          </cell>
          <cell r="G570" t="str">
            <v>Según disponibilidad</v>
          </cell>
          <cell r="H570" t="str">
            <v>A11AA03</v>
          </cell>
          <cell r="I570"/>
          <cell r="J570">
            <v>50</v>
          </cell>
          <cell r="K570">
            <v>50</v>
          </cell>
          <cell r="L570">
            <v>50</v>
          </cell>
          <cell r="M570">
            <v>50</v>
          </cell>
          <cell r="N570">
            <v>50</v>
          </cell>
          <cell r="O570"/>
        </row>
        <row r="571">
          <cell r="D571" t="str">
            <v>S-01-19</v>
          </cell>
          <cell r="E571" t="str">
            <v>Nafazolina clorhidrato</v>
          </cell>
          <cell r="F571" t="str">
            <v>Solución oftálmica</v>
          </cell>
          <cell r="G571" t="str">
            <v>0,1%</v>
          </cell>
          <cell r="H571" t="str">
            <v>S01GA01</v>
          </cell>
          <cell r="I571"/>
          <cell r="J571">
            <v>19.7</v>
          </cell>
          <cell r="K571">
            <v>19.7</v>
          </cell>
          <cell r="L571">
            <v>19.7</v>
          </cell>
          <cell r="M571">
            <v>19.7</v>
          </cell>
          <cell r="N571">
            <v>19.7</v>
          </cell>
          <cell r="O571" t="str">
            <v>15 ML</v>
          </cell>
        </row>
        <row r="572">
          <cell r="D572" t="str">
            <v>V-03-09</v>
          </cell>
          <cell r="E572" t="str">
            <v>Naloxona</v>
          </cell>
          <cell r="F572" t="str">
            <v>Inyectable</v>
          </cell>
          <cell r="G572" t="str">
            <v>0,4 mg/ml</v>
          </cell>
          <cell r="H572" t="str">
            <v>V03AB15</v>
          </cell>
          <cell r="I572"/>
          <cell r="J572">
            <v>63</v>
          </cell>
          <cell r="K572">
            <v>63</v>
          </cell>
          <cell r="L572">
            <v>63</v>
          </cell>
          <cell r="M572">
            <v>63</v>
          </cell>
          <cell r="N572">
            <v>63</v>
          </cell>
          <cell r="O572"/>
        </row>
        <row r="573">
          <cell r="D573" t="str">
            <v>N-02-16</v>
          </cell>
          <cell r="E573" t="str">
            <v>Naratriptan</v>
          </cell>
          <cell r="F573" t="str">
            <v>Comprimido</v>
          </cell>
          <cell r="G573" t="str">
            <v>2,5 mg</v>
          </cell>
          <cell r="H573" t="str">
            <v>N02CC02</v>
          </cell>
          <cell r="I573"/>
          <cell r="J573">
            <v>12.5</v>
          </cell>
          <cell r="K573">
            <v>12.5</v>
          </cell>
          <cell r="L573">
            <v>12.5</v>
          </cell>
          <cell r="M573">
            <v>12.5</v>
          </cell>
          <cell r="N573">
            <v>12.5</v>
          </cell>
          <cell r="O573"/>
        </row>
        <row r="574">
          <cell r="D574" t="str">
            <v>J-05-20</v>
          </cell>
          <cell r="E574" t="str">
            <v>Nevirapina</v>
          </cell>
          <cell r="F574" t="str">
            <v>Comprimido</v>
          </cell>
          <cell r="G574" t="str">
            <v>200 mg</v>
          </cell>
          <cell r="H574" t="str">
            <v>J05AG01</v>
          </cell>
          <cell r="I574"/>
          <cell r="J574">
            <v>0.45</v>
          </cell>
          <cell r="K574">
            <v>0.45</v>
          </cell>
          <cell r="L574">
            <v>0.45</v>
          </cell>
          <cell r="M574">
            <v>0.45</v>
          </cell>
          <cell r="N574">
            <v>0.45</v>
          </cell>
          <cell r="O574"/>
        </row>
        <row r="575">
          <cell r="D575" t="str">
            <v>J-05-21</v>
          </cell>
          <cell r="E575" t="str">
            <v>Nevirapina</v>
          </cell>
          <cell r="F575" t="str">
            <v>Suspensión</v>
          </cell>
          <cell r="G575" t="str">
            <v>10 mg/ml</v>
          </cell>
          <cell r="H575" t="str">
            <v>J05AG01</v>
          </cell>
          <cell r="I575"/>
          <cell r="J575">
            <v>20.75</v>
          </cell>
          <cell r="K575">
            <v>20.75</v>
          </cell>
          <cell r="L575">
            <v>20.75</v>
          </cell>
          <cell r="M575">
            <v>20.75</v>
          </cell>
          <cell r="N575">
            <v>20.75</v>
          </cell>
          <cell r="O575"/>
        </row>
        <row r="576">
          <cell r="D576" t="str">
            <v>P-02-06</v>
          </cell>
          <cell r="E576" t="str">
            <v>Niclosamida</v>
          </cell>
          <cell r="F576" t="str">
            <v>Comprimido</v>
          </cell>
          <cell r="G576" t="str">
            <v>500 mg</v>
          </cell>
          <cell r="H576" t="str">
            <v>P02DA01</v>
          </cell>
          <cell r="I576"/>
          <cell r="J576">
            <v>7.58</v>
          </cell>
          <cell r="K576">
            <v>7.58</v>
          </cell>
          <cell r="L576">
            <v>7.58</v>
          </cell>
          <cell r="M576">
            <v>7.58</v>
          </cell>
          <cell r="N576">
            <v>7.58</v>
          </cell>
          <cell r="O576"/>
        </row>
        <row r="577">
          <cell r="D577" t="str">
            <v>C-08-08</v>
          </cell>
          <cell r="E577" t="str">
            <v>Nifedipino</v>
          </cell>
          <cell r="F577" t="str">
            <v>Comprimido o Cápsula</v>
          </cell>
          <cell r="G577" t="str">
            <v>10 mg</v>
          </cell>
          <cell r="H577" t="str">
            <v>C08CA05</v>
          </cell>
          <cell r="I577"/>
          <cell r="J577">
            <v>0.51229090909090902</v>
          </cell>
          <cell r="K577">
            <v>0.51229090909090902</v>
          </cell>
          <cell r="L577">
            <v>0.51229090909090902</v>
          </cell>
          <cell r="M577">
            <v>0.51229090909090902</v>
          </cell>
          <cell r="N577">
            <v>0.51229090909090902</v>
          </cell>
          <cell r="O577"/>
        </row>
        <row r="578">
          <cell r="D578" t="str">
            <v>P-01-10</v>
          </cell>
          <cell r="E578" t="str">
            <v>Nifurtimox</v>
          </cell>
          <cell r="F578" t="str">
            <v>Comprimido</v>
          </cell>
          <cell r="G578" t="str">
            <v>120 mg</v>
          </cell>
          <cell r="H578" t="str">
            <v>P01CC01</v>
          </cell>
          <cell r="I578"/>
          <cell r="J578">
            <v>17.05</v>
          </cell>
          <cell r="K578">
            <v>17.05</v>
          </cell>
          <cell r="L578">
            <v>17.05</v>
          </cell>
          <cell r="M578">
            <v>17.05</v>
          </cell>
          <cell r="N578">
            <v>17.05</v>
          </cell>
          <cell r="O578"/>
        </row>
        <row r="579">
          <cell r="D579" t="str">
            <v>P-01-29</v>
          </cell>
          <cell r="E579" t="str">
            <v>Nifurtimox</v>
          </cell>
          <cell r="F579" t="str">
            <v>Comprimido</v>
          </cell>
          <cell r="G579" t="str">
            <v>30 mg</v>
          </cell>
          <cell r="H579" t="str">
            <v>P01CC01</v>
          </cell>
          <cell r="I579"/>
          <cell r="J579">
            <v>0.6</v>
          </cell>
          <cell r="K579">
            <v>0.6</v>
          </cell>
          <cell r="L579">
            <v>0.6</v>
          </cell>
          <cell r="M579">
            <v>0.6</v>
          </cell>
          <cell r="N579">
            <v>0.6</v>
          </cell>
          <cell r="O579"/>
        </row>
        <row r="580">
          <cell r="D580" t="str">
            <v>P-01-30</v>
          </cell>
          <cell r="E580" t="str">
            <v>Nifurtimox</v>
          </cell>
          <cell r="F580" t="str">
            <v>Comprimido</v>
          </cell>
          <cell r="G580" t="str">
            <v>250 mg</v>
          </cell>
          <cell r="H580" t="str">
            <v>P01CC01</v>
          </cell>
          <cell r="I580"/>
          <cell r="J580">
            <v>2.02</v>
          </cell>
          <cell r="K580">
            <v>2.02</v>
          </cell>
          <cell r="L580">
            <v>2.02</v>
          </cell>
          <cell r="M580">
            <v>2.02</v>
          </cell>
          <cell r="N580">
            <v>2.02</v>
          </cell>
          <cell r="O580"/>
        </row>
        <row r="581">
          <cell r="D581" t="str">
            <v>C-08-02</v>
          </cell>
          <cell r="E581" t="str">
            <v>Nimodipina</v>
          </cell>
          <cell r="F581" t="str">
            <v>Comprimido</v>
          </cell>
          <cell r="G581" t="str">
            <v>30 mg</v>
          </cell>
          <cell r="H581" t="str">
            <v>C08CA06</v>
          </cell>
          <cell r="I581"/>
          <cell r="J581">
            <v>0.93</v>
          </cell>
          <cell r="K581">
            <v>0.93</v>
          </cell>
          <cell r="L581">
            <v>0.93</v>
          </cell>
          <cell r="M581">
            <v>0.93</v>
          </cell>
          <cell r="N581">
            <v>0.93</v>
          </cell>
          <cell r="O581"/>
        </row>
        <row r="582">
          <cell r="D582" t="str">
            <v>C-08-03</v>
          </cell>
          <cell r="E582" t="str">
            <v>Nimodipina</v>
          </cell>
          <cell r="F582" t="str">
            <v>Inyectable</v>
          </cell>
          <cell r="G582" t="str">
            <v>0,2 mg/ml</v>
          </cell>
          <cell r="H582" t="str">
            <v>C08CA06</v>
          </cell>
          <cell r="I582"/>
          <cell r="J582">
            <v>172.53444999999999</v>
          </cell>
          <cell r="K582">
            <v>172.53444999999999</v>
          </cell>
          <cell r="L582">
            <v>172.53444999999999</v>
          </cell>
          <cell r="M582">
            <v>172.53444999999999</v>
          </cell>
          <cell r="N582">
            <v>172.53444999999999</v>
          </cell>
          <cell r="O582" t="str">
            <v>50 ML</v>
          </cell>
        </row>
        <row r="583">
          <cell r="D583" t="str">
            <v>L-01-54</v>
          </cell>
          <cell r="E583" t="str">
            <v>Nimotuzumab</v>
          </cell>
          <cell r="F583" t="str">
            <v>Inyectable</v>
          </cell>
          <cell r="G583" t="str">
            <v>50 mg</v>
          </cell>
          <cell r="H583" t="str">
            <v>L01XC99</v>
          </cell>
          <cell r="I583" t="str">
            <v>R</v>
          </cell>
          <cell r="J583">
            <v>68.97</v>
          </cell>
          <cell r="K583">
            <v>68.97</v>
          </cell>
          <cell r="L583">
            <v>68.97</v>
          </cell>
          <cell r="M583">
            <v>68.97</v>
          </cell>
          <cell r="N583">
            <v>68.97</v>
          </cell>
          <cell r="O583"/>
        </row>
        <row r="584">
          <cell r="D584" t="str">
            <v>A-07-03</v>
          </cell>
          <cell r="E584" t="str">
            <v>Nistatina</v>
          </cell>
          <cell r="F584" t="str">
            <v>Comprimido</v>
          </cell>
          <cell r="G584" t="str">
            <v>500.000 UI</v>
          </cell>
          <cell r="H584" t="str">
            <v>A07AA02</v>
          </cell>
          <cell r="I584"/>
          <cell r="J584">
            <v>0.61</v>
          </cell>
          <cell r="K584">
            <v>0.61</v>
          </cell>
          <cell r="L584">
            <v>0.61</v>
          </cell>
          <cell r="M584">
            <v>0.61</v>
          </cell>
          <cell r="N584">
            <v>0.61</v>
          </cell>
          <cell r="O584"/>
        </row>
        <row r="585">
          <cell r="D585" t="str">
            <v>D-01-04</v>
          </cell>
          <cell r="E585" t="str">
            <v>Nistatina</v>
          </cell>
          <cell r="F585" t="str">
            <v>Crema o Pomada</v>
          </cell>
          <cell r="G585" t="str">
            <v>100.000 UI/g</v>
          </cell>
          <cell r="H585" t="str">
            <v>D01AA01</v>
          </cell>
          <cell r="I585"/>
          <cell r="J585">
            <v>10.766059523809524</v>
          </cell>
          <cell r="K585">
            <v>10.766059523809524</v>
          </cell>
          <cell r="L585">
            <v>10.766059523809524</v>
          </cell>
          <cell r="M585">
            <v>10.766059523809524</v>
          </cell>
          <cell r="N585">
            <v>10.766059523809524</v>
          </cell>
          <cell r="O585" t="str">
            <v>10 G</v>
          </cell>
        </row>
        <row r="586">
          <cell r="D586" t="str">
            <v>G-01-05</v>
          </cell>
          <cell r="E586" t="str">
            <v>Nistatina</v>
          </cell>
          <cell r="F586" t="str">
            <v>Óvulo</v>
          </cell>
          <cell r="G586" t="str">
            <v>100.000 UI</v>
          </cell>
          <cell r="H586" t="str">
            <v>G01AA01</v>
          </cell>
          <cell r="I586"/>
          <cell r="J586">
            <v>1.145</v>
          </cell>
          <cell r="K586">
            <v>1.145</v>
          </cell>
          <cell r="L586">
            <v>1.145</v>
          </cell>
          <cell r="M586">
            <v>1.145</v>
          </cell>
          <cell r="N586">
            <v>1.145</v>
          </cell>
          <cell r="O586"/>
        </row>
        <row r="587">
          <cell r="D587" t="str">
            <v>P-01-11</v>
          </cell>
          <cell r="E587" t="str">
            <v>Nitazoxanida</v>
          </cell>
          <cell r="F587" t="str">
            <v>Comprimido</v>
          </cell>
          <cell r="G587" t="str">
            <v>500 mg</v>
          </cell>
          <cell r="H587" t="str">
            <v>P01AX11</v>
          </cell>
          <cell r="I587"/>
          <cell r="J587">
            <v>6.1</v>
          </cell>
          <cell r="K587">
            <v>6.1</v>
          </cell>
          <cell r="L587">
            <v>6.1</v>
          </cell>
          <cell r="M587">
            <v>6.1</v>
          </cell>
          <cell r="N587">
            <v>6.1</v>
          </cell>
          <cell r="O587"/>
        </row>
        <row r="588">
          <cell r="D588" t="str">
            <v>P-01-26</v>
          </cell>
          <cell r="E588" t="str">
            <v>Nitazoxanida</v>
          </cell>
          <cell r="F588" t="str">
            <v>Jarabe</v>
          </cell>
          <cell r="G588" t="str">
            <v>100 mg / 5 ml</v>
          </cell>
          <cell r="H588" t="str">
            <v>P01AX11</v>
          </cell>
          <cell r="I588"/>
          <cell r="J588">
            <v>15</v>
          </cell>
          <cell r="K588">
            <v>15</v>
          </cell>
          <cell r="L588">
            <v>15</v>
          </cell>
          <cell r="M588">
            <v>15</v>
          </cell>
          <cell r="N588">
            <v>15</v>
          </cell>
          <cell r="O588"/>
        </row>
        <row r="589">
          <cell r="D589" t="str">
            <v>D-08-09</v>
          </cell>
          <cell r="E589" t="str">
            <v>Nitrofural (Nitrofurazona)</v>
          </cell>
          <cell r="F589" t="str">
            <v>Crema o Pomada</v>
          </cell>
          <cell r="G589" t="str">
            <v>0,2% (450 g)</v>
          </cell>
          <cell r="H589" t="str">
            <v>D08AF01</v>
          </cell>
          <cell r="I589"/>
          <cell r="J589">
            <v>107.5</v>
          </cell>
          <cell r="K589">
            <v>107.5</v>
          </cell>
          <cell r="L589">
            <v>107.5</v>
          </cell>
          <cell r="M589">
            <v>107.5</v>
          </cell>
          <cell r="N589">
            <v>107.5</v>
          </cell>
          <cell r="O589"/>
        </row>
        <row r="590">
          <cell r="D590" t="str">
            <v>J-01-51</v>
          </cell>
          <cell r="E590" t="str">
            <v>Nitrofurantoína</v>
          </cell>
          <cell r="F590" t="str">
            <v>Comprimido</v>
          </cell>
          <cell r="G590" t="str">
            <v>100 mg</v>
          </cell>
          <cell r="H590" t="str">
            <v>J01XE01</v>
          </cell>
          <cell r="I590"/>
          <cell r="J590">
            <v>1.5004529914529918</v>
          </cell>
          <cell r="K590">
            <v>1.5004529914529918</v>
          </cell>
          <cell r="L590">
            <v>1.5004529914529918</v>
          </cell>
          <cell r="M590">
            <v>1.5004529914529918</v>
          </cell>
          <cell r="N590">
            <v>1.5004529914529918</v>
          </cell>
          <cell r="O590"/>
        </row>
        <row r="591">
          <cell r="D591" t="str">
            <v>J-01-52</v>
          </cell>
          <cell r="E591" t="str">
            <v>Nitrofurantoína</v>
          </cell>
          <cell r="F591" t="str">
            <v>Suspensión</v>
          </cell>
          <cell r="G591" t="str">
            <v>25 mg/5 ml</v>
          </cell>
          <cell r="H591" t="str">
            <v>J01XE01</v>
          </cell>
          <cell r="I591"/>
          <cell r="J591">
            <v>14.7</v>
          </cell>
          <cell r="K591">
            <v>14.7</v>
          </cell>
          <cell r="L591">
            <v>14.7</v>
          </cell>
          <cell r="M591">
            <v>14.7</v>
          </cell>
          <cell r="N591">
            <v>14.7</v>
          </cell>
          <cell r="O591"/>
        </row>
        <row r="592">
          <cell r="D592" t="str">
            <v>C-01-12</v>
          </cell>
          <cell r="E592" t="str">
            <v>Nitroglicerina (Trinitrato de glicerol)</v>
          </cell>
          <cell r="F592" t="str">
            <v>Inyectable</v>
          </cell>
          <cell r="G592" t="str">
            <v>5 mg/ml</v>
          </cell>
          <cell r="H592" t="str">
            <v>C01DA02</v>
          </cell>
          <cell r="I592"/>
          <cell r="J592">
            <v>61.72</v>
          </cell>
          <cell r="K592">
            <v>61.72</v>
          </cell>
          <cell r="L592">
            <v>61.72</v>
          </cell>
          <cell r="M592">
            <v>61.72</v>
          </cell>
          <cell r="N592">
            <v>61.72</v>
          </cell>
          <cell r="O592" t="str">
            <v>10 ML</v>
          </cell>
        </row>
        <row r="593">
          <cell r="D593" t="str">
            <v>C-02-05</v>
          </cell>
          <cell r="E593" t="str">
            <v>Nitroprusiato de sodio</v>
          </cell>
          <cell r="F593" t="str">
            <v>Inyectable</v>
          </cell>
          <cell r="G593" t="str">
            <v>25 mg/ml</v>
          </cell>
          <cell r="H593" t="str">
            <v>C02DD01</v>
          </cell>
          <cell r="I593"/>
          <cell r="J593">
            <v>200</v>
          </cell>
          <cell r="K593">
            <v>200</v>
          </cell>
          <cell r="L593">
            <v>200</v>
          </cell>
          <cell r="M593">
            <v>200</v>
          </cell>
          <cell r="N593">
            <v>200</v>
          </cell>
          <cell r="O593" t="str">
            <v>2 ML</v>
          </cell>
        </row>
        <row r="594">
          <cell r="D594" t="str">
            <v>C-01-15</v>
          </cell>
          <cell r="E594" t="str">
            <v xml:space="preserve">Noradrenalina </v>
          </cell>
          <cell r="F594" t="str">
            <v>Inyectable</v>
          </cell>
          <cell r="G594" t="str">
            <v>1 mg/ml</v>
          </cell>
          <cell r="H594" t="str">
            <v>C01CA03</v>
          </cell>
          <cell r="I594"/>
          <cell r="J594">
            <v>28.796666666666667</v>
          </cell>
          <cell r="K594">
            <v>28.796666666666667</v>
          </cell>
          <cell r="L594">
            <v>28.796666666666667</v>
          </cell>
          <cell r="M594">
            <v>28.796666666666667</v>
          </cell>
          <cell r="N594">
            <v>28.796666666666667</v>
          </cell>
          <cell r="O594"/>
        </row>
        <row r="595">
          <cell r="D595" t="str">
            <v>G-03-15</v>
          </cell>
          <cell r="E595" t="str">
            <v>Noretisterona</v>
          </cell>
          <cell r="F595" t="str">
            <v>Comprimido</v>
          </cell>
          <cell r="G595" t="str">
            <v>5 mg</v>
          </cell>
          <cell r="H595" t="str">
            <v>G03DC02</v>
          </cell>
          <cell r="I595"/>
          <cell r="J595">
            <v>1.06</v>
          </cell>
          <cell r="K595">
            <v>1.06</v>
          </cell>
          <cell r="L595">
            <v>1.06</v>
          </cell>
          <cell r="M595">
            <v>1.06</v>
          </cell>
          <cell r="N595">
            <v>1.06</v>
          </cell>
          <cell r="O595"/>
        </row>
        <row r="596">
          <cell r="D596" t="str">
            <v>G-03-16</v>
          </cell>
          <cell r="E596" t="str">
            <v>Norgestrel + Etinilestradiol</v>
          </cell>
          <cell r="F596" t="str">
            <v>Comprimido</v>
          </cell>
          <cell r="G596" t="str">
            <v>0,3 mg + 0,03 mg ó 0,5 mg + 0,05 mg</v>
          </cell>
          <cell r="H596" t="str">
            <v>G03FB01</v>
          </cell>
          <cell r="I596"/>
          <cell r="J596">
            <v>6.32</v>
          </cell>
          <cell r="K596">
            <v>6.32</v>
          </cell>
          <cell r="L596">
            <v>6.32</v>
          </cell>
          <cell r="M596">
            <v>6.32</v>
          </cell>
          <cell r="N596">
            <v>6.32</v>
          </cell>
          <cell r="O596"/>
        </row>
        <row r="597">
          <cell r="D597" t="str">
            <v>J-01-53</v>
          </cell>
          <cell r="E597" t="str">
            <v>Ofloxacina</v>
          </cell>
          <cell r="F597" t="str">
            <v>Comprimido</v>
          </cell>
          <cell r="G597" t="str">
            <v>400 mg</v>
          </cell>
          <cell r="H597" t="str">
            <v>J01MA01</v>
          </cell>
          <cell r="I597" t="str">
            <v>R</v>
          </cell>
          <cell r="J597">
            <v>0.82</v>
          </cell>
          <cell r="K597">
            <v>0.82</v>
          </cell>
          <cell r="L597">
            <v>0.82</v>
          </cell>
          <cell r="M597">
            <v>0.82</v>
          </cell>
          <cell r="N597">
            <v>0.82</v>
          </cell>
          <cell r="O597"/>
        </row>
        <row r="598">
          <cell r="D598" t="str">
            <v>J-01-59</v>
          </cell>
          <cell r="E598" t="str">
            <v>Ofloxacina</v>
          </cell>
          <cell r="F598" t="str">
            <v>Comprimido</v>
          </cell>
          <cell r="G598" t="str">
            <v>200 mg</v>
          </cell>
          <cell r="H598" t="str">
            <v>J01MA01</v>
          </cell>
          <cell r="I598" t="str">
            <v>R</v>
          </cell>
          <cell r="J598">
            <v>0.71</v>
          </cell>
          <cell r="K598">
            <v>0.71</v>
          </cell>
          <cell r="L598">
            <v>0.71</v>
          </cell>
          <cell r="M598">
            <v>0.71</v>
          </cell>
          <cell r="N598">
            <v>0.71</v>
          </cell>
          <cell r="O598"/>
        </row>
        <row r="599">
          <cell r="D599" t="str">
            <v>B-05-11</v>
          </cell>
          <cell r="E599" t="str">
            <v>Oligoelementos para nutricion parenteral</v>
          </cell>
          <cell r="F599" t="str">
            <v>Solución parenteral de gran volúmen</v>
          </cell>
          <cell r="G599" t="str">
            <v>Según disponibilidad</v>
          </cell>
          <cell r="H599" t="str">
            <v>B05BA10</v>
          </cell>
          <cell r="I599"/>
          <cell r="J599">
            <v>45.83</v>
          </cell>
          <cell r="K599">
            <v>45.83</v>
          </cell>
          <cell r="L599">
            <v>45.83</v>
          </cell>
          <cell r="M599">
            <v>45.83</v>
          </cell>
          <cell r="N599">
            <v>45.83</v>
          </cell>
          <cell r="O599"/>
        </row>
        <row r="600">
          <cell r="D600" t="str">
            <v>A-02-02</v>
          </cell>
          <cell r="E600" t="str">
            <v>Omeprazol</v>
          </cell>
          <cell r="F600" t="str">
            <v>Cápsula</v>
          </cell>
          <cell r="G600" t="str">
            <v>20 mg</v>
          </cell>
          <cell r="H600" t="str">
            <v>A02BC01</v>
          </cell>
          <cell r="I600"/>
          <cell r="J600">
            <v>0.56999999999999995</v>
          </cell>
          <cell r="K600">
            <v>0.56999999999999995</v>
          </cell>
          <cell r="L600">
            <v>0.56999999999999995</v>
          </cell>
          <cell r="M600">
            <v>0.56999999999999995</v>
          </cell>
          <cell r="N600">
            <v>0.56999999999999995</v>
          </cell>
          <cell r="O600"/>
        </row>
        <row r="601">
          <cell r="D601" t="str">
            <v>J-05-36</v>
          </cell>
          <cell r="E601" t="str">
            <v>Oseltamivir</v>
          </cell>
          <cell r="F601" t="str">
            <v>Cápsula</v>
          </cell>
          <cell r="G601" t="str">
            <v>75 mg</v>
          </cell>
          <cell r="H601" t="str">
            <v>J05AH02</v>
          </cell>
          <cell r="I601" t="str">
            <v>R</v>
          </cell>
          <cell r="J601">
            <v>23.75</v>
          </cell>
          <cell r="K601">
            <v>23.75</v>
          </cell>
          <cell r="L601">
            <v>23.75</v>
          </cell>
          <cell r="M601">
            <v>23.75</v>
          </cell>
          <cell r="N601">
            <v>23.75</v>
          </cell>
          <cell r="O601"/>
        </row>
        <row r="602">
          <cell r="D602" t="str">
            <v>J-05-48</v>
          </cell>
          <cell r="E602" t="str">
            <v>Oseltamivir</v>
          </cell>
          <cell r="F602" t="str">
            <v>Suspensión</v>
          </cell>
          <cell r="G602" t="str">
            <v>12 mg/ml</v>
          </cell>
          <cell r="H602" t="str">
            <v>J05AH02</v>
          </cell>
          <cell r="I602" t="str">
            <v>R</v>
          </cell>
          <cell r="J602">
            <v>13.53</v>
          </cell>
          <cell r="K602">
            <v>13.53</v>
          </cell>
          <cell r="L602">
            <v>13.53</v>
          </cell>
          <cell r="M602">
            <v>13.53</v>
          </cell>
          <cell r="N602">
            <v>13.53</v>
          </cell>
          <cell r="O602"/>
        </row>
        <row r="603">
          <cell r="D603" t="str">
            <v>V-03-10</v>
          </cell>
          <cell r="E603" t="str">
            <v>Oxígeno</v>
          </cell>
          <cell r="F603" t="str">
            <v>Gas</v>
          </cell>
          <cell r="G603" t="str">
            <v>93% - 99%</v>
          </cell>
          <cell r="H603" t="str">
            <v>V03AN01</v>
          </cell>
          <cell r="I603"/>
          <cell r="J603">
            <v>18</v>
          </cell>
          <cell r="K603">
            <v>18</v>
          </cell>
          <cell r="L603">
            <v>18</v>
          </cell>
          <cell r="M603">
            <v>18</v>
          </cell>
          <cell r="N603">
            <v>18</v>
          </cell>
          <cell r="O603" t="str">
            <v>m3</v>
          </cell>
        </row>
        <row r="604">
          <cell r="D604" t="str">
            <v>G-02-09</v>
          </cell>
          <cell r="E604" t="str">
            <v xml:space="preserve">Oxitocina </v>
          </cell>
          <cell r="F604" t="str">
            <v>Inyectable</v>
          </cell>
          <cell r="G604" t="str">
            <v>5 UI/ml o 10 UI/ml</v>
          </cell>
          <cell r="H604" t="str">
            <v>G02AX**</v>
          </cell>
          <cell r="I604"/>
          <cell r="J604">
            <v>2.67</v>
          </cell>
          <cell r="K604">
            <v>2.67</v>
          </cell>
          <cell r="L604">
            <v>2.67</v>
          </cell>
          <cell r="M604">
            <v>2.67</v>
          </cell>
          <cell r="N604">
            <v>2.67</v>
          </cell>
          <cell r="O604" t="str">
            <v>10 UI/ML</v>
          </cell>
        </row>
        <row r="605">
          <cell r="D605" t="str">
            <v>L-01-28</v>
          </cell>
          <cell r="E605" t="str">
            <v>Paclitaxel</v>
          </cell>
          <cell r="F605" t="str">
            <v>Inyectable</v>
          </cell>
          <cell r="G605" t="str">
            <v>30 mg/5 ml</v>
          </cell>
          <cell r="H605" t="str">
            <v>L01CD01</v>
          </cell>
          <cell r="I605"/>
          <cell r="J605">
            <v>155.095</v>
          </cell>
          <cell r="K605">
            <v>155.095</v>
          </cell>
          <cell r="L605">
            <v>155.095</v>
          </cell>
          <cell r="M605">
            <v>155.095</v>
          </cell>
          <cell r="N605">
            <v>155.095</v>
          </cell>
          <cell r="O605"/>
        </row>
        <row r="606">
          <cell r="D606" t="str">
            <v>N-02-09</v>
          </cell>
          <cell r="E606" t="str">
            <v>Paracetamol (Acetaminofeno)</v>
          </cell>
          <cell r="F606" t="str">
            <v>Jarabe</v>
          </cell>
          <cell r="G606" t="str">
            <v>120 mg/5 ml o 125 mg/5 ml</v>
          </cell>
          <cell r="H606" t="str">
            <v>N02BE01</v>
          </cell>
          <cell r="I606"/>
          <cell r="J606">
            <v>7.85</v>
          </cell>
          <cell r="K606">
            <v>7.85</v>
          </cell>
          <cell r="L606">
            <v>7.85</v>
          </cell>
          <cell r="M606">
            <v>7.85</v>
          </cell>
          <cell r="N606">
            <v>7.85</v>
          </cell>
          <cell r="O606"/>
        </row>
        <row r="607">
          <cell r="D607" t="str">
            <v>N-02-10</v>
          </cell>
          <cell r="E607" t="str">
            <v>Paracetamol (Acetaminofeno)</v>
          </cell>
          <cell r="F607" t="str">
            <v>Gotas</v>
          </cell>
          <cell r="G607" t="str">
            <v>100 mg/ml</v>
          </cell>
          <cell r="H607" t="str">
            <v>N02BE01</v>
          </cell>
          <cell r="I607"/>
          <cell r="J607">
            <v>5.73</v>
          </cell>
          <cell r="K607">
            <v>5.73</v>
          </cell>
          <cell r="L607">
            <v>5.73</v>
          </cell>
          <cell r="M607">
            <v>5.73</v>
          </cell>
          <cell r="N607">
            <v>5.73</v>
          </cell>
          <cell r="O607" t="str">
            <v>15 ML</v>
          </cell>
        </row>
        <row r="608">
          <cell r="D608" t="str">
            <v>N-02-11</v>
          </cell>
          <cell r="E608" t="str">
            <v>Paracetamol (Acetaminofeno)</v>
          </cell>
          <cell r="F608" t="str">
            <v>Supositorio</v>
          </cell>
          <cell r="G608" t="str">
            <v>100 mg</v>
          </cell>
          <cell r="H608" t="str">
            <v>N02BE01</v>
          </cell>
          <cell r="I608"/>
          <cell r="J608">
            <v>1.76</v>
          </cell>
          <cell r="K608">
            <v>1.76</v>
          </cell>
          <cell r="L608">
            <v>1.76</v>
          </cell>
          <cell r="M608">
            <v>1.76</v>
          </cell>
          <cell r="N608">
            <v>1.76</v>
          </cell>
          <cell r="O608"/>
        </row>
        <row r="609">
          <cell r="D609" t="str">
            <v>N-02-12</v>
          </cell>
          <cell r="E609" t="str">
            <v>Paracetamol (Acetaminofeno)</v>
          </cell>
          <cell r="F609" t="str">
            <v>Comprimido</v>
          </cell>
          <cell r="G609" t="str">
            <v>100 mg</v>
          </cell>
          <cell r="H609" t="str">
            <v>N02BE01</v>
          </cell>
          <cell r="I609"/>
          <cell r="J609">
            <v>0.14706896551724138</v>
          </cell>
          <cell r="K609">
            <v>0.14706896551724138</v>
          </cell>
          <cell r="L609">
            <v>0.14706896551724138</v>
          </cell>
          <cell r="M609">
            <v>0.14706896551724138</v>
          </cell>
          <cell r="N609">
            <v>0.14706896551724138</v>
          </cell>
          <cell r="O609"/>
        </row>
        <row r="610">
          <cell r="D610" t="str">
            <v>L-01-57</v>
          </cell>
          <cell r="E610" t="str">
            <v>Pazopanib</v>
          </cell>
          <cell r="F610" t="str">
            <v>Comprimido</v>
          </cell>
          <cell r="G610" t="str">
            <v>200 mg</v>
          </cell>
          <cell r="H610" t="str">
            <v>L01XE11</v>
          </cell>
          <cell r="I610" t="str">
            <v>R</v>
          </cell>
          <cell r="J610">
            <v>278.83</v>
          </cell>
          <cell r="K610">
            <v>278.83</v>
          </cell>
          <cell r="L610">
            <v>278.83</v>
          </cell>
          <cell r="M610">
            <v>278.83</v>
          </cell>
          <cell r="N610">
            <v>278.83</v>
          </cell>
          <cell r="O610"/>
        </row>
        <row r="611">
          <cell r="D611" t="str">
            <v>M-01-08</v>
          </cell>
          <cell r="E611" t="str">
            <v>Penicilamina</v>
          </cell>
          <cell r="F611" t="str">
            <v>Comprimido</v>
          </cell>
          <cell r="G611" t="str">
            <v>250 mg</v>
          </cell>
          <cell r="H611" t="str">
            <v>M01CC01</v>
          </cell>
          <cell r="I611"/>
          <cell r="J611">
            <v>13.04</v>
          </cell>
          <cell r="K611">
            <v>13.04</v>
          </cell>
          <cell r="L611">
            <v>13.04</v>
          </cell>
          <cell r="M611">
            <v>13.04</v>
          </cell>
          <cell r="N611">
            <v>13.04</v>
          </cell>
          <cell r="O611"/>
        </row>
        <row r="612">
          <cell r="D612" t="str">
            <v>P-01-12</v>
          </cell>
          <cell r="E612" t="str">
            <v>Pentamidina</v>
          </cell>
          <cell r="F612" t="str">
            <v>Inyectable</v>
          </cell>
          <cell r="G612" t="str">
            <v>200 mg</v>
          </cell>
          <cell r="H612" t="str">
            <v>P01CX01</v>
          </cell>
          <cell r="I612"/>
          <cell r="J612">
            <v>503.59</v>
          </cell>
          <cell r="K612">
            <v>503.59</v>
          </cell>
          <cell r="L612">
            <v>503.59</v>
          </cell>
          <cell r="M612">
            <v>503.59</v>
          </cell>
          <cell r="N612">
            <v>503.59</v>
          </cell>
          <cell r="O612"/>
        </row>
        <row r="613">
          <cell r="D613" t="str">
            <v>P-01-13</v>
          </cell>
          <cell r="E613" t="str">
            <v>Pentamidina</v>
          </cell>
          <cell r="F613" t="str">
            <v>Inyectable</v>
          </cell>
          <cell r="G613" t="str">
            <v>300 mg</v>
          </cell>
          <cell r="H613" t="str">
            <v>P01CX01</v>
          </cell>
          <cell r="I613"/>
          <cell r="J613">
            <v>816.69</v>
          </cell>
          <cell r="K613">
            <v>816.69</v>
          </cell>
          <cell r="L613">
            <v>816.69</v>
          </cell>
          <cell r="M613">
            <v>816.69</v>
          </cell>
          <cell r="N613">
            <v>816.69</v>
          </cell>
          <cell r="O613"/>
        </row>
        <row r="614">
          <cell r="D614" t="str">
            <v>V-03-11</v>
          </cell>
          <cell r="E614" t="str">
            <v>Permanganato de potasio</v>
          </cell>
          <cell r="F614" t="str">
            <v>Solución acuosa</v>
          </cell>
          <cell r="G614" t="str">
            <v>1:10.000</v>
          </cell>
          <cell r="H614" t="str">
            <v>V03AB18</v>
          </cell>
          <cell r="I614"/>
          <cell r="J614">
            <v>6.01</v>
          </cell>
          <cell r="K614">
            <v>6.01</v>
          </cell>
          <cell r="L614">
            <v>6.01</v>
          </cell>
          <cell r="M614">
            <v>6.01</v>
          </cell>
          <cell r="N614">
            <v>6.01</v>
          </cell>
          <cell r="O614"/>
        </row>
        <row r="615">
          <cell r="D615" t="str">
            <v>P-03-02</v>
          </cell>
          <cell r="E615" t="str">
            <v>Permetrina</v>
          </cell>
          <cell r="F615" t="str">
            <v>Loción</v>
          </cell>
          <cell r="G615">
            <v>0.01</v>
          </cell>
          <cell r="H615" t="str">
            <v>P03AC04</v>
          </cell>
          <cell r="I615"/>
          <cell r="J615">
            <v>28.43</v>
          </cell>
          <cell r="K615">
            <v>28.43</v>
          </cell>
          <cell r="L615">
            <v>28.43</v>
          </cell>
          <cell r="M615">
            <v>28.43</v>
          </cell>
          <cell r="N615">
            <v>28.43</v>
          </cell>
          <cell r="O615"/>
        </row>
        <row r="616">
          <cell r="D616" t="str">
            <v>P-03-03</v>
          </cell>
          <cell r="E616" t="str">
            <v>Permetrina</v>
          </cell>
          <cell r="F616" t="str">
            <v>Crema o Pomada</v>
          </cell>
          <cell r="G616">
            <v>0.05</v>
          </cell>
          <cell r="H616" t="str">
            <v>P03AC04</v>
          </cell>
          <cell r="I616"/>
          <cell r="J616">
            <v>61.23</v>
          </cell>
          <cell r="K616">
            <v>61.23</v>
          </cell>
          <cell r="L616">
            <v>61.23</v>
          </cell>
          <cell r="M616">
            <v>61.23</v>
          </cell>
          <cell r="N616">
            <v>61.23</v>
          </cell>
          <cell r="O616"/>
        </row>
        <row r="617">
          <cell r="D617" t="str">
            <v>D-10-02</v>
          </cell>
          <cell r="E617" t="str">
            <v>Peróxido de Benzoílo</v>
          </cell>
          <cell r="F617" t="str">
            <v>Loción</v>
          </cell>
          <cell r="G617">
            <v>0.05</v>
          </cell>
          <cell r="H617" t="str">
            <v>D10AE01</v>
          </cell>
          <cell r="I617"/>
          <cell r="J617">
            <v>85.11</v>
          </cell>
          <cell r="K617">
            <v>85.11</v>
          </cell>
          <cell r="L617">
            <v>85.11</v>
          </cell>
          <cell r="M617">
            <v>85.11</v>
          </cell>
          <cell r="N617">
            <v>85.11</v>
          </cell>
          <cell r="O617"/>
        </row>
        <row r="618">
          <cell r="D618" t="str">
            <v>D-10-03</v>
          </cell>
          <cell r="E618" t="str">
            <v>Peróxido de Benzoílo</v>
          </cell>
          <cell r="F618" t="str">
            <v>Crema, Pomada o Gel</v>
          </cell>
          <cell r="G618">
            <v>0.05</v>
          </cell>
          <cell r="H618" t="str">
            <v>D10AE01</v>
          </cell>
          <cell r="I618"/>
          <cell r="J618">
            <v>64.8</v>
          </cell>
          <cell r="K618">
            <v>64.8</v>
          </cell>
          <cell r="L618">
            <v>64.8</v>
          </cell>
          <cell r="M618">
            <v>64.8</v>
          </cell>
          <cell r="N618">
            <v>64.8</v>
          </cell>
          <cell r="O618" t="str">
            <v>90 G</v>
          </cell>
        </row>
        <row r="619">
          <cell r="D619" t="str">
            <v>D-08-10</v>
          </cell>
          <cell r="E619" t="str">
            <v>Peróxido de hidrógeno (Agua oxigenada)</v>
          </cell>
          <cell r="F619" t="str">
            <v>Solución</v>
          </cell>
          <cell r="G619" t="str">
            <v>2% o 3%</v>
          </cell>
          <cell r="H619" t="str">
            <v>D08AX01</v>
          </cell>
          <cell r="I619"/>
          <cell r="J619">
            <v>13.28</v>
          </cell>
          <cell r="K619">
            <v>13.28</v>
          </cell>
          <cell r="L619">
            <v>13.28</v>
          </cell>
          <cell r="M619">
            <v>13.28</v>
          </cell>
          <cell r="N619">
            <v>13.28</v>
          </cell>
          <cell r="O619" t="str">
            <v>1 L</v>
          </cell>
        </row>
        <row r="620">
          <cell r="D620" t="str">
            <v>N-02-13</v>
          </cell>
          <cell r="E620" t="str">
            <v>Petidina (Meperidina)</v>
          </cell>
          <cell r="F620" t="str">
            <v>Inyectable</v>
          </cell>
          <cell r="G620" t="str">
            <v>100 mg</v>
          </cell>
          <cell r="H620" t="str">
            <v>N02AB02</v>
          </cell>
          <cell r="I620"/>
          <cell r="J620">
            <v>50.31</v>
          </cell>
          <cell r="K620">
            <v>50.31</v>
          </cell>
          <cell r="L620">
            <v>50.31</v>
          </cell>
          <cell r="M620">
            <v>50.31</v>
          </cell>
          <cell r="N620">
            <v>50.31</v>
          </cell>
          <cell r="O620" t="str">
            <v>2 ML</v>
          </cell>
        </row>
        <row r="621">
          <cell r="D621" t="str">
            <v>J-01-75</v>
          </cell>
          <cell r="E621" t="str">
            <v>Piperacilina + Tazobactam</v>
          </cell>
          <cell r="F621" t="str">
            <v xml:space="preserve">Inyectable </v>
          </cell>
          <cell r="G621" t="str">
            <v>4 g/500 mg</v>
          </cell>
          <cell r="H621" t="str">
            <v>J01CR05</v>
          </cell>
          <cell r="I621" t="str">
            <v>R</v>
          </cell>
          <cell r="J621">
            <v>108</v>
          </cell>
          <cell r="K621">
            <v>108</v>
          </cell>
          <cell r="L621">
            <v>108</v>
          </cell>
          <cell r="M621">
            <v>108</v>
          </cell>
          <cell r="N621">
            <v>108</v>
          </cell>
          <cell r="O621"/>
        </row>
        <row r="622">
          <cell r="D622" t="str">
            <v>P-02-07</v>
          </cell>
          <cell r="E622" t="str">
            <v>Pirantel pamoato</v>
          </cell>
          <cell r="F622" t="str">
            <v>Comprimido</v>
          </cell>
          <cell r="G622" t="str">
            <v>250 mg</v>
          </cell>
          <cell r="H622" t="str">
            <v>P02CC01</v>
          </cell>
          <cell r="I622"/>
          <cell r="J622">
            <v>2.16</v>
          </cell>
          <cell r="K622">
            <v>2.16</v>
          </cell>
          <cell r="L622">
            <v>2.16</v>
          </cell>
          <cell r="M622">
            <v>2.16</v>
          </cell>
          <cell r="N622">
            <v>2.16</v>
          </cell>
          <cell r="O622"/>
        </row>
        <row r="623">
          <cell r="D623" t="str">
            <v>P-02-08</v>
          </cell>
          <cell r="E623" t="str">
            <v>Pirantel pamoato</v>
          </cell>
          <cell r="F623" t="str">
            <v>Suspensión</v>
          </cell>
          <cell r="G623" t="str">
            <v>250 mg/5 ml</v>
          </cell>
          <cell r="H623" t="str">
            <v>P02CC01</v>
          </cell>
          <cell r="I623"/>
          <cell r="J623">
            <v>15.09</v>
          </cell>
          <cell r="K623">
            <v>15.09</v>
          </cell>
          <cell r="L623">
            <v>15.09</v>
          </cell>
          <cell r="M623">
            <v>15.09</v>
          </cell>
          <cell r="N623">
            <v>15.09</v>
          </cell>
          <cell r="O623" t="str">
            <v>15 ML</v>
          </cell>
        </row>
        <row r="624">
          <cell r="D624" t="str">
            <v>J-04-08</v>
          </cell>
          <cell r="E624" t="str">
            <v>Pirazinamida</v>
          </cell>
          <cell r="F624" t="str">
            <v>Comprimido</v>
          </cell>
          <cell r="G624" t="str">
            <v>500 mg</v>
          </cell>
          <cell r="H624" t="str">
            <v>J04AK01</v>
          </cell>
          <cell r="I624" t="str">
            <v>R</v>
          </cell>
          <cell r="J624">
            <v>0.292381</v>
          </cell>
          <cell r="K624">
            <v>0.292381</v>
          </cell>
          <cell r="L624">
            <v>0.292381</v>
          </cell>
          <cell r="M624">
            <v>0.292381</v>
          </cell>
          <cell r="N624">
            <v>0.292381</v>
          </cell>
          <cell r="O624"/>
        </row>
        <row r="625">
          <cell r="D625" t="str">
            <v>N-07-06</v>
          </cell>
          <cell r="E625" t="str">
            <v>Piridostigmina</v>
          </cell>
          <cell r="F625" t="str">
            <v>Comprimido</v>
          </cell>
          <cell r="G625" t="str">
            <v>60 mg</v>
          </cell>
          <cell r="H625" t="str">
            <v>N07AA02</v>
          </cell>
          <cell r="I625"/>
          <cell r="J625">
            <v>5.5</v>
          </cell>
          <cell r="K625">
            <v>5.5</v>
          </cell>
          <cell r="L625">
            <v>5.5</v>
          </cell>
          <cell r="M625">
            <v>5.5</v>
          </cell>
          <cell r="N625">
            <v>5.5</v>
          </cell>
          <cell r="O625"/>
        </row>
        <row r="626">
          <cell r="D626" t="str">
            <v>A-11-11</v>
          </cell>
          <cell r="E626" t="str">
            <v>Piridoxina clorhidrato (Vitamina B6)</v>
          </cell>
          <cell r="F626" t="str">
            <v>Comprimido</v>
          </cell>
          <cell r="G626" t="str">
            <v>300 mg</v>
          </cell>
          <cell r="H626" t="str">
            <v>A11HA02</v>
          </cell>
          <cell r="I626"/>
          <cell r="J626">
            <v>2.2999999999999998</v>
          </cell>
          <cell r="K626">
            <v>2.2999999999999998</v>
          </cell>
          <cell r="L626">
            <v>2.2999999999999998</v>
          </cell>
          <cell r="M626">
            <v>2.2999999999999998</v>
          </cell>
          <cell r="N626">
            <v>2.2999999999999998</v>
          </cell>
          <cell r="O626"/>
        </row>
        <row r="627">
          <cell r="D627" t="str">
            <v>A-11-12</v>
          </cell>
          <cell r="E627" t="str">
            <v>Piridoxina clorhidrato (Vitamina B6)</v>
          </cell>
          <cell r="F627" t="str">
            <v>Inyectable</v>
          </cell>
          <cell r="G627" t="str">
            <v>300 mg</v>
          </cell>
          <cell r="H627" t="str">
            <v>A11HA02</v>
          </cell>
          <cell r="I627"/>
          <cell r="J627">
            <v>5.0999999999999996</v>
          </cell>
          <cell r="K627">
            <v>5.0999999999999996</v>
          </cell>
          <cell r="L627">
            <v>5.0999999999999996</v>
          </cell>
          <cell r="M627">
            <v>5.0999999999999996</v>
          </cell>
          <cell r="N627">
            <v>5.0999999999999996</v>
          </cell>
          <cell r="O627"/>
        </row>
        <row r="628">
          <cell r="D628" t="str">
            <v>P-01-14</v>
          </cell>
          <cell r="E628" t="str">
            <v>Pirimetamina</v>
          </cell>
          <cell r="F628" t="str">
            <v>Comprimido</v>
          </cell>
          <cell r="G628" t="str">
            <v>25 mg</v>
          </cell>
          <cell r="H628" t="str">
            <v>P01BD01</v>
          </cell>
          <cell r="I628"/>
          <cell r="J628">
            <v>0.21</v>
          </cell>
          <cell r="K628">
            <v>0.21</v>
          </cell>
          <cell r="L628">
            <v>0.21</v>
          </cell>
          <cell r="M628">
            <v>0.21</v>
          </cell>
          <cell r="N628">
            <v>0.21</v>
          </cell>
          <cell r="O628"/>
        </row>
        <row r="629">
          <cell r="D629" t="str">
            <v>V-03-12</v>
          </cell>
          <cell r="E629" t="str">
            <v>Pralidoxima</v>
          </cell>
          <cell r="F629" t="str">
            <v>Inyectable</v>
          </cell>
          <cell r="G629" t="str">
            <v>1 g</v>
          </cell>
          <cell r="H629" t="str">
            <v>V03AB04</v>
          </cell>
          <cell r="I629"/>
          <cell r="J629">
            <v>2378.02</v>
          </cell>
          <cell r="K629">
            <v>2378.02</v>
          </cell>
          <cell r="L629">
            <v>2378.02</v>
          </cell>
          <cell r="M629">
            <v>2378.02</v>
          </cell>
          <cell r="N629">
            <v>2378.02</v>
          </cell>
          <cell r="O629"/>
        </row>
        <row r="630">
          <cell r="D630" t="str">
            <v>P-02-09</v>
          </cell>
          <cell r="E630" t="str">
            <v>Prazicuantel</v>
          </cell>
          <cell r="F630" t="str">
            <v>Comprimido</v>
          </cell>
          <cell r="G630" t="str">
            <v>600 mg</v>
          </cell>
          <cell r="H630" t="str">
            <v>P02BA01</v>
          </cell>
          <cell r="I630"/>
          <cell r="J630">
            <v>3.6</v>
          </cell>
          <cell r="K630">
            <v>3.6</v>
          </cell>
          <cell r="L630">
            <v>3.6</v>
          </cell>
          <cell r="M630">
            <v>3.6</v>
          </cell>
          <cell r="N630">
            <v>3.6</v>
          </cell>
          <cell r="O630"/>
        </row>
        <row r="631">
          <cell r="D631" t="str">
            <v>H-02-10</v>
          </cell>
          <cell r="E631" t="str">
            <v>Prednisona</v>
          </cell>
          <cell r="F631" t="str">
            <v>Suspensión</v>
          </cell>
          <cell r="G631" t="str">
            <v>1 mg/ml</v>
          </cell>
          <cell r="H631" t="str">
            <v>H02AB07</v>
          </cell>
          <cell r="I631"/>
          <cell r="J631">
            <v>53.71</v>
          </cell>
          <cell r="K631">
            <v>53.71</v>
          </cell>
          <cell r="L631">
            <v>53.71</v>
          </cell>
          <cell r="M631">
            <v>53.71</v>
          </cell>
          <cell r="N631">
            <v>53.71</v>
          </cell>
          <cell r="O631" t="str">
            <v>100 ML</v>
          </cell>
        </row>
        <row r="632">
          <cell r="D632" t="str">
            <v>N-03-19</v>
          </cell>
          <cell r="E632" t="str">
            <v>Pregabalina</v>
          </cell>
          <cell r="F632" t="str">
            <v>Comprimido o Cápsula</v>
          </cell>
          <cell r="G632" t="str">
            <v>50 mg</v>
          </cell>
          <cell r="H632" t="str">
            <v>N03AX16</v>
          </cell>
          <cell r="I632" t="str">
            <v>R</v>
          </cell>
          <cell r="J632">
            <v>6.54</v>
          </cell>
          <cell r="K632">
            <v>6.54</v>
          </cell>
          <cell r="L632">
            <v>6.54</v>
          </cell>
          <cell r="M632">
            <v>6.54</v>
          </cell>
          <cell r="N632">
            <v>6.54</v>
          </cell>
          <cell r="O632"/>
        </row>
        <row r="633">
          <cell r="D633" t="str">
            <v>P-01-15</v>
          </cell>
          <cell r="E633" t="str">
            <v>Primaquina (base)</v>
          </cell>
          <cell r="F633" t="str">
            <v>Comprimido</v>
          </cell>
          <cell r="G633" t="str">
            <v>15 mg</v>
          </cell>
          <cell r="H633" t="str">
            <v>P01BA03</v>
          </cell>
          <cell r="I633"/>
          <cell r="J633">
            <v>0.16402600000000001</v>
          </cell>
          <cell r="K633">
            <v>0.16402600000000001</v>
          </cell>
          <cell r="L633">
            <v>0.16402600000000001</v>
          </cell>
          <cell r="M633">
            <v>0.16402600000000001</v>
          </cell>
          <cell r="N633">
            <v>0.16402600000000001</v>
          </cell>
          <cell r="O633"/>
        </row>
        <row r="634">
          <cell r="D634" t="str">
            <v>P-01-16</v>
          </cell>
          <cell r="E634" t="str">
            <v>Primaquina (base)</v>
          </cell>
          <cell r="F634" t="str">
            <v>Suspensión</v>
          </cell>
          <cell r="G634" t="str">
            <v>15 mg/5 ml</v>
          </cell>
          <cell r="H634" t="str">
            <v>P01BA03</v>
          </cell>
          <cell r="I634"/>
          <cell r="J634">
            <v>31.59</v>
          </cell>
          <cell r="K634">
            <v>31.59</v>
          </cell>
          <cell r="L634">
            <v>31.59</v>
          </cell>
          <cell r="M634">
            <v>31.59</v>
          </cell>
          <cell r="N634">
            <v>31.59</v>
          </cell>
          <cell r="O634"/>
        </row>
        <row r="635">
          <cell r="D635" t="str">
            <v>P-01-20</v>
          </cell>
          <cell r="E635" t="str">
            <v>Primaquina (base)</v>
          </cell>
          <cell r="F635" t="str">
            <v>Comprimido</v>
          </cell>
          <cell r="G635" t="str">
            <v>5 mg</v>
          </cell>
          <cell r="H635" t="str">
            <v>P01BA03</v>
          </cell>
          <cell r="I635"/>
          <cell r="J635">
            <v>0.12</v>
          </cell>
          <cell r="K635">
            <v>0.12</v>
          </cell>
          <cell r="L635">
            <v>0.12</v>
          </cell>
          <cell r="M635">
            <v>0.12</v>
          </cell>
          <cell r="N635">
            <v>0.12</v>
          </cell>
          <cell r="O635"/>
        </row>
        <row r="636">
          <cell r="D636" t="str">
            <v>H-03-02</v>
          </cell>
          <cell r="E636" t="str">
            <v>Propiltiouracilo</v>
          </cell>
          <cell r="F636" t="str">
            <v>Comprimido</v>
          </cell>
          <cell r="G636" t="str">
            <v>50 mg</v>
          </cell>
          <cell r="H636" t="str">
            <v>H03BA02</v>
          </cell>
          <cell r="I636"/>
          <cell r="J636">
            <v>1.2250000000000001</v>
          </cell>
          <cell r="K636">
            <v>1.2250000000000001</v>
          </cell>
          <cell r="L636">
            <v>1.2250000000000001</v>
          </cell>
          <cell r="M636">
            <v>1.2250000000000001</v>
          </cell>
          <cell r="N636">
            <v>1.2250000000000001</v>
          </cell>
          <cell r="O636"/>
        </row>
        <row r="637">
          <cell r="D637" t="str">
            <v>A-03-11</v>
          </cell>
          <cell r="E637" t="str">
            <v>Propinoxato</v>
          </cell>
          <cell r="F637" t="str">
            <v>Inyectable</v>
          </cell>
          <cell r="G637" t="str">
            <v>5 mg/ml</v>
          </cell>
          <cell r="H637" t="str">
            <v>A03AC**</v>
          </cell>
          <cell r="I637"/>
          <cell r="J637">
            <v>8.59</v>
          </cell>
          <cell r="K637">
            <v>8.59</v>
          </cell>
          <cell r="L637">
            <v>8.59</v>
          </cell>
          <cell r="M637">
            <v>8.59</v>
          </cell>
          <cell r="N637">
            <v>8.59</v>
          </cell>
          <cell r="O637" t="str">
            <v>2 ML</v>
          </cell>
        </row>
        <row r="638">
          <cell r="D638" t="str">
            <v>C-07-02</v>
          </cell>
          <cell r="E638" t="str">
            <v>Propranolol</v>
          </cell>
          <cell r="F638" t="str">
            <v>Comprimido</v>
          </cell>
          <cell r="G638" t="str">
            <v>40 mg</v>
          </cell>
          <cell r="H638" t="str">
            <v>C07AA05</v>
          </cell>
          <cell r="I638"/>
          <cell r="J638">
            <v>0.33250000000000002</v>
          </cell>
          <cell r="K638">
            <v>0.33250000000000002</v>
          </cell>
          <cell r="L638">
            <v>0.33250000000000002</v>
          </cell>
          <cell r="M638">
            <v>0.33250000000000002</v>
          </cell>
          <cell r="N638">
            <v>0.33250000000000002</v>
          </cell>
          <cell r="O638"/>
        </row>
        <row r="639">
          <cell r="D639" t="str">
            <v>C-07-03</v>
          </cell>
          <cell r="E639" t="str">
            <v>Propranolol</v>
          </cell>
          <cell r="F639" t="str">
            <v>Inyectable</v>
          </cell>
          <cell r="G639" t="str">
            <v>1 mg/ml</v>
          </cell>
          <cell r="H639" t="str">
            <v>C07AA05</v>
          </cell>
          <cell r="I639"/>
          <cell r="J639">
            <v>37.659999999999997</v>
          </cell>
          <cell r="K639">
            <v>37.659999999999997</v>
          </cell>
          <cell r="L639">
            <v>37.659999999999997</v>
          </cell>
          <cell r="M639">
            <v>37.659999999999997</v>
          </cell>
          <cell r="N639">
            <v>37.659999999999997</v>
          </cell>
          <cell r="O639"/>
        </row>
        <row r="640">
          <cell r="D640" t="str">
            <v>V-03-13</v>
          </cell>
          <cell r="E640" t="str">
            <v>Protamina Sulfato</v>
          </cell>
          <cell r="F640" t="str">
            <v>Inyectable</v>
          </cell>
          <cell r="G640" t="str">
            <v>10 mg/ml</v>
          </cell>
          <cell r="H640" t="str">
            <v>V03AB14</v>
          </cell>
          <cell r="I640"/>
          <cell r="J640">
            <v>135.52000000000001</v>
          </cell>
          <cell r="K640">
            <v>135.52000000000001</v>
          </cell>
          <cell r="L640">
            <v>135.52000000000001</v>
          </cell>
          <cell r="M640">
            <v>135.52000000000001</v>
          </cell>
          <cell r="N640">
            <v>135.52000000000001</v>
          </cell>
          <cell r="O640"/>
        </row>
        <row r="641">
          <cell r="D641" t="str">
            <v>S-01-20</v>
          </cell>
          <cell r="E641" t="str">
            <v>Proximetacaina (Proparacaina)</v>
          </cell>
          <cell r="F641" t="str">
            <v>Solución oftálmica</v>
          </cell>
          <cell r="G641" t="str">
            <v>0,5%</v>
          </cell>
          <cell r="H641" t="str">
            <v>S01HA04</v>
          </cell>
          <cell r="I641"/>
          <cell r="J641">
            <v>78.944999999999993</v>
          </cell>
          <cell r="K641">
            <v>78.944999999999993</v>
          </cell>
          <cell r="L641">
            <v>78.944999999999993</v>
          </cell>
          <cell r="M641">
            <v>78.944999999999993</v>
          </cell>
          <cell r="N641">
            <v>78.944999999999993</v>
          </cell>
          <cell r="O641"/>
        </row>
        <row r="642">
          <cell r="D642" t="str">
            <v>P-01-17</v>
          </cell>
          <cell r="E642" t="str">
            <v>Quinina (bisulfato o sulfato)</v>
          </cell>
          <cell r="F642" t="str">
            <v>Comprimido</v>
          </cell>
          <cell r="G642" t="str">
            <v>300 mg</v>
          </cell>
          <cell r="H642" t="str">
            <v>P01BC01</v>
          </cell>
          <cell r="I642"/>
          <cell r="J642">
            <v>0.83</v>
          </cell>
          <cell r="K642">
            <v>0.83</v>
          </cell>
          <cell r="L642">
            <v>0.83</v>
          </cell>
          <cell r="M642">
            <v>0.83</v>
          </cell>
          <cell r="N642">
            <v>0.83</v>
          </cell>
          <cell r="O642"/>
        </row>
        <row r="643">
          <cell r="D643" t="str">
            <v>P-01-18</v>
          </cell>
          <cell r="E643" t="str">
            <v>Quinina (diclorhidrato)</v>
          </cell>
          <cell r="F643" t="str">
            <v>Inyectable</v>
          </cell>
          <cell r="G643" t="str">
            <v>600 mg</v>
          </cell>
          <cell r="H643" t="str">
            <v>P01BC01</v>
          </cell>
          <cell r="I643"/>
          <cell r="J643">
            <v>27.51</v>
          </cell>
          <cell r="K643">
            <v>27.51</v>
          </cell>
          <cell r="L643">
            <v>27.51</v>
          </cell>
          <cell r="M643">
            <v>27.51</v>
          </cell>
          <cell r="N643">
            <v>27.51</v>
          </cell>
          <cell r="O643"/>
        </row>
        <row r="644">
          <cell r="D644" t="str">
            <v>J-05-37</v>
          </cell>
          <cell r="E644" t="str">
            <v>Raltegravir (potasico)</v>
          </cell>
          <cell r="F644" t="str">
            <v>Comprimido</v>
          </cell>
          <cell r="G644" t="str">
            <v>400 mg</v>
          </cell>
          <cell r="H644" t="str">
            <v>J05AX08</v>
          </cell>
          <cell r="I644" t="str">
            <v>R</v>
          </cell>
          <cell r="J644">
            <v>77.72</v>
          </cell>
          <cell r="K644">
            <v>77.72</v>
          </cell>
          <cell r="L644">
            <v>77.72</v>
          </cell>
          <cell r="M644">
            <v>77.72</v>
          </cell>
          <cell r="N644">
            <v>77.72</v>
          </cell>
          <cell r="O644"/>
        </row>
        <row r="645">
          <cell r="D645" t="str">
            <v>A-02-03</v>
          </cell>
          <cell r="E645" t="str">
            <v>Ranitidina</v>
          </cell>
          <cell r="F645" t="str">
            <v>Comprimido</v>
          </cell>
          <cell r="G645" t="str">
            <v>150 mg</v>
          </cell>
          <cell r="H645" t="str">
            <v>A02BA02</v>
          </cell>
          <cell r="I645"/>
          <cell r="J645">
            <v>0.4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/>
        </row>
        <row r="646">
          <cell r="D646" t="str">
            <v>A-02-04</v>
          </cell>
          <cell r="E646" t="str">
            <v>Ranitidina</v>
          </cell>
          <cell r="F646" t="str">
            <v>Inyectable</v>
          </cell>
          <cell r="G646" t="str">
            <v>50 mg</v>
          </cell>
          <cell r="H646" t="str">
            <v>A02BA02</v>
          </cell>
          <cell r="I646"/>
          <cell r="J646">
            <v>1.82</v>
          </cell>
          <cell r="K646">
            <v>1.82</v>
          </cell>
          <cell r="L646">
            <v>1.82</v>
          </cell>
          <cell r="M646">
            <v>1.82</v>
          </cell>
          <cell r="N646">
            <v>1.82</v>
          </cell>
          <cell r="O646" t="str">
            <v>5 ML</v>
          </cell>
        </row>
        <row r="647">
          <cell r="D647" t="str">
            <v>N-01-16</v>
          </cell>
          <cell r="E647" t="str">
            <v>Remifentanilo</v>
          </cell>
          <cell r="F647" t="str">
            <v>Inyectable</v>
          </cell>
          <cell r="G647" t="str">
            <v>5 mg</v>
          </cell>
          <cell r="H647" t="str">
            <v>N01AH06</v>
          </cell>
          <cell r="I647"/>
          <cell r="J647">
            <v>130.61500000000001</v>
          </cell>
          <cell r="K647">
            <v>130.61500000000001</v>
          </cell>
          <cell r="L647">
            <v>130.61500000000001</v>
          </cell>
          <cell r="M647">
            <v>130.61500000000001</v>
          </cell>
          <cell r="N647">
            <v>130.61500000000001</v>
          </cell>
          <cell r="O647"/>
        </row>
        <row r="648">
          <cell r="D648" t="str">
            <v>D-06-01</v>
          </cell>
          <cell r="E648" t="str">
            <v>Resina de Podofilo (Podofilina)</v>
          </cell>
          <cell r="F648" t="str">
            <v>Solución tópica</v>
          </cell>
          <cell r="G648" t="str">
            <v>10% o 25%</v>
          </cell>
          <cell r="H648" t="str">
            <v>D06BB04</v>
          </cell>
          <cell r="I648"/>
          <cell r="J648">
            <v>35</v>
          </cell>
          <cell r="K648">
            <v>35</v>
          </cell>
          <cell r="L648">
            <v>35</v>
          </cell>
          <cell r="M648">
            <v>35</v>
          </cell>
          <cell r="N648">
            <v>35</v>
          </cell>
          <cell r="O648" t="str">
            <v>25% 15ML</v>
          </cell>
        </row>
        <row r="649">
          <cell r="D649" t="str">
            <v>D-10-04</v>
          </cell>
          <cell r="E649" t="str">
            <v>Resorcinol</v>
          </cell>
          <cell r="F649" t="str">
            <v>Crema o Pomada</v>
          </cell>
          <cell r="G649">
            <v>0.1</v>
          </cell>
          <cell r="H649" t="str">
            <v>D10AX02</v>
          </cell>
          <cell r="I649"/>
          <cell r="J649">
            <v>22.67</v>
          </cell>
          <cell r="K649">
            <v>22.67</v>
          </cell>
          <cell r="L649">
            <v>22.67</v>
          </cell>
          <cell r="M649">
            <v>22.67</v>
          </cell>
          <cell r="N649">
            <v>22.67</v>
          </cell>
          <cell r="O649" t="str">
            <v>10 G</v>
          </cell>
        </row>
        <row r="650">
          <cell r="D650" t="str">
            <v>A-11-13</v>
          </cell>
          <cell r="E650" t="str">
            <v>Retinol (Vitamina A)</v>
          </cell>
          <cell r="F650" t="str">
            <v>Cápsula o Perla</v>
          </cell>
          <cell r="G650" t="str">
            <v>10.000 UI</v>
          </cell>
          <cell r="H650" t="str">
            <v>A11CA01</v>
          </cell>
          <cell r="I650"/>
          <cell r="J650">
            <v>0.8</v>
          </cell>
          <cell r="K650">
            <v>0.8</v>
          </cell>
          <cell r="L650">
            <v>0.8</v>
          </cell>
          <cell r="M650">
            <v>0.8</v>
          </cell>
          <cell r="N650">
            <v>0.8</v>
          </cell>
          <cell r="O650"/>
        </row>
        <row r="651">
          <cell r="D651" t="str">
            <v>A-11-14</v>
          </cell>
          <cell r="E651" t="str">
            <v>Retinol (Vitamina A)</v>
          </cell>
          <cell r="F651" t="str">
            <v>Cápsula o Perla</v>
          </cell>
          <cell r="G651" t="str">
            <v>25.000 UI</v>
          </cell>
          <cell r="H651" t="str">
            <v>A11CA01</v>
          </cell>
          <cell r="I651"/>
          <cell r="J651">
            <v>0.89</v>
          </cell>
          <cell r="K651">
            <v>0.89</v>
          </cell>
          <cell r="L651">
            <v>0.89</v>
          </cell>
          <cell r="M651">
            <v>0.89</v>
          </cell>
          <cell r="N651">
            <v>0.89</v>
          </cell>
          <cell r="O651"/>
        </row>
        <row r="652">
          <cell r="D652" t="str">
            <v>A-11-15</v>
          </cell>
          <cell r="E652" t="str">
            <v>Retinol (Vitamina A)</v>
          </cell>
          <cell r="F652" t="str">
            <v>Cápsula o Perla</v>
          </cell>
          <cell r="G652" t="str">
            <v>100.000 UI</v>
          </cell>
          <cell r="H652" t="str">
            <v>A11CA01</v>
          </cell>
          <cell r="I652"/>
          <cell r="J652">
            <v>1.4591111111111108</v>
          </cell>
          <cell r="K652">
            <v>1.4591111111111108</v>
          </cell>
          <cell r="L652">
            <v>1.4591111111111108</v>
          </cell>
          <cell r="M652">
            <v>1.4591111111111108</v>
          </cell>
          <cell r="N652">
            <v>1.4591111111111108</v>
          </cell>
          <cell r="O652"/>
        </row>
        <row r="653">
          <cell r="D653" t="str">
            <v>A-11-16</v>
          </cell>
          <cell r="E653" t="str">
            <v>Retinol (Vitamina A)</v>
          </cell>
          <cell r="F653" t="str">
            <v>Cápsula o Perla</v>
          </cell>
          <cell r="G653" t="str">
            <v>200.000 UI</v>
          </cell>
          <cell r="H653" t="str">
            <v>A11CA01</v>
          </cell>
          <cell r="I653"/>
          <cell r="J653">
            <v>1.3</v>
          </cell>
          <cell r="K653">
            <v>1.3</v>
          </cell>
          <cell r="L653">
            <v>1.3</v>
          </cell>
          <cell r="M653">
            <v>1.3</v>
          </cell>
          <cell r="N653">
            <v>1.3</v>
          </cell>
          <cell r="O653"/>
        </row>
        <row r="654">
          <cell r="D654" t="str">
            <v>J-04-09</v>
          </cell>
          <cell r="E654" t="str">
            <v>Rifampicina</v>
          </cell>
          <cell r="F654" t="str">
            <v>Suspensión</v>
          </cell>
          <cell r="G654" t="str">
            <v>100 mg/5 ml</v>
          </cell>
          <cell r="H654" t="str">
            <v>J04AB02</v>
          </cell>
          <cell r="I654"/>
          <cell r="J654">
            <v>28.6</v>
          </cell>
          <cell r="K654">
            <v>28.6</v>
          </cell>
          <cell r="L654">
            <v>28.6</v>
          </cell>
          <cell r="M654">
            <v>28.6</v>
          </cell>
          <cell r="N654">
            <v>28.6</v>
          </cell>
          <cell r="O654"/>
        </row>
        <row r="655">
          <cell r="D655" t="str">
            <v>J-04-10</v>
          </cell>
          <cell r="E655" t="str">
            <v>Rifampicina</v>
          </cell>
          <cell r="F655" t="str">
            <v>Cápsula o Comprimido</v>
          </cell>
          <cell r="G655" t="str">
            <v>300 mg</v>
          </cell>
          <cell r="H655" t="str">
            <v>J04AB02</v>
          </cell>
          <cell r="I655"/>
          <cell r="J655">
            <v>1.7292860000000001</v>
          </cell>
          <cell r="K655">
            <v>1.7292860000000001</v>
          </cell>
          <cell r="L655">
            <v>1.7292860000000001</v>
          </cell>
          <cell r="M655">
            <v>1.7292860000000001</v>
          </cell>
          <cell r="N655">
            <v>1.7292860000000001</v>
          </cell>
          <cell r="O655"/>
        </row>
        <row r="656">
          <cell r="D656" t="str">
            <v>J-04-17</v>
          </cell>
          <cell r="E656" t="str">
            <v>Rifampicina</v>
          </cell>
          <cell r="F656" t="str">
            <v>Cápsula o Comprimido</v>
          </cell>
          <cell r="G656" t="str">
            <v>150 mg</v>
          </cell>
          <cell r="H656" t="str">
            <v>J04AB02</v>
          </cell>
          <cell r="I656" t="str">
            <v>R</v>
          </cell>
          <cell r="J656">
            <v>1.25</v>
          </cell>
          <cell r="K656">
            <v>1.25</v>
          </cell>
          <cell r="L656">
            <v>1.25</v>
          </cell>
          <cell r="M656">
            <v>1.25</v>
          </cell>
          <cell r="N656">
            <v>1.25</v>
          </cell>
          <cell r="O656"/>
        </row>
        <row r="657">
          <cell r="D657" t="str">
            <v>J-04-14</v>
          </cell>
          <cell r="E657" t="str">
            <v>Rifampicina + Isoniazida (INH)</v>
          </cell>
          <cell r="F657" t="str">
            <v>Comprimido</v>
          </cell>
          <cell r="G657" t="str">
            <v>300 mg + 150 mg</v>
          </cell>
          <cell r="H657" t="str">
            <v>J04AM02</v>
          </cell>
          <cell r="I657" t="str">
            <v>R</v>
          </cell>
          <cell r="J657">
            <v>0.24402599999999999</v>
          </cell>
          <cell r="K657">
            <v>0.24402599999999999</v>
          </cell>
          <cell r="L657">
            <v>0.24402599999999999</v>
          </cell>
          <cell r="M657">
            <v>0.24402599999999999</v>
          </cell>
          <cell r="N657">
            <v>0.24402599999999999</v>
          </cell>
          <cell r="O657"/>
        </row>
        <row r="658">
          <cell r="D658" t="str">
            <v>J-04-22</v>
          </cell>
          <cell r="E658" t="str">
            <v>Rifampicina, Clofazimina, Dapsona</v>
          </cell>
          <cell r="F658" t="str">
            <v>Comprimido</v>
          </cell>
          <cell r="G658" t="str">
            <v>300 mg + 50 mg + 50 mg</v>
          </cell>
          <cell r="H658" t="str">
            <v>104BA</v>
          </cell>
          <cell r="I658" t="str">
            <v>R</v>
          </cell>
          <cell r="J658">
            <v>13.4</v>
          </cell>
          <cell r="K658">
            <v>13.4</v>
          </cell>
          <cell r="L658">
            <v>13.4</v>
          </cell>
          <cell r="M658">
            <v>13.4</v>
          </cell>
          <cell r="N658">
            <v>13.4</v>
          </cell>
          <cell r="O658"/>
        </row>
        <row r="659">
          <cell r="D659" t="str">
            <v>J-04-23</v>
          </cell>
          <cell r="E659" t="str">
            <v>Rifampicina, Clofazimina, Dapsona</v>
          </cell>
          <cell r="F659" t="str">
            <v>Comprimido</v>
          </cell>
          <cell r="G659" t="str">
            <v>300 mg + 100 mg + 100 mg</v>
          </cell>
          <cell r="H659" t="str">
            <v>J04BA</v>
          </cell>
          <cell r="I659" t="str">
            <v>R</v>
          </cell>
          <cell r="J659">
            <v>22.22</v>
          </cell>
          <cell r="K659">
            <v>22.22</v>
          </cell>
          <cell r="L659">
            <v>22.22</v>
          </cell>
          <cell r="M659">
            <v>22.22</v>
          </cell>
          <cell r="N659">
            <v>22.22</v>
          </cell>
          <cell r="O659"/>
        </row>
        <row r="660">
          <cell r="D660" t="str">
            <v>J-04-20</v>
          </cell>
          <cell r="E660" t="str">
            <v>Rifampicina, Dapsona</v>
          </cell>
          <cell r="F660" t="str">
            <v>Comprimido</v>
          </cell>
          <cell r="G660" t="str">
            <v>300 mg + 50 mg</v>
          </cell>
          <cell r="H660" t="str">
            <v>J04BA</v>
          </cell>
          <cell r="I660" t="str">
            <v>R</v>
          </cell>
          <cell r="J660">
            <v>2</v>
          </cell>
          <cell r="K660">
            <v>2</v>
          </cell>
          <cell r="L660">
            <v>2</v>
          </cell>
          <cell r="M660">
            <v>2</v>
          </cell>
          <cell r="N660">
            <v>2</v>
          </cell>
          <cell r="O660"/>
        </row>
        <row r="661">
          <cell r="D661" t="str">
            <v>J-04-21</v>
          </cell>
          <cell r="E661" t="str">
            <v>Rifampicina, Dapsona</v>
          </cell>
          <cell r="F661" t="str">
            <v>Comprimido</v>
          </cell>
          <cell r="G661" t="str">
            <v>300 mg + 100 mg</v>
          </cell>
          <cell r="H661" t="str">
            <v>J04BA</v>
          </cell>
          <cell r="I661" t="str">
            <v>R</v>
          </cell>
          <cell r="J661">
            <v>1.99</v>
          </cell>
          <cell r="K661">
            <v>1.99</v>
          </cell>
          <cell r="L661">
            <v>1.99</v>
          </cell>
          <cell r="M661">
            <v>1.99</v>
          </cell>
          <cell r="N661">
            <v>1.99</v>
          </cell>
          <cell r="O661"/>
        </row>
        <row r="662">
          <cell r="D662" t="str">
            <v>G-02-06</v>
          </cell>
          <cell r="E662" t="str">
            <v>Ritodrina</v>
          </cell>
          <cell r="F662" t="str">
            <v>Comprimido</v>
          </cell>
          <cell r="G662" t="str">
            <v>10 mg</v>
          </cell>
          <cell r="H662" t="str">
            <v>G02CA01</v>
          </cell>
          <cell r="I662"/>
          <cell r="J662">
            <v>8.24</v>
          </cell>
          <cell r="K662">
            <v>8.24</v>
          </cell>
          <cell r="L662">
            <v>8.24</v>
          </cell>
          <cell r="M662">
            <v>8.24</v>
          </cell>
          <cell r="N662">
            <v>8.24</v>
          </cell>
          <cell r="O662"/>
        </row>
        <row r="663">
          <cell r="D663" t="str">
            <v>G-02-07</v>
          </cell>
          <cell r="E663" t="str">
            <v>Ritodrina</v>
          </cell>
          <cell r="F663" t="str">
            <v>Inyectable</v>
          </cell>
          <cell r="G663" t="str">
            <v>10 mg/ml</v>
          </cell>
          <cell r="H663" t="str">
            <v>G02CA01</v>
          </cell>
          <cell r="I663"/>
          <cell r="J663">
            <v>82.45</v>
          </cell>
          <cell r="K663">
            <v>82.45</v>
          </cell>
          <cell r="L663">
            <v>82.45</v>
          </cell>
          <cell r="M663">
            <v>82.45</v>
          </cell>
          <cell r="N663">
            <v>82.45</v>
          </cell>
          <cell r="O663"/>
        </row>
        <row r="664">
          <cell r="D664" t="str">
            <v>J-05-22</v>
          </cell>
          <cell r="E664" t="str">
            <v>Ritonavir</v>
          </cell>
          <cell r="F664" t="str">
            <v>Cápsula blanda</v>
          </cell>
          <cell r="G664" t="str">
            <v>100 mg</v>
          </cell>
          <cell r="H664" t="str">
            <v>J05AE03</v>
          </cell>
          <cell r="I664"/>
          <cell r="J664">
            <v>17.86</v>
          </cell>
          <cell r="K664">
            <v>17.86</v>
          </cell>
          <cell r="L664">
            <v>17.86</v>
          </cell>
          <cell r="M664">
            <v>17.86</v>
          </cell>
          <cell r="N664">
            <v>17.86</v>
          </cell>
          <cell r="O664"/>
        </row>
        <row r="665">
          <cell r="D665" t="str">
            <v>L-01-41</v>
          </cell>
          <cell r="E665" t="str">
            <v>Rituximab</v>
          </cell>
          <cell r="F665" t="str">
            <v>Inyectable</v>
          </cell>
          <cell r="G665" t="str">
            <v>500 mg/50 ml</v>
          </cell>
          <cell r="H665" t="str">
            <v>L01XC02</v>
          </cell>
          <cell r="I665" t="str">
            <v>R</v>
          </cell>
          <cell r="J665">
            <v>10287.700000000001</v>
          </cell>
          <cell r="K665">
            <v>10287.700000000001</v>
          </cell>
          <cell r="L665">
            <v>10287.700000000001</v>
          </cell>
          <cell r="M665">
            <v>10287.700000000001</v>
          </cell>
          <cell r="N665">
            <v>10287.700000000001</v>
          </cell>
          <cell r="O665"/>
        </row>
        <row r="666">
          <cell r="D666" t="str">
            <v>L-01-56</v>
          </cell>
          <cell r="E666" t="str">
            <v>Rituximab</v>
          </cell>
          <cell r="F666" t="str">
            <v>Inyectable</v>
          </cell>
          <cell r="G666" t="str">
            <v>100 mg/10ml</v>
          </cell>
          <cell r="H666" t="str">
            <v>L01XC02</v>
          </cell>
          <cell r="I666" t="str">
            <v>R</v>
          </cell>
          <cell r="J666">
            <v>6612.8</v>
          </cell>
          <cell r="K666">
            <v>6612.8</v>
          </cell>
          <cell r="L666">
            <v>6612.8</v>
          </cell>
          <cell r="M666">
            <v>6612.8</v>
          </cell>
          <cell r="N666">
            <v>6612.8</v>
          </cell>
          <cell r="O666"/>
        </row>
        <row r="667">
          <cell r="D667" t="str">
            <v>B-01-07</v>
          </cell>
          <cell r="E667" t="str">
            <v>Rivaroxabán</v>
          </cell>
          <cell r="F667" t="str">
            <v>Comprimido</v>
          </cell>
          <cell r="G667" t="str">
            <v>10 mg</v>
          </cell>
          <cell r="H667" t="str">
            <v>B01AX06</v>
          </cell>
          <cell r="I667" t="str">
            <v>R</v>
          </cell>
          <cell r="J667">
            <v>25.42</v>
          </cell>
          <cell r="K667">
            <v>25.42</v>
          </cell>
          <cell r="L667">
            <v>25.42</v>
          </cell>
          <cell r="M667">
            <v>25.42</v>
          </cell>
          <cell r="N667">
            <v>25.42</v>
          </cell>
          <cell r="O667"/>
        </row>
        <row r="668">
          <cell r="D668" t="str">
            <v>M-03-03</v>
          </cell>
          <cell r="E668" t="str">
            <v>Rocuronio bromuro</v>
          </cell>
          <cell r="F668" t="str">
            <v>Inyectable</v>
          </cell>
          <cell r="G668" t="str">
            <v>10 mg/ml</v>
          </cell>
          <cell r="H668" t="str">
            <v>M03AC09</v>
          </cell>
          <cell r="I668"/>
          <cell r="J668">
            <v>79.702500000000001</v>
          </cell>
          <cell r="K668">
            <v>79.702500000000001</v>
          </cell>
          <cell r="L668">
            <v>79.702500000000001</v>
          </cell>
          <cell r="M668">
            <v>79.702500000000001</v>
          </cell>
          <cell r="N668">
            <v>79.702500000000001</v>
          </cell>
          <cell r="O668"/>
        </row>
        <row r="669">
          <cell r="D669" t="str">
            <v>C-10-03</v>
          </cell>
          <cell r="E669" t="str">
            <v>Rosuvastatina</v>
          </cell>
          <cell r="F669" t="str">
            <v>Comprimido</v>
          </cell>
          <cell r="G669" t="str">
            <v>20 mg</v>
          </cell>
          <cell r="H669" t="str">
            <v>C10AA07</v>
          </cell>
          <cell r="I669"/>
          <cell r="J669">
            <v>12.02</v>
          </cell>
          <cell r="K669">
            <v>12.02</v>
          </cell>
          <cell r="L669">
            <v>12.02</v>
          </cell>
          <cell r="M669">
            <v>12.02</v>
          </cell>
          <cell r="N669">
            <v>12.02</v>
          </cell>
          <cell r="O669"/>
        </row>
        <row r="670">
          <cell r="D670" t="str">
            <v>R-03-04</v>
          </cell>
          <cell r="E670" t="str">
            <v>Salbutamol</v>
          </cell>
          <cell r="F670" t="str">
            <v>Solución para nebulización</v>
          </cell>
          <cell r="G670" t="str">
            <v>5 mg/ml</v>
          </cell>
          <cell r="H670" t="str">
            <v>R03AC02</v>
          </cell>
          <cell r="I670"/>
          <cell r="J670">
            <v>29.206666666666667</v>
          </cell>
          <cell r="K670">
            <v>29.206666666666667</v>
          </cell>
          <cell r="L670">
            <v>29.206666666666667</v>
          </cell>
          <cell r="M670">
            <v>29.206666666666667</v>
          </cell>
          <cell r="N670">
            <v>29.206666666666667</v>
          </cell>
          <cell r="O670"/>
        </row>
        <row r="671">
          <cell r="D671" t="str">
            <v>R-03-05</v>
          </cell>
          <cell r="E671" t="str">
            <v>Salbutamol</v>
          </cell>
          <cell r="F671" t="str">
            <v>Comprimido</v>
          </cell>
          <cell r="G671" t="str">
            <v>4 mg</v>
          </cell>
          <cell r="H671" t="str">
            <v>R03CC02</v>
          </cell>
          <cell r="I671"/>
          <cell r="J671">
            <v>0.48</v>
          </cell>
          <cell r="K671">
            <v>0.48</v>
          </cell>
          <cell r="L671">
            <v>0.48</v>
          </cell>
          <cell r="M671">
            <v>0.48</v>
          </cell>
          <cell r="N671">
            <v>0.48</v>
          </cell>
          <cell r="O671"/>
        </row>
        <row r="672">
          <cell r="D672" t="str">
            <v>R-03-06</v>
          </cell>
          <cell r="E672" t="str">
            <v>Salbutamol</v>
          </cell>
          <cell r="F672" t="str">
            <v>Aerosol</v>
          </cell>
          <cell r="G672" t="str">
            <v>0,1 mg/inhalación</v>
          </cell>
          <cell r="H672" t="str">
            <v>R03AC02</v>
          </cell>
          <cell r="I672"/>
          <cell r="J672">
            <v>19.687875000000002</v>
          </cell>
          <cell r="K672">
            <v>19.687875000000002</v>
          </cell>
          <cell r="L672">
            <v>19.687875000000002</v>
          </cell>
          <cell r="M672">
            <v>19.687875000000002</v>
          </cell>
          <cell r="N672">
            <v>19.687875000000002</v>
          </cell>
          <cell r="O672" t="str">
            <v>200 dósis</v>
          </cell>
        </row>
        <row r="673">
          <cell r="D673" t="str">
            <v>A-07-06</v>
          </cell>
          <cell r="E673" t="str">
            <v>Sales de rehidratación oral (SRO) baja osmolaridad</v>
          </cell>
          <cell r="F673" t="str">
            <v>Sobres</v>
          </cell>
          <cell r="G673" t="str">
            <v>Según concentración estándar</v>
          </cell>
          <cell r="H673" t="str">
            <v>A07CA**</v>
          </cell>
          <cell r="I673"/>
          <cell r="J673">
            <v>1.96</v>
          </cell>
          <cell r="K673">
            <v>1.96</v>
          </cell>
          <cell r="L673">
            <v>1.96</v>
          </cell>
          <cell r="M673">
            <v>1.96</v>
          </cell>
          <cell r="N673">
            <v>1.96</v>
          </cell>
          <cell r="O673"/>
        </row>
        <row r="674">
          <cell r="D674" t="str">
            <v>R-03-11</v>
          </cell>
          <cell r="E674" t="str">
            <v>Salmeterol + Fluticasona</v>
          </cell>
          <cell r="F674" t="str">
            <v>Aerosol</v>
          </cell>
          <cell r="G674" t="str">
            <v>25 mcg + 125 mcg</v>
          </cell>
          <cell r="H674" t="str">
            <v>R03AK06</v>
          </cell>
          <cell r="I674"/>
          <cell r="J674">
            <v>109.66444444444444</v>
          </cell>
          <cell r="K674">
            <v>109.66444444444444</v>
          </cell>
          <cell r="L674">
            <v>109.66444444444444</v>
          </cell>
          <cell r="M674">
            <v>109.66444444444444</v>
          </cell>
          <cell r="N674">
            <v>109.66444444444444</v>
          </cell>
          <cell r="O674" t="str">
            <v>120 dósis</v>
          </cell>
        </row>
        <row r="675">
          <cell r="D675" t="str">
            <v>C-02-08</v>
          </cell>
          <cell r="E675" t="str">
            <v>Sildenafilo</v>
          </cell>
          <cell r="F675" t="str">
            <v>Comprimido</v>
          </cell>
          <cell r="G675" t="str">
            <v>50 mg</v>
          </cell>
          <cell r="H675" t="str">
            <v>C02KX</v>
          </cell>
          <cell r="I675"/>
          <cell r="J675">
            <v>2.82</v>
          </cell>
          <cell r="K675">
            <v>2.82</v>
          </cell>
          <cell r="L675">
            <v>2.82</v>
          </cell>
          <cell r="M675">
            <v>2.82</v>
          </cell>
          <cell r="N675">
            <v>2.82</v>
          </cell>
          <cell r="O675"/>
        </row>
        <row r="676">
          <cell r="D676" t="str">
            <v>A-03-12</v>
          </cell>
          <cell r="E676" t="str">
            <v>Simeticona</v>
          </cell>
          <cell r="F676" t="str">
            <v>Suspensión</v>
          </cell>
          <cell r="G676" t="str">
            <v>3% o 4%</v>
          </cell>
          <cell r="H676" t="str">
            <v>A03AX13</v>
          </cell>
          <cell r="I676"/>
          <cell r="J676">
            <v>22.35</v>
          </cell>
          <cell r="K676">
            <v>22.35</v>
          </cell>
          <cell r="L676">
            <v>22.35</v>
          </cell>
          <cell r="M676">
            <v>22.35</v>
          </cell>
          <cell r="N676">
            <v>22.35</v>
          </cell>
          <cell r="O676" t="str">
            <v>30ML</v>
          </cell>
        </row>
        <row r="677">
          <cell r="D677" t="str">
            <v>J-05-41</v>
          </cell>
          <cell r="E677" t="str">
            <v>Sofosbuvir</v>
          </cell>
          <cell r="F677" t="str">
            <v>Comprimido</v>
          </cell>
          <cell r="G677" t="str">
            <v>400 mg</v>
          </cell>
          <cell r="H677" t="str">
            <v>J05AX15</v>
          </cell>
          <cell r="I677"/>
          <cell r="J677">
            <v>380.51</v>
          </cell>
          <cell r="K677">
            <v>380.51</v>
          </cell>
          <cell r="L677">
            <v>380.51</v>
          </cell>
          <cell r="M677">
            <v>380.51</v>
          </cell>
          <cell r="N677">
            <v>380.51</v>
          </cell>
          <cell r="O677"/>
        </row>
        <row r="678">
          <cell r="D678" t="str">
            <v>B-05-13</v>
          </cell>
          <cell r="E678" t="str">
            <v>Solucion Acida</v>
          </cell>
          <cell r="F678" t="str">
            <v>Solución</v>
          </cell>
          <cell r="G678" t="str">
            <v>Según disponibilidad</v>
          </cell>
          <cell r="H678" t="str">
            <v>B05Z**</v>
          </cell>
          <cell r="I678"/>
          <cell r="J678">
            <v>120.89</v>
          </cell>
          <cell r="K678">
            <v>120.89</v>
          </cell>
          <cell r="L678">
            <v>120.89</v>
          </cell>
          <cell r="M678">
            <v>120.89</v>
          </cell>
          <cell r="N678">
            <v>120.89</v>
          </cell>
          <cell r="O678" t="str">
            <v>10 L</v>
          </cell>
        </row>
        <row r="679">
          <cell r="D679" t="str">
            <v>B-05-14</v>
          </cell>
          <cell r="E679" t="str">
            <v>Solución Básica</v>
          </cell>
          <cell r="F679" t="str">
            <v>Solución</v>
          </cell>
          <cell r="G679" t="str">
            <v>Según disponibilidad</v>
          </cell>
          <cell r="H679" t="str">
            <v>B05Z**</v>
          </cell>
          <cell r="I679"/>
          <cell r="J679">
            <v>120.97</v>
          </cell>
          <cell r="K679">
            <v>120.97</v>
          </cell>
          <cell r="L679">
            <v>120.97</v>
          </cell>
          <cell r="M679">
            <v>120.97</v>
          </cell>
          <cell r="N679">
            <v>120.97</v>
          </cell>
          <cell r="O679" t="str">
            <v>10 L</v>
          </cell>
        </row>
        <row r="680">
          <cell r="D680" t="str">
            <v>B-05-15</v>
          </cell>
          <cell r="E680" t="str">
            <v>Solución de glucosa</v>
          </cell>
          <cell r="F680" t="str">
            <v>Solución parenteral de gran volumen</v>
          </cell>
          <cell r="G680" t="str">
            <v>5% (500 ml)</v>
          </cell>
          <cell r="H680" t="str">
            <v>B05CX01</v>
          </cell>
          <cell r="I680"/>
          <cell r="J680">
            <v>8.5891453030303051</v>
          </cell>
          <cell r="K680">
            <v>8.5891453030303051</v>
          </cell>
          <cell r="L680">
            <v>8.5891453030303051</v>
          </cell>
          <cell r="M680">
            <v>8.5891453030303051</v>
          </cell>
          <cell r="N680">
            <v>8.5891453030303051</v>
          </cell>
          <cell r="O680"/>
        </row>
        <row r="681">
          <cell r="D681" t="str">
            <v>B-05-16</v>
          </cell>
          <cell r="E681" t="str">
            <v>Solución de glucosa</v>
          </cell>
          <cell r="F681" t="str">
            <v>Solución parenteral de gran volumen</v>
          </cell>
          <cell r="G681" t="str">
            <v>5% (1.000 ml)</v>
          </cell>
          <cell r="H681" t="str">
            <v>B05CX01</v>
          </cell>
          <cell r="I681"/>
          <cell r="J681">
            <v>13.44</v>
          </cell>
          <cell r="K681">
            <v>13.44</v>
          </cell>
          <cell r="L681">
            <v>13.44</v>
          </cell>
          <cell r="M681">
            <v>13.44</v>
          </cell>
          <cell r="N681">
            <v>13.44</v>
          </cell>
          <cell r="O681"/>
        </row>
        <row r="682">
          <cell r="D682" t="str">
            <v>B-05-17</v>
          </cell>
          <cell r="E682" t="str">
            <v>Solución de glucosa</v>
          </cell>
          <cell r="F682" t="str">
            <v>Solución parenteral de gran volumen</v>
          </cell>
          <cell r="G682" t="str">
            <v>10% (500 ml)</v>
          </cell>
          <cell r="H682" t="str">
            <v>B05CX01</v>
          </cell>
          <cell r="I682"/>
          <cell r="J682">
            <v>8.8699999999999992</v>
          </cell>
          <cell r="K682">
            <v>8.8699999999999992</v>
          </cell>
          <cell r="L682">
            <v>8.8699999999999992</v>
          </cell>
          <cell r="M682">
            <v>8.8699999999999992</v>
          </cell>
          <cell r="N682">
            <v>8.8699999999999992</v>
          </cell>
          <cell r="O682"/>
        </row>
        <row r="683">
          <cell r="D683" t="str">
            <v>B-05-18</v>
          </cell>
          <cell r="E683" t="str">
            <v>Solución de glucosa</v>
          </cell>
          <cell r="F683" t="str">
            <v>Solución parenteral de gran volumen</v>
          </cell>
          <cell r="G683" t="str">
            <v>10% (1.000 ml)</v>
          </cell>
          <cell r="H683" t="str">
            <v>B05CX01</v>
          </cell>
          <cell r="I683"/>
          <cell r="J683">
            <v>10.400833333333335</v>
          </cell>
          <cell r="K683">
            <v>10.400833333333335</v>
          </cell>
          <cell r="L683">
            <v>10.400833333333335</v>
          </cell>
          <cell r="M683">
            <v>10.400833333333335</v>
          </cell>
          <cell r="N683">
            <v>10.400833333333335</v>
          </cell>
          <cell r="O683"/>
        </row>
        <row r="684">
          <cell r="D684" t="str">
            <v>B-05-19</v>
          </cell>
          <cell r="E684" t="str">
            <v>Solución de glucosa</v>
          </cell>
          <cell r="F684" t="str">
            <v>Solución parenteral de gran volumen</v>
          </cell>
          <cell r="G684" t="str">
            <v>50% (500 ml)</v>
          </cell>
          <cell r="H684" t="str">
            <v>B05CX01</v>
          </cell>
          <cell r="I684"/>
          <cell r="J684">
            <v>19.399999999999999</v>
          </cell>
          <cell r="K684">
            <v>19.399999999999999</v>
          </cell>
          <cell r="L684">
            <v>19.399999999999999</v>
          </cell>
          <cell r="M684">
            <v>19.399999999999999</v>
          </cell>
          <cell r="N684">
            <v>19.399999999999999</v>
          </cell>
          <cell r="O684"/>
        </row>
        <row r="685">
          <cell r="D685" t="str">
            <v>H-01-04</v>
          </cell>
          <cell r="E685" t="str">
            <v xml:space="preserve">Somatropina </v>
          </cell>
          <cell r="F685" t="str">
            <v>Inyectable</v>
          </cell>
          <cell r="G685" t="str">
            <v>4UI (1,33 mg)</v>
          </cell>
          <cell r="H685" t="str">
            <v>H01AC01</v>
          </cell>
          <cell r="I685" t="str">
            <v>R</v>
          </cell>
          <cell r="J685" t="str">
            <v>SPR</v>
          </cell>
          <cell r="K685" t="str">
            <v>SPR</v>
          </cell>
          <cell r="L685" t="str">
            <v>SPR</v>
          </cell>
          <cell r="M685" t="str">
            <v>SPR</v>
          </cell>
          <cell r="N685" t="str">
            <v>SPR</v>
          </cell>
          <cell r="O685"/>
        </row>
        <row r="686">
          <cell r="D686" t="str">
            <v>B-05-20</v>
          </cell>
          <cell r="E686" t="str">
            <v>Solución de glucosa</v>
          </cell>
          <cell r="F686" t="str">
            <v>Inyectable</v>
          </cell>
          <cell r="G686" t="str">
            <v>50% (20 ml)</v>
          </cell>
          <cell r="H686" t="str">
            <v>B05CX01</v>
          </cell>
          <cell r="I686"/>
          <cell r="J686">
            <v>6.76</v>
          </cell>
          <cell r="K686">
            <v>6.76</v>
          </cell>
          <cell r="L686">
            <v>6.76</v>
          </cell>
          <cell r="M686">
            <v>6.76</v>
          </cell>
          <cell r="N686">
            <v>6.76</v>
          </cell>
          <cell r="O686"/>
        </row>
        <row r="687">
          <cell r="D687" t="str">
            <v>B-05-36</v>
          </cell>
          <cell r="E687" t="str">
            <v xml:space="preserve">Solución de glucosa </v>
          </cell>
          <cell r="F687" t="str">
            <v>Solución parenteral</v>
          </cell>
          <cell r="G687" t="str">
            <v>10% (250 ml)</v>
          </cell>
          <cell r="H687" t="str">
            <v>B05CX01</v>
          </cell>
          <cell r="I687"/>
          <cell r="J687">
            <v>9</v>
          </cell>
          <cell r="K687">
            <v>9</v>
          </cell>
          <cell r="L687">
            <v>9</v>
          </cell>
          <cell r="M687">
            <v>9</v>
          </cell>
          <cell r="N687">
            <v>9</v>
          </cell>
          <cell r="O687"/>
        </row>
        <row r="688">
          <cell r="D688" t="str">
            <v>B-05-21</v>
          </cell>
          <cell r="E688" t="str">
            <v>Solución de Manitol</v>
          </cell>
          <cell r="F688" t="str">
            <v>Solución parenteral de gran volumen</v>
          </cell>
          <cell r="G688" t="str">
            <v>20% (500 ml)</v>
          </cell>
          <cell r="H688" t="str">
            <v>B05CX04</v>
          </cell>
          <cell r="I688"/>
          <cell r="J688">
            <v>23.9</v>
          </cell>
          <cell r="K688">
            <v>23.9</v>
          </cell>
          <cell r="L688">
            <v>23.9</v>
          </cell>
          <cell r="M688">
            <v>23.9</v>
          </cell>
          <cell r="N688">
            <v>23.9</v>
          </cell>
          <cell r="O688"/>
        </row>
        <row r="689">
          <cell r="D689" t="str">
            <v>V-07-01</v>
          </cell>
          <cell r="E689" t="str">
            <v>Solución de preservación de órganos sòlidos HTK</v>
          </cell>
          <cell r="F689" t="str">
            <v>Soluciòn</v>
          </cell>
          <cell r="G689" t="str">
            <v>Según disponibilidad</v>
          </cell>
          <cell r="H689" t="str">
            <v>V07AB</v>
          </cell>
          <cell r="I689" t="str">
            <v>R</v>
          </cell>
          <cell r="J689">
            <v>2440</v>
          </cell>
          <cell r="K689">
            <v>2440</v>
          </cell>
          <cell r="L689">
            <v>2440</v>
          </cell>
          <cell r="M689">
            <v>2440</v>
          </cell>
          <cell r="N689">
            <v>2440</v>
          </cell>
          <cell r="O689"/>
        </row>
        <row r="690">
          <cell r="D690" t="str">
            <v>B-05-24</v>
          </cell>
          <cell r="E690" t="str">
            <v>Solución glucosada clorurada</v>
          </cell>
          <cell r="F690" t="str">
            <v>Solución parenteral de gran volumen</v>
          </cell>
          <cell r="G690" t="str">
            <v>500 ml</v>
          </cell>
          <cell r="H690" t="str">
            <v>B05CB10</v>
          </cell>
          <cell r="I690"/>
          <cell r="J690">
            <v>7.0520000000000014</v>
          </cell>
          <cell r="K690">
            <v>7.0520000000000014</v>
          </cell>
          <cell r="L690">
            <v>7.0520000000000014</v>
          </cell>
          <cell r="M690">
            <v>7.0520000000000014</v>
          </cell>
          <cell r="N690">
            <v>7.0520000000000014</v>
          </cell>
          <cell r="O690"/>
        </row>
        <row r="691">
          <cell r="D691" t="str">
            <v>B-05-25</v>
          </cell>
          <cell r="E691" t="str">
            <v>Solución glucosada clorurada</v>
          </cell>
          <cell r="F691" t="str">
            <v>Solución parenteral de gran volumen</v>
          </cell>
          <cell r="G691" t="str">
            <v>1.000 ml</v>
          </cell>
          <cell r="H691" t="str">
            <v>B05CB10</v>
          </cell>
          <cell r="I691"/>
          <cell r="J691">
            <v>10.54</v>
          </cell>
          <cell r="K691">
            <v>10.54</v>
          </cell>
          <cell r="L691">
            <v>10.54</v>
          </cell>
          <cell r="M691">
            <v>10.54</v>
          </cell>
          <cell r="N691">
            <v>10.54</v>
          </cell>
          <cell r="O691" t="str">
            <v>1.000 ML</v>
          </cell>
        </row>
        <row r="692">
          <cell r="D692" t="str">
            <v>B-05-26</v>
          </cell>
          <cell r="E692" t="str">
            <v>Solución para dialisis peritoneal I</v>
          </cell>
          <cell r="F692" t="str">
            <v>Solución parenteral de gran volumen</v>
          </cell>
          <cell r="G692" t="str">
            <v>1.000 ml</v>
          </cell>
          <cell r="H692" t="str">
            <v>B05DB**</v>
          </cell>
          <cell r="I692"/>
          <cell r="J692">
            <v>14.42</v>
          </cell>
          <cell r="K692">
            <v>14.42</v>
          </cell>
          <cell r="L692">
            <v>14.42</v>
          </cell>
          <cell r="M692">
            <v>14.42</v>
          </cell>
          <cell r="N692">
            <v>14.42</v>
          </cell>
          <cell r="O692"/>
        </row>
        <row r="693">
          <cell r="D693" t="str">
            <v>B-05-27</v>
          </cell>
          <cell r="E693" t="str">
            <v>Solución para dialisis peritoneal II</v>
          </cell>
          <cell r="F693" t="str">
            <v>Solución parenteral de gran volumen</v>
          </cell>
          <cell r="G693" t="str">
            <v>1.000 ml</v>
          </cell>
          <cell r="H693" t="str">
            <v>B05DB**</v>
          </cell>
          <cell r="I693"/>
          <cell r="J693">
            <v>18.424999999999997</v>
          </cell>
          <cell r="K693">
            <v>18.424999999999997</v>
          </cell>
          <cell r="L693">
            <v>18.424999999999997</v>
          </cell>
          <cell r="M693">
            <v>18.424999999999997</v>
          </cell>
          <cell r="N693">
            <v>18.424999999999997</v>
          </cell>
          <cell r="O693"/>
        </row>
        <row r="694">
          <cell r="D694" t="str">
            <v>B-05-29</v>
          </cell>
          <cell r="E694" t="str">
            <v>Solución ringer lactato</v>
          </cell>
          <cell r="F694" t="str">
            <v>Solución parenteral de gran volumen</v>
          </cell>
          <cell r="G694" t="str">
            <v>500 ml</v>
          </cell>
          <cell r="H694" t="str">
            <v>B05XA30</v>
          </cell>
          <cell r="I694"/>
          <cell r="J694">
            <v>8.0102597402597411</v>
          </cell>
          <cell r="K694">
            <v>8.0102597402597411</v>
          </cell>
          <cell r="L694">
            <v>8.0102597402597411</v>
          </cell>
          <cell r="M694">
            <v>8.0102597402597411</v>
          </cell>
          <cell r="N694">
            <v>8.0102597402597411</v>
          </cell>
          <cell r="O694"/>
        </row>
        <row r="695">
          <cell r="D695" t="str">
            <v>B-05-31</v>
          </cell>
          <cell r="E695" t="str">
            <v>Solución ringer normal</v>
          </cell>
          <cell r="F695" t="str">
            <v>Solución parenteral de gran volumen</v>
          </cell>
          <cell r="G695" t="str">
            <v>500 ml</v>
          </cell>
          <cell r="H695" t="str">
            <v>B05XA30</v>
          </cell>
          <cell r="I695"/>
          <cell r="J695">
            <v>8.8000000000000007</v>
          </cell>
          <cell r="K695">
            <v>8.8000000000000007</v>
          </cell>
          <cell r="L695">
            <v>8.8000000000000007</v>
          </cell>
          <cell r="M695">
            <v>8.8000000000000007</v>
          </cell>
          <cell r="N695">
            <v>8.8000000000000007</v>
          </cell>
          <cell r="O695"/>
        </row>
        <row r="696">
          <cell r="D696" t="str">
            <v>B-05-32</v>
          </cell>
          <cell r="E696" t="str">
            <v>Solución ringer normal</v>
          </cell>
          <cell r="F696" t="str">
            <v>Solución parenteral de gran volumen</v>
          </cell>
          <cell r="G696" t="str">
            <v>1.000 ml</v>
          </cell>
          <cell r="H696" t="str">
            <v>B05XA30</v>
          </cell>
          <cell r="I696"/>
          <cell r="J696">
            <v>11.8</v>
          </cell>
          <cell r="K696">
            <v>11.8</v>
          </cell>
          <cell r="L696">
            <v>11.8</v>
          </cell>
          <cell r="M696">
            <v>11.8</v>
          </cell>
          <cell r="N696">
            <v>11.8</v>
          </cell>
          <cell r="O696"/>
        </row>
        <row r="697">
          <cell r="D697" t="str">
            <v>J-06-10</v>
          </cell>
          <cell r="E697" t="str">
            <v>Suero Antiescorpionico</v>
          </cell>
          <cell r="F697" t="str">
            <v>Inyectable</v>
          </cell>
          <cell r="G697" t="str">
            <v>Según disponibilidad</v>
          </cell>
          <cell r="H697" t="str">
            <v>J06B**</v>
          </cell>
          <cell r="I697"/>
          <cell r="J697">
            <v>60</v>
          </cell>
          <cell r="K697">
            <v>60</v>
          </cell>
          <cell r="L697">
            <v>60</v>
          </cell>
          <cell r="M697">
            <v>60</v>
          </cell>
          <cell r="N697">
            <v>60</v>
          </cell>
          <cell r="O697"/>
        </row>
        <row r="698">
          <cell r="D698" t="str">
            <v>J-06-06</v>
          </cell>
          <cell r="E698" t="str">
            <v>Suero Antilatrodectus</v>
          </cell>
          <cell r="F698" t="str">
            <v>Inyectable</v>
          </cell>
          <cell r="G698" t="str">
            <v>Según disponibilidad</v>
          </cell>
          <cell r="H698" t="str">
            <v>J06****</v>
          </cell>
          <cell r="I698"/>
          <cell r="J698">
            <v>60</v>
          </cell>
          <cell r="K698">
            <v>60</v>
          </cell>
          <cell r="L698">
            <v>60</v>
          </cell>
          <cell r="M698">
            <v>60</v>
          </cell>
          <cell r="N698">
            <v>60</v>
          </cell>
          <cell r="O698"/>
        </row>
        <row r="699">
          <cell r="D699" t="str">
            <v>J-06-07</v>
          </cell>
          <cell r="E699" t="str">
            <v>Suero Antiofídico Botrópico Crotàlico</v>
          </cell>
          <cell r="F699" t="str">
            <v>Inyectable</v>
          </cell>
          <cell r="G699" t="str">
            <v>Según disponibilidad</v>
          </cell>
          <cell r="H699" t="str">
            <v>J06AA03</v>
          </cell>
          <cell r="I699"/>
          <cell r="J699">
            <v>135</v>
          </cell>
          <cell r="K699">
            <v>135</v>
          </cell>
          <cell r="L699">
            <v>135</v>
          </cell>
          <cell r="M699">
            <v>135</v>
          </cell>
          <cell r="N699">
            <v>135</v>
          </cell>
          <cell r="O699"/>
        </row>
        <row r="700">
          <cell r="D700" t="str">
            <v>J-06-08</v>
          </cell>
          <cell r="E700" t="str">
            <v>Suero Antiofídico Botrópico Laquésico</v>
          </cell>
          <cell r="F700" t="str">
            <v>Inyectable</v>
          </cell>
          <cell r="G700" t="str">
            <v>Según disponibilidad</v>
          </cell>
          <cell r="H700" t="str">
            <v>J06AA03</v>
          </cell>
          <cell r="I700"/>
          <cell r="J700">
            <v>135</v>
          </cell>
          <cell r="K700">
            <v>135</v>
          </cell>
          <cell r="L700">
            <v>135</v>
          </cell>
          <cell r="M700">
            <v>135</v>
          </cell>
          <cell r="N700">
            <v>135</v>
          </cell>
          <cell r="O700"/>
        </row>
        <row r="701">
          <cell r="D701" t="str">
            <v>J-06-09</v>
          </cell>
          <cell r="E701" t="str">
            <v>Suero Antirràbico (heterólogo)</v>
          </cell>
          <cell r="F701" t="str">
            <v>Inyectable</v>
          </cell>
          <cell r="G701" t="str">
            <v>Según disponibilidad</v>
          </cell>
          <cell r="H701" t="str">
            <v>J06AA06</v>
          </cell>
          <cell r="I701"/>
          <cell r="J701">
            <v>90</v>
          </cell>
          <cell r="K701">
            <v>90</v>
          </cell>
          <cell r="L701">
            <v>90</v>
          </cell>
          <cell r="M701">
            <v>90</v>
          </cell>
          <cell r="N701">
            <v>90</v>
          </cell>
          <cell r="O701"/>
        </row>
        <row r="702">
          <cell r="D702" t="str">
            <v>D-06-02</v>
          </cell>
          <cell r="E702" t="str">
            <v>Sulfadiazina de plata</v>
          </cell>
          <cell r="F702" t="str">
            <v>Crema o Pomada</v>
          </cell>
          <cell r="G702">
            <v>0.01</v>
          </cell>
          <cell r="H702" t="str">
            <v>D06BA01</v>
          </cell>
          <cell r="I702"/>
          <cell r="J702">
            <v>48.1</v>
          </cell>
          <cell r="K702">
            <v>48.1</v>
          </cell>
          <cell r="L702">
            <v>48.1</v>
          </cell>
          <cell r="M702">
            <v>48.1</v>
          </cell>
          <cell r="N702">
            <v>48.1</v>
          </cell>
          <cell r="O702" t="str">
            <v>60 G Bs 48.10.  500 G Bs 202</v>
          </cell>
        </row>
        <row r="703">
          <cell r="D703" t="str">
            <v>P-01-19</v>
          </cell>
          <cell r="E703" t="str">
            <v>Sulfadoxina + Pirimetamina</v>
          </cell>
          <cell r="F703" t="str">
            <v>Comprimido</v>
          </cell>
          <cell r="G703" t="str">
            <v>500 mg + 25 mg</v>
          </cell>
          <cell r="H703" t="str">
            <v>P01BD51</v>
          </cell>
          <cell r="I703"/>
          <cell r="J703">
            <v>0.32</v>
          </cell>
          <cell r="K703">
            <v>0.32</v>
          </cell>
          <cell r="L703">
            <v>0.32</v>
          </cell>
          <cell r="M703">
            <v>0.32</v>
          </cell>
          <cell r="N703">
            <v>0.32</v>
          </cell>
          <cell r="O703"/>
        </row>
        <row r="704">
          <cell r="D704" t="str">
            <v>V-08-08</v>
          </cell>
          <cell r="E704" t="str">
            <v>Sulfato de Bario</v>
          </cell>
          <cell r="F704" t="str">
            <v>Suspensión</v>
          </cell>
          <cell r="G704" t="str">
            <v>Según disponibilidad</v>
          </cell>
          <cell r="H704" t="str">
            <v>V08BA02</v>
          </cell>
          <cell r="I704"/>
          <cell r="J704">
            <v>235</v>
          </cell>
          <cell r="K704">
            <v>235</v>
          </cell>
          <cell r="L704">
            <v>235</v>
          </cell>
          <cell r="M704">
            <v>235</v>
          </cell>
          <cell r="N704">
            <v>235</v>
          </cell>
          <cell r="O704"/>
        </row>
        <row r="705">
          <cell r="D705" t="str">
            <v>V-08-09</v>
          </cell>
          <cell r="E705" t="str">
            <v>Sulfato de Bario</v>
          </cell>
          <cell r="F705" t="str">
            <v>Polvo para enema</v>
          </cell>
          <cell r="G705" t="str">
            <v>Según disponibilidad</v>
          </cell>
          <cell r="H705" t="str">
            <v>V08BA02</v>
          </cell>
          <cell r="I705"/>
          <cell r="J705">
            <v>321.5</v>
          </cell>
          <cell r="K705">
            <v>321.5</v>
          </cell>
          <cell r="L705">
            <v>321.5</v>
          </cell>
          <cell r="M705">
            <v>321.5</v>
          </cell>
          <cell r="N705">
            <v>321.5</v>
          </cell>
          <cell r="O705"/>
        </row>
        <row r="706">
          <cell r="D706" t="str">
            <v>A-06-08</v>
          </cell>
          <cell r="E706" t="str">
            <v>Sulfato de Magnesio</v>
          </cell>
          <cell r="F706" t="str">
            <v>Granulado</v>
          </cell>
          <cell r="G706" t="str">
            <v>20 g a 30 g</v>
          </cell>
          <cell r="H706" t="str">
            <v>A06AD04</v>
          </cell>
          <cell r="I706"/>
          <cell r="J706">
            <v>2.08</v>
          </cell>
          <cell r="K706">
            <v>2.08</v>
          </cell>
          <cell r="L706">
            <v>2.08</v>
          </cell>
          <cell r="M706">
            <v>2.08</v>
          </cell>
          <cell r="N706">
            <v>2.08</v>
          </cell>
          <cell r="O706" t="str">
            <v>30 G</v>
          </cell>
        </row>
        <row r="707">
          <cell r="D707" t="str">
            <v>B-03-06</v>
          </cell>
          <cell r="E707" t="str">
            <v>Sulfato ferroso</v>
          </cell>
          <cell r="F707" t="str">
            <v>Comprimido</v>
          </cell>
          <cell r="G707" t="str">
            <v>200 mg</v>
          </cell>
          <cell r="H707" t="str">
            <v>B03AA07</v>
          </cell>
          <cell r="I707"/>
          <cell r="J707">
            <v>0.37</v>
          </cell>
          <cell r="K707">
            <v>0.37</v>
          </cell>
          <cell r="L707">
            <v>0.37</v>
          </cell>
          <cell r="M707">
            <v>0.37</v>
          </cell>
          <cell r="N707">
            <v>0.37</v>
          </cell>
          <cell r="O707"/>
        </row>
        <row r="708">
          <cell r="D708" t="str">
            <v>B-03-07</v>
          </cell>
          <cell r="E708" t="str">
            <v>Sulfato ferroso</v>
          </cell>
          <cell r="F708" t="str">
            <v>Solución oral</v>
          </cell>
          <cell r="G708" t="str">
            <v>125 mg/ml</v>
          </cell>
          <cell r="H708" t="str">
            <v>B03AA07</v>
          </cell>
          <cell r="I708"/>
          <cell r="J708">
            <v>12.86</v>
          </cell>
          <cell r="K708">
            <v>12.86</v>
          </cell>
          <cell r="L708">
            <v>12.86</v>
          </cell>
          <cell r="M708">
            <v>12.86</v>
          </cell>
          <cell r="N708">
            <v>12.86</v>
          </cell>
          <cell r="O708"/>
        </row>
        <row r="709">
          <cell r="D709" t="str">
            <v>B-03-08</v>
          </cell>
          <cell r="E709" t="str">
            <v>Sulfato ferroso + Ac. Fólico + Vitamina C</v>
          </cell>
          <cell r="F709" t="str">
            <v>Comprimido</v>
          </cell>
          <cell r="G709" t="str">
            <v>200 mg + 0,5 mg + 150 mg</v>
          </cell>
          <cell r="H709" t="str">
            <v>B03AE10</v>
          </cell>
          <cell r="I709"/>
          <cell r="J709">
            <v>0.45</v>
          </cell>
          <cell r="K709">
            <v>0.45</v>
          </cell>
          <cell r="L709">
            <v>0.45</v>
          </cell>
          <cell r="M709">
            <v>0.45</v>
          </cell>
          <cell r="N709">
            <v>0.45</v>
          </cell>
          <cell r="O709"/>
        </row>
        <row r="710">
          <cell r="D710" t="str">
            <v>B-03-09</v>
          </cell>
          <cell r="E710" t="str">
            <v>Sulfato ferroso + Ac. Fólico + Vitamina C</v>
          </cell>
          <cell r="F710" t="str">
            <v>Solución oral</v>
          </cell>
          <cell r="G710" t="str">
            <v>125 mg + 0,25 mg + 30 mg</v>
          </cell>
          <cell r="H710" t="str">
            <v>B03AE10</v>
          </cell>
          <cell r="I710"/>
          <cell r="J710">
            <v>7.35</v>
          </cell>
          <cell r="K710">
            <v>7.35</v>
          </cell>
          <cell r="L710">
            <v>7.35</v>
          </cell>
          <cell r="M710">
            <v>7.35</v>
          </cell>
          <cell r="N710">
            <v>7.35</v>
          </cell>
          <cell r="O710" t="str">
            <v>30 ML</v>
          </cell>
        </row>
        <row r="711">
          <cell r="D711" t="str">
            <v>L-04-10</v>
          </cell>
          <cell r="E711" t="str">
            <v>Tacrolimus</v>
          </cell>
          <cell r="F711" t="str">
            <v>Cápsula</v>
          </cell>
          <cell r="G711" t="str">
            <v>1 mg</v>
          </cell>
          <cell r="H711" t="str">
            <v>L04AA05</v>
          </cell>
          <cell r="I711" t="str">
            <v>R</v>
          </cell>
          <cell r="J711">
            <v>10.091444444444445</v>
          </cell>
          <cell r="K711">
            <v>10.091444444444445</v>
          </cell>
          <cell r="L711">
            <v>10.091444444444445</v>
          </cell>
          <cell r="M711">
            <v>10.091444444444445</v>
          </cell>
          <cell r="N711">
            <v>10.091444444444445</v>
          </cell>
          <cell r="O711"/>
        </row>
        <row r="712">
          <cell r="D712" t="str">
            <v>L-04-08</v>
          </cell>
          <cell r="E712" t="str">
            <v>Talidomida</v>
          </cell>
          <cell r="F712" t="str">
            <v>Comprimido</v>
          </cell>
          <cell r="G712" t="str">
            <v>100 mg</v>
          </cell>
          <cell r="H712" t="str">
            <v>L04AX02</v>
          </cell>
          <cell r="I712" t="str">
            <v>R</v>
          </cell>
          <cell r="J712">
            <v>16.133333333333333</v>
          </cell>
          <cell r="K712">
            <v>16.133333333333333</v>
          </cell>
          <cell r="L712">
            <v>16.133333333333333</v>
          </cell>
          <cell r="M712">
            <v>16.133333333333333</v>
          </cell>
          <cell r="N712">
            <v>16.133333333333333</v>
          </cell>
          <cell r="O712"/>
        </row>
        <row r="713">
          <cell r="D713" t="str">
            <v>B-01-08</v>
          </cell>
          <cell r="E713" t="str">
            <v xml:space="preserve">Tenecteplasa  </v>
          </cell>
          <cell r="F713" t="str">
            <v>Polvo para Inyectable</v>
          </cell>
          <cell r="G713" t="str">
            <v>50 mg</v>
          </cell>
          <cell r="H713" t="str">
            <v>B01AD11</v>
          </cell>
          <cell r="I713" t="str">
            <v>R</v>
          </cell>
          <cell r="J713">
            <v>6626.77</v>
          </cell>
          <cell r="K713">
            <v>6626.77</v>
          </cell>
          <cell r="L713">
            <v>6626.77</v>
          </cell>
          <cell r="M713">
            <v>6626.77</v>
          </cell>
          <cell r="N713">
            <v>6626.77</v>
          </cell>
          <cell r="O713"/>
        </row>
        <row r="714">
          <cell r="D714" t="str">
            <v>J-05-28</v>
          </cell>
          <cell r="E714" t="str">
            <v>Tenofovir disoproxilo</v>
          </cell>
          <cell r="F714" t="str">
            <v>Comprimido</v>
          </cell>
          <cell r="G714" t="str">
            <v>245 mg (Equiv. a 300  mg como fumarato)</v>
          </cell>
          <cell r="H714" t="str">
            <v>J05AF07</v>
          </cell>
          <cell r="I714"/>
          <cell r="J714">
            <v>2.36</v>
          </cell>
          <cell r="K714">
            <v>2.36</v>
          </cell>
          <cell r="L714">
            <v>2.36</v>
          </cell>
          <cell r="M714">
            <v>2.36</v>
          </cell>
          <cell r="N714">
            <v>2.36</v>
          </cell>
          <cell r="O714"/>
        </row>
        <row r="715">
          <cell r="D715" t="str">
            <v>J-05-38</v>
          </cell>
          <cell r="E715" t="str">
            <v>Tenofovir disoproxilo + Efavirenz + Lamivudina</v>
          </cell>
          <cell r="F715" t="str">
            <v>Comprimido</v>
          </cell>
          <cell r="G715" t="str">
            <v xml:space="preserve">300 mg + 600 mg + 300 mg </v>
          </cell>
          <cell r="H715" t="str">
            <v>J05AR11</v>
          </cell>
          <cell r="I715"/>
          <cell r="J715">
            <v>3.15</v>
          </cell>
          <cell r="K715">
            <v>3.15</v>
          </cell>
          <cell r="L715">
            <v>3.15</v>
          </cell>
          <cell r="M715">
            <v>3.15</v>
          </cell>
          <cell r="N715">
            <v>3.15</v>
          </cell>
          <cell r="O715"/>
        </row>
        <row r="716">
          <cell r="D716" t="str">
            <v>R-03-08</v>
          </cell>
          <cell r="E716" t="str">
            <v>Teofilina</v>
          </cell>
          <cell r="F716" t="str">
            <v>Comprimido</v>
          </cell>
          <cell r="G716" t="str">
            <v>300 mg</v>
          </cell>
          <cell r="H716" t="str">
            <v>R03DA04</v>
          </cell>
          <cell r="I716"/>
          <cell r="J716">
            <v>4.3133333333333335</v>
          </cell>
          <cell r="K716">
            <v>4.3133333333333335</v>
          </cell>
          <cell r="L716">
            <v>4.3133333333333335</v>
          </cell>
          <cell r="M716">
            <v>4.3133333333333335</v>
          </cell>
          <cell r="N716">
            <v>4.3133333333333335</v>
          </cell>
          <cell r="O716"/>
        </row>
        <row r="717">
          <cell r="D717" t="str">
            <v>H-01-03</v>
          </cell>
          <cell r="E717" t="str">
            <v>Terlipresina</v>
          </cell>
          <cell r="F717" t="str">
            <v>Inyectable</v>
          </cell>
          <cell r="G717" t="str">
            <v>1 mg</v>
          </cell>
          <cell r="H717" t="str">
            <v>H01BA04</v>
          </cell>
          <cell r="I717" t="str">
            <v>R</v>
          </cell>
          <cell r="J717">
            <v>561</v>
          </cell>
          <cell r="K717">
            <v>561</v>
          </cell>
          <cell r="L717">
            <v>561</v>
          </cell>
          <cell r="M717">
            <v>561</v>
          </cell>
          <cell r="N717">
            <v>561</v>
          </cell>
          <cell r="O717"/>
        </row>
        <row r="718">
          <cell r="D718" t="str">
            <v>G-03-18</v>
          </cell>
          <cell r="E718" t="str">
            <v>Testosterona undecanoato</v>
          </cell>
          <cell r="F718" t="str">
            <v>Inyectable</v>
          </cell>
          <cell r="G718" t="str">
            <v>1.000 mg</v>
          </cell>
          <cell r="H718" t="str">
            <v>G03BA03</v>
          </cell>
          <cell r="I718"/>
          <cell r="J718">
            <v>1220.4816666666666</v>
          </cell>
          <cell r="K718">
            <v>1220.4816666666666</v>
          </cell>
          <cell r="L718">
            <v>1220.4816666666666</v>
          </cell>
          <cell r="M718">
            <v>1220.4816666666666</v>
          </cell>
          <cell r="N718">
            <v>1220.4816666666666</v>
          </cell>
          <cell r="O718"/>
        </row>
        <row r="719">
          <cell r="D719" t="str">
            <v>J-01-54</v>
          </cell>
          <cell r="E719" t="str">
            <v>Tetraciclina</v>
          </cell>
          <cell r="F719" t="str">
            <v>Cápsula o Comprimido</v>
          </cell>
          <cell r="G719" t="str">
            <v>500 mg</v>
          </cell>
          <cell r="H719" t="str">
            <v>J01AA07</v>
          </cell>
          <cell r="I719"/>
          <cell r="J719">
            <v>0.71</v>
          </cell>
          <cell r="K719">
            <v>0.71</v>
          </cell>
          <cell r="L719">
            <v>0.71</v>
          </cell>
          <cell r="M719">
            <v>0.71</v>
          </cell>
          <cell r="N719">
            <v>0.71</v>
          </cell>
          <cell r="O719"/>
        </row>
        <row r="720">
          <cell r="D720" t="str">
            <v>D-01-05</v>
          </cell>
          <cell r="E720" t="str">
            <v>Tiabendazol</v>
          </cell>
          <cell r="F720" t="str">
            <v>Crema o Pomada</v>
          </cell>
          <cell r="G720">
            <v>0.05</v>
          </cell>
          <cell r="H720" t="str">
            <v>D01AC06</v>
          </cell>
          <cell r="I720"/>
          <cell r="J720">
            <v>15.37</v>
          </cell>
          <cell r="K720">
            <v>15.37</v>
          </cell>
          <cell r="L720">
            <v>15.37</v>
          </cell>
          <cell r="M720">
            <v>15.37</v>
          </cell>
          <cell r="N720">
            <v>15.37</v>
          </cell>
          <cell r="O720" t="str">
            <v>20 G</v>
          </cell>
        </row>
        <row r="721">
          <cell r="D721" t="str">
            <v>P-02-10</v>
          </cell>
          <cell r="E721" t="str">
            <v>Tiabendazol</v>
          </cell>
          <cell r="F721" t="str">
            <v>Comprimido</v>
          </cell>
          <cell r="G721" t="str">
            <v>500 mg</v>
          </cell>
          <cell r="H721" t="str">
            <v>P02CA02</v>
          </cell>
          <cell r="I721"/>
          <cell r="J721">
            <v>2.1</v>
          </cell>
          <cell r="K721">
            <v>2.1</v>
          </cell>
          <cell r="L721">
            <v>2.1</v>
          </cell>
          <cell r="M721">
            <v>2.1</v>
          </cell>
          <cell r="N721">
            <v>2.1</v>
          </cell>
          <cell r="O721"/>
        </row>
        <row r="722">
          <cell r="D722" t="str">
            <v>P-02-11</v>
          </cell>
          <cell r="E722" t="str">
            <v>Tiabendazol</v>
          </cell>
          <cell r="F722" t="str">
            <v>Suspensión</v>
          </cell>
          <cell r="G722" t="str">
            <v>500 mg/5 ml</v>
          </cell>
          <cell r="H722" t="str">
            <v>P02CA02</v>
          </cell>
          <cell r="I722"/>
          <cell r="J722">
            <v>24</v>
          </cell>
          <cell r="K722">
            <v>24</v>
          </cell>
          <cell r="L722">
            <v>24</v>
          </cell>
          <cell r="M722">
            <v>24</v>
          </cell>
          <cell r="N722">
            <v>24</v>
          </cell>
          <cell r="O722" t="str">
            <v>30 ML</v>
          </cell>
        </row>
        <row r="723">
          <cell r="D723" t="str">
            <v>H-03-04</v>
          </cell>
          <cell r="E723" t="str">
            <v xml:space="preserve">Tiamazol (Metimazol) </v>
          </cell>
          <cell r="F723" t="str">
            <v>Comprimido</v>
          </cell>
          <cell r="G723" t="str">
            <v>20 mg</v>
          </cell>
          <cell r="H723" t="str">
            <v>H03BB02</v>
          </cell>
          <cell r="I723"/>
          <cell r="J723">
            <v>2.06</v>
          </cell>
          <cell r="K723">
            <v>2.06</v>
          </cell>
          <cell r="L723">
            <v>2.06</v>
          </cell>
          <cell r="M723">
            <v>2.06</v>
          </cell>
          <cell r="N723">
            <v>2.06</v>
          </cell>
          <cell r="O723"/>
        </row>
        <row r="724">
          <cell r="D724" t="str">
            <v>A-11-17</v>
          </cell>
          <cell r="E724" t="str">
            <v>Tiamina (Vitamina B 1)</v>
          </cell>
          <cell r="F724" t="str">
            <v>Comprimido</v>
          </cell>
          <cell r="G724" t="str">
            <v>300 mg</v>
          </cell>
          <cell r="H724" t="str">
            <v>A11DA01</v>
          </cell>
          <cell r="I724"/>
          <cell r="J724">
            <v>1.0900000000000001</v>
          </cell>
          <cell r="K724">
            <v>1.0900000000000001</v>
          </cell>
          <cell r="L724">
            <v>1.0900000000000001</v>
          </cell>
          <cell r="M724">
            <v>1.0900000000000001</v>
          </cell>
          <cell r="N724">
            <v>1.0900000000000001</v>
          </cell>
          <cell r="O724"/>
        </row>
        <row r="725">
          <cell r="D725" t="str">
            <v>A-11-18</v>
          </cell>
          <cell r="E725" t="str">
            <v>Tiamina (Vitamina B 1)</v>
          </cell>
          <cell r="F725" t="str">
            <v>Inyectable</v>
          </cell>
          <cell r="G725" t="str">
            <v>100 mg/ml</v>
          </cell>
          <cell r="H725" t="str">
            <v>A11DA01</v>
          </cell>
          <cell r="I725"/>
          <cell r="J725">
            <v>3.04</v>
          </cell>
          <cell r="K725">
            <v>3.04</v>
          </cell>
          <cell r="L725">
            <v>3.04</v>
          </cell>
          <cell r="M725">
            <v>3.04</v>
          </cell>
          <cell r="N725">
            <v>3.04</v>
          </cell>
          <cell r="O725"/>
        </row>
        <row r="726">
          <cell r="D726" t="str">
            <v>S-01-22</v>
          </cell>
          <cell r="E726" t="str">
            <v>Timolol maleato</v>
          </cell>
          <cell r="F726" t="str">
            <v>Solución oftálmica</v>
          </cell>
          <cell r="G726" t="str">
            <v>0,5%</v>
          </cell>
          <cell r="H726" t="str">
            <v>S01ED01</v>
          </cell>
          <cell r="I726"/>
          <cell r="J726">
            <v>24.31</v>
          </cell>
          <cell r="K726">
            <v>24.31</v>
          </cell>
          <cell r="L726">
            <v>24.31</v>
          </cell>
          <cell r="M726">
            <v>24.31</v>
          </cell>
          <cell r="N726">
            <v>24.31</v>
          </cell>
          <cell r="O726"/>
        </row>
        <row r="727">
          <cell r="D727" t="str">
            <v>N-01-15</v>
          </cell>
          <cell r="E727" t="str">
            <v>Tiopental sódico</v>
          </cell>
          <cell r="F727" t="str">
            <v>Inyectable</v>
          </cell>
          <cell r="G727" t="str">
            <v>1 g</v>
          </cell>
          <cell r="H727" t="str">
            <v>N01AF03</v>
          </cell>
          <cell r="I727"/>
          <cell r="J727">
            <v>36.848222222222219</v>
          </cell>
          <cell r="K727">
            <v>36.848222222222219</v>
          </cell>
          <cell r="L727">
            <v>36.848222222222219</v>
          </cell>
          <cell r="M727">
            <v>36.848222222222219</v>
          </cell>
          <cell r="N727">
            <v>36.848222222222219</v>
          </cell>
          <cell r="O727"/>
        </row>
        <row r="728">
          <cell r="D728" t="str">
            <v>N-05-13</v>
          </cell>
          <cell r="E728" t="str">
            <v>Tioridazina</v>
          </cell>
          <cell r="F728" t="str">
            <v>Suspensión</v>
          </cell>
          <cell r="G728" t="str">
            <v>100 mg/5 ml</v>
          </cell>
          <cell r="H728" t="str">
            <v>N05AC02</v>
          </cell>
          <cell r="I728"/>
          <cell r="J728">
            <v>33.71</v>
          </cell>
          <cell r="K728">
            <v>33.71</v>
          </cell>
          <cell r="L728">
            <v>33.71</v>
          </cell>
          <cell r="M728">
            <v>33.71</v>
          </cell>
          <cell r="N728">
            <v>33.71</v>
          </cell>
          <cell r="O728"/>
        </row>
        <row r="729">
          <cell r="D729" t="str">
            <v>N-05-14</v>
          </cell>
          <cell r="E729" t="str">
            <v>Tioridazina</v>
          </cell>
          <cell r="F729" t="str">
            <v>Comprimido</v>
          </cell>
          <cell r="G729" t="str">
            <v>100 mg</v>
          </cell>
          <cell r="H729" t="str">
            <v>N05AC02</v>
          </cell>
          <cell r="I729"/>
          <cell r="J729">
            <v>4.2</v>
          </cell>
          <cell r="K729">
            <v>4.2</v>
          </cell>
          <cell r="L729">
            <v>4.2</v>
          </cell>
          <cell r="M729">
            <v>4.2</v>
          </cell>
          <cell r="N729">
            <v>4.2</v>
          </cell>
          <cell r="O729"/>
        </row>
        <row r="730">
          <cell r="D730" t="str">
            <v>D-01-06</v>
          </cell>
          <cell r="E730" t="str">
            <v>Tolnaftato</v>
          </cell>
          <cell r="F730" t="str">
            <v>Solución</v>
          </cell>
          <cell r="G730">
            <v>0.01</v>
          </cell>
          <cell r="H730" t="str">
            <v>D01AE18</v>
          </cell>
          <cell r="I730"/>
          <cell r="J730">
            <v>23.15</v>
          </cell>
          <cell r="K730">
            <v>23.15</v>
          </cell>
          <cell r="L730">
            <v>23.15</v>
          </cell>
          <cell r="M730">
            <v>23.15</v>
          </cell>
          <cell r="N730">
            <v>23.15</v>
          </cell>
          <cell r="O730"/>
        </row>
        <row r="731">
          <cell r="D731" t="str">
            <v>P-02-12</v>
          </cell>
          <cell r="E731" t="str">
            <v>Triclabendazol</v>
          </cell>
          <cell r="F731" t="str">
            <v>Comprimido</v>
          </cell>
          <cell r="G731" t="str">
            <v>250 mg</v>
          </cell>
          <cell r="H731" t="str">
            <v>P02BX04</v>
          </cell>
          <cell r="I731"/>
          <cell r="J731">
            <v>343.15</v>
          </cell>
          <cell r="K731">
            <v>343.15</v>
          </cell>
          <cell r="L731">
            <v>343.15</v>
          </cell>
          <cell r="M731">
            <v>343.15</v>
          </cell>
          <cell r="N731">
            <v>343.15</v>
          </cell>
          <cell r="O731"/>
        </row>
        <row r="732">
          <cell r="D732" t="str">
            <v>L-02-07</v>
          </cell>
          <cell r="E732" t="str">
            <v>Triptorelina</v>
          </cell>
          <cell r="F732" t="str">
            <v>Inyectable</v>
          </cell>
          <cell r="G732" t="str">
            <v>11,25 mg</v>
          </cell>
          <cell r="H732" t="str">
            <v>L02AE04</v>
          </cell>
          <cell r="I732"/>
          <cell r="J732">
            <v>4759.181818181818</v>
          </cell>
          <cell r="K732">
            <v>4759.181818181818</v>
          </cell>
          <cell r="L732">
            <v>4759.181818181818</v>
          </cell>
          <cell r="M732">
            <v>4759.181818181818</v>
          </cell>
          <cell r="N732">
            <v>4759.181818181818</v>
          </cell>
          <cell r="O732"/>
        </row>
        <row r="733">
          <cell r="D733" t="str">
            <v>L-02-08</v>
          </cell>
          <cell r="E733" t="str">
            <v>Triptorelina</v>
          </cell>
          <cell r="F733" t="str">
            <v>Inyectable</v>
          </cell>
          <cell r="G733" t="str">
            <v>22,5 mg</v>
          </cell>
          <cell r="H733" t="str">
            <v>L02AE04</v>
          </cell>
          <cell r="I733" t="str">
            <v>R</v>
          </cell>
          <cell r="J733">
            <v>9380.1990000000005</v>
          </cell>
          <cell r="K733">
            <v>9380.1990000000005</v>
          </cell>
          <cell r="L733">
            <v>9380.1990000000005</v>
          </cell>
          <cell r="M733">
            <v>9380.1990000000005</v>
          </cell>
          <cell r="N733">
            <v>9380.1990000000005</v>
          </cell>
          <cell r="O733"/>
        </row>
        <row r="734">
          <cell r="D734" t="str">
            <v>D-03-01</v>
          </cell>
          <cell r="E734" t="str">
            <v xml:space="preserve">Trolamina </v>
          </cell>
          <cell r="F734" t="str">
            <v>Emulsión dermica</v>
          </cell>
          <cell r="G734" t="str">
            <v>0,67%</v>
          </cell>
          <cell r="H734" t="str">
            <v>D03AX12</v>
          </cell>
          <cell r="I734" t="str">
            <v>R</v>
          </cell>
          <cell r="J734">
            <v>183</v>
          </cell>
          <cell r="K734">
            <v>183</v>
          </cell>
          <cell r="L734">
            <v>183</v>
          </cell>
          <cell r="M734">
            <v>183</v>
          </cell>
          <cell r="N734">
            <v>183</v>
          </cell>
          <cell r="O734"/>
        </row>
        <row r="735">
          <cell r="D735" t="str">
            <v>S-01-23</v>
          </cell>
          <cell r="E735" t="str">
            <v>Tropicamida</v>
          </cell>
          <cell r="F735" t="str">
            <v>Solución oftálmica</v>
          </cell>
          <cell r="G735">
            <v>0.01</v>
          </cell>
          <cell r="H735" t="str">
            <v>S01FA06</v>
          </cell>
          <cell r="I735"/>
          <cell r="J735">
            <v>82.45</v>
          </cell>
          <cell r="K735">
            <v>82.45</v>
          </cell>
          <cell r="L735">
            <v>82.45</v>
          </cell>
          <cell r="M735">
            <v>82.45</v>
          </cell>
          <cell r="N735">
            <v>82.45</v>
          </cell>
          <cell r="O735"/>
        </row>
        <row r="736">
          <cell r="D736" t="str">
            <v>D-02-03</v>
          </cell>
          <cell r="E736" t="str">
            <v>Ungüento dérmico eucalipto mentol</v>
          </cell>
          <cell r="F736" t="str">
            <v>Ungüento o crema</v>
          </cell>
          <cell r="G736" t="str">
            <v>Según disponibilidad</v>
          </cell>
          <cell r="H736" t="str">
            <v>D02AX**</v>
          </cell>
          <cell r="I736"/>
          <cell r="J736">
            <v>6.855075757575757</v>
          </cell>
          <cell r="K736">
            <v>6.855075757575757</v>
          </cell>
          <cell r="L736">
            <v>6.855075757575757</v>
          </cell>
          <cell r="M736">
            <v>6.855075757575757</v>
          </cell>
          <cell r="N736">
            <v>6.855075757575757</v>
          </cell>
          <cell r="O736"/>
        </row>
        <row r="737">
          <cell r="D737" t="str">
            <v>J-07-02</v>
          </cell>
          <cell r="E737" t="str">
            <v>Vacuna antiamarílica</v>
          </cell>
          <cell r="F737" t="str">
            <v>Inyectable</v>
          </cell>
          <cell r="G737" t="str">
            <v>Norma PAI (20 dosis)</v>
          </cell>
          <cell r="H737" t="str">
            <v>J07BL01</v>
          </cell>
          <cell r="I737"/>
          <cell r="J737">
            <v>10.14</v>
          </cell>
          <cell r="K737">
            <v>10.14</v>
          </cell>
          <cell r="L737">
            <v>10.14</v>
          </cell>
          <cell r="M737">
            <v>10.14</v>
          </cell>
          <cell r="N737">
            <v>10.14</v>
          </cell>
          <cell r="O737"/>
        </row>
        <row r="738">
          <cell r="D738" t="str">
            <v>J-07-03</v>
          </cell>
          <cell r="E738" t="str">
            <v>Vacuna antiamarílica</v>
          </cell>
          <cell r="F738" t="str">
            <v>Inyectable</v>
          </cell>
          <cell r="G738" t="str">
            <v>Norma PAI (10 dosis)</v>
          </cell>
          <cell r="H738" t="str">
            <v>J07BL01</v>
          </cell>
          <cell r="I738"/>
          <cell r="J738">
            <v>9.89</v>
          </cell>
          <cell r="K738">
            <v>9.89</v>
          </cell>
          <cell r="L738">
            <v>9.89</v>
          </cell>
          <cell r="M738">
            <v>9.89</v>
          </cell>
          <cell r="N738">
            <v>9.89</v>
          </cell>
          <cell r="O738"/>
        </row>
        <row r="739">
          <cell r="D739" t="str">
            <v>J-07-04</v>
          </cell>
          <cell r="E739" t="str">
            <v>Vacuna antiamarílica</v>
          </cell>
          <cell r="F739" t="str">
            <v>Inyectable</v>
          </cell>
          <cell r="G739" t="str">
            <v>Norma PAI (5 dosis)</v>
          </cell>
          <cell r="H739" t="str">
            <v>J07BL01</v>
          </cell>
          <cell r="I739"/>
          <cell r="J739">
            <v>8.75</v>
          </cell>
          <cell r="K739">
            <v>8.75</v>
          </cell>
          <cell r="L739">
            <v>8.75</v>
          </cell>
          <cell r="M739">
            <v>8.75</v>
          </cell>
          <cell r="N739">
            <v>8.75</v>
          </cell>
          <cell r="O739"/>
        </row>
        <row r="740">
          <cell r="D740" t="str">
            <v>J-07-05</v>
          </cell>
          <cell r="E740" t="str">
            <v>Vacuna antihepatitis B</v>
          </cell>
          <cell r="F740" t="str">
            <v>Inyectable</v>
          </cell>
          <cell r="G740" t="str">
            <v>Norma PAI</v>
          </cell>
          <cell r="H740" t="str">
            <v>J07BC01</v>
          </cell>
          <cell r="I740"/>
          <cell r="J740">
            <v>2.96</v>
          </cell>
          <cell r="K740">
            <v>2.96</v>
          </cell>
          <cell r="L740">
            <v>2.96</v>
          </cell>
          <cell r="M740">
            <v>2.96</v>
          </cell>
          <cell r="N740">
            <v>2.96</v>
          </cell>
          <cell r="O740"/>
        </row>
        <row r="741">
          <cell r="D741" t="str">
            <v>J-07-22</v>
          </cell>
          <cell r="E741" t="str">
            <v>Vacuna antineumococo  (13 valente)</v>
          </cell>
          <cell r="F741" t="str">
            <v>Inyectable</v>
          </cell>
          <cell r="G741" t="str">
            <v>Norma PAI (Unidosis)</v>
          </cell>
          <cell r="H741" t="str">
            <v>J07AL02</v>
          </cell>
          <cell r="I741"/>
          <cell r="J741">
            <v>63.46</v>
          </cell>
          <cell r="K741">
            <v>63.46</v>
          </cell>
          <cell r="L741">
            <v>63.46</v>
          </cell>
          <cell r="M741">
            <v>63.46</v>
          </cell>
          <cell r="N741">
            <v>63.46</v>
          </cell>
          <cell r="O741"/>
        </row>
        <row r="742">
          <cell r="D742" t="str">
            <v>J-07-23</v>
          </cell>
          <cell r="E742" t="str">
            <v>Vacuna antipoliomielítica bivalente</v>
          </cell>
          <cell r="F742" t="str">
            <v>Solución oral</v>
          </cell>
          <cell r="G742" t="str">
            <v xml:space="preserve">Norma PAI </v>
          </cell>
          <cell r="H742" t="str">
            <v>J07BF04</v>
          </cell>
          <cell r="I742"/>
          <cell r="J742">
            <v>1.1299999999999999</v>
          </cell>
          <cell r="K742">
            <v>1.1299999999999999</v>
          </cell>
          <cell r="L742">
            <v>1.1299999999999999</v>
          </cell>
          <cell r="M742">
            <v>1.1299999999999999</v>
          </cell>
          <cell r="N742">
            <v>1.1299999999999999</v>
          </cell>
          <cell r="O742"/>
        </row>
        <row r="743">
          <cell r="D743" t="str">
            <v>J-07-24</v>
          </cell>
          <cell r="E743" t="str">
            <v>Vacuna antipoliomielítica inactivada</v>
          </cell>
          <cell r="F743" t="str">
            <v>Inyectable</v>
          </cell>
          <cell r="G743" t="str">
            <v>Norma PAI</v>
          </cell>
          <cell r="H743" t="str">
            <v>J07BF03 </v>
          </cell>
          <cell r="I743"/>
          <cell r="J743">
            <v>17.22</v>
          </cell>
          <cell r="K743">
            <v>17.22</v>
          </cell>
          <cell r="L743">
            <v>17.22</v>
          </cell>
          <cell r="M743">
            <v>17.22</v>
          </cell>
          <cell r="N743">
            <v>17.22</v>
          </cell>
          <cell r="O743"/>
        </row>
        <row r="744">
          <cell r="D744" t="str">
            <v>J-07-18</v>
          </cell>
          <cell r="E744" t="str">
            <v>Vacuna Antirotavírica</v>
          </cell>
          <cell r="F744" t="str">
            <v>Solución oral</v>
          </cell>
          <cell r="G744" t="str">
            <v>Norma PAI Multidosis</v>
          </cell>
          <cell r="H744" t="str">
            <v>J07BH01</v>
          </cell>
          <cell r="I744"/>
          <cell r="J744">
            <v>66.53</v>
          </cell>
          <cell r="K744">
            <v>66.53</v>
          </cell>
          <cell r="L744">
            <v>66.53</v>
          </cell>
          <cell r="M744">
            <v>66.53</v>
          </cell>
          <cell r="N744">
            <v>66.53</v>
          </cell>
          <cell r="O744"/>
        </row>
        <row r="745">
          <cell r="D745" t="str">
            <v>J-07-19</v>
          </cell>
          <cell r="E745" t="str">
            <v>Vacuna Antirotavírica</v>
          </cell>
          <cell r="F745" t="str">
            <v>Solución oral</v>
          </cell>
          <cell r="G745" t="str">
            <v>Norma PAI (Unidosis)</v>
          </cell>
          <cell r="H745" t="str">
            <v>J07BH01</v>
          </cell>
          <cell r="I745"/>
          <cell r="J745">
            <v>58.93</v>
          </cell>
          <cell r="K745">
            <v>58.93</v>
          </cell>
          <cell r="L745">
            <v>58.93</v>
          </cell>
          <cell r="M745">
            <v>58.93</v>
          </cell>
          <cell r="N745">
            <v>58.93</v>
          </cell>
          <cell r="O745"/>
        </row>
        <row r="746">
          <cell r="D746" t="str">
            <v>J-07-08</v>
          </cell>
          <cell r="E746" t="str">
            <v>Vacuna Antirrábica</v>
          </cell>
          <cell r="F746" t="str">
            <v>Inyectable</v>
          </cell>
          <cell r="G746" t="str">
            <v>1 UI/ml</v>
          </cell>
          <cell r="H746" t="str">
            <v>J07BG01</v>
          </cell>
          <cell r="I746"/>
          <cell r="J746">
            <v>70</v>
          </cell>
          <cell r="K746">
            <v>70</v>
          </cell>
          <cell r="L746">
            <v>70</v>
          </cell>
          <cell r="M746">
            <v>70</v>
          </cell>
          <cell r="N746">
            <v>70</v>
          </cell>
          <cell r="O746" t="str">
            <v>10 dósis</v>
          </cell>
        </row>
        <row r="747">
          <cell r="D747" t="str">
            <v>J-07-25</v>
          </cell>
          <cell r="E747" t="str">
            <v>Vacuna Antirrábica de uso Humano (Cultivo Celular)</v>
          </cell>
          <cell r="F747" t="str">
            <v>Inyectable</v>
          </cell>
          <cell r="G747" t="str">
            <v>2,5 U.I./0,5 ml</v>
          </cell>
          <cell r="H747" t="str">
            <v>J07BG01</v>
          </cell>
          <cell r="I747"/>
          <cell r="J747">
            <v>283.3</v>
          </cell>
          <cell r="K747">
            <v>283.3</v>
          </cell>
          <cell r="L747">
            <v>283.3</v>
          </cell>
          <cell r="M747">
            <v>283.3</v>
          </cell>
          <cell r="N747">
            <v>283.3</v>
          </cell>
          <cell r="O747"/>
        </row>
        <row r="748">
          <cell r="D748" t="str">
            <v>J-07-11</v>
          </cell>
          <cell r="E748" t="str">
            <v>Vacuna BCG</v>
          </cell>
          <cell r="F748" t="str">
            <v>Inyectable</v>
          </cell>
          <cell r="G748" t="str">
            <v>Norma PAI</v>
          </cell>
          <cell r="H748" t="str">
            <v>J07AN01</v>
          </cell>
          <cell r="I748"/>
          <cell r="J748">
            <v>1.31</v>
          </cell>
          <cell r="K748">
            <v>1.31</v>
          </cell>
          <cell r="L748">
            <v>1.31</v>
          </cell>
          <cell r="M748">
            <v>1.31</v>
          </cell>
          <cell r="N748">
            <v>1.31</v>
          </cell>
          <cell r="O748"/>
        </row>
        <row r="749">
          <cell r="D749" t="str">
            <v>J-07-21</v>
          </cell>
          <cell r="E749" t="str">
            <v>Vacuna contra Influenza (Adulto)</v>
          </cell>
          <cell r="F749" t="str">
            <v>Inyectable</v>
          </cell>
          <cell r="G749" t="str">
            <v>Norma PAI (10 dosis)</v>
          </cell>
          <cell r="H749" t="str">
            <v>J07BB</v>
          </cell>
          <cell r="I749"/>
          <cell r="J749">
            <v>25.38</v>
          </cell>
          <cell r="K749">
            <v>25.38</v>
          </cell>
          <cell r="L749">
            <v>25.38</v>
          </cell>
          <cell r="M749">
            <v>25.38</v>
          </cell>
          <cell r="N749">
            <v>25.38</v>
          </cell>
          <cell r="O749"/>
        </row>
        <row r="750">
          <cell r="D750" t="str">
            <v>J-07-20</v>
          </cell>
          <cell r="E750" t="str">
            <v>Vacuna contra Influenza (Pediátrica)</v>
          </cell>
          <cell r="F750" t="str">
            <v>Inyectable</v>
          </cell>
          <cell r="G750" t="str">
            <v>Norma PAI (10 dosis)</v>
          </cell>
          <cell r="H750" t="str">
            <v>J07BB</v>
          </cell>
          <cell r="I750"/>
          <cell r="J750">
            <v>12.69</v>
          </cell>
          <cell r="K750">
            <v>12.69</v>
          </cell>
          <cell r="L750">
            <v>12.69</v>
          </cell>
          <cell r="M750">
            <v>12.69</v>
          </cell>
          <cell r="N750">
            <v>12.69</v>
          </cell>
          <cell r="O750"/>
        </row>
        <row r="751">
          <cell r="D751" t="str">
            <v>J-07-26</v>
          </cell>
          <cell r="E751" t="str">
            <v>Vacuna cuadrivalente recombinante contra el Virus del Papiloma Humano</v>
          </cell>
          <cell r="F751" t="str">
            <v>Inyectable</v>
          </cell>
          <cell r="G751" t="str">
            <v>Norma PAI</v>
          </cell>
          <cell r="H751" t="str">
            <v>J07BM01</v>
          </cell>
          <cell r="I751"/>
          <cell r="J751">
            <v>40.79</v>
          </cell>
          <cell r="K751">
            <v>40.79</v>
          </cell>
          <cell r="L751">
            <v>40.79</v>
          </cell>
          <cell r="M751">
            <v>40.79</v>
          </cell>
          <cell r="N751">
            <v>40.79</v>
          </cell>
          <cell r="O751"/>
        </row>
        <row r="752">
          <cell r="D752" t="str">
            <v>J-07-12</v>
          </cell>
          <cell r="E752" t="str">
            <v>Vacuna doble dT (difteria, Tétanos)</v>
          </cell>
          <cell r="F752" t="str">
            <v>Inyectable</v>
          </cell>
          <cell r="G752" t="str">
            <v>Norma PAI</v>
          </cell>
          <cell r="H752" t="str">
            <v>J07AM51</v>
          </cell>
          <cell r="I752"/>
          <cell r="J752">
            <v>1</v>
          </cell>
          <cell r="K752">
            <v>1</v>
          </cell>
          <cell r="L752">
            <v>1</v>
          </cell>
          <cell r="M752">
            <v>1</v>
          </cell>
          <cell r="N752">
            <v>1</v>
          </cell>
          <cell r="O752"/>
        </row>
        <row r="753">
          <cell r="D753" t="str">
            <v>J-07-13</v>
          </cell>
          <cell r="E753" t="str">
            <v>Vacuna pentavalente (DPT + Hep. B + H. Influenzae B)</v>
          </cell>
          <cell r="F753" t="str">
            <v>Inyectable</v>
          </cell>
          <cell r="G753" t="str">
            <v>Norma PAI</v>
          </cell>
          <cell r="H753" t="str">
            <v>J07X**</v>
          </cell>
          <cell r="I753"/>
          <cell r="J753">
            <v>19.04</v>
          </cell>
          <cell r="K753">
            <v>19.04</v>
          </cell>
          <cell r="L753">
            <v>19.04</v>
          </cell>
          <cell r="M753">
            <v>19.04</v>
          </cell>
          <cell r="N753">
            <v>19.04</v>
          </cell>
          <cell r="O753"/>
        </row>
        <row r="754">
          <cell r="D754" t="str">
            <v>J-07-27</v>
          </cell>
          <cell r="E754" t="str">
            <v>Vacuna contra COVID-19</v>
          </cell>
          <cell r="F754" t="str">
            <v>Inyectable</v>
          </cell>
          <cell r="G754" t="str">
            <v>Norma PAI</v>
          </cell>
          <cell r="H754" t="str">
            <v>J07BX03</v>
          </cell>
          <cell r="I754"/>
          <cell r="J754" t="str">
            <v>SPR</v>
          </cell>
          <cell r="K754" t="str">
            <v>SPR</v>
          </cell>
          <cell r="L754" t="str">
            <v>SPR</v>
          </cell>
          <cell r="M754" t="str">
            <v>SPR</v>
          </cell>
          <cell r="N754" t="str">
            <v>SPR</v>
          </cell>
          <cell r="O754"/>
        </row>
        <row r="755">
          <cell r="D755" t="str">
            <v>J-07-14</v>
          </cell>
          <cell r="E755" t="str">
            <v>Vacuna SR (Sarampión, Rubeola)</v>
          </cell>
          <cell r="F755" t="str">
            <v>Inyectable</v>
          </cell>
          <cell r="G755" t="str">
            <v>Norma PAI</v>
          </cell>
          <cell r="H755" t="str">
            <v>J07BD53</v>
          </cell>
          <cell r="I755"/>
          <cell r="J755">
            <v>20.399999999999999</v>
          </cell>
          <cell r="K755">
            <v>20.399999999999999</v>
          </cell>
          <cell r="L755">
            <v>20.399999999999999</v>
          </cell>
          <cell r="M755">
            <v>20.399999999999999</v>
          </cell>
          <cell r="N755">
            <v>20.399999999999999</v>
          </cell>
          <cell r="O755"/>
        </row>
        <row r="756">
          <cell r="D756" t="str">
            <v>J-07-15</v>
          </cell>
          <cell r="E756" t="str">
            <v>Vacuna SRP (Sarampión, Rubeola; Paperas)</v>
          </cell>
          <cell r="F756" t="str">
            <v>Inyectable</v>
          </cell>
          <cell r="G756" t="str">
            <v>Norma PAI Multidosis</v>
          </cell>
          <cell r="H756" t="str">
            <v>J07BD01</v>
          </cell>
          <cell r="I756"/>
          <cell r="J756">
            <v>11.66</v>
          </cell>
          <cell r="K756">
            <v>11.66</v>
          </cell>
          <cell r="L756">
            <v>11.66</v>
          </cell>
          <cell r="M756">
            <v>11.66</v>
          </cell>
          <cell r="N756">
            <v>11.66</v>
          </cell>
          <cell r="O756"/>
        </row>
        <row r="757">
          <cell r="D757" t="str">
            <v>J-07-16</v>
          </cell>
          <cell r="E757" t="str">
            <v>Vacuna SRP (Sarampión, Rubeola; Paperas)</v>
          </cell>
          <cell r="F757" t="str">
            <v>Inyectable</v>
          </cell>
          <cell r="G757" t="str">
            <v>Norma PAI (Unidosis)</v>
          </cell>
          <cell r="H757" t="str">
            <v>J07BD01</v>
          </cell>
          <cell r="I757"/>
          <cell r="J757">
            <v>21.48</v>
          </cell>
          <cell r="K757">
            <v>21.48</v>
          </cell>
          <cell r="L757">
            <v>21.48</v>
          </cell>
          <cell r="M757">
            <v>21.48</v>
          </cell>
          <cell r="N757">
            <v>21.48</v>
          </cell>
          <cell r="O757"/>
        </row>
        <row r="758">
          <cell r="D758" t="str">
            <v>J-07-17</v>
          </cell>
          <cell r="E758" t="str">
            <v>Vacuna Triple DPT (Difteria, Pertusis, Tetanos)</v>
          </cell>
          <cell r="F758" t="str">
            <v>Inyectable</v>
          </cell>
          <cell r="G758" t="str">
            <v>Norma PAI</v>
          </cell>
          <cell r="H758" t="str">
            <v>J07X**</v>
          </cell>
          <cell r="I758"/>
          <cell r="J758">
            <v>2.0299999999999998</v>
          </cell>
          <cell r="K758">
            <v>2.0299999999999998</v>
          </cell>
          <cell r="L758">
            <v>2.0299999999999998</v>
          </cell>
          <cell r="M758">
            <v>2.0299999999999998</v>
          </cell>
          <cell r="N758">
            <v>2.0299999999999998</v>
          </cell>
          <cell r="O758"/>
        </row>
        <row r="759">
          <cell r="D759" t="str">
            <v>J-05-29</v>
          </cell>
          <cell r="E759" t="str">
            <v>Valganciclovir</v>
          </cell>
          <cell r="F759" t="str">
            <v>Comprimido</v>
          </cell>
          <cell r="G759" t="str">
            <v>450 mg</v>
          </cell>
          <cell r="H759" t="str">
            <v>J05AB14</v>
          </cell>
          <cell r="I759" t="str">
            <v>R</v>
          </cell>
          <cell r="J759">
            <v>300.48</v>
          </cell>
          <cell r="K759">
            <v>300.48</v>
          </cell>
          <cell r="L759">
            <v>300.48</v>
          </cell>
          <cell r="M759">
            <v>300.48</v>
          </cell>
          <cell r="N759">
            <v>300.48</v>
          </cell>
          <cell r="O759"/>
        </row>
        <row r="760">
          <cell r="D760" t="str">
            <v>D-02-04</v>
          </cell>
          <cell r="E760" t="str">
            <v>Vaselina liquida</v>
          </cell>
          <cell r="F760" t="str">
            <v>Solución 1 l</v>
          </cell>
          <cell r="G760" t="str">
            <v xml:space="preserve">Según disponibilidad </v>
          </cell>
          <cell r="H760" t="str">
            <v>D02AC**</v>
          </cell>
          <cell r="I760"/>
          <cell r="J760">
            <v>55.33</v>
          </cell>
          <cell r="K760">
            <v>55.33</v>
          </cell>
          <cell r="L760">
            <v>55.33</v>
          </cell>
          <cell r="M760">
            <v>55.33</v>
          </cell>
          <cell r="N760">
            <v>55.33</v>
          </cell>
          <cell r="O760" t="str">
            <v>1 L</v>
          </cell>
        </row>
        <row r="761">
          <cell r="D761" t="str">
            <v>D-02-05</v>
          </cell>
          <cell r="E761" t="str">
            <v>Vaselina sólida</v>
          </cell>
          <cell r="F761" t="str">
            <v>Pasta 1 kg</v>
          </cell>
          <cell r="G761" t="str">
            <v>Según disponibilidad</v>
          </cell>
          <cell r="H761" t="str">
            <v>D02AC**</v>
          </cell>
          <cell r="I761"/>
          <cell r="J761">
            <v>60</v>
          </cell>
          <cell r="K761">
            <v>60</v>
          </cell>
          <cell r="L761">
            <v>60</v>
          </cell>
          <cell r="M761">
            <v>60</v>
          </cell>
          <cell r="N761">
            <v>60</v>
          </cell>
          <cell r="O761"/>
        </row>
        <row r="762">
          <cell r="D762" t="str">
            <v>C-08-04</v>
          </cell>
          <cell r="E762" t="str">
            <v>Verapamilo</v>
          </cell>
          <cell r="F762" t="str">
            <v>Comprimido</v>
          </cell>
          <cell r="G762" t="str">
            <v>80 mg</v>
          </cell>
          <cell r="H762" t="str">
            <v>C08DA01</v>
          </cell>
          <cell r="I762"/>
          <cell r="J762">
            <v>0.6</v>
          </cell>
          <cell r="K762">
            <v>0.6</v>
          </cell>
          <cell r="L762">
            <v>0.6</v>
          </cell>
          <cell r="M762">
            <v>0.6</v>
          </cell>
          <cell r="N762">
            <v>0.6</v>
          </cell>
          <cell r="O762"/>
        </row>
        <row r="763">
          <cell r="D763" t="str">
            <v>C-08-05</v>
          </cell>
          <cell r="E763" t="str">
            <v>Verapamilo</v>
          </cell>
          <cell r="F763" t="str">
            <v>Inyectable</v>
          </cell>
          <cell r="G763" t="str">
            <v>2,5 mg/ml</v>
          </cell>
          <cell r="H763" t="str">
            <v>C08DA01</v>
          </cell>
          <cell r="I763"/>
          <cell r="J763">
            <v>28.11</v>
          </cell>
          <cell r="K763">
            <v>28.11</v>
          </cell>
          <cell r="L763">
            <v>28.11</v>
          </cell>
          <cell r="M763">
            <v>28.11</v>
          </cell>
          <cell r="N763">
            <v>28.11</v>
          </cell>
          <cell r="O763"/>
        </row>
        <row r="764">
          <cell r="D764" t="str">
            <v>C-08-06</v>
          </cell>
          <cell r="E764" t="str">
            <v>Verapamilo</v>
          </cell>
          <cell r="F764" t="str">
            <v>Comprimido</v>
          </cell>
          <cell r="G764" t="str">
            <v>40 mg</v>
          </cell>
          <cell r="H764" t="str">
            <v>C08DA01</v>
          </cell>
          <cell r="I764"/>
          <cell r="J764">
            <v>0.61</v>
          </cell>
          <cell r="K764">
            <v>0.61</v>
          </cell>
          <cell r="L764">
            <v>0.61</v>
          </cell>
          <cell r="M764">
            <v>0.61</v>
          </cell>
          <cell r="N764">
            <v>0.61</v>
          </cell>
          <cell r="O764"/>
        </row>
        <row r="765">
          <cell r="D765" t="str">
            <v>L-01-39</v>
          </cell>
          <cell r="E765" t="str">
            <v>Vinblastina</v>
          </cell>
          <cell r="F765" t="str">
            <v>Inyectable</v>
          </cell>
          <cell r="G765" t="str">
            <v>10 mg</v>
          </cell>
          <cell r="H765" t="str">
            <v>L01CA01</v>
          </cell>
          <cell r="I765"/>
          <cell r="J765">
            <v>310.5</v>
          </cell>
          <cell r="K765">
            <v>310.5</v>
          </cell>
          <cell r="L765">
            <v>310.5</v>
          </cell>
          <cell r="M765">
            <v>310.5</v>
          </cell>
          <cell r="N765">
            <v>310.5</v>
          </cell>
          <cell r="O765"/>
        </row>
        <row r="766">
          <cell r="D766" t="str">
            <v>D-01-07</v>
          </cell>
          <cell r="E766" t="str">
            <v>Violeta de genciana (Cloruro de metilrosanilina)</v>
          </cell>
          <cell r="F766" t="str">
            <v>Solución</v>
          </cell>
          <cell r="G766">
            <v>0.01</v>
          </cell>
          <cell r="H766" t="str">
            <v>D01AE02</v>
          </cell>
          <cell r="I766"/>
          <cell r="J766">
            <v>2.85</v>
          </cell>
          <cell r="K766">
            <v>2.85</v>
          </cell>
          <cell r="L766">
            <v>2.85</v>
          </cell>
          <cell r="M766">
            <v>2.85</v>
          </cell>
          <cell r="N766">
            <v>2.85</v>
          </cell>
          <cell r="O766" t="str">
            <v>30 ML</v>
          </cell>
        </row>
        <row r="767">
          <cell r="D767" t="str">
            <v>J-02-09</v>
          </cell>
          <cell r="E767" t="str">
            <v>Voriconazol</v>
          </cell>
          <cell r="F767" t="str">
            <v>Polvo para inyectable</v>
          </cell>
          <cell r="G767" t="str">
            <v>200 mg</v>
          </cell>
          <cell r="H767" t="str">
            <v>J02AC03</v>
          </cell>
          <cell r="I767" t="str">
            <v>R</v>
          </cell>
          <cell r="J767">
            <v>600</v>
          </cell>
          <cell r="K767">
            <v>600</v>
          </cell>
          <cell r="L767">
            <v>600</v>
          </cell>
          <cell r="M767">
            <v>600</v>
          </cell>
          <cell r="N767">
            <v>600</v>
          </cell>
          <cell r="O767"/>
        </row>
        <row r="768">
          <cell r="D768" t="str">
            <v>B-01-05</v>
          </cell>
          <cell r="E768" t="str">
            <v>Warfarina</v>
          </cell>
          <cell r="F768" t="str">
            <v>Comprimido ranurado</v>
          </cell>
          <cell r="G768" t="str">
            <v>5 mg</v>
          </cell>
          <cell r="H768" t="str">
            <v>B01AA03</v>
          </cell>
          <cell r="I768"/>
          <cell r="J768">
            <v>0.77013888888888893</v>
          </cell>
          <cell r="K768">
            <v>0.77013888888888893</v>
          </cell>
          <cell r="L768">
            <v>0.77013888888888893</v>
          </cell>
          <cell r="M768">
            <v>0.77013888888888893</v>
          </cell>
          <cell r="N768">
            <v>0.77013888888888893</v>
          </cell>
          <cell r="O768"/>
        </row>
        <row r="769">
          <cell r="D769" t="str">
            <v>J-05-24</v>
          </cell>
          <cell r="E769" t="str">
            <v>Zidovudina</v>
          </cell>
          <cell r="F769" t="str">
            <v>Inyectable</v>
          </cell>
          <cell r="G769" t="str">
            <v>10 mg/ml</v>
          </cell>
          <cell r="H769" t="str">
            <v>J05AF01</v>
          </cell>
          <cell r="I769"/>
          <cell r="J769">
            <v>88.33</v>
          </cell>
          <cell r="K769">
            <v>88.33</v>
          </cell>
          <cell r="L769">
            <v>88.33</v>
          </cell>
          <cell r="M769">
            <v>88.33</v>
          </cell>
          <cell r="N769">
            <v>88.33</v>
          </cell>
          <cell r="O769"/>
        </row>
        <row r="770">
          <cell r="D770" t="str">
            <v>J-05-25</v>
          </cell>
          <cell r="E770" t="str">
            <v>Zidovudina</v>
          </cell>
          <cell r="F770" t="str">
            <v>Suspensión oral</v>
          </cell>
          <cell r="G770" t="str">
            <v>10 mg/ml</v>
          </cell>
          <cell r="H770" t="str">
            <v>J05AF01</v>
          </cell>
          <cell r="I770"/>
          <cell r="J770">
            <v>42.064999999999998</v>
          </cell>
          <cell r="K770">
            <v>42.064999999999998</v>
          </cell>
          <cell r="L770">
            <v>42.064999999999998</v>
          </cell>
          <cell r="M770">
            <v>42.064999999999998</v>
          </cell>
          <cell r="N770">
            <v>42.064999999999998</v>
          </cell>
          <cell r="O770"/>
        </row>
        <row r="771">
          <cell r="D771" t="str">
            <v>J-05-27</v>
          </cell>
          <cell r="E771" t="str">
            <v>Zidovudina + Lamivudina</v>
          </cell>
          <cell r="F771" t="str">
            <v>Comprimido</v>
          </cell>
          <cell r="G771" t="str">
            <v>300 mg + 150 mg</v>
          </cell>
          <cell r="H771" t="str">
            <v>J05AF30</v>
          </cell>
          <cell r="I771"/>
          <cell r="J771">
            <v>1.48</v>
          </cell>
          <cell r="K771">
            <v>1.48</v>
          </cell>
          <cell r="L771">
            <v>1.48</v>
          </cell>
          <cell r="M771">
            <v>1.48</v>
          </cell>
          <cell r="N771">
            <v>1.48</v>
          </cell>
          <cell r="O771"/>
        </row>
        <row r="772">
          <cell r="D772" t="str">
            <v>A-12-05</v>
          </cell>
          <cell r="E772" t="str">
            <v>Zinc (como sulfato)</v>
          </cell>
          <cell r="F772" t="str">
            <v>Jarabe</v>
          </cell>
          <cell r="G772" t="str">
            <v xml:space="preserve">20 mg/5 ml </v>
          </cell>
          <cell r="H772" t="str">
            <v>A12CB01</v>
          </cell>
          <cell r="I772"/>
          <cell r="J772">
            <v>15.23</v>
          </cell>
          <cell r="K772">
            <v>15.23</v>
          </cell>
          <cell r="L772">
            <v>15.23</v>
          </cell>
          <cell r="M772">
            <v>15.23</v>
          </cell>
          <cell r="N772">
            <v>15.23</v>
          </cell>
          <cell r="O772"/>
        </row>
        <row r="773">
          <cell r="D773" t="str">
            <v>A-12-06</v>
          </cell>
          <cell r="E773" t="str">
            <v>Zinc (como sulfato)</v>
          </cell>
          <cell r="F773" t="str">
            <v>Comprimido</v>
          </cell>
          <cell r="G773" t="str">
            <v>20 mg</v>
          </cell>
          <cell r="H773" t="str">
            <v>A12CB01</v>
          </cell>
          <cell r="I773"/>
          <cell r="J773">
            <v>0.65</v>
          </cell>
          <cell r="K773">
            <v>0.65</v>
          </cell>
          <cell r="L773">
            <v>0.65</v>
          </cell>
          <cell r="M773">
            <v>0.65</v>
          </cell>
          <cell r="N773">
            <v>0.65</v>
          </cell>
          <cell r="O773"/>
        </row>
        <row r="774">
          <cell r="D774" t="str">
            <v>A-04-01</v>
          </cell>
          <cell r="E774" t="str">
            <v>Ondansetrón</v>
          </cell>
          <cell r="F774" t="str">
            <v>Inyectable</v>
          </cell>
          <cell r="G774" t="str">
            <v>8 mg</v>
          </cell>
          <cell r="H774" t="str">
            <v>A04AA01</v>
          </cell>
          <cell r="I774"/>
          <cell r="J774">
            <v>15.609059829059831</v>
          </cell>
          <cell r="K774">
            <v>15.609059829059831</v>
          </cell>
          <cell r="L774">
            <v>15.609059829059831</v>
          </cell>
          <cell r="M774">
            <v>17.460444726692295</v>
          </cell>
          <cell r="N774">
            <v>9.7399999999999984</v>
          </cell>
          <cell r="O774"/>
        </row>
        <row r="775">
          <cell r="D775" t="str">
            <v>S-01-21</v>
          </cell>
          <cell r="E775" t="str">
            <v>Solución Fisiológica</v>
          </cell>
          <cell r="F775" t="str">
            <v>Solución Nasal</v>
          </cell>
          <cell r="G775" t="str">
            <v>0,9% (15 a 30 ml)</v>
          </cell>
          <cell r="H775" t="str">
            <v>S01X**</v>
          </cell>
          <cell r="I775"/>
          <cell r="J775">
            <v>17.52</v>
          </cell>
          <cell r="K775">
            <v>17.52</v>
          </cell>
          <cell r="L775">
            <v>17.52</v>
          </cell>
          <cell r="M775">
            <v>7.05</v>
          </cell>
          <cell r="N775">
            <v>7.05</v>
          </cell>
          <cell r="O775" t="str">
            <v>15 ML</v>
          </cell>
        </row>
        <row r="776">
          <cell r="D776" t="str">
            <v>L-01-24</v>
          </cell>
          <cell r="E776" t="str">
            <v>Metotrexato</v>
          </cell>
          <cell r="F776" t="str">
            <v>Inyectable</v>
          </cell>
          <cell r="G776" t="str">
            <v>50 mg</v>
          </cell>
          <cell r="H776" t="str">
            <v>L01BA01</v>
          </cell>
          <cell r="I776"/>
          <cell r="J776">
            <v>61.199166666666663</v>
          </cell>
          <cell r="K776">
            <v>61.199166666666663</v>
          </cell>
          <cell r="L776">
            <v>121.75</v>
          </cell>
          <cell r="M776">
            <v>121.75</v>
          </cell>
          <cell r="N776">
            <v>6.14</v>
          </cell>
          <cell r="O776"/>
        </row>
        <row r="777">
          <cell r="D777" t="str">
            <v>L-01-11</v>
          </cell>
          <cell r="E777" t="str">
            <v>Citarabina</v>
          </cell>
          <cell r="F777" t="str">
            <v>Inyectable</v>
          </cell>
          <cell r="G777" t="str">
            <v>500 mg</v>
          </cell>
          <cell r="H777" t="str">
            <v>L01BC01</v>
          </cell>
          <cell r="I777"/>
          <cell r="J777">
            <v>180.35</v>
          </cell>
          <cell r="K777">
            <v>180.35</v>
          </cell>
          <cell r="L777">
            <v>180.97399172699068</v>
          </cell>
          <cell r="M777">
            <v>180.97399172699068</v>
          </cell>
          <cell r="N777">
            <v>124.2</v>
          </cell>
          <cell r="O777"/>
        </row>
        <row r="778">
          <cell r="D778" t="str">
            <v>L-01-06</v>
          </cell>
          <cell r="E778" t="str">
            <v>Ciclofosfamida</v>
          </cell>
          <cell r="F778" t="str">
            <v>Inyectable</v>
          </cell>
          <cell r="G778" t="str">
            <v>1 g</v>
          </cell>
          <cell r="H778" t="str">
            <v>L01AA01</v>
          </cell>
          <cell r="I778"/>
          <cell r="J778">
            <v>216.9</v>
          </cell>
          <cell r="K778">
            <v>216.9</v>
          </cell>
          <cell r="L778">
            <v>216.9</v>
          </cell>
          <cell r="M778">
            <v>216.9</v>
          </cell>
          <cell r="N778">
            <v>5.59</v>
          </cell>
          <cell r="O778" t="str">
            <v>50 ML</v>
          </cell>
        </row>
        <row r="779">
          <cell r="D779" t="str">
            <v>L-01-18</v>
          </cell>
          <cell r="E779" t="str">
            <v>Gemcitabina</v>
          </cell>
          <cell r="F779" t="str">
            <v>Inyectable</v>
          </cell>
          <cell r="G779" t="str">
            <v>1 g</v>
          </cell>
          <cell r="H779" t="str">
            <v>L01BC05</v>
          </cell>
          <cell r="I779"/>
          <cell r="J779">
            <v>464.06666666666666</v>
          </cell>
          <cell r="K779">
            <v>464.06666666666666</v>
          </cell>
          <cell r="L779">
            <v>666.36</v>
          </cell>
          <cell r="M779">
            <v>666.36</v>
          </cell>
          <cell r="N779">
            <v>192.25</v>
          </cell>
          <cell r="O779"/>
        </row>
        <row r="780">
          <cell r="D780" t="str">
            <v>L-01-53</v>
          </cell>
          <cell r="E780" t="str">
            <v>Temozolomida</v>
          </cell>
          <cell r="F780" t="str">
            <v>Cápsula</v>
          </cell>
          <cell r="G780" t="str">
            <v>250 mg</v>
          </cell>
          <cell r="H780" t="str">
            <v>L01AX05</v>
          </cell>
          <cell r="I780" t="str">
            <v>R</v>
          </cell>
          <cell r="J780">
            <v>754.5</v>
          </cell>
          <cell r="K780">
            <v>754.5</v>
          </cell>
          <cell r="L780">
            <v>754.5</v>
          </cell>
          <cell r="M780">
            <v>754.5</v>
          </cell>
          <cell r="N780">
            <v>217.8</v>
          </cell>
          <cell r="O780"/>
        </row>
        <row r="781">
          <cell r="D781" t="str">
            <v>L-01-43</v>
          </cell>
          <cell r="E781" t="str">
            <v>Trastuzumab</v>
          </cell>
          <cell r="F781" t="str">
            <v>Inyectable</v>
          </cell>
          <cell r="G781" t="str">
            <v>600 mg</v>
          </cell>
          <cell r="H781" t="str">
            <v>L01XC03</v>
          </cell>
          <cell r="I781" t="str">
            <v>R</v>
          </cell>
          <cell r="J781">
            <v>15835.36</v>
          </cell>
          <cell r="K781">
            <v>15835.36</v>
          </cell>
          <cell r="L781">
            <v>15835.36</v>
          </cell>
          <cell r="M781">
            <v>15835.36</v>
          </cell>
          <cell r="N781">
            <v>12391.33</v>
          </cell>
          <cell r="O781" t="str">
            <v>5 ML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6FCB-73A6-1846-A78E-F738C49A95C6}">
  <dimension ref="A1:L391"/>
  <sheetViews>
    <sheetView tabSelected="1" zoomScale="186" workbookViewId="0">
      <selection activeCell="I138" sqref="I138"/>
    </sheetView>
  </sheetViews>
  <sheetFormatPr baseColWidth="10" defaultRowHeight="16" x14ac:dyDescent="0.2"/>
  <cols>
    <col min="2" max="2" width="28" customWidth="1"/>
    <col min="3" max="3" width="15.33203125" customWidth="1"/>
  </cols>
  <sheetData>
    <row r="1" spans="1:12" s="2" customFormat="1" ht="35" customHeight="1" x14ac:dyDescent="0.2">
      <c r="A1" s="1" t="s">
        <v>0</v>
      </c>
      <c r="B1" s="1" t="s">
        <v>1</v>
      </c>
      <c r="C1" s="1" t="s">
        <v>840</v>
      </c>
      <c r="D1" s="1" t="s">
        <v>841</v>
      </c>
      <c r="E1" s="1" t="s">
        <v>842</v>
      </c>
      <c r="F1" s="1" t="s">
        <v>843</v>
      </c>
      <c r="G1" s="1" t="s">
        <v>844</v>
      </c>
      <c r="H1" s="1" t="s">
        <v>849</v>
      </c>
      <c r="I1" s="1" t="s">
        <v>845</v>
      </c>
      <c r="J1" s="1" t="s">
        <v>846</v>
      </c>
      <c r="K1" s="1" t="s">
        <v>847</v>
      </c>
      <c r="L1" s="1" t="s">
        <v>848</v>
      </c>
    </row>
    <row r="2" spans="1:12" x14ac:dyDescent="0.2">
      <c r="A2" t="s">
        <v>2</v>
      </c>
      <c r="B2" t="s">
        <v>3</v>
      </c>
      <c r="C2">
        <v>4.2361111111111113E-2</v>
      </c>
      <c r="D2">
        <f>IFERROR(VLOOKUP(A2,[1]Hoja2!$A$1:$E$430,4,FALSE),0)</f>
        <v>0</v>
      </c>
      <c r="E2">
        <f>IFERROR(VLOOKUP(A2,[2]Hoja3!$A$1:$E$410,4,FALSE),0)</f>
        <v>8</v>
      </c>
      <c r="F2">
        <f>IFERROR(VLOOKUP(A2,[3]Hoja2!$A$1:$E$411,4,FALSE),0)</f>
        <v>7.6167664670999997</v>
      </c>
      <c r="G2">
        <f>VLOOKUP(A2,[4]Hoja1!$D$1:$K$778,7,FALSE)</f>
        <v>12.57</v>
      </c>
      <c r="H2">
        <f>VLOOKUP(A2,[5]Hoja1!$D$1:$K$781,7,FALSE)</f>
        <v>12.57</v>
      </c>
      <c r="I2">
        <f>VLOOKUP(A2,[6]Hoja1!$D$1:$O$781,7,FALSE)</f>
        <v>12.57</v>
      </c>
      <c r="J2">
        <f>VLOOKUP(A2,[6]Hoja1!$D$1:$O$781,8,FALSE)</f>
        <v>12.57</v>
      </c>
      <c r="K2">
        <f>VLOOKUP(A2,[6]Hoja1!$D$1:$O$781,9,FALSE)</f>
        <v>12.57</v>
      </c>
      <c r="L2">
        <f>VLOOKUP(A2,[6]Hoja1!$D$1:$O$781,11,FALSE)</f>
        <v>12.57</v>
      </c>
    </row>
    <row r="3" spans="1:12" x14ac:dyDescent="0.2">
      <c r="A3" t="s">
        <v>4</v>
      </c>
      <c r="B3" t="s">
        <v>5</v>
      </c>
      <c r="C3" t="s">
        <v>6</v>
      </c>
      <c r="D3">
        <f>IFERROR(VLOOKUP(A3,[1]Hoja2!$A$1:$E$430,4,FALSE),0)</f>
        <v>0</v>
      </c>
      <c r="E3">
        <f>IFERROR(VLOOKUP(A3,[2]Hoja3!$A$1:$E$410,4,FALSE),0)</f>
        <v>0.271812</v>
      </c>
      <c r="F3">
        <f>IFERROR(VLOOKUP(A3,[3]Hoja2!$A$1:$E$411,4,FALSE),0)</f>
        <v>0.180169474</v>
      </c>
      <c r="G3">
        <f>VLOOKUP(A3,[4]Hoja1!$D$1:$K$778,7,FALSE)</f>
        <v>0.56999999999999995</v>
      </c>
      <c r="H3">
        <f>VLOOKUP(A3,[5]Hoja1!$D$1:$K$781,7,FALSE)</f>
        <v>0.56999999999999995</v>
      </c>
      <c r="I3">
        <f>VLOOKUP(A3,[6]Hoja1!$D$1:$O$781,7,FALSE)</f>
        <v>0.56999999999999995</v>
      </c>
      <c r="J3">
        <f>VLOOKUP(A3,[6]Hoja1!$D$1:$O$781,8,FALSE)</f>
        <v>0.56999999999999995</v>
      </c>
      <c r="K3">
        <f>VLOOKUP(A3,[6]Hoja1!$D$1:$O$781,9,FALSE)</f>
        <v>0.56999999999999995</v>
      </c>
      <c r="L3">
        <f>VLOOKUP(A3,[6]Hoja1!$D$1:$O$781,11,FALSE)</f>
        <v>0.56999999999999995</v>
      </c>
    </row>
    <row r="4" spans="1:12" x14ac:dyDescent="0.2">
      <c r="A4" t="s">
        <v>7</v>
      </c>
      <c r="B4" t="s">
        <v>8</v>
      </c>
      <c r="C4" t="s">
        <v>9</v>
      </c>
      <c r="D4">
        <f>IFERROR(VLOOKUP(A4,[1]Hoja2!$A$1:$E$430,4,FALSE),0)</f>
        <v>0</v>
      </c>
      <c r="E4">
        <f>IFERROR(VLOOKUP(A4,[2]Hoja3!$A$1:$E$410,4,FALSE),0)</f>
        <v>0.366504</v>
      </c>
      <c r="F4">
        <f>IFERROR(VLOOKUP(A4,[3]Hoja2!$A$1:$E$411,4,FALSE),0)</f>
        <v>0.24540891379999999</v>
      </c>
      <c r="G4">
        <f>VLOOKUP(A4,[4]Hoja1!$D$1:$K$778,7,FALSE)</f>
        <v>0.4</v>
      </c>
      <c r="H4">
        <f>VLOOKUP(A4,[5]Hoja1!$D$1:$K$781,7,FALSE)</f>
        <v>0.4</v>
      </c>
      <c r="I4">
        <f>VLOOKUP(A4,[6]Hoja1!$D$1:$O$781,7,FALSE)</f>
        <v>0.4</v>
      </c>
      <c r="J4">
        <f>VLOOKUP(A4,[6]Hoja1!$D$1:$O$781,8,FALSE)</f>
        <v>0.4</v>
      </c>
      <c r="K4">
        <f>VLOOKUP(A4,[6]Hoja1!$D$1:$O$781,9,FALSE)</f>
        <v>0.4</v>
      </c>
      <c r="L4">
        <f>VLOOKUP(A4,[6]Hoja1!$D$1:$O$781,11,FALSE)</f>
        <v>0.4</v>
      </c>
    </row>
    <row r="5" spans="1:12" x14ac:dyDescent="0.2">
      <c r="A5" t="s">
        <v>10</v>
      </c>
      <c r="B5" t="s">
        <v>8</v>
      </c>
      <c r="C5" t="s">
        <v>11</v>
      </c>
      <c r="D5">
        <f>IFERROR(VLOOKUP(A5,[1]Hoja2!$A$1:$E$430,4,FALSE),0)</f>
        <v>0</v>
      </c>
      <c r="E5">
        <f>IFERROR(VLOOKUP(A5,[2]Hoja3!$A$1:$E$410,4,FALSE),0)</f>
        <v>1.1975199999999999</v>
      </c>
      <c r="F5">
        <f>IFERROR(VLOOKUP(A5,[3]Hoja2!$A$1:$E$411,4,FALSE),0)</f>
        <v>0.96086332730000001</v>
      </c>
      <c r="G5">
        <f>VLOOKUP(A5,[4]Hoja1!$D$1:$K$778,7,FALSE)</f>
        <v>1.82</v>
      </c>
      <c r="H5">
        <f>VLOOKUP(A5,[5]Hoja1!$D$1:$K$781,7,FALSE)</f>
        <v>1.82</v>
      </c>
      <c r="I5">
        <f>VLOOKUP(A5,[6]Hoja1!$D$1:$O$781,7,FALSE)</f>
        <v>1.82</v>
      </c>
      <c r="J5">
        <f>VLOOKUP(A5,[6]Hoja1!$D$1:$O$781,8,FALSE)</f>
        <v>1.82</v>
      </c>
      <c r="K5">
        <f>VLOOKUP(A5,[6]Hoja1!$D$1:$O$781,9,FALSE)</f>
        <v>1.82</v>
      </c>
      <c r="L5">
        <f>VLOOKUP(A5,[6]Hoja1!$D$1:$O$781,11,FALSE)</f>
        <v>1.82</v>
      </c>
    </row>
    <row r="6" spans="1:12" x14ac:dyDescent="0.2">
      <c r="A6" t="s">
        <v>12</v>
      </c>
      <c r="B6" t="s">
        <v>5</v>
      </c>
      <c r="C6" t="s">
        <v>13</v>
      </c>
      <c r="D6">
        <f>IFERROR(VLOOKUP(A6,[1]Hoja2!$A$1:$E$430,4,FALSE),0)</f>
        <v>0</v>
      </c>
      <c r="E6">
        <f>IFERROR(VLOOKUP(A6,[2]Hoja3!$A$1:$E$410,4,FALSE),0)</f>
        <v>6.9073289999999998</v>
      </c>
      <c r="F6">
        <f>IFERROR(VLOOKUP(A6,[3]Hoja2!$A$1:$E$411,4,FALSE),0)</f>
        <v>4.4081470825000002</v>
      </c>
      <c r="G6">
        <f>VLOOKUP(A6,[4]Hoja1!$D$1:$K$778,7,FALSE)</f>
        <v>14.006008852258899</v>
      </c>
      <c r="H6">
        <f>VLOOKUP(A6,[5]Hoja1!$D$1:$K$781,7,FALSE)</f>
        <v>14.006008852258852</v>
      </c>
      <c r="I6">
        <f>VLOOKUP(A6,[6]Hoja1!$D$1:$O$781,7,FALSE)</f>
        <v>14.006008852258852</v>
      </c>
      <c r="J6">
        <f>VLOOKUP(A6,[6]Hoja1!$D$1:$O$781,8,FALSE)</f>
        <v>14.006008852258852</v>
      </c>
      <c r="K6">
        <f>VLOOKUP(A6,[6]Hoja1!$D$1:$O$781,9,FALSE)</f>
        <v>14.006008852258852</v>
      </c>
      <c r="L6">
        <f>VLOOKUP(A6,[6]Hoja1!$D$1:$O$781,11,FALSE)</f>
        <v>29.97</v>
      </c>
    </row>
    <row r="7" spans="1:12" x14ac:dyDescent="0.2">
      <c r="A7" t="s">
        <v>14</v>
      </c>
      <c r="B7" t="s">
        <v>15</v>
      </c>
      <c r="C7" t="s">
        <v>16</v>
      </c>
      <c r="D7">
        <f>IFERROR(VLOOKUP(A7,[1]Hoja2!$A$1:$E$430,4,FALSE),0)</f>
        <v>0</v>
      </c>
      <c r="E7">
        <f>IFERROR(VLOOKUP(A7,[2]Hoja3!$A$1:$E$410,4,FALSE),0)</f>
        <v>2.3800840000000001</v>
      </c>
      <c r="F7">
        <f>IFERROR(VLOOKUP(A7,[3]Hoja2!$A$1:$E$411,4,FALSE),0)</f>
        <v>2.38</v>
      </c>
      <c r="G7">
        <f>VLOOKUP(A7,[4]Hoja1!$D$1:$K$778,7,FALSE)</f>
        <v>3.63</v>
      </c>
      <c r="H7">
        <f>VLOOKUP(A7,[5]Hoja1!$D$1:$K$781,7,FALSE)</f>
        <v>3.63</v>
      </c>
      <c r="I7">
        <f>VLOOKUP(A7,[6]Hoja1!$D$1:$O$781,7,FALSE)</f>
        <v>3.63</v>
      </c>
      <c r="J7">
        <f>VLOOKUP(A7,[6]Hoja1!$D$1:$O$781,8,FALSE)</f>
        <v>3.63</v>
      </c>
      <c r="K7">
        <f>VLOOKUP(A7,[6]Hoja1!$D$1:$O$781,9,FALSE)</f>
        <v>3.63</v>
      </c>
      <c r="L7">
        <f>VLOOKUP(A7,[6]Hoja1!$D$1:$O$781,11,FALSE)</f>
        <v>3.63</v>
      </c>
    </row>
    <row r="8" spans="1:12" x14ac:dyDescent="0.2">
      <c r="A8" t="s">
        <v>17</v>
      </c>
      <c r="B8" t="s">
        <v>18</v>
      </c>
      <c r="C8" t="s">
        <v>19</v>
      </c>
      <c r="D8">
        <f>IFERROR(VLOOKUP(A8,[1]Hoja2!$A$1:$E$430,4,FALSE),0)</f>
        <v>0</v>
      </c>
      <c r="E8">
        <f>IFERROR(VLOOKUP(A8,[2]Hoja3!$A$1:$E$410,4,FALSE),0)</f>
        <v>1.2938240000000001</v>
      </c>
      <c r="F8">
        <f>IFERROR(VLOOKUP(A8,[3]Hoja2!$A$1:$E$411,4,FALSE),0)</f>
        <v>1.9</v>
      </c>
      <c r="G8">
        <f>VLOOKUP(A8,[4]Hoja1!$D$1:$K$778,7,FALSE)</f>
        <v>1.55</v>
      </c>
      <c r="H8">
        <f>VLOOKUP(A8,[5]Hoja1!$D$1:$K$781,7,FALSE)</f>
        <v>1.55</v>
      </c>
      <c r="I8">
        <f>VLOOKUP(A8,[6]Hoja1!$D$1:$O$781,7,FALSE)</f>
        <v>1.55</v>
      </c>
      <c r="J8">
        <f>VLOOKUP(A8,[6]Hoja1!$D$1:$O$781,8,FALSE)</f>
        <v>1.55</v>
      </c>
      <c r="K8">
        <f>VLOOKUP(A8,[6]Hoja1!$D$1:$O$781,9,FALSE)</f>
        <v>1.55</v>
      </c>
      <c r="L8">
        <f>VLOOKUP(A8,[6]Hoja1!$D$1:$O$781,11,FALSE)</f>
        <v>1.55</v>
      </c>
    </row>
    <row r="9" spans="1:12" x14ac:dyDescent="0.2">
      <c r="A9" t="s">
        <v>20</v>
      </c>
      <c r="B9" t="s">
        <v>18</v>
      </c>
      <c r="C9" t="s">
        <v>21</v>
      </c>
      <c r="D9">
        <f>IFERROR(VLOOKUP(A9,[1]Hoja2!$A$1:$E$430,4,FALSE),0)</f>
        <v>0</v>
      </c>
      <c r="E9">
        <f>IFERROR(VLOOKUP(A9,[2]Hoja3!$A$1:$E$410,4,FALSE),0)</f>
        <v>4.201562</v>
      </c>
      <c r="F9">
        <f>IFERROR(VLOOKUP(A9,[3]Hoja2!$A$1:$E$411,4,FALSE),0)</f>
        <v>3.6085936255000002</v>
      </c>
      <c r="G9">
        <f>VLOOKUP(A9,[4]Hoja1!$D$1:$K$778,7,FALSE)</f>
        <v>4.79</v>
      </c>
      <c r="H9">
        <f>VLOOKUP(A9,[5]Hoja1!$D$1:$K$781,7,FALSE)</f>
        <v>4.79</v>
      </c>
      <c r="I9">
        <f>VLOOKUP(A9,[6]Hoja1!$D$1:$O$781,7,FALSE)</f>
        <v>4.79</v>
      </c>
      <c r="J9">
        <f>VLOOKUP(A9,[6]Hoja1!$D$1:$O$781,8,FALSE)</f>
        <v>4.79</v>
      </c>
      <c r="K9">
        <f>VLOOKUP(A9,[6]Hoja1!$D$1:$O$781,9,FALSE)</f>
        <v>4.79</v>
      </c>
      <c r="L9">
        <f>VLOOKUP(A9,[6]Hoja1!$D$1:$O$781,11,FALSE)</f>
        <v>4.79</v>
      </c>
    </row>
    <row r="10" spans="1:12" x14ac:dyDescent="0.2">
      <c r="A10" t="s">
        <v>22</v>
      </c>
      <c r="B10" t="s">
        <v>23</v>
      </c>
      <c r="C10" t="s">
        <v>19</v>
      </c>
      <c r="D10">
        <f>IFERROR(VLOOKUP(A10,[1]Hoja2!$A$1:$E$430,4,FALSE),0)</f>
        <v>0</v>
      </c>
      <c r="E10">
        <f>IFERROR(VLOOKUP(A10,[2]Hoja3!$A$1:$E$410,4,FALSE),0)</f>
        <v>0.34</v>
      </c>
      <c r="F10">
        <f>IFERROR(VLOOKUP(A10,[3]Hoja2!$A$1:$E$411,4,FALSE),0)</f>
        <v>0.16379573280000001</v>
      </c>
      <c r="G10">
        <f>VLOOKUP(A10,[4]Hoja1!$D$1:$K$778,7,FALSE)</f>
        <v>0.47062962962963001</v>
      </c>
      <c r="H10">
        <f>VLOOKUP(A10,[5]Hoja1!$D$1:$K$781,7,FALSE)</f>
        <v>0.47062962962962968</v>
      </c>
      <c r="I10">
        <f>VLOOKUP(A10,[6]Hoja1!$D$1:$O$781,7,FALSE)</f>
        <v>0.47062962962962968</v>
      </c>
      <c r="J10">
        <f>VLOOKUP(A10,[6]Hoja1!$D$1:$O$781,8,FALSE)</f>
        <v>0.47062962962962968</v>
      </c>
      <c r="K10">
        <f>VLOOKUP(A10,[6]Hoja1!$D$1:$O$781,9,FALSE)</f>
        <v>0.47062962962962968</v>
      </c>
      <c r="L10">
        <f>VLOOKUP(A10,[6]Hoja1!$D$1:$O$781,11,FALSE)</f>
        <v>0.47062962962962968</v>
      </c>
    </row>
    <row r="11" spans="1:12" x14ac:dyDescent="0.2">
      <c r="A11" t="s">
        <v>24</v>
      </c>
      <c r="B11" t="s">
        <v>25</v>
      </c>
      <c r="C11" t="s">
        <v>19</v>
      </c>
      <c r="D11">
        <f>IFERROR(VLOOKUP(A11,[1]Hoja2!$A$1:$E$430,4,FALSE),0)</f>
        <v>0</v>
      </c>
      <c r="E11">
        <f>IFERROR(VLOOKUP(A11,[2]Hoja3!$A$1:$E$410,4,FALSE),0)</f>
        <v>0.23580599999999999</v>
      </c>
      <c r="F11">
        <f>IFERROR(VLOOKUP(A11,[3]Hoja2!$A$1:$E$411,4,FALSE),0)</f>
        <v>0.18304312319999999</v>
      </c>
      <c r="G11">
        <f>VLOOKUP(A11,[4]Hoja1!$D$1:$K$778,7,FALSE)</f>
        <v>0.38</v>
      </c>
      <c r="H11">
        <f>VLOOKUP(A11,[5]Hoja1!$D$1:$K$781,7,FALSE)</f>
        <v>0.38</v>
      </c>
      <c r="I11">
        <f>VLOOKUP(A11,[6]Hoja1!$D$1:$O$781,7,FALSE)</f>
        <v>0.38</v>
      </c>
      <c r="J11">
        <f>VLOOKUP(A11,[6]Hoja1!$D$1:$O$781,8,FALSE)</f>
        <v>0.38</v>
      </c>
      <c r="K11">
        <f>VLOOKUP(A11,[6]Hoja1!$D$1:$O$781,9,FALSE)</f>
        <v>0.38</v>
      </c>
      <c r="L11">
        <f>VLOOKUP(A11,[6]Hoja1!$D$1:$O$781,11,FALSE)</f>
        <v>0.43794017319697398</v>
      </c>
    </row>
    <row r="12" spans="1:12" x14ac:dyDescent="0.2">
      <c r="A12" t="s">
        <v>26</v>
      </c>
      <c r="B12" t="s">
        <v>25</v>
      </c>
      <c r="C12" t="s">
        <v>27</v>
      </c>
      <c r="D12">
        <f>IFERROR(VLOOKUP(A12,[1]Hoja2!$A$1:$E$430,4,FALSE),0)</f>
        <v>0</v>
      </c>
      <c r="E12">
        <f>IFERROR(VLOOKUP(A12,[2]Hoja3!$A$1:$E$410,4,FALSE),0)</f>
        <v>0.96376499999999998</v>
      </c>
      <c r="F12">
        <f>IFERROR(VLOOKUP(A12,[3]Hoja2!$A$1:$E$411,4,FALSE),0)</f>
        <v>1.5910550998999999</v>
      </c>
      <c r="G12">
        <f>VLOOKUP(A12,[4]Hoja1!$D$1:$K$778,7,FALSE)</f>
        <v>2.62</v>
      </c>
      <c r="H12">
        <f>VLOOKUP(A12,[5]Hoja1!$D$1:$K$781,7,FALSE)</f>
        <v>2.62</v>
      </c>
      <c r="I12">
        <f>VLOOKUP(A12,[6]Hoja1!$D$1:$O$781,7,FALSE)</f>
        <v>2.62</v>
      </c>
      <c r="J12">
        <f>VLOOKUP(A12,[6]Hoja1!$D$1:$O$781,8,FALSE)</f>
        <v>2.62</v>
      </c>
      <c r="K12">
        <f>VLOOKUP(A12,[6]Hoja1!$D$1:$O$781,9,FALSE)</f>
        <v>2.62</v>
      </c>
      <c r="L12">
        <f>VLOOKUP(A12,[6]Hoja1!$D$1:$O$781,11,FALSE)</f>
        <v>2.6528148352676064</v>
      </c>
    </row>
    <row r="13" spans="1:12" x14ac:dyDescent="0.2">
      <c r="A13" t="s">
        <v>28</v>
      </c>
      <c r="B13" t="s">
        <v>25</v>
      </c>
      <c r="C13" t="s">
        <v>29</v>
      </c>
      <c r="D13">
        <f>IFERROR(VLOOKUP(A13,[1]Hoja2!$A$1:$E$430,4,FALSE),0)</f>
        <v>0</v>
      </c>
      <c r="E13">
        <f>IFERROR(VLOOKUP(A13,[2]Hoja3!$A$1:$E$410,4,FALSE),0)</f>
        <v>6</v>
      </c>
      <c r="F13">
        <f>IFERROR(VLOOKUP(A13,[3]Hoja2!$A$1:$E$411,4,FALSE),0)</f>
        <v>7</v>
      </c>
      <c r="G13">
        <f>VLOOKUP(A13,[4]Hoja1!$D$1:$K$778,7,FALSE)</f>
        <v>13.28</v>
      </c>
      <c r="H13">
        <f>VLOOKUP(A13,[5]Hoja1!$D$1:$K$781,7,FALSE)</f>
        <v>13.28</v>
      </c>
      <c r="I13">
        <f>VLOOKUP(A13,[6]Hoja1!$D$1:$O$781,7,FALSE)</f>
        <v>13.28</v>
      </c>
      <c r="J13">
        <f>VLOOKUP(A13,[6]Hoja1!$D$1:$O$781,8,FALSE)</f>
        <v>13.28</v>
      </c>
      <c r="K13">
        <f>VLOOKUP(A13,[6]Hoja1!$D$1:$O$781,9,FALSE)</f>
        <v>13.28</v>
      </c>
      <c r="L13">
        <f>VLOOKUP(A13,[6]Hoja1!$D$1:$O$781,11,FALSE)</f>
        <v>13.28</v>
      </c>
    </row>
    <row r="14" spans="1:12" x14ac:dyDescent="0.2">
      <c r="A14" t="s">
        <v>30</v>
      </c>
      <c r="B14" t="s">
        <v>31</v>
      </c>
      <c r="C14" t="s">
        <v>19</v>
      </c>
      <c r="D14">
        <f>IFERROR(VLOOKUP(A14,[1]Hoja2!$A$1:$E$430,4,FALSE),0)</f>
        <v>0</v>
      </c>
      <c r="E14">
        <f>IFERROR(VLOOKUP(A14,[2]Hoja3!$A$1:$E$410,4,FALSE),0)</f>
        <v>1.5110490000000001</v>
      </c>
      <c r="F14">
        <f>IFERROR(VLOOKUP(A14,[3]Hoja2!$A$1:$E$411,4,FALSE),0)</f>
        <v>1.9</v>
      </c>
      <c r="G14">
        <f>VLOOKUP(A14,[4]Hoja1!$D$1:$K$778,7,FALSE)</f>
        <v>1.9</v>
      </c>
      <c r="H14">
        <f>VLOOKUP(A14,[5]Hoja1!$D$1:$K$781,7,FALSE)</f>
        <v>1.9</v>
      </c>
      <c r="I14">
        <f>VLOOKUP(A14,[6]Hoja1!$D$1:$O$781,7,FALSE)</f>
        <v>1.9</v>
      </c>
      <c r="J14">
        <f>VLOOKUP(A14,[6]Hoja1!$D$1:$O$781,8,FALSE)</f>
        <v>1.9</v>
      </c>
      <c r="K14">
        <f>VLOOKUP(A14,[6]Hoja1!$D$1:$O$781,9,FALSE)</f>
        <v>1.9</v>
      </c>
      <c r="L14">
        <f>VLOOKUP(A14,[6]Hoja1!$D$1:$O$781,11,FALSE)</f>
        <v>2.76</v>
      </c>
    </row>
    <row r="15" spans="1:12" x14ac:dyDescent="0.2">
      <c r="A15" t="s">
        <v>32</v>
      </c>
      <c r="B15" t="s">
        <v>31</v>
      </c>
      <c r="C15" t="s">
        <v>33</v>
      </c>
      <c r="D15">
        <f>IFERROR(VLOOKUP(A15,[1]Hoja2!$A$1:$E$430,4,FALSE),0)</f>
        <v>0</v>
      </c>
      <c r="E15">
        <f>IFERROR(VLOOKUP(A15,[2]Hoja3!$A$1:$E$410,4,FALSE),0)</f>
        <v>4.8999769999999998</v>
      </c>
      <c r="F15">
        <f>IFERROR(VLOOKUP(A15,[3]Hoja2!$A$1:$E$411,4,FALSE),0)</f>
        <v>6.1966386399999998</v>
      </c>
      <c r="G15">
        <f>VLOOKUP(A15,[4]Hoja1!$D$1:$K$778,7,FALSE)</f>
        <v>8.59</v>
      </c>
      <c r="H15">
        <f>VLOOKUP(A15,[5]Hoja1!$D$1:$K$781,7,FALSE)</f>
        <v>8.59</v>
      </c>
      <c r="I15">
        <f>VLOOKUP(A15,[6]Hoja1!$D$1:$O$781,7,FALSE)</f>
        <v>8.59</v>
      </c>
      <c r="J15">
        <f>VLOOKUP(A15,[6]Hoja1!$D$1:$O$781,8,FALSE)</f>
        <v>8.59</v>
      </c>
      <c r="K15">
        <f>VLOOKUP(A15,[6]Hoja1!$D$1:$O$781,9,FALSE)</f>
        <v>8.59</v>
      </c>
      <c r="L15">
        <f>VLOOKUP(A15,[6]Hoja1!$D$1:$O$781,11,FALSE)</f>
        <v>8.59</v>
      </c>
    </row>
    <row r="16" spans="1:12" x14ac:dyDescent="0.2">
      <c r="A16" t="s">
        <v>34</v>
      </c>
      <c r="B16" t="s">
        <v>35</v>
      </c>
      <c r="C16" t="s">
        <v>36</v>
      </c>
      <c r="D16">
        <f>IFERROR(VLOOKUP(A16,[1]Hoja2!$A$1:$E$430,4,FALSE),0)</f>
        <v>0</v>
      </c>
      <c r="E16">
        <f>IFERROR(VLOOKUP(A16,[2]Hoja3!$A$1:$E$410,4,FALSE),0)</f>
        <v>16</v>
      </c>
      <c r="F16">
        <f>IFERROR(VLOOKUP(A16,[3]Hoja2!$A$1:$E$411,4,FALSE),0)</f>
        <v>16</v>
      </c>
      <c r="G16">
        <f>VLOOKUP(A16,[4]Hoja1!$D$1:$K$778,7,FALSE)</f>
        <v>22.35</v>
      </c>
      <c r="H16">
        <f>VLOOKUP(A16,[5]Hoja1!$D$1:$K$781,7,FALSE)</f>
        <v>22.35</v>
      </c>
      <c r="I16">
        <f>VLOOKUP(A16,[6]Hoja1!$D$1:$O$781,7,FALSE)</f>
        <v>22.35</v>
      </c>
      <c r="J16">
        <f>VLOOKUP(A16,[6]Hoja1!$D$1:$O$781,8,FALSE)</f>
        <v>22.35</v>
      </c>
      <c r="K16">
        <f>VLOOKUP(A16,[6]Hoja1!$D$1:$O$781,9,FALSE)</f>
        <v>22.35</v>
      </c>
      <c r="L16">
        <f>VLOOKUP(A16,[6]Hoja1!$D$1:$O$781,11,FALSE)</f>
        <v>22.35</v>
      </c>
    </row>
    <row r="17" spans="1:12" x14ac:dyDescent="0.2">
      <c r="A17" t="s">
        <v>37</v>
      </c>
      <c r="B17" t="s">
        <v>35</v>
      </c>
      <c r="C17" t="s">
        <v>38</v>
      </c>
      <c r="D17">
        <f>IFERROR(VLOOKUP(A17,[1]Hoja2!$A$1:$E$430,4,FALSE),0)</f>
        <v>0</v>
      </c>
      <c r="E17">
        <f>IFERROR(VLOOKUP(A17,[2]Hoja3!$A$1:$E$410,4,FALSE),0)</f>
        <v>1.1449020000000001</v>
      </c>
      <c r="F17">
        <f>IFERROR(VLOOKUP(A17,[3]Hoja2!$A$1:$E$411,4,FALSE),0)</f>
        <v>1.1499999999999999</v>
      </c>
      <c r="G17">
        <f>VLOOKUP(A17,[4]Hoja1!$D$1:$K$778,7,FALSE)</f>
        <v>1.1499999999999999</v>
      </c>
      <c r="H17">
        <f>VLOOKUP(A17,[5]Hoja1!$D$1:$K$781,7,FALSE)</f>
        <v>1.1499999999999999</v>
      </c>
      <c r="I17">
        <f>VLOOKUP(A17,[6]Hoja1!$D$1:$O$781,7,FALSE)</f>
        <v>1.1499999999999999</v>
      </c>
      <c r="J17">
        <f>VLOOKUP(A17,[6]Hoja1!$D$1:$O$781,8,FALSE)</f>
        <v>1.1499999999999999</v>
      </c>
      <c r="K17">
        <f>VLOOKUP(A17,[6]Hoja1!$D$1:$O$781,9,FALSE)</f>
        <v>1.1499999999999999</v>
      </c>
      <c r="L17">
        <f>VLOOKUP(A17,[6]Hoja1!$D$1:$O$781,11,FALSE)</f>
        <v>2.2999999999999998</v>
      </c>
    </row>
    <row r="18" spans="1:12" x14ac:dyDescent="0.2">
      <c r="A18" t="s">
        <v>39</v>
      </c>
      <c r="B18" t="s">
        <v>40</v>
      </c>
      <c r="C18" t="s">
        <v>41</v>
      </c>
      <c r="D18">
        <f>IFERROR(VLOOKUP(A18,[1]Hoja2!$A$1:$E$430,4,FALSE),0)</f>
        <v>0</v>
      </c>
      <c r="E18">
        <f>IFERROR(VLOOKUP(A18,[2]Hoja3!$A$1:$E$410,4,FALSE),0)</f>
        <v>4</v>
      </c>
      <c r="F18">
        <f>IFERROR(VLOOKUP(A18,[3]Hoja2!$A$1:$E$411,4,FALSE),0)</f>
        <v>6.3894445444999999</v>
      </c>
      <c r="G18">
        <f>VLOOKUP(A18,[4]Hoja1!$D$1:$K$778,7,FALSE)</f>
        <v>15.609059829059801</v>
      </c>
      <c r="H18">
        <f>VLOOKUP(A18,[5]Hoja1!$D$1:$K$781,7,FALSE)</f>
        <v>15.609059829059831</v>
      </c>
      <c r="I18">
        <f>VLOOKUP(A18,[6]Hoja1!$D$1:$O$781,7,FALSE)</f>
        <v>15.609059829059831</v>
      </c>
      <c r="J18">
        <f>VLOOKUP(A18,[6]Hoja1!$D$1:$O$781,8,FALSE)</f>
        <v>15.609059829059831</v>
      </c>
      <c r="K18">
        <f>VLOOKUP(A18,[6]Hoja1!$D$1:$O$781,9,FALSE)</f>
        <v>15.609059829059831</v>
      </c>
      <c r="L18">
        <f>VLOOKUP(A18,[6]Hoja1!$D$1:$O$781,11,FALSE)</f>
        <v>9.7399999999999984</v>
      </c>
    </row>
    <row r="19" spans="1:12" x14ac:dyDescent="0.2">
      <c r="A19" t="s">
        <v>42</v>
      </c>
      <c r="B19" t="s">
        <v>43</v>
      </c>
      <c r="C19" t="s">
        <v>44</v>
      </c>
      <c r="D19">
        <f>IFERROR(VLOOKUP(A19,[1]Hoja2!$A$1:$E$430,4,FALSE),0)</f>
        <v>0</v>
      </c>
      <c r="E19">
        <f>IFERROR(VLOOKUP(A19,[2]Hoja3!$A$1:$E$410,4,FALSE),0)</f>
        <v>8.4</v>
      </c>
      <c r="F19">
        <f>IFERROR(VLOOKUP(A19,[3]Hoja2!$A$1:$E$411,4,FALSE),0)</f>
        <v>8.99</v>
      </c>
      <c r="G19">
        <f>VLOOKUP(A19,[4]Hoja1!$D$1:$K$778,7,FALSE)</f>
        <v>9.27</v>
      </c>
      <c r="H19">
        <f>VLOOKUP(A19,[5]Hoja1!$D$1:$K$781,7,FALSE)</f>
        <v>9.27</v>
      </c>
      <c r="I19">
        <f>VLOOKUP(A19,[6]Hoja1!$D$1:$O$781,7,FALSE)</f>
        <v>9.27</v>
      </c>
      <c r="J19">
        <f>VLOOKUP(A19,[6]Hoja1!$D$1:$O$781,8,FALSE)</f>
        <v>9.27</v>
      </c>
      <c r="K19">
        <f>VLOOKUP(A19,[6]Hoja1!$D$1:$O$781,9,FALSE)</f>
        <v>9.27</v>
      </c>
      <c r="L19">
        <f>VLOOKUP(A19,[6]Hoja1!$D$1:$O$781,11,FALSE)</f>
        <v>9.27</v>
      </c>
    </row>
    <row r="20" spans="1:12" x14ac:dyDescent="0.2">
      <c r="A20" t="s">
        <v>45</v>
      </c>
      <c r="B20" t="s">
        <v>46</v>
      </c>
      <c r="C20">
        <v>0.4</v>
      </c>
      <c r="D20">
        <f>IFERROR(VLOOKUP(A20,[1]Hoja2!$A$1:$E$430,4,FALSE),0)</f>
        <v>0</v>
      </c>
      <c r="E20">
        <f>IFERROR(VLOOKUP(A20,[2]Hoja3!$A$1:$E$410,4,FALSE),0)</f>
        <v>13.5</v>
      </c>
      <c r="F20">
        <f>IFERROR(VLOOKUP(A20,[3]Hoja2!$A$1:$E$411,4,FALSE),0)</f>
        <v>13.0010869565</v>
      </c>
      <c r="G20">
        <f>VLOOKUP(A20,[4]Hoja1!$D$1:$K$778,7,FALSE)</f>
        <v>10.5</v>
      </c>
      <c r="H20">
        <f>VLOOKUP(A20,[5]Hoja1!$D$1:$K$781,7,FALSE)</f>
        <v>14.9</v>
      </c>
      <c r="I20">
        <f>VLOOKUP(A20,[6]Hoja1!$D$1:$O$781,7,FALSE)</f>
        <v>14.9</v>
      </c>
      <c r="J20">
        <f>VLOOKUP(A20,[6]Hoja1!$D$1:$O$781,8,FALSE)</f>
        <v>14.9</v>
      </c>
      <c r="K20">
        <f>VLOOKUP(A20,[6]Hoja1!$D$1:$O$781,9,FALSE)</f>
        <v>14.9</v>
      </c>
      <c r="L20">
        <f>VLOOKUP(A20,[6]Hoja1!$D$1:$O$781,11,FALSE)</f>
        <v>40</v>
      </c>
    </row>
    <row r="21" spans="1:12" x14ac:dyDescent="0.2">
      <c r="A21" t="s">
        <v>47</v>
      </c>
      <c r="B21" t="s">
        <v>48</v>
      </c>
      <c r="C21" t="s">
        <v>49</v>
      </c>
      <c r="D21">
        <f>IFERROR(VLOOKUP(A21,[1]Hoja2!$A$1:$E$430,4,FALSE),0)</f>
        <v>0</v>
      </c>
      <c r="E21">
        <f>IFERROR(VLOOKUP(A21,[2]Hoja3!$A$1:$E$410,4,FALSE),0)</f>
        <v>0.35</v>
      </c>
      <c r="F21">
        <f>IFERROR(VLOOKUP(A21,[3]Hoja2!$A$1:$E$411,4,FALSE),0)</f>
        <v>0.97</v>
      </c>
      <c r="G21">
        <f>VLOOKUP(A21,[4]Hoja1!$D$1:$K$778,7,FALSE)</f>
        <v>0.97</v>
      </c>
      <c r="H21">
        <f>VLOOKUP(A21,[5]Hoja1!$D$1:$K$781,7,FALSE)</f>
        <v>0.97</v>
      </c>
      <c r="I21">
        <f>VLOOKUP(A21,[6]Hoja1!$D$1:$O$781,7,FALSE)</f>
        <v>0.97</v>
      </c>
      <c r="J21">
        <f>VLOOKUP(A21,[6]Hoja1!$D$1:$O$781,8,FALSE)</f>
        <v>0.97</v>
      </c>
      <c r="K21">
        <f>VLOOKUP(A21,[6]Hoja1!$D$1:$O$781,9,FALSE)</f>
        <v>0.97</v>
      </c>
      <c r="L21">
        <f>VLOOKUP(A21,[6]Hoja1!$D$1:$O$781,11,FALSE)</f>
        <v>0.97</v>
      </c>
    </row>
    <row r="22" spans="1:12" x14ac:dyDescent="0.2">
      <c r="A22" t="s">
        <v>50</v>
      </c>
      <c r="B22" t="s">
        <v>51</v>
      </c>
      <c r="C22" t="s">
        <v>52</v>
      </c>
      <c r="D22">
        <f>IFERROR(VLOOKUP(A22,[1]Hoja2!$A$1:$E$430,4,FALSE),0)</f>
        <v>0</v>
      </c>
      <c r="E22">
        <f>IFERROR(VLOOKUP(A22,[2]Hoja3!$A$1:$E$410,4,FALSE),0)</f>
        <v>3.3</v>
      </c>
      <c r="F22">
        <f>IFERROR(VLOOKUP(A22,[3]Hoja2!$A$1:$E$411,4,FALSE),0)</f>
        <v>2.9681599469000002</v>
      </c>
      <c r="G22">
        <f>VLOOKUP(A22,[4]Hoja1!$D$1:$K$778,7,FALSE)</f>
        <v>3.49</v>
      </c>
      <c r="H22">
        <f>VLOOKUP(A22,[5]Hoja1!$D$1:$K$781,7,FALSE)</f>
        <v>3.49</v>
      </c>
      <c r="I22">
        <f>VLOOKUP(A22,[6]Hoja1!$D$1:$O$781,7,FALSE)</f>
        <v>3.49</v>
      </c>
      <c r="J22">
        <f>VLOOKUP(A22,[6]Hoja1!$D$1:$O$781,8,FALSE)</f>
        <v>3.49</v>
      </c>
      <c r="K22">
        <f>VLOOKUP(A22,[6]Hoja1!$D$1:$O$781,9,FALSE)</f>
        <v>3.49</v>
      </c>
      <c r="L22">
        <f>VLOOKUP(A22,[6]Hoja1!$D$1:$O$781,11,FALSE)</f>
        <v>3.49</v>
      </c>
    </row>
    <row r="23" spans="1:12" x14ac:dyDescent="0.2">
      <c r="A23" t="s">
        <v>53</v>
      </c>
      <c r="B23" t="s">
        <v>54</v>
      </c>
      <c r="C23" t="s">
        <v>55</v>
      </c>
      <c r="D23">
        <f>IFERROR(VLOOKUP(A23,[1]Hoja2!$A$1:$E$430,4,FALSE),0)</f>
        <v>0</v>
      </c>
      <c r="E23">
        <f>IFERROR(VLOOKUP(A23,[2]Hoja3!$A$1:$E$410,4,FALSE),0)</f>
        <v>2.088816</v>
      </c>
      <c r="F23">
        <f>IFERROR(VLOOKUP(A23,[3]Hoja2!$A$1:$E$411,4,FALSE),0)</f>
        <v>2.0887886791999999</v>
      </c>
      <c r="G23">
        <f>VLOOKUP(A23,[4]Hoja1!$D$1:$K$778,7,FALSE)</f>
        <v>2.02</v>
      </c>
      <c r="H23">
        <f>VLOOKUP(A23,[5]Hoja1!$D$1:$K$781,7,FALSE)</f>
        <v>2.02</v>
      </c>
      <c r="I23">
        <f>VLOOKUP(A23,[6]Hoja1!$D$1:$O$781,7,FALSE)</f>
        <v>2.02</v>
      </c>
      <c r="J23">
        <f>VLOOKUP(A23,[6]Hoja1!$D$1:$O$781,8,FALSE)</f>
        <v>2.02</v>
      </c>
      <c r="K23">
        <f>VLOOKUP(A23,[6]Hoja1!$D$1:$O$781,9,FALSE)</f>
        <v>2.02</v>
      </c>
      <c r="L23">
        <f>VLOOKUP(A23,[6]Hoja1!$D$1:$O$781,11,FALSE)</f>
        <v>2.6065876876527407</v>
      </c>
    </row>
    <row r="24" spans="1:12" x14ac:dyDescent="0.2">
      <c r="A24" t="s">
        <v>56</v>
      </c>
      <c r="B24" t="s">
        <v>54</v>
      </c>
      <c r="C24" t="s">
        <v>57</v>
      </c>
      <c r="D24">
        <f>IFERROR(VLOOKUP(A24,[1]Hoja2!$A$1:$E$430,4,FALSE),0)</f>
        <v>0</v>
      </c>
      <c r="E24">
        <f>IFERROR(VLOOKUP(A24,[2]Hoja3!$A$1:$E$410,4,FALSE),0)</f>
        <v>1.54375</v>
      </c>
      <c r="F24">
        <f>IFERROR(VLOOKUP(A24,[3]Hoja2!$A$1:$E$411,4,FALSE),0)</f>
        <v>1.54375</v>
      </c>
      <c r="G24">
        <f>VLOOKUP(A24,[4]Hoja1!$D$1:$K$778,7,FALSE)</f>
        <v>1.99</v>
      </c>
      <c r="H24">
        <f>VLOOKUP(A24,[5]Hoja1!$D$1:$K$781,7,FALSE)</f>
        <v>1.99</v>
      </c>
      <c r="I24">
        <f>VLOOKUP(A24,[6]Hoja1!$D$1:$O$781,7,FALSE)</f>
        <v>1.99</v>
      </c>
      <c r="J24">
        <f>VLOOKUP(A24,[6]Hoja1!$D$1:$O$781,8,FALSE)</f>
        <v>1.99</v>
      </c>
      <c r="K24">
        <f>VLOOKUP(A24,[6]Hoja1!$D$1:$O$781,9,FALSE)</f>
        <v>1.99</v>
      </c>
      <c r="L24">
        <f>VLOOKUP(A24,[6]Hoja1!$D$1:$O$781,11,FALSE)</f>
        <v>1.99</v>
      </c>
    </row>
    <row r="25" spans="1:12" x14ac:dyDescent="0.2">
      <c r="A25" t="s">
        <v>58</v>
      </c>
      <c r="B25" t="s">
        <v>59</v>
      </c>
      <c r="C25" t="s">
        <v>60</v>
      </c>
      <c r="D25">
        <f>IFERROR(VLOOKUP(A25,[1]Hoja2!$A$1:$E$430,4,FALSE),0)</f>
        <v>0</v>
      </c>
      <c r="E25">
        <f>IFERROR(VLOOKUP(A25,[2]Hoja3!$A$1:$E$410,4,FALSE),0)</f>
        <v>38.637180000000001</v>
      </c>
      <c r="F25">
        <f>IFERROR(VLOOKUP(A25,[3]Hoja2!$A$1:$E$411,4,FALSE),0)</f>
        <v>39.990909090899997</v>
      </c>
      <c r="G25">
        <f>VLOOKUP(A25,[4]Hoja1!$D$1:$K$778,7,FALSE)</f>
        <v>58.279431818181799</v>
      </c>
      <c r="H25">
        <f>VLOOKUP(A25,[5]Hoja1!$D$1:$K$781,7,FALSE)</f>
        <v>58.27943181818182</v>
      </c>
      <c r="I25">
        <f>VLOOKUP(A25,[6]Hoja1!$D$1:$O$781,7,FALSE)</f>
        <v>58.27943181818182</v>
      </c>
      <c r="J25">
        <f>VLOOKUP(A25,[6]Hoja1!$D$1:$O$781,8,FALSE)</f>
        <v>58.27943181818182</v>
      </c>
      <c r="K25">
        <f>VLOOKUP(A25,[6]Hoja1!$D$1:$O$781,9,FALSE)</f>
        <v>58.27943181818182</v>
      </c>
      <c r="L25">
        <f>VLOOKUP(A25,[6]Hoja1!$D$1:$O$781,11,FALSE)</f>
        <v>58.27943181818182</v>
      </c>
    </row>
    <row r="26" spans="1:12" x14ac:dyDescent="0.2">
      <c r="A26" t="s">
        <v>61</v>
      </c>
      <c r="B26" t="s">
        <v>62</v>
      </c>
      <c r="C26" t="s">
        <v>63</v>
      </c>
      <c r="D26">
        <f>IFERROR(VLOOKUP(A26,[1]Hoja2!$A$1:$E$430,4,FALSE),0)</f>
        <v>0</v>
      </c>
      <c r="E26">
        <f>IFERROR(VLOOKUP(A26,[2]Hoja3!$A$1:$E$410,4,FALSE),0)</f>
        <v>0.4</v>
      </c>
      <c r="F26">
        <f>IFERROR(VLOOKUP(A26,[3]Hoja2!$A$1:$E$411,4,FALSE),0)</f>
        <v>0.2</v>
      </c>
      <c r="G26">
        <f>VLOOKUP(A26,[4]Hoja1!$D$1:$K$778,7,FALSE)</f>
        <v>0.33</v>
      </c>
      <c r="H26">
        <f>VLOOKUP(A26,[5]Hoja1!$D$1:$K$781,7,FALSE)</f>
        <v>0.33</v>
      </c>
      <c r="I26">
        <f>VLOOKUP(A26,[6]Hoja1!$D$1:$O$781,7,FALSE)</f>
        <v>0.33</v>
      </c>
      <c r="J26">
        <f>VLOOKUP(A26,[6]Hoja1!$D$1:$O$781,8,FALSE)</f>
        <v>0.33</v>
      </c>
      <c r="K26">
        <f>VLOOKUP(A26,[6]Hoja1!$D$1:$O$781,9,FALSE)</f>
        <v>0.33</v>
      </c>
      <c r="L26">
        <f>VLOOKUP(A26,[6]Hoja1!$D$1:$O$781,11,FALSE)</f>
        <v>0.33</v>
      </c>
    </row>
    <row r="27" spans="1:12" x14ac:dyDescent="0.2">
      <c r="A27" t="s">
        <v>64</v>
      </c>
      <c r="B27" t="s">
        <v>65</v>
      </c>
      <c r="C27" t="s">
        <v>66</v>
      </c>
      <c r="D27">
        <f>IFERROR(VLOOKUP(A27,[1]Hoja2!$A$1:$E$430,4,FALSE),0)</f>
        <v>0</v>
      </c>
      <c r="E27">
        <f>IFERROR(VLOOKUP(A27,[2]Hoja3!$A$1:$E$410,4,FALSE),0)</f>
        <v>12</v>
      </c>
      <c r="F27">
        <f>IFERROR(VLOOKUP(A27,[3]Hoja2!$A$1:$E$411,4,FALSE),0)</f>
        <v>13.232394361000001</v>
      </c>
      <c r="G27">
        <f>VLOOKUP(A27,[4]Hoja1!$D$1:$K$778,7,FALSE)</f>
        <v>19</v>
      </c>
      <c r="H27">
        <f>VLOOKUP(A27,[5]Hoja1!$D$1:$K$781,7,FALSE)</f>
        <v>19</v>
      </c>
      <c r="I27">
        <f>VLOOKUP(A27,[6]Hoja1!$D$1:$O$781,7,FALSE)</f>
        <v>19</v>
      </c>
      <c r="J27">
        <f>VLOOKUP(A27,[6]Hoja1!$D$1:$O$781,8,FALSE)</f>
        <v>19</v>
      </c>
      <c r="K27">
        <f>VLOOKUP(A27,[6]Hoja1!$D$1:$O$781,9,FALSE)</f>
        <v>19</v>
      </c>
      <c r="L27">
        <f>VLOOKUP(A27,[6]Hoja1!$D$1:$O$781,11,FALSE)</f>
        <v>32.650421294363255</v>
      </c>
    </row>
    <row r="28" spans="1:12" x14ac:dyDescent="0.2">
      <c r="A28" t="s">
        <v>67</v>
      </c>
      <c r="B28" t="s">
        <v>68</v>
      </c>
      <c r="C28" t="s">
        <v>69</v>
      </c>
      <c r="D28">
        <f>IFERROR(VLOOKUP(A28,[1]Hoja2!$A$1:$E$430,4,FALSE),0)</f>
        <v>0</v>
      </c>
      <c r="E28">
        <f>IFERROR(VLOOKUP(A28,[2]Hoja3!$A$1:$E$410,4,FALSE),0)</f>
        <v>1.0158370000000001</v>
      </c>
      <c r="F28">
        <f>IFERROR(VLOOKUP(A28,[3]Hoja2!$A$1:$E$411,4,FALSE),0)</f>
        <v>1.19</v>
      </c>
      <c r="G28">
        <f>VLOOKUP(A28,[4]Hoja1!$D$1:$K$778,7,FALSE)</f>
        <v>1.96</v>
      </c>
      <c r="H28">
        <f>VLOOKUP(A28,[5]Hoja1!$D$1:$K$781,7,FALSE)</f>
        <v>1.96</v>
      </c>
      <c r="I28">
        <f>VLOOKUP(A28,[6]Hoja1!$D$1:$O$781,7,FALSE)</f>
        <v>1.96</v>
      </c>
      <c r="J28">
        <f>VLOOKUP(A28,[6]Hoja1!$D$1:$O$781,8,FALSE)</f>
        <v>1.96</v>
      </c>
      <c r="K28">
        <f>VLOOKUP(A28,[6]Hoja1!$D$1:$O$781,9,FALSE)</f>
        <v>1.96</v>
      </c>
      <c r="L28">
        <f>VLOOKUP(A28,[6]Hoja1!$D$1:$O$781,11,FALSE)</f>
        <v>1.96</v>
      </c>
    </row>
    <row r="29" spans="1:12" x14ac:dyDescent="0.2">
      <c r="A29" t="s">
        <v>70</v>
      </c>
      <c r="B29" t="s">
        <v>71</v>
      </c>
      <c r="C29" t="s">
        <v>72</v>
      </c>
      <c r="D29">
        <f>IFERROR(VLOOKUP(A29,[1]Hoja2!$A$1:$E$430,4,FALSE),0)</f>
        <v>0</v>
      </c>
      <c r="E29">
        <f>IFERROR(VLOOKUP(A29,[2]Hoja3!$A$1:$E$410,4,FALSE),0)</f>
        <v>5.6</v>
      </c>
      <c r="F29">
        <f>IFERROR(VLOOKUP(A29,[3]Hoja2!$A$1:$E$411,4,FALSE),0)</f>
        <v>8</v>
      </c>
      <c r="G29">
        <f>VLOOKUP(A29,[4]Hoja1!$D$1:$K$778,7,FALSE)</f>
        <v>8.5733333333333306</v>
      </c>
      <c r="H29">
        <f>VLOOKUP(A29,[5]Hoja1!$D$1:$K$781,7,FALSE)</f>
        <v>8.5733333333333341</v>
      </c>
      <c r="I29">
        <f>VLOOKUP(A29,[6]Hoja1!$D$1:$O$781,7,FALSE)</f>
        <v>8.5733333333333341</v>
      </c>
      <c r="J29">
        <f>VLOOKUP(A29,[6]Hoja1!$D$1:$O$781,8,FALSE)</f>
        <v>8.5733333333333341</v>
      </c>
      <c r="K29">
        <f>VLOOKUP(A29,[6]Hoja1!$D$1:$O$781,9,FALSE)</f>
        <v>8.5733333333333341</v>
      </c>
      <c r="L29">
        <f>VLOOKUP(A29,[6]Hoja1!$D$1:$O$781,11,FALSE)</f>
        <v>8.5733333333333341</v>
      </c>
    </row>
    <row r="30" spans="1:12" x14ac:dyDescent="0.2">
      <c r="A30" t="s">
        <v>73</v>
      </c>
      <c r="B30" t="s">
        <v>74</v>
      </c>
      <c r="C30" t="s">
        <v>52</v>
      </c>
      <c r="D30">
        <f>IFERROR(VLOOKUP(A30,[1]Hoja2!$A$1:$E$430,4,FALSE),0)</f>
        <v>0</v>
      </c>
      <c r="E30">
        <f>IFERROR(VLOOKUP(A30,[2]Hoja3!$A$1:$E$410,4,FALSE),0)</f>
        <v>0.85</v>
      </c>
      <c r="F30">
        <f>IFERROR(VLOOKUP(A30,[3]Hoja2!$A$1:$E$411,4,FALSE),0)</f>
        <v>0.93228980319999999</v>
      </c>
      <c r="G30">
        <f>VLOOKUP(A30,[4]Hoja1!$D$1:$K$778,7,FALSE)</f>
        <v>2.1814285714285702</v>
      </c>
      <c r="H30">
        <f>VLOOKUP(A30,[5]Hoja1!$D$1:$K$781,7,FALSE)</f>
        <v>2.1814285714285715</v>
      </c>
      <c r="I30">
        <f>VLOOKUP(A30,[6]Hoja1!$D$1:$O$781,7,FALSE)</f>
        <v>2.1814285714285715</v>
      </c>
      <c r="J30">
        <f>VLOOKUP(A30,[6]Hoja1!$D$1:$O$781,8,FALSE)</f>
        <v>2.1814285714285715</v>
      </c>
      <c r="K30">
        <f>VLOOKUP(A30,[6]Hoja1!$D$1:$O$781,9,FALSE)</f>
        <v>2.1814285714285715</v>
      </c>
      <c r="L30">
        <f>VLOOKUP(A30,[6]Hoja1!$D$1:$O$781,11,FALSE)</f>
        <v>2.1814285714285715</v>
      </c>
    </row>
    <row r="31" spans="1:12" x14ac:dyDescent="0.2">
      <c r="A31" t="s">
        <v>75</v>
      </c>
      <c r="B31" t="s">
        <v>76</v>
      </c>
      <c r="C31" t="s">
        <v>49</v>
      </c>
      <c r="D31">
        <f>IFERROR(VLOOKUP(A31,[1]Hoja2!$A$1:$E$430,4,FALSE),0)</f>
        <v>0</v>
      </c>
      <c r="E31">
        <f>IFERROR(VLOOKUP(A31,[2]Hoja3!$A$1:$E$410,4,FALSE),0)</f>
        <v>9.6096000000000001E-2</v>
      </c>
      <c r="F31">
        <f>IFERROR(VLOOKUP(A31,[3]Hoja2!$A$1:$E$411,4,FALSE),0)</f>
        <v>5.1822166599999997E-2</v>
      </c>
      <c r="G31">
        <f>VLOOKUP(A31,[4]Hoja1!$D$1:$K$778,7,FALSE)</f>
        <v>0.22</v>
      </c>
      <c r="H31">
        <f>VLOOKUP(A31,[5]Hoja1!$D$1:$K$781,7,FALSE)</f>
        <v>0.22</v>
      </c>
      <c r="I31">
        <f>VLOOKUP(A31,[6]Hoja1!$D$1:$O$781,7,FALSE)</f>
        <v>0.22</v>
      </c>
      <c r="J31">
        <f>VLOOKUP(A31,[6]Hoja1!$D$1:$O$781,8,FALSE)</f>
        <v>0.22</v>
      </c>
      <c r="K31">
        <f>VLOOKUP(A31,[6]Hoja1!$D$1:$O$781,9,FALSE)</f>
        <v>0.22</v>
      </c>
      <c r="L31">
        <f>VLOOKUP(A31,[6]Hoja1!$D$1:$O$781,11,FALSE)</f>
        <v>0.22</v>
      </c>
    </row>
    <row r="32" spans="1:12" x14ac:dyDescent="0.2">
      <c r="A32" t="s">
        <v>77</v>
      </c>
      <c r="B32" t="s">
        <v>78</v>
      </c>
      <c r="C32" t="s">
        <v>79</v>
      </c>
      <c r="D32">
        <f>IFERROR(VLOOKUP(A32,[1]Hoja2!$A$1:$E$430,4,FALSE),0)</f>
        <v>0</v>
      </c>
      <c r="E32">
        <f>IFERROR(VLOOKUP(A32,[2]Hoja3!$A$1:$E$410,4,FALSE),0)</f>
        <v>51.381307999999997</v>
      </c>
      <c r="F32">
        <f>IFERROR(VLOOKUP(A32,[3]Hoja2!$A$1:$E$411,4,FALSE),0)</f>
        <v>61</v>
      </c>
      <c r="G32">
        <f>VLOOKUP(A32,[4]Hoja1!$D$1:$K$778,7,FALSE)</f>
        <v>125</v>
      </c>
      <c r="H32">
        <f>VLOOKUP(A32,[5]Hoja1!$D$1:$K$781,7,FALSE)</f>
        <v>125</v>
      </c>
      <c r="I32">
        <f>VLOOKUP(A32,[6]Hoja1!$D$1:$O$781,7,FALSE)</f>
        <v>125</v>
      </c>
      <c r="J32">
        <f>VLOOKUP(A32,[6]Hoja1!$D$1:$O$781,8,FALSE)</f>
        <v>125</v>
      </c>
      <c r="K32">
        <f>VLOOKUP(A32,[6]Hoja1!$D$1:$O$781,9,FALSE)</f>
        <v>136.10612426175663</v>
      </c>
      <c r="L32">
        <f>VLOOKUP(A32,[6]Hoja1!$D$1:$O$781,11,FALSE)</f>
        <v>136.10612426175663</v>
      </c>
    </row>
    <row r="33" spans="1:12" x14ac:dyDescent="0.2">
      <c r="A33" t="s">
        <v>80</v>
      </c>
      <c r="B33" t="s">
        <v>81</v>
      </c>
      <c r="C33" t="s">
        <v>79</v>
      </c>
      <c r="D33">
        <f>IFERROR(VLOOKUP(A33,[1]Hoja2!$A$1:$E$430,4,FALSE),0)</f>
        <v>0</v>
      </c>
      <c r="E33">
        <f>IFERROR(VLOOKUP(A33,[2]Hoja3!$A$1:$E$410,4,FALSE),0)</f>
        <v>70.14</v>
      </c>
      <c r="F33">
        <f>IFERROR(VLOOKUP(A33,[3]Hoja2!$A$1:$E$411,4,FALSE),0)</f>
        <v>84.4375</v>
      </c>
      <c r="G33">
        <f>VLOOKUP(A33,[4]Hoja1!$D$1:$K$778,7,FALSE)</f>
        <v>95.842083333333306</v>
      </c>
      <c r="H33">
        <f>VLOOKUP(A33,[5]Hoja1!$D$1:$K$781,7,FALSE)</f>
        <v>95.842083333333335</v>
      </c>
      <c r="I33">
        <f>VLOOKUP(A33,[6]Hoja1!$D$1:$O$781,7,FALSE)</f>
        <v>95.842083333333335</v>
      </c>
      <c r="J33">
        <f>VLOOKUP(A33,[6]Hoja1!$D$1:$O$781,8,FALSE)</f>
        <v>95.842083333333335</v>
      </c>
      <c r="K33">
        <f>VLOOKUP(A33,[6]Hoja1!$D$1:$O$781,9,FALSE)</f>
        <v>95.842083333333335</v>
      </c>
      <c r="L33">
        <f>VLOOKUP(A33,[6]Hoja1!$D$1:$O$781,11,FALSE)</f>
        <v>95.842083333333335</v>
      </c>
    </row>
    <row r="34" spans="1:12" x14ac:dyDescent="0.2">
      <c r="A34" t="s">
        <v>82</v>
      </c>
      <c r="B34" t="s">
        <v>83</v>
      </c>
      <c r="C34" t="s">
        <v>84</v>
      </c>
      <c r="D34">
        <f>IFERROR(VLOOKUP(A34,[1]Hoja2!$A$1:$E$430,4,FALSE),0)</f>
        <v>0</v>
      </c>
      <c r="E34">
        <f>IFERROR(VLOOKUP(A34,[2]Hoja3!$A$1:$E$410,4,FALSE),0)</f>
        <v>0.30682599999999999</v>
      </c>
      <c r="F34">
        <f>IFERROR(VLOOKUP(A34,[3]Hoja2!$A$1:$E$411,4,FALSE),0)</f>
        <v>0.22</v>
      </c>
      <c r="G34">
        <f>VLOOKUP(A34,[4]Hoja1!$D$1:$K$778,7,FALSE)</f>
        <v>1.28</v>
      </c>
      <c r="H34">
        <f>VLOOKUP(A34,[5]Hoja1!$D$1:$K$781,7,FALSE)</f>
        <v>1.28</v>
      </c>
      <c r="I34">
        <f>VLOOKUP(A34,[6]Hoja1!$D$1:$O$781,7,FALSE)</f>
        <v>1.28</v>
      </c>
      <c r="J34">
        <f>VLOOKUP(A34,[6]Hoja1!$D$1:$O$781,8,FALSE)</f>
        <v>1.28</v>
      </c>
      <c r="K34">
        <f>VLOOKUP(A34,[6]Hoja1!$D$1:$O$781,9,FALSE)</f>
        <v>1.28</v>
      </c>
      <c r="L34">
        <f>VLOOKUP(A34,[6]Hoja1!$D$1:$O$781,11,FALSE)</f>
        <v>1.28</v>
      </c>
    </row>
    <row r="35" spans="1:12" x14ac:dyDescent="0.2">
      <c r="A35" t="s">
        <v>85</v>
      </c>
      <c r="B35" t="s">
        <v>86</v>
      </c>
      <c r="C35" t="s">
        <v>87</v>
      </c>
      <c r="D35">
        <f>IFERROR(VLOOKUP(A35,[1]Hoja2!$A$1:$E$430,4,FALSE),0)</f>
        <v>0</v>
      </c>
      <c r="E35">
        <f>IFERROR(VLOOKUP(A35,[2]Hoja3!$A$1:$E$410,4,FALSE),0)</f>
        <v>239.98</v>
      </c>
      <c r="F35">
        <f>IFERROR(VLOOKUP(A35,[3]Hoja2!$A$1:$E$411,4,FALSE),0)</f>
        <v>237.2432980769</v>
      </c>
      <c r="G35">
        <f>VLOOKUP(A35,[4]Hoja1!$D$1:$K$778,7,FALSE)</f>
        <v>411.01650000000001</v>
      </c>
      <c r="H35">
        <f>VLOOKUP(A35,[5]Hoja1!$D$1:$K$781,7,FALSE)</f>
        <v>411.01650000000001</v>
      </c>
      <c r="I35">
        <f>VLOOKUP(A35,[6]Hoja1!$D$1:$O$781,7,FALSE)</f>
        <v>411.01650000000001</v>
      </c>
      <c r="J35">
        <f>VLOOKUP(A35,[6]Hoja1!$D$1:$O$781,8,FALSE)</f>
        <v>411.01650000000001</v>
      </c>
      <c r="K35">
        <f>VLOOKUP(A35,[6]Hoja1!$D$1:$O$781,9,FALSE)</f>
        <v>411.01650000000001</v>
      </c>
      <c r="L35">
        <f>VLOOKUP(A35,[6]Hoja1!$D$1:$O$781,11,FALSE)</f>
        <v>411.01650000000001</v>
      </c>
    </row>
    <row r="36" spans="1:12" x14ac:dyDescent="0.2">
      <c r="A36" t="s">
        <v>88</v>
      </c>
      <c r="B36" t="s">
        <v>83</v>
      </c>
      <c r="C36" t="s">
        <v>72</v>
      </c>
      <c r="D36">
        <f>IFERROR(VLOOKUP(A36,[1]Hoja2!$A$1:$E$430,4,FALSE),0)</f>
        <v>0</v>
      </c>
      <c r="E36">
        <f>IFERROR(VLOOKUP(A36,[2]Hoja3!$A$1:$E$410,4,FALSE),0)</f>
        <v>0.68</v>
      </c>
      <c r="F36">
        <f>IFERROR(VLOOKUP(A36,[3]Hoja2!$A$1:$E$411,4,FALSE),0)</f>
        <v>0.68</v>
      </c>
      <c r="G36">
        <f>VLOOKUP(A36,[4]Hoja1!$D$1:$K$778,7,FALSE)</f>
        <v>0.68</v>
      </c>
      <c r="H36">
        <f>VLOOKUP(A36,[5]Hoja1!$D$1:$K$781,7,FALSE)</f>
        <v>0.67999999999999994</v>
      </c>
      <c r="I36">
        <f>VLOOKUP(A36,[6]Hoja1!$D$1:$O$781,7,FALSE)</f>
        <v>0.67999999999999994</v>
      </c>
      <c r="J36">
        <f>VLOOKUP(A36,[6]Hoja1!$D$1:$O$781,8,FALSE)</f>
        <v>0.67999999999999994</v>
      </c>
      <c r="K36">
        <f>VLOOKUP(A36,[6]Hoja1!$D$1:$O$781,9,FALSE)</f>
        <v>0.67999999999999994</v>
      </c>
      <c r="L36">
        <f>VLOOKUP(A36,[6]Hoja1!$D$1:$O$781,11,FALSE)</f>
        <v>0.67999999999999994</v>
      </c>
    </row>
    <row r="37" spans="1:12" x14ac:dyDescent="0.2">
      <c r="A37" t="s">
        <v>89</v>
      </c>
      <c r="B37" t="s">
        <v>90</v>
      </c>
      <c r="C37" t="s">
        <v>91</v>
      </c>
      <c r="D37">
        <f>IFERROR(VLOOKUP(A37,[1]Hoja2!$A$1:$E$430,4,FALSE),0)</f>
        <v>0</v>
      </c>
      <c r="E37">
        <f>IFERROR(VLOOKUP(A37,[2]Hoja3!$A$1:$E$410,4,FALSE),0)</f>
        <v>2.4819960000000001</v>
      </c>
      <c r="F37">
        <f>IFERROR(VLOOKUP(A37,[3]Hoja2!$A$1:$E$411,4,FALSE),0)</f>
        <v>2.4819816985999998</v>
      </c>
      <c r="G37">
        <f>VLOOKUP(A37,[4]Hoja1!$D$1:$K$778,7,FALSE)</f>
        <v>2.2000000000000002</v>
      </c>
      <c r="H37">
        <f>VLOOKUP(A37,[5]Hoja1!$D$1:$K$781,7,FALSE)</f>
        <v>2.2000000000000002</v>
      </c>
      <c r="I37">
        <f>VLOOKUP(A37,[6]Hoja1!$D$1:$O$781,7,FALSE)</f>
        <v>2.2000000000000002</v>
      </c>
      <c r="J37">
        <f>VLOOKUP(A37,[6]Hoja1!$D$1:$O$781,8,FALSE)</f>
        <v>2.2000000000000002</v>
      </c>
      <c r="K37">
        <f>VLOOKUP(A37,[6]Hoja1!$D$1:$O$781,9,FALSE)</f>
        <v>2.2000000000000002</v>
      </c>
      <c r="L37">
        <f>VLOOKUP(A37,[6]Hoja1!$D$1:$O$781,11,FALSE)</f>
        <v>2.2000000000000002</v>
      </c>
    </row>
    <row r="38" spans="1:12" x14ac:dyDescent="0.2">
      <c r="A38" t="s">
        <v>92</v>
      </c>
      <c r="B38" t="s">
        <v>90</v>
      </c>
      <c r="C38" t="s">
        <v>52</v>
      </c>
      <c r="D38">
        <f>IFERROR(VLOOKUP(A38,[1]Hoja2!$A$1:$E$430,4,FALSE),0)</f>
        <v>0</v>
      </c>
      <c r="E38">
        <f>IFERROR(VLOOKUP(A38,[2]Hoja3!$A$1:$E$410,4,FALSE),0)</f>
        <v>14.765217</v>
      </c>
      <c r="F38">
        <f>IFERROR(VLOOKUP(A38,[3]Hoja2!$A$1:$E$411,4,FALSE),0)</f>
        <v>15.48</v>
      </c>
      <c r="G38">
        <f>VLOOKUP(A38,[4]Hoja1!$D$1:$K$778,7,FALSE)</f>
        <v>20.3</v>
      </c>
      <c r="H38">
        <f>VLOOKUP(A38,[5]Hoja1!$D$1:$K$781,7,FALSE)</f>
        <v>20.3</v>
      </c>
      <c r="I38">
        <f>VLOOKUP(A38,[6]Hoja1!$D$1:$O$781,7,FALSE)</f>
        <v>20.3</v>
      </c>
      <c r="J38">
        <f>VLOOKUP(A38,[6]Hoja1!$D$1:$O$781,8,FALSE)</f>
        <v>20.3</v>
      </c>
      <c r="K38">
        <f>VLOOKUP(A38,[6]Hoja1!$D$1:$O$781,9,FALSE)</f>
        <v>20.3</v>
      </c>
      <c r="L38">
        <f>VLOOKUP(A38,[6]Hoja1!$D$1:$O$781,11,FALSE)</f>
        <v>20.3</v>
      </c>
    </row>
    <row r="39" spans="1:12" x14ac:dyDescent="0.2">
      <c r="A39" t="s">
        <v>93</v>
      </c>
      <c r="B39" t="s">
        <v>94</v>
      </c>
      <c r="C39" t="s">
        <v>16</v>
      </c>
      <c r="D39">
        <f>IFERROR(VLOOKUP(A39,[1]Hoja2!$A$1:$E$430,4,FALSE),0)</f>
        <v>0</v>
      </c>
      <c r="E39">
        <f>IFERROR(VLOOKUP(A39,[2]Hoja3!$A$1:$E$410,4,FALSE),0)</f>
        <v>4.8114319999999999</v>
      </c>
      <c r="F39">
        <f>IFERROR(VLOOKUP(A39,[3]Hoja2!$A$1:$E$411,4,FALSE),0)</f>
        <v>4.5134109473999997</v>
      </c>
      <c r="G39">
        <f>VLOOKUP(A39,[4]Hoja1!$D$1:$K$778,7,FALSE)</f>
        <v>4.8899999999999997</v>
      </c>
      <c r="H39">
        <f>VLOOKUP(A39,[5]Hoja1!$D$1:$K$781,7,FALSE)</f>
        <v>4.8899999999999997</v>
      </c>
      <c r="I39">
        <f>VLOOKUP(A39,[6]Hoja1!$D$1:$O$781,7,FALSE)</f>
        <v>4.8899999999999997</v>
      </c>
      <c r="J39">
        <f>VLOOKUP(A39,[6]Hoja1!$D$1:$O$781,8,FALSE)</f>
        <v>4.8899999999999997</v>
      </c>
      <c r="K39">
        <f>VLOOKUP(A39,[6]Hoja1!$D$1:$O$781,9,FALSE)</f>
        <v>4.8899999999999997</v>
      </c>
      <c r="L39">
        <f>VLOOKUP(A39,[6]Hoja1!$D$1:$O$781,11,FALSE)</f>
        <v>4.8899999999999997</v>
      </c>
    </row>
    <row r="40" spans="1:12" x14ac:dyDescent="0.2">
      <c r="A40" t="s">
        <v>95</v>
      </c>
      <c r="B40" t="s">
        <v>96</v>
      </c>
      <c r="C40" t="s">
        <v>69</v>
      </c>
      <c r="D40">
        <f>IFERROR(VLOOKUP(A40,[1]Hoja2!$A$1:$E$430,4,FALSE),0)</f>
        <v>0</v>
      </c>
      <c r="E40">
        <f>IFERROR(VLOOKUP(A40,[2]Hoja3!$A$1:$E$410,4,FALSE),0)</f>
        <v>0.14687</v>
      </c>
      <c r="F40">
        <f>IFERROR(VLOOKUP(A40,[3]Hoja2!$A$1:$E$411,4,FALSE),0)</f>
        <v>0.13</v>
      </c>
      <c r="G40">
        <f>VLOOKUP(A40,[4]Hoja1!$D$1:$K$778,7,FALSE)</f>
        <v>0.22</v>
      </c>
      <c r="H40">
        <f>VLOOKUP(A40,[5]Hoja1!$D$1:$K$781,7,FALSE)</f>
        <v>0.22</v>
      </c>
      <c r="I40">
        <f>VLOOKUP(A40,[6]Hoja1!$D$1:$O$781,7,FALSE)</f>
        <v>0.22</v>
      </c>
      <c r="J40">
        <f>VLOOKUP(A40,[6]Hoja1!$D$1:$O$781,8,FALSE)</f>
        <v>0.22</v>
      </c>
      <c r="K40">
        <f>VLOOKUP(A40,[6]Hoja1!$D$1:$O$781,9,FALSE)</f>
        <v>0.22</v>
      </c>
      <c r="L40">
        <f>VLOOKUP(A40,[6]Hoja1!$D$1:$O$781,11,FALSE)</f>
        <v>0.22785442514915075</v>
      </c>
    </row>
    <row r="41" spans="1:12" x14ac:dyDescent="0.2">
      <c r="A41" t="s">
        <v>97</v>
      </c>
      <c r="B41" t="s">
        <v>96</v>
      </c>
      <c r="C41" t="s">
        <v>69</v>
      </c>
      <c r="D41">
        <f>IFERROR(VLOOKUP(A41,[1]Hoja2!$A$1:$E$430,4,FALSE),0)</f>
        <v>0</v>
      </c>
      <c r="E41">
        <f>IFERROR(VLOOKUP(A41,[2]Hoja3!$A$1:$E$410,4,FALSE),0)</f>
        <v>1.297574</v>
      </c>
      <c r="F41">
        <f>IFERROR(VLOOKUP(A41,[3]Hoja2!$A$1:$E$411,4,FALSE),0)</f>
        <v>1.3772829360000001</v>
      </c>
      <c r="G41">
        <f>VLOOKUP(A41,[4]Hoja1!$D$1:$K$778,7,FALSE)</f>
        <v>3.1</v>
      </c>
      <c r="H41">
        <f>VLOOKUP(A41,[5]Hoja1!$D$1:$K$781,7,FALSE)</f>
        <v>3.1</v>
      </c>
      <c r="I41">
        <f>VLOOKUP(A41,[6]Hoja1!$D$1:$O$781,7,FALSE)</f>
        <v>3.1</v>
      </c>
      <c r="J41">
        <f>VLOOKUP(A41,[6]Hoja1!$D$1:$O$781,8,FALSE)</f>
        <v>3.1</v>
      </c>
      <c r="K41">
        <f>VLOOKUP(A41,[6]Hoja1!$D$1:$O$781,9,FALSE)</f>
        <v>3.1</v>
      </c>
      <c r="L41">
        <f>VLOOKUP(A41,[6]Hoja1!$D$1:$O$781,11,FALSE)</f>
        <v>3.1</v>
      </c>
    </row>
    <row r="42" spans="1:12" x14ac:dyDescent="0.2">
      <c r="A42" t="s">
        <v>98</v>
      </c>
      <c r="B42" t="s">
        <v>99</v>
      </c>
      <c r="C42" t="s">
        <v>100</v>
      </c>
      <c r="D42">
        <f>IFERROR(VLOOKUP(A42,[1]Hoja2!$A$1:$E$430,4,FALSE),0)</f>
        <v>0</v>
      </c>
      <c r="E42">
        <f>IFERROR(VLOOKUP(A42,[2]Hoja3!$A$1:$E$410,4,FALSE),0)</f>
        <v>0.32682</v>
      </c>
      <c r="F42">
        <f>IFERROR(VLOOKUP(A42,[3]Hoja2!$A$1:$E$411,4,FALSE),0)</f>
        <v>0.32682</v>
      </c>
      <c r="G42">
        <f>VLOOKUP(A42,[4]Hoja1!$D$1:$K$778,7,FALSE)</f>
        <v>0.45</v>
      </c>
      <c r="H42">
        <f>VLOOKUP(A42,[5]Hoja1!$D$1:$K$781,7,FALSE)</f>
        <v>0.45</v>
      </c>
      <c r="I42">
        <f>VLOOKUP(A42,[6]Hoja1!$D$1:$O$781,7,FALSE)</f>
        <v>0.45</v>
      </c>
      <c r="J42">
        <f>VLOOKUP(A42,[6]Hoja1!$D$1:$O$781,8,FALSE)</f>
        <v>0.45</v>
      </c>
      <c r="K42">
        <f>VLOOKUP(A42,[6]Hoja1!$D$1:$O$781,9,FALSE)</f>
        <v>0.45</v>
      </c>
      <c r="L42">
        <f>VLOOKUP(A42,[6]Hoja1!$D$1:$O$781,11,FALSE)</f>
        <v>0.45</v>
      </c>
    </row>
    <row r="43" spans="1:12" x14ac:dyDescent="0.2">
      <c r="A43" t="s">
        <v>101</v>
      </c>
      <c r="B43" t="s">
        <v>99</v>
      </c>
      <c r="C43" t="s">
        <v>100</v>
      </c>
      <c r="D43">
        <f>IFERROR(VLOOKUP(A43,[1]Hoja2!$A$1:$E$430,4,FALSE),0)</f>
        <v>0</v>
      </c>
      <c r="E43">
        <f>IFERROR(VLOOKUP(A43,[2]Hoja3!$A$1:$E$410,4,FALSE),0)</f>
        <v>20.43</v>
      </c>
      <c r="F43">
        <f>IFERROR(VLOOKUP(A43,[3]Hoja2!$A$1:$E$411,4,FALSE),0)</f>
        <v>15</v>
      </c>
      <c r="G43">
        <f>VLOOKUP(A43,[4]Hoja1!$D$1:$K$778,7,FALSE)</f>
        <v>16.5575625</v>
      </c>
      <c r="H43">
        <f>VLOOKUP(A43,[5]Hoja1!$D$1:$K$781,7,FALSE)</f>
        <v>16.5575625</v>
      </c>
      <c r="I43">
        <f>VLOOKUP(A43,[6]Hoja1!$D$1:$O$781,7,FALSE)</f>
        <v>16.5575625</v>
      </c>
      <c r="J43">
        <f>VLOOKUP(A43,[6]Hoja1!$D$1:$O$781,8,FALSE)</f>
        <v>16.5575625</v>
      </c>
      <c r="K43">
        <f>VLOOKUP(A43,[6]Hoja1!$D$1:$O$781,9,FALSE)</f>
        <v>16.5575625</v>
      </c>
      <c r="L43">
        <f>VLOOKUP(A43,[6]Hoja1!$D$1:$O$781,11,FALSE)</f>
        <v>16.5575625</v>
      </c>
    </row>
    <row r="44" spans="1:12" x14ac:dyDescent="0.2">
      <c r="A44" t="s">
        <v>102</v>
      </c>
      <c r="B44" t="s">
        <v>103</v>
      </c>
      <c r="C44" t="s">
        <v>104</v>
      </c>
      <c r="D44">
        <f>IFERROR(VLOOKUP(A44,[1]Hoja2!$A$1:$E$430,4,FALSE),0)</f>
        <v>0</v>
      </c>
      <c r="E44">
        <f>IFERROR(VLOOKUP(A44,[2]Hoja3!$A$1:$E$410,4,FALSE),0)</f>
        <v>0</v>
      </c>
      <c r="F44">
        <f>IFERROR(VLOOKUP(A44,[3]Hoja2!$A$1:$E$411,4,FALSE),0)</f>
        <v>0</v>
      </c>
      <c r="G44">
        <f>VLOOKUP(A44,[4]Hoja1!$D$1:$K$778,7,FALSE)</f>
        <v>2.2999999999999998</v>
      </c>
      <c r="H44">
        <f>VLOOKUP(A44,[5]Hoja1!$D$1:$K$781,7,FALSE)</f>
        <v>2.2999999999999998</v>
      </c>
      <c r="I44">
        <f>VLOOKUP(A44,[6]Hoja1!$D$1:$O$781,7,FALSE)</f>
        <v>2.2999999999999998</v>
      </c>
      <c r="J44">
        <f>VLOOKUP(A44,[6]Hoja1!$D$1:$O$781,8,FALSE)</f>
        <v>2.2999999999999998</v>
      </c>
      <c r="K44">
        <f>VLOOKUP(A44,[6]Hoja1!$D$1:$O$781,9,FALSE)</f>
        <v>2.2999999999999998</v>
      </c>
      <c r="L44">
        <f>VLOOKUP(A44,[6]Hoja1!$D$1:$O$781,11,FALSE)</f>
        <v>2.2999999999999998</v>
      </c>
    </row>
    <row r="45" spans="1:12" x14ac:dyDescent="0.2">
      <c r="A45" t="s">
        <v>105</v>
      </c>
      <c r="B45" t="s">
        <v>106</v>
      </c>
      <c r="C45" t="s">
        <v>107</v>
      </c>
      <c r="D45">
        <f>IFERROR(VLOOKUP(A45,[1]Hoja2!$A$1:$E$430,4,FALSE),0)</f>
        <v>0</v>
      </c>
      <c r="E45">
        <f>IFERROR(VLOOKUP(A45,[2]Hoja3!$A$1:$E$410,4,FALSE),0)</f>
        <v>0.55995799999999996</v>
      </c>
      <c r="F45">
        <f>IFERROR(VLOOKUP(A45,[3]Hoja2!$A$1:$E$411,4,FALSE),0)</f>
        <v>0.55998973439999999</v>
      </c>
      <c r="G45">
        <f>VLOOKUP(A45,[4]Hoja1!$D$1:$K$778,7,FALSE)</f>
        <v>0.8</v>
      </c>
      <c r="H45">
        <f>VLOOKUP(A45,[5]Hoja1!$D$1:$K$781,7,FALSE)</f>
        <v>0.8</v>
      </c>
      <c r="I45">
        <f>VLOOKUP(A45,[6]Hoja1!$D$1:$O$781,7,FALSE)</f>
        <v>0.8</v>
      </c>
      <c r="J45">
        <f>VLOOKUP(A45,[6]Hoja1!$D$1:$O$781,8,FALSE)</f>
        <v>0.8</v>
      </c>
      <c r="K45">
        <f>VLOOKUP(A45,[6]Hoja1!$D$1:$O$781,9,FALSE)</f>
        <v>0.8</v>
      </c>
      <c r="L45">
        <f>VLOOKUP(A45,[6]Hoja1!$D$1:$O$781,11,FALSE)</f>
        <v>0.8</v>
      </c>
    </row>
    <row r="46" spans="1:12" x14ac:dyDescent="0.2">
      <c r="A46" t="s">
        <v>109</v>
      </c>
      <c r="B46" t="s">
        <v>110</v>
      </c>
      <c r="C46" t="s">
        <v>104</v>
      </c>
      <c r="D46">
        <f>IFERROR(VLOOKUP(A46,[1]Hoja2!$A$1:$E$430,4,FALSE),0)</f>
        <v>0</v>
      </c>
      <c r="E46">
        <f>IFERROR(VLOOKUP(A46,[2]Hoja3!$A$1:$E$410,4,FALSE),0)</f>
        <v>1.0900000000000001</v>
      </c>
      <c r="F46">
        <f>IFERROR(VLOOKUP(A46,[3]Hoja2!$A$1:$E$411,4,FALSE),0)</f>
        <v>0</v>
      </c>
      <c r="G46">
        <f>VLOOKUP(A46,[4]Hoja1!$D$1:$K$778,7,FALSE)</f>
        <v>1.0900000000000001</v>
      </c>
      <c r="H46">
        <f>VLOOKUP(A46,[5]Hoja1!$D$1:$K$781,7,FALSE)</f>
        <v>1.0900000000000001</v>
      </c>
      <c r="I46">
        <f>VLOOKUP(A46,[6]Hoja1!$D$1:$O$781,7,FALSE)</f>
        <v>1.0900000000000001</v>
      </c>
      <c r="J46">
        <f>VLOOKUP(A46,[6]Hoja1!$D$1:$O$781,8,FALSE)</f>
        <v>1.0900000000000001</v>
      </c>
      <c r="K46">
        <f>VLOOKUP(A46,[6]Hoja1!$D$1:$O$781,9,FALSE)</f>
        <v>1.0900000000000001</v>
      </c>
      <c r="L46">
        <f>VLOOKUP(A46,[6]Hoja1!$D$1:$O$781,11,FALSE)</f>
        <v>1.0900000000000001</v>
      </c>
    </row>
    <row r="47" spans="1:12" x14ac:dyDescent="0.2">
      <c r="A47" t="s">
        <v>111</v>
      </c>
      <c r="B47" t="s">
        <v>112</v>
      </c>
      <c r="C47" t="s">
        <v>113</v>
      </c>
      <c r="D47">
        <f>IFERROR(VLOOKUP(A47,[1]Hoja2!$A$1:$E$430,4,FALSE),0)</f>
        <v>0</v>
      </c>
      <c r="E47">
        <f>IFERROR(VLOOKUP(A47,[2]Hoja3!$A$1:$E$410,4,FALSE),0)</f>
        <v>1.4504630000000001</v>
      </c>
      <c r="F47">
        <f>IFERROR(VLOOKUP(A47,[3]Hoja2!$A$1:$E$411,4,FALSE),0)</f>
        <v>1.4402999681999999</v>
      </c>
      <c r="G47">
        <f>VLOOKUP(A47,[4]Hoja1!$D$1:$K$778,7,FALSE)</f>
        <v>1.6390384615384599</v>
      </c>
      <c r="H47">
        <f>VLOOKUP(A47,[5]Hoja1!$D$1:$K$781,7,FALSE)</f>
        <v>1.6390384615384619</v>
      </c>
      <c r="I47">
        <f>VLOOKUP(A47,[6]Hoja1!$D$1:$O$781,7,FALSE)</f>
        <v>1.6390384615384619</v>
      </c>
      <c r="J47">
        <f>VLOOKUP(A47,[6]Hoja1!$D$1:$O$781,8,FALSE)</f>
        <v>1.6390384615384619</v>
      </c>
      <c r="K47">
        <f>VLOOKUP(A47,[6]Hoja1!$D$1:$O$781,9,FALSE)</f>
        <v>3.1143753141740995</v>
      </c>
      <c r="L47">
        <f>VLOOKUP(A47,[6]Hoja1!$D$1:$O$781,11,FALSE)</f>
        <v>3.1143753141740995</v>
      </c>
    </row>
    <row r="48" spans="1:12" x14ac:dyDescent="0.2">
      <c r="A48" t="s">
        <v>114</v>
      </c>
      <c r="B48" t="s">
        <v>115</v>
      </c>
      <c r="C48" t="s">
        <v>116</v>
      </c>
      <c r="D48">
        <f>IFERROR(VLOOKUP(A48,[1]Hoja2!$A$1:$E$430,4,FALSE),0)</f>
        <v>0</v>
      </c>
      <c r="E48">
        <f>IFERROR(VLOOKUP(A48,[2]Hoja3!$A$1:$E$410,4,FALSE),0)</f>
        <v>0.89</v>
      </c>
      <c r="F48">
        <f>IFERROR(VLOOKUP(A48,[3]Hoja2!$A$1:$E$411,4,FALSE),0)</f>
        <v>0.54384615380000001</v>
      </c>
      <c r="G48">
        <f>VLOOKUP(A48,[4]Hoja1!$D$1:$K$778,7,FALSE)</f>
        <v>2.0699999999999998</v>
      </c>
      <c r="H48">
        <f>VLOOKUP(A48,[5]Hoja1!$D$1:$K$781,7,FALSE)</f>
        <v>2.0699999999999998</v>
      </c>
      <c r="I48">
        <f>VLOOKUP(A48,[6]Hoja1!$D$1:$O$781,7,FALSE)</f>
        <v>2.0699999999999998</v>
      </c>
      <c r="J48">
        <f>VLOOKUP(A48,[6]Hoja1!$D$1:$O$781,8,FALSE)</f>
        <v>2.0699999999999998</v>
      </c>
      <c r="K48">
        <f>VLOOKUP(A48,[6]Hoja1!$D$1:$O$781,9,FALSE)</f>
        <v>2.0699999999999998</v>
      </c>
      <c r="L48">
        <f>VLOOKUP(A48,[6]Hoja1!$D$1:$O$781,11,FALSE)</f>
        <v>2.0699999999999998</v>
      </c>
    </row>
    <row r="49" spans="1:12" x14ac:dyDescent="0.2">
      <c r="A49" t="s">
        <v>117</v>
      </c>
      <c r="B49" t="s">
        <v>118</v>
      </c>
      <c r="C49" t="s">
        <v>119</v>
      </c>
      <c r="D49">
        <f>IFERROR(VLOOKUP(A49,[1]Hoja2!$A$1:$E$430,4,FALSE),0)</f>
        <v>0</v>
      </c>
      <c r="E49">
        <f>IFERROR(VLOOKUP(A49,[2]Hoja3!$A$1:$E$410,4,FALSE),0)</f>
        <v>0.54</v>
      </c>
      <c r="F49">
        <f>IFERROR(VLOOKUP(A49,[3]Hoja2!$A$1:$E$411,4,FALSE),0)</f>
        <v>0.39004144470000002</v>
      </c>
      <c r="G49">
        <f>VLOOKUP(A49,[4]Hoja1!$D$1:$K$778,7,FALSE)</f>
        <v>0.62</v>
      </c>
      <c r="H49">
        <f>VLOOKUP(A49,[5]Hoja1!$D$1:$K$781,7,FALSE)</f>
        <v>0.62</v>
      </c>
      <c r="I49">
        <f>VLOOKUP(A49,[6]Hoja1!$D$1:$O$781,7,FALSE)</f>
        <v>0.62</v>
      </c>
      <c r="J49">
        <f>VLOOKUP(A49,[6]Hoja1!$D$1:$O$781,8,FALSE)</f>
        <v>0.62</v>
      </c>
      <c r="K49">
        <f>VLOOKUP(A49,[6]Hoja1!$D$1:$O$781,9,FALSE)</f>
        <v>0.62</v>
      </c>
      <c r="L49">
        <f>VLOOKUP(A49,[6]Hoja1!$D$1:$O$781,11,FALSE)</f>
        <v>1.6</v>
      </c>
    </row>
    <row r="50" spans="1:12" x14ac:dyDescent="0.2">
      <c r="A50" t="s">
        <v>120</v>
      </c>
      <c r="B50" t="s">
        <v>121</v>
      </c>
      <c r="C50" t="s">
        <v>122</v>
      </c>
      <c r="D50">
        <f>IFERROR(VLOOKUP(A50,[1]Hoja2!$A$1:$E$430,4,FALSE),0)</f>
        <v>0</v>
      </c>
      <c r="E50">
        <f>IFERROR(VLOOKUP(A50,[2]Hoja3!$A$1:$E$410,4,FALSE),0)</f>
        <v>0</v>
      </c>
      <c r="F50">
        <f>IFERROR(VLOOKUP(A50,[3]Hoja2!$A$1:$E$411,4,FALSE),0)</f>
        <v>26.02</v>
      </c>
      <c r="G50">
        <f>VLOOKUP(A50,[4]Hoja1!$D$1:$K$778,7,FALSE)</f>
        <v>29.67</v>
      </c>
      <c r="H50">
        <f>VLOOKUP(A50,[5]Hoja1!$D$1:$K$781,7,FALSE)</f>
        <v>29.67</v>
      </c>
      <c r="I50">
        <f>VLOOKUP(A50,[6]Hoja1!$D$1:$O$781,7,FALSE)</f>
        <v>29.67</v>
      </c>
      <c r="J50">
        <f>VLOOKUP(A50,[6]Hoja1!$D$1:$O$781,8,FALSE)</f>
        <v>29.67</v>
      </c>
      <c r="K50">
        <f>VLOOKUP(A50,[6]Hoja1!$D$1:$O$781,9,FALSE)</f>
        <v>29.67</v>
      </c>
      <c r="L50">
        <f>VLOOKUP(A50,[6]Hoja1!$D$1:$O$781,11,FALSE)</f>
        <v>29.67</v>
      </c>
    </row>
    <row r="51" spans="1:12" x14ac:dyDescent="0.2">
      <c r="A51" t="s">
        <v>123</v>
      </c>
      <c r="B51" t="s">
        <v>124</v>
      </c>
      <c r="C51" t="s">
        <v>125</v>
      </c>
      <c r="D51">
        <f>IFERROR(VLOOKUP(A51,[1]Hoja2!$A$1:$E$430,4,FALSE),0)</f>
        <v>0</v>
      </c>
      <c r="E51">
        <f>IFERROR(VLOOKUP(A51,[2]Hoja3!$A$1:$E$410,4,FALSE),0)</f>
        <v>6.93</v>
      </c>
      <c r="F51">
        <f>IFERROR(VLOOKUP(A51,[3]Hoja2!$A$1:$E$411,4,FALSE),0)</f>
        <v>8</v>
      </c>
      <c r="G51">
        <f>VLOOKUP(A51,[4]Hoja1!$D$1:$K$778,7,FALSE)</f>
        <v>15.23</v>
      </c>
      <c r="H51">
        <f>VLOOKUP(A51,[5]Hoja1!$D$1:$K$781,7,FALSE)</f>
        <v>15.23</v>
      </c>
      <c r="I51">
        <f>VLOOKUP(A51,[6]Hoja1!$D$1:$O$781,7,FALSE)</f>
        <v>15.23</v>
      </c>
      <c r="J51">
        <f>VLOOKUP(A51,[6]Hoja1!$D$1:$O$781,8,FALSE)</f>
        <v>15.23</v>
      </c>
      <c r="K51">
        <f>VLOOKUP(A51,[6]Hoja1!$D$1:$O$781,9,FALSE)</f>
        <v>15.23</v>
      </c>
      <c r="L51">
        <f>VLOOKUP(A51,[6]Hoja1!$D$1:$O$781,11,FALSE)</f>
        <v>15.23</v>
      </c>
    </row>
    <row r="52" spans="1:12" x14ac:dyDescent="0.2">
      <c r="A52" t="s">
        <v>126</v>
      </c>
      <c r="B52" t="s">
        <v>127</v>
      </c>
      <c r="C52" t="s">
        <v>6</v>
      </c>
      <c r="D52">
        <f>IFERROR(VLOOKUP(A52,[1]Hoja2!$A$1:$E$430,4,FALSE),0)</f>
        <v>0</v>
      </c>
      <c r="E52">
        <f>IFERROR(VLOOKUP(A52,[2]Hoja3!$A$1:$E$410,4,FALSE),0)</f>
        <v>0.28355399999999997</v>
      </c>
      <c r="F52">
        <f>IFERROR(VLOOKUP(A52,[3]Hoja2!$A$1:$E$411,4,FALSE),0)</f>
        <v>0.28999999999999998</v>
      </c>
      <c r="G52">
        <f>VLOOKUP(A52,[4]Hoja1!$D$1:$K$778,7,FALSE)</f>
        <v>0.65</v>
      </c>
      <c r="H52">
        <f>VLOOKUP(A52,[5]Hoja1!$D$1:$K$781,7,FALSE)</f>
        <v>0.65</v>
      </c>
      <c r="I52">
        <f>VLOOKUP(A52,[6]Hoja1!$D$1:$O$781,7,FALSE)</f>
        <v>0.65</v>
      </c>
      <c r="J52">
        <f>VLOOKUP(A52,[6]Hoja1!$D$1:$O$781,8,FALSE)</f>
        <v>0.65</v>
      </c>
      <c r="K52">
        <f>VLOOKUP(A52,[6]Hoja1!$D$1:$O$781,9,FALSE)</f>
        <v>0.65</v>
      </c>
      <c r="L52">
        <f>VLOOKUP(A52,[6]Hoja1!$D$1:$O$781,11,FALSE)</f>
        <v>0.65</v>
      </c>
    </row>
    <row r="53" spans="1:12" x14ac:dyDescent="0.2">
      <c r="A53" t="s">
        <v>128</v>
      </c>
      <c r="B53" t="s">
        <v>129</v>
      </c>
      <c r="C53" t="s">
        <v>38</v>
      </c>
      <c r="D53">
        <f>IFERROR(VLOOKUP(A53,[1]Hoja2!$A$1:$E$430,4,FALSE),0)</f>
        <v>0</v>
      </c>
      <c r="E53">
        <f>IFERROR(VLOOKUP(A53,[2]Hoja3!$A$1:$E$410,4,FALSE),0)</f>
        <v>0.16752</v>
      </c>
      <c r="F53">
        <f>IFERROR(VLOOKUP(A53,[3]Hoja2!$A$1:$E$411,4,FALSE),0)</f>
        <v>0.15041357299999999</v>
      </c>
      <c r="G53">
        <f>VLOOKUP(A53,[4]Hoja1!$D$1:$K$778,7,FALSE)</f>
        <v>0.37</v>
      </c>
      <c r="H53">
        <f>VLOOKUP(A53,[5]Hoja1!$D$1:$K$781,7,FALSE)</f>
        <v>0.37</v>
      </c>
      <c r="I53">
        <f>VLOOKUP(A53,[6]Hoja1!$D$1:$O$781,7,FALSE)</f>
        <v>0.37</v>
      </c>
      <c r="J53">
        <f>VLOOKUP(A53,[6]Hoja1!$D$1:$O$781,8,FALSE)</f>
        <v>0.37</v>
      </c>
      <c r="K53">
        <f>VLOOKUP(A53,[6]Hoja1!$D$1:$O$781,9,FALSE)</f>
        <v>0.37</v>
      </c>
      <c r="L53">
        <f>VLOOKUP(A53,[6]Hoja1!$D$1:$O$781,11,FALSE)</f>
        <v>0.37</v>
      </c>
    </row>
    <row r="54" spans="1:12" x14ac:dyDescent="0.2">
      <c r="A54" t="s">
        <v>130</v>
      </c>
      <c r="B54" t="s">
        <v>131</v>
      </c>
      <c r="C54" t="s">
        <v>132</v>
      </c>
      <c r="D54">
        <f>IFERROR(VLOOKUP(A54,[1]Hoja2!$A$1:$E$430,4,FALSE),0)</f>
        <v>0</v>
      </c>
      <c r="E54">
        <f>IFERROR(VLOOKUP(A54,[2]Hoja3!$A$1:$E$410,4,FALSE),0)</f>
        <v>37.129381000000002</v>
      </c>
      <c r="F54">
        <f>IFERROR(VLOOKUP(A54,[3]Hoja2!$A$1:$E$411,4,FALSE),0)</f>
        <v>36.5</v>
      </c>
      <c r="G54">
        <f>VLOOKUP(A54,[4]Hoja1!$D$1:$K$778,7,FALSE)</f>
        <v>58.877470503352903</v>
      </c>
      <c r="H54">
        <f>VLOOKUP(A54,[5]Hoja1!$D$1:$K$781,7,FALSE)</f>
        <v>58.877470503352868</v>
      </c>
      <c r="I54">
        <f>VLOOKUP(A54,[6]Hoja1!$D$1:$O$781,7,FALSE)</f>
        <v>58.877470503352868</v>
      </c>
      <c r="J54">
        <f>VLOOKUP(A54,[6]Hoja1!$D$1:$O$781,8,FALSE)</f>
        <v>58.877470503352868</v>
      </c>
      <c r="K54">
        <f>VLOOKUP(A54,[6]Hoja1!$D$1:$O$781,9,FALSE)</f>
        <v>89.243130806875783</v>
      </c>
      <c r="L54">
        <f>VLOOKUP(A54,[6]Hoja1!$D$1:$O$781,11,FALSE)</f>
        <v>89.243130806875783</v>
      </c>
    </row>
    <row r="55" spans="1:12" x14ac:dyDescent="0.2">
      <c r="A55" t="s">
        <v>133</v>
      </c>
      <c r="B55" t="s">
        <v>134</v>
      </c>
      <c r="C55" t="s">
        <v>135</v>
      </c>
      <c r="D55">
        <f>IFERROR(VLOOKUP(A55,[1]Hoja2!$A$1:$E$430,4,FALSE),0)</f>
        <v>0</v>
      </c>
      <c r="E55">
        <f>IFERROR(VLOOKUP(A55,[2]Hoja3!$A$1:$E$410,4,FALSE),0)</f>
        <v>58.242645000000003</v>
      </c>
      <c r="F55">
        <f>IFERROR(VLOOKUP(A55,[3]Hoja2!$A$1:$E$411,4,FALSE),0)</f>
        <v>49.99</v>
      </c>
      <c r="G55" t="e">
        <f>VLOOKUP(A55,[4]Hoja1!$D$1:$K$778,7,FALSE)</f>
        <v>#N/A</v>
      </c>
      <c r="H55" t="e">
        <f>VLOOKUP(A55,[5]Hoja1!$D$1:$K$781,7,FALSE)</f>
        <v>#N/A</v>
      </c>
      <c r="I55">
        <v>49.99</v>
      </c>
      <c r="J55" t="e">
        <f>VLOOKUP(A55,[6]Hoja1!$D$1:$O$781,8,FALSE)</f>
        <v>#N/A</v>
      </c>
      <c r="K55" t="e">
        <f>VLOOKUP(A55,[6]Hoja1!$D$1:$O$781,9,FALSE)</f>
        <v>#N/A</v>
      </c>
      <c r="L55" t="e">
        <f>VLOOKUP(A55,[6]Hoja1!$D$1:$O$781,11,FALSE)</f>
        <v>#N/A</v>
      </c>
    </row>
    <row r="56" spans="1:12" x14ac:dyDescent="0.2">
      <c r="A56" t="s">
        <v>136</v>
      </c>
      <c r="B56" t="s">
        <v>137</v>
      </c>
      <c r="C56" t="s">
        <v>138</v>
      </c>
      <c r="D56">
        <f>IFERROR(VLOOKUP(A56,[1]Hoja2!$A$1:$E$430,4,FALSE),0)</f>
        <v>0</v>
      </c>
      <c r="E56">
        <f>IFERROR(VLOOKUP(A56,[2]Hoja3!$A$1:$E$410,4,FALSE),0)</f>
        <v>36</v>
      </c>
      <c r="F56">
        <f>IFERROR(VLOOKUP(A56,[3]Hoja2!$A$1:$E$411,4,FALSE),0)</f>
        <v>34</v>
      </c>
      <c r="G56">
        <f>VLOOKUP(A56,[4]Hoja1!$D$1:$K$778,7,FALSE)</f>
        <v>44.118796296296303</v>
      </c>
      <c r="H56">
        <f>VLOOKUP(A56,[5]Hoja1!$D$1:$K$781,7,FALSE)</f>
        <v>44.118796296296296</v>
      </c>
      <c r="I56">
        <f>VLOOKUP(A56,[6]Hoja1!$D$1:$O$781,7,FALSE)</f>
        <v>44.118796296296296</v>
      </c>
      <c r="J56">
        <f>VLOOKUP(A56,[6]Hoja1!$D$1:$O$781,8,FALSE)</f>
        <v>57.2</v>
      </c>
      <c r="K56">
        <f>VLOOKUP(A56,[6]Hoja1!$D$1:$O$781,9,FALSE)</f>
        <v>57.2</v>
      </c>
      <c r="L56">
        <f>VLOOKUP(A56,[6]Hoja1!$D$1:$O$781,11,FALSE)</f>
        <v>57.2</v>
      </c>
    </row>
    <row r="57" spans="1:12" x14ac:dyDescent="0.2">
      <c r="A57" t="s">
        <v>139</v>
      </c>
      <c r="B57" t="s">
        <v>140</v>
      </c>
      <c r="C57" t="s">
        <v>49</v>
      </c>
      <c r="D57">
        <f>IFERROR(VLOOKUP(A57,[1]Hoja2!$A$1:$E$430,4,FALSE),0)</f>
        <v>0</v>
      </c>
      <c r="E57">
        <f>IFERROR(VLOOKUP(A57,[2]Hoja3!$A$1:$E$410,4,FALSE),0)</f>
        <v>0.51785199999999998</v>
      </c>
      <c r="F57">
        <f>IFERROR(VLOOKUP(A57,[3]Hoja2!$A$1:$E$411,4,FALSE),0)</f>
        <v>0.49999940050000002</v>
      </c>
      <c r="G57">
        <f>VLOOKUP(A57,[4]Hoja1!$D$1:$K$778,7,FALSE)</f>
        <v>0.77013888888888904</v>
      </c>
      <c r="H57">
        <f>VLOOKUP(A57,[5]Hoja1!$D$1:$K$781,7,FALSE)</f>
        <v>0.77013888888888893</v>
      </c>
      <c r="I57">
        <f>VLOOKUP(A57,[6]Hoja1!$D$1:$O$781,7,FALSE)</f>
        <v>0.77013888888888893</v>
      </c>
      <c r="J57">
        <f>VLOOKUP(A57,[6]Hoja1!$D$1:$O$781,8,FALSE)</f>
        <v>0.77013888888888893</v>
      </c>
      <c r="K57">
        <f>VLOOKUP(A57,[6]Hoja1!$D$1:$O$781,9,FALSE)</f>
        <v>0.77013888888888893</v>
      </c>
      <c r="L57">
        <f>VLOOKUP(A57,[6]Hoja1!$D$1:$O$781,11,FALSE)</f>
        <v>0.77013888888888893</v>
      </c>
    </row>
    <row r="58" spans="1:12" x14ac:dyDescent="0.2">
      <c r="A58" t="s">
        <v>141</v>
      </c>
      <c r="B58" t="s">
        <v>142</v>
      </c>
      <c r="C58" t="s">
        <v>143</v>
      </c>
      <c r="D58">
        <f>IFERROR(VLOOKUP(A58,[1]Hoja2!$A$1:$E$430,4,FALSE),0)</f>
        <v>0</v>
      </c>
      <c r="E58">
        <f>IFERROR(VLOOKUP(A58,[2]Hoja3!$A$1:$E$410,4,FALSE),0)</f>
        <v>1.693573</v>
      </c>
      <c r="F58">
        <f>IFERROR(VLOOKUP(A58,[3]Hoja2!$A$1:$E$411,4,FALSE),0)</f>
        <v>1.4135796760999999</v>
      </c>
      <c r="G58">
        <f>VLOOKUP(A58,[4]Hoja1!$D$1:$K$778,7,FALSE)</f>
        <v>3.66</v>
      </c>
      <c r="H58">
        <f>VLOOKUP(A58,[5]Hoja1!$D$1:$K$781,7,FALSE)</f>
        <v>3.66</v>
      </c>
      <c r="I58">
        <f>VLOOKUP(A58,[6]Hoja1!$D$1:$O$781,7,FALSE)</f>
        <v>3.66</v>
      </c>
      <c r="J58">
        <f>VLOOKUP(A58,[6]Hoja1!$D$1:$O$781,8,FALSE)</f>
        <v>3.66</v>
      </c>
      <c r="K58">
        <f>VLOOKUP(A58,[6]Hoja1!$D$1:$O$781,9,FALSE)</f>
        <v>3.66</v>
      </c>
      <c r="L58">
        <f>VLOOKUP(A58,[6]Hoja1!$D$1:$O$781,11,FALSE)</f>
        <v>3.66</v>
      </c>
    </row>
    <row r="59" spans="1:12" x14ac:dyDescent="0.2">
      <c r="A59" t="s">
        <v>144</v>
      </c>
      <c r="B59" t="s">
        <v>145</v>
      </c>
      <c r="C59" t="s">
        <v>146</v>
      </c>
      <c r="D59">
        <f>IFERROR(VLOOKUP(A59,[1]Hoja2!$A$1:$E$430,4,FALSE),0)</f>
        <v>0</v>
      </c>
      <c r="E59">
        <f>IFERROR(VLOOKUP(A59,[2]Hoja3!$A$1:$E$410,4,FALSE),0)</f>
        <v>2.3975219999999999</v>
      </c>
      <c r="F59">
        <f>IFERROR(VLOOKUP(A59,[3]Hoja2!$A$1:$E$411,4,FALSE),0)</f>
        <v>2.3975219999999999</v>
      </c>
      <c r="G59">
        <f>VLOOKUP(A59,[4]Hoja1!$D$1:$K$778,7,FALSE)</f>
        <v>2.88</v>
      </c>
      <c r="H59">
        <f>VLOOKUP(A59,[5]Hoja1!$D$1:$K$781,7,FALSE)</f>
        <v>2.88</v>
      </c>
      <c r="I59">
        <f>VLOOKUP(A59,[6]Hoja1!$D$1:$O$781,7,FALSE)</f>
        <v>2.88</v>
      </c>
      <c r="J59">
        <f>VLOOKUP(A59,[6]Hoja1!$D$1:$O$781,8,FALSE)</f>
        <v>2.88</v>
      </c>
      <c r="K59">
        <f>VLOOKUP(A59,[6]Hoja1!$D$1:$O$781,9,FALSE)</f>
        <v>2.88</v>
      </c>
      <c r="L59">
        <f>VLOOKUP(A59,[6]Hoja1!$D$1:$O$781,11,FALSE)</f>
        <v>2.88</v>
      </c>
    </row>
    <row r="60" spans="1:12" x14ac:dyDescent="0.2">
      <c r="A60" t="s">
        <v>147</v>
      </c>
      <c r="B60" t="s">
        <v>148</v>
      </c>
      <c r="C60" t="s">
        <v>49</v>
      </c>
      <c r="D60">
        <f>IFERROR(VLOOKUP(A60,[1]Hoja2!$A$1:$E$430,4,FALSE),0)</f>
        <v>0</v>
      </c>
      <c r="E60">
        <f>IFERROR(VLOOKUP(A60,[2]Hoja3!$A$1:$E$410,4,FALSE),0)</f>
        <v>0.27</v>
      </c>
      <c r="F60">
        <f>IFERROR(VLOOKUP(A60,[3]Hoja2!$A$1:$E$411,4,FALSE),0)</f>
        <v>0.25</v>
      </c>
      <c r="G60">
        <f>VLOOKUP(A60,[4]Hoja1!$D$1:$K$778,7,FALSE)</f>
        <v>0.46</v>
      </c>
      <c r="H60">
        <f>VLOOKUP(A60,[5]Hoja1!$D$1:$K$781,7,FALSE)</f>
        <v>0.46</v>
      </c>
      <c r="I60">
        <f>VLOOKUP(A60,[6]Hoja1!$D$1:$O$781,7,FALSE)</f>
        <v>0.46</v>
      </c>
      <c r="J60">
        <f>VLOOKUP(A60,[6]Hoja1!$D$1:$O$781,8,FALSE)</f>
        <v>0.46</v>
      </c>
      <c r="K60">
        <f>VLOOKUP(A60,[6]Hoja1!$D$1:$O$781,9,FALSE)</f>
        <v>0.46</v>
      </c>
      <c r="L60">
        <f>VLOOKUP(A60,[6]Hoja1!$D$1:$O$781,11,FALSE)</f>
        <v>0.50002652018601312</v>
      </c>
    </row>
    <row r="61" spans="1:12" x14ac:dyDescent="0.2">
      <c r="A61" t="s">
        <v>149</v>
      </c>
      <c r="B61" t="s">
        <v>150</v>
      </c>
      <c r="C61" t="s">
        <v>107</v>
      </c>
      <c r="D61">
        <f>IFERROR(VLOOKUP(A61,[1]Hoja2!$A$1:$E$430,4,FALSE),0)</f>
        <v>0</v>
      </c>
      <c r="E61">
        <f>IFERROR(VLOOKUP(A61,[2]Hoja3!$A$1:$E$410,4,FALSE),0)</f>
        <v>56.3</v>
      </c>
      <c r="F61">
        <f>IFERROR(VLOOKUP(A61,[3]Hoja2!$A$1:$E$411,4,FALSE),0)</f>
        <v>54</v>
      </c>
      <c r="G61">
        <f>VLOOKUP(A61,[4]Hoja1!$D$1:$K$778,7,FALSE)</f>
        <v>56.724444444444501</v>
      </c>
      <c r="H61">
        <f>VLOOKUP(A61,[5]Hoja1!$D$1:$K$781,7,FALSE)</f>
        <v>56.724444444444451</v>
      </c>
      <c r="I61">
        <f>VLOOKUP(A61,[6]Hoja1!$D$1:$O$781,7,FALSE)</f>
        <v>56.724444444444451</v>
      </c>
      <c r="J61">
        <f>VLOOKUP(A61,[6]Hoja1!$D$1:$O$781,8,FALSE)</f>
        <v>56.724444444444451</v>
      </c>
      <c r="K61">
        <f>VLOOKUP(A61,[6]Hoja1!$D$1:$O$781,9,FALSE)</f>
        <v>102.41</v>
      </c>
      <c r="L61">
        <f>VLOOKUP(A61,[6]Hoja1!$D$1:$O$781,11,FALSE)</f>
        <v>102.41</v>
      </c>
    </row>
    <row r="62" spans="1:12" x14ac:dyDescent="0.2">
      <c r="A62" t="s">
        <v>151</v>
      </c>
      <c r="B62" t="s">
        <v>152</v>
      </c>
      <c r="C62" t="s">
        <v>153</v>
      </c>
      <c r="D62">
        <f>IFERROR(VLOOKUP(A62,[1]Hoja2!$A$1:$E$430,4,FALSE),0)</f>
        <v>0</v>
      </c>
      <c r="E62">
        <f>IFERROR(VLOOKUP(A62,[2]Hoja3!$A$1:$E$410,4,FALSE),0)</f>
        <v>22.109048000000001</v>
      </c>
      <c r="F62">
        <f>IFERROR(VLOOKUP(A62,[3]Hoja2!$A$1:$E$411,4,FALSE),0)</f>
        <v>24.777777777800001</v>
      </c>
      <c r="G62">
        <f>VLOOKUP(A62,[4]Hoja1!$D$1:$K$778,7,FALSE)</f>
        <v>34.514444444444401</v>
      </c>
      <c r="H62">
        <f>VLOOKUP(A62,[5]Hoja1!$D$1:$K$781,7,FALSE)</f>
        <v>34.514444444444443</v>
      </c>
      <c r="I62">
        <f>VLOOKUP(A62,[6]Hoja1!$D$1:$O$781,7,FALSE)</f>
        <v>34.514444444444443</v>
      </c>
      <c r="J62">
        <f>VLOOKUP(A62,[6]Hoja1!$D$1:$O$781,8,FALSE)</f>
        <v>34.514444444444443</v>
      </c>
      <c r="K62">
        <f>VLOOKUP(A62,[6]Hoja1!$D$1:$O$781,9,FALSE)</f>
        <v>34.514444444444443</v>
      </c>
      <c r="L62">
        <f>VLOOKUP(A62,[6]Hoja1!$D$1:$O$781,11,FALSE)</f>
        <v>34.514444444444443</v>
      </c>
    </row>
    <row r="63" spans="1:12" x14ac:dyDescent="0.2">
      <c r="A63" t="s">
        <v>154</v>
      </c>
      <c r="B63" t="s">
        <v>155</v>
      </c>
      <c r="C63" t="s">
        <v>156</v>
      </c>
      <c r="D63">
        <f>IFERROR(VLOOKUP(A63,[1]Hoja2!$A$1:$E$430,4,FALSE),0)</f>
        <v>0</v>
      </c>
      <c r="E63">
        <f>IFERROR(VLOOKUP(A63,[2]Hoja3!$A$1:$E$410,4,FALSE),0)</f>
        <v>0.38</v>
      </c>
      <c r="F63">
        <f>IFERROR(VLOOKUP(A63,[3]Hoja2!$A$1:$E$411,4,FALSE),0)</f>
        <v>0</v>
      </c>
      <c r="G63">
        <f>VLOOKUP(A63,[4]Hoja1!$D$1:$K$778,7,FALSE)</f>
        <v>0.41</v>
      </c>
      <c r="H63">
        <f>VLOOKUP(A63,[5]Hoja1!$D$1:$K$781,7,FALSE)</f>
        <v>0.41</v>
      </c>
      <c r="I63">
        <f>VLOOKUP(A63,[6]Hoja1!$D$1:$O$781,7,FALSE)</f>
        <v>0.41</v>
      </c>
      <c r="J63">
        <f>VLOOKUP(A63,[6]Hoja1!$D$1:$O$781,8,FALSE)</f>
        <v>0.41</v>
      </c>
      <c r="K63">
        <f>VLOOKUP(A63,[6]Hoja1!$D$1:$O$781,9,FALSE)</f>
        <v>0.41</v>
      </c>
      <c r="L63">
        <f>VLOOKUP(A63,[6]Hoja1!$D$1:$O$781,11,FALSE)</f>
        <v>0.41</v>
      </c>
    </row>
    <row r="64" spans="1:12" x14ac:dyDescent="0.2">
      <c r="A64" t="s">
        <v>157</v>
      </c>
      <c r="B64" t="s">
        <v>158</v>
      </c>
      <c r="C64" t="s">
        <v>159</v>
      </c>
      <c r="D64">
        <f>IFERROR(VLOOKUP(A64,[1]Hoja2!$A$1:$E$430,4,FALSE),0)</f>
        <v>0</v>
      </c>
      <c r="E64">
        <f>IFERROR(VLOOKUP(A64,[2]Hoja3!$A$1:$E$410,4,FALSE),0)</f>
        <v>12.86</v>
      </c>
      <c r="F64">
        <f>IFERROR(VLOOKUP(A64,[3]Hoja2!$A$1:$E$411,4,FALSE),0)</f>
        <v>0</v>
      </c>
      <c r="G64">
        <f>VLOOKUP(A64,[4]Hoja1!$D$1:$K$778,7,FALSE)</f>
        <v>12.86</v>
      </c>
      <c r="H64">
        <f>VLOOKUP(A64,[5]Hoja1!$D$1:$K$781,7,FALSE)</f>
        <v>12.86</v>
      </c>
      <c r="I64">
        <f>VLOOKUP(A64,[6]Hoja1!$D$1:$O$781,7,FALSE)</f>
        <v>12.86</v>
      </c>
      <c r="J64">
        <f>VLOOKUP(A64,[6]Hoja1!$D$1:$O$781,8,FALSE)</f>
        <v>12.86</v>
      </c>
      <c r="K64">
        <f>VLOOKUP(A64,[6]Hoja1!$D$1:$O$781,9,FALSE)</f>
        <v>12.86</v>
      </c>
      <c r="L64">
        <f>VLOOKUP(A64,[6]Hoja1!$D$1:$O$781,11,FALSE)</f>
        <v>12.86</v>
      </c>
    </row>
    <row r="65" spans="1:12" x14ac:dyDescent="0.2">
      <c r="A65" t="s">
        <v>160</v>
      </c>
      <c r="B65" t="s">
        <v>161</v>
      </c>
      <c r="C65" t="s">
        <v>162</v>
      </c>
      <c r="D65">
        <f>IFERROR(VLOOKUP(A65,[1]Hoja2!$A$1:$E$430,4,FALSE),0)</f>
        <v>0</v>
      </c>
      <c r="E65">
        <f>IFERROR(VLOOKUP(A65,[2]Hoja3!$A$1:$E$410,4,FALSE),0)</f>
        <v>0.17130899999999999</v>
      </c>
      <c r="F65">
        <f>IFERROR(VLOOKUP(A65,[3]Hoja2!$A$1:$E$411,4,FALSE),0)</f>
        <v>0.13</v>
      </c>
      <c r="G65">
        <f>VLOOKUP(A65,[4]Hoja1!$D$1:$K$778,7,FALSE)</f>
        <v>0.45</v>
      </c>
      <c r="H65">
        <f>VLOOKUP(A65,[5]Hoja1!$D$1:$K$781,7,FALSE)</f>
        <v>0.45</v>
      </c>
      <c r="I65">
        <f>VLOOKUP(A65,[6]Hoja1!$D$1:$O$781,7,FALSE)</f>
        <v>0.45</v>
      </c>
      <c r="J65">
        <f>VLOOKUP(A65,[6]Hoja1!$D$1:$O$781,8,FALSE)</f>
        <v>0.45</v>
      </c>
      <c r="K65">
        <f>VLOOKUP(A65,[6]Hoja1!$D$1:$O$781,9,FALSE)</f>
        <v>0.45</v>
      </c>
      <c r="L65">
        <f>VLOOKUP(A65,[6]Hoja1!$D$1:$O$781,11,FALSE)</f>
        <v>0.45</v>
      </c>
    </row>
    <row r="66" spans="1:12" x14ac:dyDescent="0.2">
      <c r="A66" t="s">
        <v>163</v>
      </c>
      <c r="B66" t="s">
        <v>161</v>
      </c>
      <c r="C66" t="s">
        <v>164</v>
      </c>
      <c r="D66">
        <f>IFERROR(VLOOKUP(A66,[1]Hoja2!$A$1:$E$430,4,FALSE),0)</f>
        <v>0</v>
      </c>
      <c r="E66">
        <f>IFERROR(VLOOKUP(A66,[2]Hoja3!$A$1:$E$410,4,FALSE),0)</f>
        <v>5.98</v>
      </c>
      <c r="F66">
        <f>IFERROR(VLOOKUP(A66,[3]Hoja2!$A$1:$E$411,4,FALSE),0)</f>
        <v>0</v>
      </c>
      <c r="G66">
        <f>VLOOKUP(A66,[4]Hoja1!$D$1:$K$778,7,FALSE)</f>
        <v>7.35</v>
      </c>
      <c r="H66">
        <f>VLOOKUP(A66,[5]Hoja1!$D$1:$K$781,7,FALSE)</f>
        <v>7.35</v>
      </c>
      <c r="I66">
        <f>VLOOKUP(A66,[6]Hoja1!$D$1:$O$781,7,FALSE)</f>
        <v>7.35</v>
      </c>
      <c r="J66">
        <f>VLOOKUP(A66,[6]Hoja1!$D$1:$O$781,8,FALSE)</f>
        <v>7.35</v>
      </c>
      <c r="K66">
        <f>VLOOKUP(A66,[6]Hoja1!$D$1:$O$781,9,FALSE)</f>
        <v>7.35</v>
      </c>
      <c r="L66">
        <f>VLOOKUP(A66,[6]Hoja1!$D$1:$O$781,11,FALSE)</f>
        <v>7.35</v>
      </c>
    </row>
    <row r="67" spans="1:12" x14ac:dyDescent="0.2">
      <c r="A67" t="s">
        <v>165</v>
      </c>
      <c r="B67" t="s">
        <v>166</v>
      </c>
      <c r="C67" t="s">
        <v>167</v>
      </c>
      <c r="D67">
        <f>IFERROR(VLOOKUP(A67,[1]Hoja2!$A$1:$E$430,4,FALSE),0)</f>
        <v>0</v>
      </c>
      <c r="E67">
        <f>IFERROR(VLOOKUP(A67,[2]Hoja3!$A$1:$E$410,4,FALSE),0)</f>
        <v>0.78922499999999995</v>
      </c>
      <c r="F67">
        <f>IFERROR(VLOOKUP(A67,[3]Hoja2!$A$1:$E$411,4,FALSE),0)</f>
        <v>0.60030909610000005</v>
      </c>
      <c r="G67">
        <f>VLOOKUP(A67,[4]Hoja1!$D$1:$K$778,7,FALSE)</f>
        <v>1</v>
      </c>
      <c r="H67">
        <f>VLOOKUP(A67,[5]Hoja1!$D$1:$K$781,7,FALSE)</f>
        <v>1</v>
      </c>
      <c r="I67">
        <f>VLOOKUP(A67,[6]Hoja1!$D$1:$O$781,7,FALSE)</f>
        <v>1</v>
      </c>
      <c r="J67">
        <f>VLOOKUP(A67,[6]Hoja1!$D$1:$O$781,8,FALSE)</f>
        <v>1</v>
      </c>
      <c r="K67">
        <f>VLOOKUP(A67,[6]Hoja1!$D$1:$O$781,9,FALSE)</f>
        <v>1</v>
      </c>
      <c r="L67">
        <f>VLOOKUP(A67,[6]Hoja1!$D$1:$O$781,11,FALSE)</f>
        <v>1</v>
      </c>
    </row>
    <row r="68" spans="1:12" x14ac:dyDescent="0.2">
      <c r="A68" t="s">
        <v>168</v>
      </c>
      <c r="B68" t="s">
        <v>169</v>
      </c>
      <c r="C68">
        <v>0.2</v>
      </c>
      <c r="D68">
        <f>IFERROR(VLOOKUP(A68,[1]Hoja2!$A$1:$E$430,4,FALSE),0)</f>
        <v>0</v>
      </c>
      <c r="E68">
        <f>IFERROR(VLOOKUP(A68,[2]Hoja3!$A$1:$E$410,4,FALSE),0)</f>
        <v>270</v>
      </c>
      <c r="F68">
        <f>IFERROR(VLOOKUP(A68,[3]Hoja2!$A$1:$E$411,4,FALSE),0)</f>
        <v>278.19672131150003</v>
      </c>
      <c r="G68">
        <f>VLOOKUP(A68,[4]Hoja1!$D$1:$K$778,7,FALSE)</f>
        <v>305</v>
      </c>
      <c r="H68">
        <f>VLOOKUP(A68,[5]Hoja1!$D$1:$K$781,7,FALSE)</f>
        <v>305</v>
      </c>
      <c r="I68">
        <f>VLOOKUP(A68,[6]Hoja1!$D$1:$O$781,7,FALSE)</f>
        <v>305</v>
      </c>
      <c r="J68">
        <f>VLOOKUP(A68,[6]Hoja1!$D$1:$O$781,8,FALSE)</f>
        <v>550</v>
      </c>
      <c r="K68">
        <f>VLOOKUP(A68,[6]Hoja1!$D$1:$O$781,9,FALSE)</f>
        <v>550</v>
      </c>
      <c r="L68">
        <f>VLOOKUP(A68,[6]Hoja1!$D$1:$O$781,11,FALSE)</f>
        <v>756</v>
      </c>
    </row>
    <row r="69" spans="1:12" x14ac:dyDescent="0.2">
      <c r="A69" t="s">
        <v>170</v>
      </c>
      <c r="B69" t="s">
        <v>171</v>
      </c>
      <c r="C69">
        <v>0.1</v>
      </c>
      <c r="D69">
        <f>IFERROR(VLOOKUP(A69,[1]Hoja2!$A$1:$E$430,4,FALSE),0)</f>
        <v>0</v>
      </c>
      <c r="E69">
        <f>IFERROR(VLOOKUP(A69,[2]Hoja3!$A$1:$E$410,4,FALSE),0)</f>
        <v>118.23611099999999</v>
      </c>
      <c r="F69">
        <f>IFERROR(VLOOKUP(A69,[3]Hoja2!$A$1:$E$411,4,FALSE),0)</f>
        <v>117</v>
      </c>
      <c r="G69">
        <f>VLOOKUP(A69,[4]Hoja1!$D$1:$K$778,7,FALSE)</f>
        <v>161.05000000000001</v>
      </c>
      <c r="H69">
        <f>VLOOKUP(A69,[5]Hoja1!$D$1:$K$781,7,FALSE)</f>
        <v>161.05000000000001</v>
      </c>
      <c r="I69">
        <f>VLOOKUP(A69,[6]Hoja1!$D$1:$O$781,7,FALSE)</f>
        <v>161.05000000000001</v>
      </c>
      <c r="J69">
        <f>VLOOKUP(A69,[6]Hoja1!$D$1:$O$781,8,FALSE)</f>
        <v>161.05000000000001</v>
      </c>
      <c r="K69">
        <f>VLOOKUP(A69,[6]Hoja1!$D$1:$O$781,9,FALSE)</f>
        <v>161.05000000000001</v>
      </c>
      <c r="L69">
        <f>VLOOKUP(A69,[6]Hoja1!$D$1:$O$781,11,FALSE)</f>
        <v>161.05000000000001</v>
      </c>
    </row>
    <row r="70" spans="1:12" x14ac:dyDescent="0.2">
      <c r="A70" t="s">
        <v>172</v>
      </c>
      <c r="B70" t="s">
        <v>173</v>
      </c>
      <c r="C70">
        <v>0.08</v>
      </c>
      <c r="D70">
        <f>IFERROR(VLOOKUP(A70,[1]Hoja2!$A$1:$E$430,4,FALSE),0)</f>
        <v>0</v>
      </c>
      <c r="E70">
        <f>IFERROR(VLOOKUP(A70,[2]Hoja3!$A$1:$E$410,4,FALSE),0)</f>
        <v>8</v>
      </c>
      <c r="F70">
        <f>IFERROR(VLOOKUP(A70,[3]Hoja2!$A$1:$E$411,4,FALSE),0)</f>
        <v>8</v>
      </c>
      <c r="G70">
        <f>VLOOKUP(A70,[4]Hoja1!$D$1:$K$778,7,FALSE)</f>
        <v>8.06</v>
      </c>
      <c r="H70">
        <f>VLOOKUP(A70,[5]Hoja1!$D$1:$K$781,7,FALSE)</f>
        <v>8.06</v>
      </c>
      <c r="I70">
        <f>VLOOKUP(A70,[6]Hoja1!$D$1:$O$781,7,FALSE)</f>
        <v>8.06</v>
      </c>
      <c r="J70">
        <f>VLOOKUP(A70,[6]Hoja1!$D$1:$O$781,8,FALSE)</f>
        <v>8.06</v>
      </c>
      <c r="K70">
        <f>VLOOKUP(A70,[6]Hoja1!$D$1:$O$781,9,FALSE)</f>
        <v>8.06</v>
      </c>
      <c r="L70">
        <f>VLOOKUP(A70,[6]Hoja1!$D$1:$O$781,11,FALSE)</f>
        <v>8.06</v>
      </c>
    </row>
    <row r="71" spans="1:12" x14ac:dyDescent="0.2">
      <c r="A71" t="s">
        <v>174</v>
      </c>
      <c r="B71" t="s">
        <v>121</v>
      </c>
      <c r="C71">
        <v>0.2</v>
      </c>
      <c r="D71">
        <f>IFERROR(VLOOKUP(A71,[1]Hoja2!$A$1:$E$430,4,FALSE),0)</f>
        <v>0</v>
      </c>
      <c r="E71">
        <f>IFERROR(VLOOKUP(A71,[2]Hoja3!$A$1:$E$410,4,FALSE),0)</f>
        <v>2.5176989999999999</v>
      </c>
      <c r="F71">
        <f>IFERROR(VLOOKUP(A71,[3]Hoja2!$A$1:$E$411,4,FALSE),0)</f>
        <v>2.2000000000000002</v>
      </c>
      <c r="G71">
        <f>VLOOKUP(A71,[4]Hoja1!$D$1:$K$778,7,FALSE)</f>
        <v>3.55</v>
      </c>
      <c r="H71">
        <f>VLOOKUP(A71,[5]Hoja1!$D$1:$K$781,7,FALSE)</f>
        <v>3.55</v>
      </c>
      <c r="I71">
        <f>VLOOKUP(A71,[6]Hoja1!$D$1:$O$781,7,FALSE)</f>
        <v>3.55</v>
      </c>
      <c r="J71">
        <f>VLOOKUP(A71,[6]Hoja1!$D$1:$O$781,8,FALSE)</f>
        <v>3.55</v>
      </c>
      <c r="K71">
        <f>VLOOKUP(A71,[6]Hoja1!$D$1:$O$781,9,FALSE)</f>
        <v>3.55</v>
      </c>
      <c r="L71">
        <f>VLOOKUP(A71,[6]Hoja1!$D$1:$O$781,11,FALSE)</f>
        <v>3.5645144011326848</v>
      </c>
    </row>
    <row r="72" spans="1:12" x14ac:dyDescent="0.2">
      <c r="A72" t="s">
        <v>175</v>
      </c>
      <c r="B72" t="s">
        <v>176</v>
      </c>
      <c r="C72">
        <v>0.2</v>
      </c>
      <c r="D72">
        <f>IFERROR(VLOOKUP(A72,[1]Hoja2!$A$1:$E$430,4,FALSE),0)</f>
        <v>0</v>
      </c>
      <c r="E72">
        <f>IFERROR(VLOOKUP(A72,[2]Hoja3!$A$1:$E$410,4,FALSE),0)</f>
        <v>3.4004470000000002</v>
      </c>
      <c r="F72">
        <f>IFERROR(VLOOKUP(A72,[3]Hoja2!$A$1:$E$411,4,FALSE),0)</f>
        <v>3.2462894863999998</v>
      </c>
      <c r="G72">
        <f>VLOOKUP(A72,[4]Hoja1!$D$1:$K$778,7,FALSE)</f>
        <v>3.53</v>
      </c>
      <c r="H72">
        <f>VLOOKUP(A72,[5]Hoja1!$D$1:$K$781,7,FALSE)</f>
        <v>3.53</v>
      </c>
      <c r="I72">
        <f>VLOOKUP(A72,[6]Hoja1!$D$1:$O$781,7,FALSE)</f>
        <v>3.53</v>
      </c>
      <c r="J72">
        <f>VLOOKUP(A72,[6]Hoja1!$D$1:$O$781,8,FALSE)</f>
        <v>3.53</v>
      </c>
      <c r="K72">
        <f>VLOOKUP(A72,[6]Hoja1!$D$1:$O$781,9,FALSE)</f>
        <v>3.53</v>
      </c>
      <c r="L72">
        <f>VLOOKUP(A72,[6]Hoja1!$D$1:$O$781,11,FALSE)</f>
        <v>3.6313065931182762</v>
      </c>
    </row>
    <row r="73" spans="1:12" x14ac:dyDescent="0.2">
      <c r="A73" t="s">
        <v>177</v>
      </c>
      <c r="B73" t="s">
        <v>178</v>
      </c>
      <c r="C73">
        <v>0.1</v>
      </c>
      <c r="D73">
        <f>IFERROR(VLOOKUP(A73,[1]Hoja2!$A$1:$E$430,4,FALSE),0)</f>
        <v>0</v>
      </c>
      <c r="E73">
        <f>IFERROR(VLOOKUP(A73,[2]Hoja3!$A$1:$E$410,4,FALSE),0)</f>
        <v>3</v>
      </c>
      <c r="F73">
        <f>IFERROR(VLOOKUP(A73,[3]Hoja2!$A$1:$E$411,4,FALSE),0)</f>
        <v>3</v>
      </c>
      <c r="G73">
        <f>VLOOKUP(A73,[4]Hoja1!$D$1:$K$778,7,FALSE)</f>
        <v>3.8</v>
      </c>
      <c r="H73">
        <f>VLOOKUP(A73,[5]Hoja1!$D$1:$K$781,7,FALSE)</f>
        <v>3.8</v>
      </c>
      <c r="I73">
        <f>VLOOKUP(A73,[6]Hoja1!$D$1:$O$781,7,FALSE)</f>
        <v>3.8</v>
      </c>
      <c r="J73">
        <f>VLOOKUP(A73,[6]Hoja1!$D$1:$O$781,8,FALSE)</f>
        <v>3.8</v>
      </c>
      <c r="K73">
        <f>VLOOKUP(A73,[6]Hoja1!$D$1:$O$781,9,FALSE)</f>
        <v>3.8</v>
      </c>
      <c r="L73">
        <f>VLOOKUP(A73,[6]Hoja1!$D$1:$O$781,11,FALSE)</f>
        <v>3.8</v>
      </c>
    </row>
    <row r="74" spans="1:12" x14ac:dyDescent="0.2">
      <c r="A74" t="s">
        <v>179</v>
      </c>
      <c r="B74" t="s">
        <v>180</v>
      </c>
      <c r="C74" t="s">
        <v>52</v>
      </c>
      <c r="D74">
        <f>IFERROR(VLOOKUP(A74,[1]Hoja2!$A$1:$E$430,4,FALSE),0)</f>
        <v>0</v>
      </c>
      <c r="E74">
        <f>IFERROR(VLOOKUP(A74,[2]Hoja3!$A$1:$E$410,4,FALSE),0)</f>
        <v>49.94</v>
      </c>
      <c r="F74">
        <f>IFERROR(VLOOKUP(A74,[3]Hoja2!$A$1:$E$411,4,FALSE),0)</f>
        <v>49.94</v>
      </c>
      <c r="G74">
        <f>VLOOKUP(A74,[4]Hoja1!$D$1:$K$778,7,FALSE)</f>
        <v>45.83</v>
      </c>
      <c r="H74">
        <f>VLOOKUP(A74,[5]Hoja1!$D$1:$K$781,7,FALSE)</f>
        <v>45.83</v>
      </c>
      <c r="I74">
        <f>VLOOKUP(A74,[6]Hoja1!$D$1:$O$781,7,FALSE)</f>
        <v>45.83</v>
      </c>
      <c r="J74">
        <f>VLOOKUP(A74,[6]Hoja1!$D$1:$O$781,8,FALSE)</f>
        <v>45.83</v>
      </c>
      <c r="K74">
        <f>VLOOKUP(A74,[6]Hoja1!$D$1:$O$781,9,FALSE)</f>
        <v>45.83</v>
      </c>
      <c r="L74">
        <f>VLOOKUP(A74,[6]Hoja1!$D$1:$O$781,11,FALSE)</f>
        <v>45.83</v>
      </c>
    </row>
    <row r="75" spans="1:12" x14ac:dyDescent="0.2">
      <c r="A75" t="s">
        <v>181</v>
      </c>
      <c r="B75" t="s">
        <v>182</v>
      </c>
      <c r="C75" t="s">
        <v>183</v>
      </c>
      <c r="D75">
        <f>IFERROR(VLOOKUP(A75,[1]Hoja2!$A$1:$E$430,4,FALSE),0)</f>
        <v>0</v>
      </c>
      <c r="E75">
        <f>IFERROR(VLOOKUP(A75,[2]Hoja3!$A$1:$E$410,4,FALSE),0)</f>
        <v>8.6078030000000005</v>
      </c>
      <c r="F75">
        <f>IFERROR(VLOOKUP(A75,[3]Hoja2!$A$1:$E$411,4,FALSE),0)</f>
        <v>8.5901662530999996</v>
      </c>
      <c r="G75">
        <f>VLOOKUP(A75,[4]Hoja1!$D$1:$K$778,7,FALSE)</f>
        <v>8.5891453030303104</v>
      </c>
      <c r="H75">
        <f>VLOOKUP(A75,[5]Hoja1!$D$1:$K$781,7,FALSE)</f>
        <v>8.5891453030303051</v>
      </c>
      <c r="I75">
        <f>VLOOKUP(A75,[6]Hoja1!$D$1:$O$781,7,FALSE)</f>
        <v>8.5891453030303051</v>
      </c>
      <c r="J75">
        <f>VLOOKUP(A75,[6]Hoja1!$D$1:$O$781,8,FALSE)</f>
        <v>8.5891453030303051</v>
      </c>
      <c r="K75">
        <f>VLOOKUP(A75,[6]Hoja1!$D$1:$O$781,9,FALSE)</f>
        <v>8.5891453030303051</v>
      </c>
      <c r="L75">
        <f>VLOOKUP(A75,[6]Hoja1!$D$1:$O$781,11,FALSE)</f>
        <v>8.5891453030303051</v>
      </c>
    </row>
    <row r="76" spans="1:12" x14ac:dyDescent="0.2">
      <c r="A76" t="s">
        <v>184</v>
      </c>
      <c r="B76" t="s">
        <v>182</v>
      </c>
      <c r="C76" t="s">
        <v>185</v>
      </c>
      <c r="D76">
        <f>IFERROR(VLOOKUP(A76,[1]Hoja2!$A$1:$E$430,4,FALSE),0)</f>
        <v>0</v>
      </c>
      <c r="E76">
        <f>IFERROR(VLOOKUP(A76,[2]Hoja3!$A$1:$E$410,4,FALSE),0)</f>
        <v>11.612144000000001</v>
      </c>
      <c r="F76">
        <f>IFERROR(VLOOKUP(A76,[3]Hoja2!$A$1:$E$411,4,FALSE),0)</f>
        <v>11.612144000000001</v>
      </c>
      <c r="G76">
        <f>VLOOKUP(A76,[4]Hoja1!$D$1:$K$778,7,FALSE)</f>
        <v>13.44</v>
      </c>
      <c r="H76">
        <f>VLOOKUP(A76,[5]Hoja1!$D$1:$K$781,7,FALSE)</f>
        <v>13.44</v>
      </c>
      <c r="I76">
        <f>VLOOKUP(A76,[6]Hoja1!$D$1:$O$781,7,FALSE)</f>
        <v>13.44</v>
      </c>
      <c r="J76">
        <f>VLOOKUP(A76,[6]Hoja1!$D$1:$O$781,8,FALSE)</f>
        <v>13.44</v>
      </c>
      <c r="K76">
        <f>VLOOKUP(A76,[6]Hoja1!$D$1:$O$781,9,FALSE)</f>
        <v>13.44</v>
      </c>
      <c r="L76">
        <f>VLOOKUP(A76,[6]Hoja1!$D$1:$O$781,11,FALSE)</f>
        <v>13.44</v>
      </c>
    </row>
    <row r="77" spans="1:12" x14ac:dyDescent="0.2">
      <c r="A77" t="s">
        <v>186</v>
      </c>
      <c r="B77" t="s">
        <v>182</v>
      </c>
      <c r="C77" t="s">
        <v>187</v>
      </c>
      <c r="D77">
        <f>IFERROR(VLOOKUP(A77,[1]Hoja2!$A$1:$E$430,4,FALSE),0)</f>
        <v>0</v>
      </c>
      <c r="E77">
        <f>IFERROR(VLOOKUP(A77,[2]Hoja3!$A$1:$E$410,4,FALSE),0)</f>
        <v>8.8199670000000001</v>
      </c>
      <c r="F77">
        <f>IFERROR(VLOOKUP(A77,[3]Hoja2!$A$1:$E$411,4,FALSE),0)</f>
        <v>8.8699999999999992</v>
      </c>
      <c r="G77">
        <f>VLOOKUP(A77,[4]Hoja1!$D$1:$K$778,7,FALSE)</f>
        <v>8.8699999999999992</v>
      </c>
      <c r="H77">
        <f>VLOOKUP(A77,[5]Hoja1!$D$1:$K$781,7,FALSE)</f>
        <v>8.8699999999999992</v>
      </c>
      <c r="I77">
        <f>VLOOKUP(A77,[6]Hoja1!$D$1:$O$781,7,FALSE)</f>
        <v>8.8699999999999992</v>
      </c>
      <c r="J77">
        <f>VLOOKUP(A77,[6]Hoja1!$D$1:$O$781,8,FALSE)</f>
        <v>8.8699999999999992</v>
      </c>
      <c r="K77">
        <f>VLOOKUP(A77,[6]Hoja1!$D$1:$O$781,9,FALSE)</f>
        <v>8.8699999999999992</v>
      </c>
      <c r="L77">
        <f>VLOOKUP(A77,[6]Hoja1!$D$1:$O$781,11,FALSE)</f>
        <v>8.8699999999999992</v>
      </c>
    </row>
    <row r="78" spans="1:12" x14ac:dyDescent="0.2">
      <c r="A78" t="s">
        <v>188</v>
      </c>
      <c r="B78" t="s">
        <v>182</v>
      </c>
      <c r="C78" t="s">
        <v>189</v>
      </c>
      <c r="D78">
        <f>IFERROR(VLOOKUP(A78,[1]Hoja2!$A$1:$E$430,4,FALSE),0)</f>
        <v>0</v>
      </c>
      <c r="E78">
        <f>IFERROR(VLOOKUP(A78,[2]Hoja3!$A$1:$E$410,4,FALSE),0)</f>
        <v>12.50155</v>
      </c>
      <c r="F78">
        <f>IFERROR(VLOOKUP(A78,[3]Hoja2!$A$1:$E$411,4,FALSE),0)</f>
        <v>12.50155</v>
      </c>
      <c r="G78">
        <f>VLOOKUP(A78,[4]Hoja1!$D$1:$K$778,7,FALSE)</f>
        <v>10.400833333333299</v>
      </c>
      <c r="H78">
        <f>VLOOKUP(A78,[5]Hoja1!$D$1:$K$781,7,FALSE)</f>
        <v>10.400833333333335</v>
      </c>
      <c r="I78">
        <f>VLOOKUP(A78,[6]Hoja1!$D$1:$O$781,7,FALSE)</f>
        <v>10.400833333333335</v>
      </c>
      <c r="J78">
        <f>VLOOKUP(A78,[6]Hoja1!$D$1:$O$781,8,FALSE)</f>
        <v>10.400833333333335</v>
      </c>
      <c r="K78">
        <f>VLOOKUP(A78,[6]Hoja1!$D$1:$O$781,9,FALSE)</f>
        <v>10.400833333333335</v>
      </c>
      <c r="L78">
        <f>VLOOKUP(A78,[6]Hoja1!$D$1:$O$781,11,FALSE)</f>
        <v>10.400833333333335</v>
      </c>
    </row>
    <row r="79" spans="1:12" x14ac:dyDescent="0.2">
      <c r="A79" t="s">
        <v>190</v>
      </c>
      <c r="B79" t="s">
        <v>182</v>
      </c>
      <c r="C79" t="s">
        <v>191</v>
      </c>
      <c r="D79">
        <f>IFERROR(VLOOKUP(A79,[1]Hoja2!$A$1:$E$430,4,FALSE),0)</f>
        <v>0</v>
      </c>
      <c r="E79">
        <f>IFERROR(VLOOKUP(A79,[2]Hoja3!$A$1:$E$410,4,FALSE),0)</f>
        <v>19.399999999999999</v>
      </c>
      <c r="F79">
        <f>IFERROR(VLOOKUP(A79,[3]Hoja2!$A$1:$E$411,4,FALSE),0)</f>
        <v>19.399999999999999</v>
      </c>
      <c r="G79">
        <f>VLOOKUP(A79,[4]Hoja1!$D$1:$K$778,7,FALSE)</f>
        <v>19.399999999999999</v>
      </c>
      <c r="H79">
        <f>VLOOKUP(A79,[5]Hoja1!$D$1:$K$781,7,FALSE)</f>
        <v>19.399999999999999</v>
      </c>
      <c r="I79">
        <f>VLOOKUP(A79,[6]Hoja1!$D$1:$O$781,7,FALSE)</f>
        <v>19.399999999999999</v>
      </c>
      <c r="J79">
        <f>VLOOKUP(A79,[6]Hoja1!$D$1:$O$781,8,FALSE)</f>
        <v>19.399999999999999</v>
      </c>
      <c r="K79">
        <f>VLOOKUP(A79,[6]Hoja1!$D$1:$O$781,9,FALSE)</f>
        <v>19.399999999999999</v>
      </c>
      <c r="L79">
        <f>VLOOKUP(A79,[6]Hoja1!$D$1:$O$781,11,FALSE)</f>
        <v>19.399999999999999</v>
      </c>
    </row>
    <row r="80" spans="1:12" x14ac:dyDescent="0.2">
      <c r="A80" t="s">
        <v>192</v>
      </c>
      <c r="B80" t="s">
        <v>182</v>
      </c>
      <c r="C80" t="s">
        <v>193</v>
      </c>
      <c r="D80">
        <f>IFERROR(VLOOKUP(A80,[1]Hoja2!$A$1:$E$430,4,FALSE),0)</f>
        <v>0</v>
      </c>
      <c r="E80">
        <f>IFERROR(VLOOKUP(A80,[2]Hoja3!$A$1:$E$410,4,FALSE),0)</f>
        <v>0</v>
      </c>
      <c r="F80">
        <f>IFERROR(VLOOKUP(A80,[3]Hoja2!$A$1:$E$411,4,FALSE),0)</f>
        <v>0</v>
      </c>
      <c r="G80">
        <f>VLOOKUP(A80,[4]Hoja1!$D$1:$K$778,7,FALSE)</f>
        <v>6.76</v>
      </c>
      <c r="H80">
        <f>VLOOKUP(A80,[5]Hoja1!$D$1:$K$781,7,FALSE)</f>
        <v>6.76</v>
      </c>
      <c r="I80">
        <f>VLOOKUP(A80,[6]Hoja1!$D$1:$O$781,7,FALSE)</f>
        <v>6.76</v>
      </c>
      <c r="J80">
        <f>VLOOKUP(A80,[6]Hoja1!$D$1:$O$781,8,FALSE)</f>
        <v>6.76</v>
      </c>
      <c r="K80">
        <f>VLOOKUP(A80,[6]Hoja1!$D$1:$O$781,9,FALSE)</f>
        <v>6.76</v>
      </c>
      <c r="L80">
        <f>VLOOKUP(A80,[6]Hoja1!$D$1:$O$781,11,FALSE)</f>
        <v>6.76</v>
      </c>
    </row>
    <row r="81" spans="1:12" x14ac:dyDescent="0.2">
      <c r="A81" t="s">
        <v>194</v>
      </c>
      <c r="B81" t="s">
        <v>195</v>
      </c>
      <c r="C81" t="s">
        <v>196</v>
      </c>
      <c r="D81">
        <f>IFERROR(VLOOKUP(A81,[1]Hoja2!$A$1:$E$430,4,FALSE),0)</f>
        <v>0</v>
      </c>
      <c r="E81">
        <f>IFERROR(VLOOKUP(A81,[2]Hoja3!$A$1:$E$410,4,FALSE),0)</f>
        <v>23.893103</v>
      </c>
      <c r="F81">
        <f>IFERROR(VLOOKUP(A81,[3]Hoja2!$A$1:$E$411,4,FALSE),0)</f>
        <v>23.9</v>
      </c>
      <c r="G81">
        <f>VLOOKUP(A81,[4]Hoja1!$D$1:$K$778,7,FALSE)</f>
        <v>23.9</v>
      </c>
      <c r="H81">
        <f>VLOOKUP(A81,[5]Hoja1!$D$1:$K$781,7,FALSE)</f>
        <v>23.9</v>
      </c>
      <c r="I81">
        <f>VLOOKUP(A81,[6]Hoja1!$D$1:$O$781,7,FALSE)</f>
        <v>23.9</v>
      </c>
      <c r="J81">
        <f>VLOOKUP(A81,[6]Hoja1!$D$1:$O$781,8,FALSE)</f>
        <v>23.9</v>
      </c>
      <c r="K81">
        <f>VLOOKUP(A81,[6]Hoja1!$D$1:$O$781,9,FALSE)</f>
        <v>23.9</v>
      </c>
      <c r="L81">
        <f>VLOOKUP(A81,[6]Hoja1!$D$1:$O$781,11,FALSE)</f>
        <v>23.9</v>
      </c>
    </row>
    <row r="82" spans="1:12" x14ac:dyDescent="0.2">
      <c r="A82" t="s">
        <v>197</v>
      </c>
      <c r="B82" t="s">
        <v>198</v>
      </c>
      <c r="C82" t="s">
        <v>199</v>
      </c>
      <c r="D82">
        <f>IFERROR(VLOOKUP(A82,[1]Hoja2!$A$1:$E$430,4,FALSE),0)</f>
        <v>0</v>
      </c>
      <c r="E82">
        <f>IFERROR(VLOOKUP(A82,[2]Hoja3!$A$1:$E$410,4,FALSE),0)</f>
        <v>7.8356339999999998</v>
      </c>
      <c r="F82">
        <f>IFERROR(VLOOKUP(A82,[3]Hoja2!$A$1:$E$411,4,FALSE),0)</f>
        <v>8.3561998220000007</v>
      </c>
      <c r="G82">
        <f>VLOOKUP(A82,[4]Hoja1!$D$1:$K$778,7,FALSE)</f>
        <v>9</v>
      </c>
      <c r="H82">
        <f>VLOOKUP(A82,[5]Hoja1!$D$1:$K$781,7,FALSE)</f>
        <v>9</v>
      </c>
      <c r="I82">
        <f>VLOOKUP(A82,[6]Hoja1!$D$1:$O$781,7,FALSE)</f>
        <v>9</v>
      </c>
      <c r="J82">
        <f>VLOOKUP(A82,[6]Hoja1!$D$1:$O$781,8,FALSE)</f>
        <v>9</v>
      </c>
      <c r="K82">
        <f>VLOOKUP(A82,[6]Hoja1!$D$1:$O$781,9,FALSE)</f>
        <v>9</v>
      </c>
      <c r="L82">
        <f>VLOOKUP(A82,[6]Hoja1!$D$1:$O$781,11,FALSE)</f>
        <v>10.407477587945175</v>
      </c>
    </row>
    <row r="83" spans="1:12" x14ac:dyDescent="0.2">
      <c r="A83" t="s">
        <v>200</v>
      </c>
      <c r="B83" t="s">
        <v>198</v>
      </c>
      <c r="C83" t="s">
        <v>201</v>
      </c>
      <c r="D83">
        <f>IFERROR(VLOOKUP(A83,[1]Hoja2!$A$1:$E$430,4,FALSE),0)</f>
        <v>0</v>
      </c>
      <c r="E83">
        <f>IFERROR(VLOOKUP(A83,[2]Hoja3!$A$1:$E$410,4,FALSE),0)</f>
        <v>9.0450820000000007</v>
      </c>
      <c r="F83">
        <f>IFERROR(VLOOKUP(A83,[3]Hoja2!$A$1:$E$411,4,FALSE),0)</f>
        <v>9.6282290968000002</v>
      </c>
      <c r="G83">
        <f>VLOOKUP(A83,[4]Hoja1!$D$1:$K$778,7,FALSE)</f>
        <v>10.71</v>
      </c>
      <c r="H83">
        <f>VLOOKUP(A83,[5]Hoja1!$D$1:$K$781,7,FALSE)</f>
        <v>10.71</v>
      </c>
      <c r="I83">
        <f>VLOOKUP(A83,[6]Hoja1!$D$1:$O$781,7,FALSE)</f>
        <v>10.71</v>
      </c>
      <c r="J83">
        <f>VLOOKUP(A83,[6]Hoja1!$D$1:$O$781,8,FALSE)</f>
        <v>10.71</v>
      </c>
      <c r="K83">
        <f>VLOOKUP(A83,[6]Hoja1!$D$1:$O$781,9,FALSE)</f>
        <v>10.71</v>
      </c>
      <c r="L83">
        <f>VLOOKUP(A83,[6]Hoja1!$D$1:$O$781,11,FALSE)</f>
        <v>11</v>
      </c>
    </row>
    <row r="84" spans="1:12" x14ac:dyDescent="0.2">
      <c r="A84" t="s">
        <v>202</v>
      </c>
      <c r="B84" t="s">
        <v>203</v>
      </c>
      <c r="C84" t="s">
        <v>204</v>
      </c>
      <c r="D84">
        <f>IFERROR(VLOOKUP(A84,[1]Hoja2!$A$1:$E$430,4,FALSE),0)</f>
        <v>0</v>
      </c>
      <c r="E84">
        <f>IFERROR(VLOOKUP(A84,[2]Hoja3!$A$1:$E$410,4,FALSE),0)</f>
        <v>9.048</v>
      </c>
      <c r="F84">
        <f>IFERROR(VLOOKUP(A84,[3]Hoja2!$A$1:$E$411,4,FALSE),0)</f>
        <v>0</v>
      </c>
      <c r="G84">
        <f>VLOOKUP(A84,[4]Hoja1!$D$1:$K$778,7,FALSE)</f>
        <v>10.54</v>
      </c>
      <c r="H84">
        <f>VLOOKUP(A84,[5]Hoja1!$D$1:$K$781,7,FALSE)</f>
        <v>10.54</v>
      </c>
      <c r="I84">
        <f>VLOOKUP(A84,[6]Hoja1!$D$1:$O$781,7,FALSE)</f>
        <v>10.54</v>
      </c>
      <c r="J84">
        <f>VLOOKUP(A84,[6]Hoja1!$D$1:$O$781,8,FALSE)</f>
        <v>10.54</v>
      </c>
      <c r="K84">
        <f>VLOOKUP(A84,[6]Hoja1!$D$1:$O$781,9,FALSE)</f>
        <v>10.54</v>
      </c>
      <c r="L84">
        <f>VLOOKUP(A84,[6]Hoja1!$D$1:$O$781,11,FALSE)</f>
        <v>10.54</v>
      </c>
    </row>
    <row r="85" spans="1:12" x14ac:dyDescent="0.2">
      <c r="A85" t="s">
        <v>205</v>
      </c>
      <c r="B85" t="s">
        <v>206</v>
      </c>
      <c r="C85" t="s">
        <v>207</v>
      </c>
      <c r="D85">
        <f>IFERROR(VLOOKUP(A85,[1]Hoja2!$A$1:$E$430,4,FALSE),0)</f>
        <v>0</v>
      </c>
      <c r="E85">
        <f>IFERROR(VLOOKUP(A85,[2]Hoja3!$A$1:$E$410,4,FALSE),0)</f>
        <v>8.01</v>
      </c>
      <c r="F85">
        <f>IFERROR(VLOOKUP(A85,[3]Hoja2!$A$1:$E$411,4,FALSE),0)</f>
        <v>8.01</v>
      </c>
      <c r="G85">
        <f>VLOOKUP(A85,[4]Hoja1!$D$1:$K$778,7,FALSE)</f>
        <v>8.0102597402597393</v>
      </c>
      <c r="H85">
        <f>VLOOKUP(A85,[5]Hoja1!$D$1:$K$781,7,FALSE)</f>
        <v>8.0102597402597411</v>
      </c>
      <c r="I85">
        <f>VLOOKUP(A85,[6]Hoja1!$D$1:$O$781,7,FALSE)</f>
        <v>8.0102597402597411</v>
      </c>
      <c r="J85">
        <f>VLOOKUP(A85,[6]Hoja1!$D$1:$O$781,8,FALSE)</f>
        <v>8.0102597402597411</v>
      </c>
      <c r="K85">
        <f>VLOOKUP(A85,[6]Hoja1!$D$1:$O$781,9,FALSE)</f>
        <v>8.0102597402597411</v>
      </c>
      <c r="L85">
        <f>VLOOKUP(A85,[6]Hoja1!$D$1:$O$781,11,FALSE)</f>
        <v>8.0102597402597411</v>
      </c>
    </row>
    <row r="86" spans="1:12" x14ac:dyDescent="0.2">
      <c r="A86" t="s">
        <v>208</v>
      </c>
      <c r="B86" t="s">
        <v>206</v>
      </c>
      <c r="C86" t="s">
        <v>204</v>
      </c>
      <c r="D86">
        <f>IFERROR(VLOOKUP(A86,[1]Hoja2!$A$1:$E$430,4,FALSE),0)</f>
        <v>0</v>
      </c>
      <c r="E86">
        <f>IFERROR(VLOOKUP(A86,[2]Hoja3!$A$1:$E$410,4,FALSE),0)</f>
        <v>10.89007</v>
      </c>
      <c r="F86">
        <f>IFERROR(VLOOKUP(A86,[3]Hoja2!$A$1:$E$411,4,FALSE),0)</f>
        <v>10.8900013233</v>
      </c>
      <c r="G86">
        <f>VLOOKUP(A86,[4]Hoja1!$D$1:$K$778,7,FALSE)</f>
        <v>11</v>
      </c>
      <c r="H86">
        <f>VLOOKUP(A86,[5]Hoja1!$D$1:$K$781,7,FALSE)</f>
        <v>11</v>
      </c>
      <c r="I86">
        <f>VLOOKUP(A86,[6]Hoja1!$D$1:$O$781,7,FALSE)</f>
        <v>11</v>
      </c>
      <c r="J86">
        <f>VLOOKUP(A86,[6]Hoja1!$D$1:$O$781,8,FALSE)</f>
        <v>11</v>
      </c>
      <c r="K86">
        <f>VLOOKUP(A86,[6]Hoja1!$D$1:$O$781,9,FALSE)</f>
        <v>11</v>
      </c>
      <c r="L86">
        <f>VLOOKUP(A86,[6]Hoja1!$D$1:$O$781,11,FALSE)</f>
        <v>15.84850253507841</v>
      </c>
    </row>
    <row r="87" spans="1:12" x14ac:dyDescent="0.2">
      <c r="A87" t="s">
        <v>209</v>
      </c>
      <c r="B87" t="s">
        <v>210</v>
      </c>
      <c r="C87" t="s">
        <v>207</v>
      </c>
      <c r="D87">
        <f>IFERROR(VLOOKUP(A87,[1]Hoja2!$A$1:$E$430,4,FALSE),0)</f>
        <v>0</v>
      </c>
      <c r="E87">
        <f>IFERROR(VLOOKUP(A87,[2]Hoja3!$A$1:$E$410,4,FALSE),0)</f>
        <v>8.8000000000000007</v>
      </c>
      <c r="F87">
        <f>IFERROR(VLOOKUP(A87,[3]Hoja2!$A$1:$E$411,4,FALSE),0)</f>
        <v>8.8000000000000007</v>
      </c>
      <c r="G87">
        <f>VLOOKUP(A87,[4]Hoja1!$D$1:$K$778,7,FALSE)</f>
        <v>8.8000000000000007</v>
      </c>
      <c r="H87">
        <f>VLOOKUP(A87,[5]Hoja1!$D$1:$K$781,7,FALSE)</f>
        <v>8.8000000000000007</v>
      </c>
      <c r="I87">
        <f>VLOOKUP(A87,[6]Hoja1!$D$1:$O$781,7,FALSE)</f>
        <v>8.8000000000000007</v>
      </c>
      <c r="J87">
        <f>VLOOKUP(A87,[6]Hoja1!$D$1:$O$781,8,FALSE)</f>
        <v>8.8000000000000007</v>
      </c>
      <c r="K87">
        <f>VLOOKUP(A87,[6]Hoja1!$D$1:$O$781,9,FALSE)</f>
        <v>8.8000000000000007</v>
      </c>
      <c r="L87">
        <f>VLOOKUP(A87,[6]Hoja1!$D$1:$O$781,11,FALSE)</f>
        <v>8.8000000000000007</v>
      </c>
    </row>
    <row r="88" spans="1:12" x14ac:dyDescent="0.2">
      <c r="A88" t="s">
        <v>211</v>
      </c>
      <c r="B88" t="s">
        <v>210</v>
      </c>
      <c r="C88" t="s">
        <v>204</v>
      </c>
      <c r="D88">
        <f>IFERROR(VLOOKUP(A88,[1]Hoja2!$A$1:$E$430,4,FALSE),0)</f>
        <v>0</v>
      </c>
      <c r="E88">
        <f>IFERROR(VLOOKUP(A88,[2]Hoja3!$A$1:$E$410,4,FALSE),0)</f>
        <v>10.696752</v>
      </c>
      <c r="F88">
        <f>IFERROR(VLOOKUP(A88,[3]Hoja2!$A$1:$E$411,4,FALSE),0)</f>
        <v>10.4503664369</v>
      </c>
      <c r="G88">
        <f>VLOOKUP(A88,[4]Hoja1!$D$1:$K$778,7,FALSE)</f>
        <v>11.8</v>
      </c>
      <c r="H88">
        <f>VLOOKUP(A88,[5]Hoja1!$D$1:$K$781,7,FALSE)</f>
        <v>11.8</v>
      </c>
      <c r="I88">
        <f>VLOOKUP(A88,[6]Hoja1!$D$1:$O$781,7,FALSE)</f>
        <v>11.8</v>
      </c>
      <c r="J88">
        <f>VLOOKUP(A88,[6]Hoja1!$D$1:$O$781,8,FALSE)</f>
        <v>11.8</v>
      </c>
      <c r="K88">
        <f>VLOOKUP(A88,[6]Hoja1!$D$1:$O$781,9,FALSE)</f>
        <v>11.8</v>
      </c>
      <c r="L88">
        <f>VLOOKUP(A88,[6]Hoja1!$D$1:$O$781,11,FALSE)</f>
        <v>11.8</v>
      </c>
    </row>
    <row r="89" spans="1:12" x14ac:dyDescent="0.2">
      <c r="A89" t="s">
        <v>212</v>
      </c>
      <c r="B89" t="s">
        <v>213</v>
      </c>
      <c r="C89">
        <v>0.1</v>
      </c>
      <c r="D89">
        <f>IFERROR(VLOOKUP(A89,[1]Hoja2!$A$1:$E$430,4,FALSE),0)</f>
        <v>0</v>
      </c>
      <c r="E89">
        <f>IFERROR(VLOOKUP(A89,[2]Hoja3!$A$1:$E$410,4,FALSE),0)</f>
        <v>4.9885840000000004</v>
      </c>
      <c r="F89">
        <f>IFERROR(VLOOKUP(A89,[3]Hoja2!$A$1:$E$411,4,FALSE),0)</f>
        <v>4.9900000798999997</v>
      </c>
      <c r="G89">
        <f>VLOOKUP(A89,[4]Hoja1!$D$1:$K$778,7,FALSE)</f>
        <v>5.2</v>
      </c>
      <c r="H89">
        <f>VLOOKUP(A89,[5]Hoja1!$D$1:$K$781,7,FALSE)</f>
        <v>5.2</v>
      </c>
      <c r="I89">
        <f>VLOOKUP(A89,[6]Hoja1!$D$1:$O$781,7,FALSE)</f>
        <v>5.2</v>
      </c>
      <c r="J89">
        <f>VLOOKUP(A89,[6]Hoja1!$D$1:$O$781,8,FALSE)</f>
        <v>5.2</v>
      </c>
      <c r="K89">
        <f>VLOOKUP(A89,[6]Hoja1!$D$1:$O$781,9,FALSE)</f>
        <v>5.2</v>
      </c>
      <c r="L89">
        <f>VLOOKUP(A89,[6]Hoja1!$D$1:$O$781,11,FALSE)</f>
        <v>5.2425283961654197</v>
      </c>
    </row>
    <row r="90" spans="1:12" x14ac:dyDescent="0.2">
      <c r="A90" t="s">
        <v>214</v>
      </c>
      <c r="B90" t="s">
        <v>215</v>
      </c>
      <c r="C90" t="s">
        <v>216</v>
      </c>
      <c r="D90">
        <f>IFERROR(VLOOKUP(A90,[1]Hoja2!$A$1:$E$430,4,FALSE),0)</f>
        <v>0</v>
      </c>
      <c r="E90">
        <f>IFERROR(VLOOKUP(A90,[2]Hoja3!$A$1:$E$410,4,FALSE),0)</f>
        <v>1.176461</v>
      </c>
      <c r="F90">
        <f>IFERROR(VLOOKUP(A90,[3]Hoja2!$A$1:$E$411,4,FALSE),0)</f>
        <v>1</v>
      </c>
      <c r="G90">
        <f>VLOOKUP(A90,[4]Hoja1!$D$1:$K$778,7,FALSE)</f>
        <v>2.57</v>
      </c>
      <c r="H90">
        <f>VLOOKUP(A90,[5]Hoja1!$D$1:$K$781,7,FALSE)</f>
        <v>2.57</v>
      </c>
      <c r="I90">
        <f>VLOOKUP(A90,[6]Hoja1!$D$1:$O$781,7,FALSE)</f>
        <v>2.57</v>
      </c>
      <c r="J90">
        <f>VLOOKUP(A90,[6]Hoja1!$D$1:$O$781,8,FALSE)</f>
        <v>2.57</v>
      </c>
      <c r="K90">
        <f>VLOOKUP(A90,[6]Hoja1!$D$1:$O$781,9,FALSE)</f>
        <v>2.57</v>
      </c>
      <c r="L90">
        <f>VLOOKUP(A90,[6]Hoja1!$D$1:$O$781,11,FALSE)</f>
        <v>3.4650035457699517</v>
      </c>
    </row>
    <row r="91" spans="1:12" x14ac:dyDescent="0.2">
      <c r="A91" t="s">
        <v>217</v>
      </c>
      <c r="B91" t="s">
        <v>215</v>
      </c>
      <c r="C91" t="s">
        <v>218</v>
      </c>
      <c r="D91">
        <f>IFERROR(VLOOKUP(A91,[1]Hoja2!$A$1:$E$430,4,FALSE),0)</f>
        <v>0</v>
      </c>
      <c r="E91">
        <f>IFERROR(VLOOKUP(A91,[2]Hoja3!$A$1:$E$410,4,FALSE),0)</f>
        <v>6.9</v>
      </c>
      <c r="F91">
        <f>IFERROR(VLOOKUP(A91,[3]Hoja2!$A$1:$E$411,4,FALSE),0)</f>
        <v>6.9</v>
      </c>
      <c r="G91">
        <f>VLOOKUP(A91,[4]Hoja1!$D$1:$K$778,7,FALSE)</f>
        <v>7.01</v>
      </c>
      <c r="H91">
        <f>VLOOKUP(A91,[5]Hoja1!$D$1:$K$781,7,FALSE)</f>
        <v>7.01</v>
      </c>
      <c r="I91">
        <f>VLOOKUP(A91,[6]Hoja1!$D$1:$O$781,7,FALSE)</f>
        <v>7.01</v>
      </c>
      <c r="J91">
        <f>VLOOKUP(A91,[6]Hoja1!$D$1:$O$781,8,FALSE)</f>
        <v>7.01</v>
      </c>
      <c r="K91">
        <f>VLOOKUP(A91,[6]Hoja1!$D$1:$O$781,9,FALSE)</f>
        <v>29.890746934225195</v>
      </c>
      <c r="L91">
        <f>VLOOKUP(A91,[6]Hoja1!$D$1:$O$781,11,FALSE)</f>
        <v>29.890746934225195</v>
      </c>
    </row>
    <row r="92" spans="1:12" x14ac:dyDescent="0.2">
      <c r="A92" t="s">
        <v>219</v>
      </c>
      <c r="B92" t="s">
        <v>220</v>
      </c>
      <c r="C92" t="s">
        <v>221</v>
      </c>
      <c r="D92">
        <f>IFERROR(VLOOKUP(A92,[1]Hoja2!$A$1:$E$430,4,FALSE),0)</f>
        <v>0</v>
      </c>
      <c r="E92">
        <f>IFERROR(VLOOKUP(A92,[2]Hoja3!$A$1:$E$410,4,FALSE),0)</f>
        <v>0</v>
      </c>
      <c r="F92">
        <f>IFERROR(VLOOKUP(A92,[3]Hoja2!$A$1:$E$411,4,FALSE),0)</f>
        <v>0</v>
      </c>
      <c r="G92">
        <f>VLOOKUP(A92,[4]Hoja1!$D$1:$K$778,7,FALSE)</f>
        <v>104.09</v>
      </c>
      <c r="H92">
        <f>VLOOKUP(A92,[5]Hoja1!$D$1:$K$781,7,FALSE)</f>
        <v>104.09</v>
      </c>
      <c r="I92">
        <f>VLOOKUP(A92,[6]Hoja1!$D$1:$O$781,7,FALSE)</f>
        <v>104.09</v>
      </c>
      <c r="J92">
        <f>VLOOKUP(A92,[6]Hoja1!$D$1:$O$781,8,FALSE)</f>
        <v>104.09</v>
      </c>
      <c r="K92">
        <f>VLOOKUP(A92,[6]Hoja1!$D$1:$O$781,9,FALSE)</f>
        <v>104.09</v>
      </c>
      <c r="L92">
        <f>VLOOKUP(A92,[6]Hoja1!$D$1:$O$781,11,FALSE)</f>
        <v>104.09</v>
      </c>
    </row>
    <row r="93" spans="1:12" x14ac:dyDescent="0.2">
      <c r="A93" t="s">
        <v>222</v>
      </c>
      <c r="B93" t="s">
        <v>220</v>
      </c>
      <c r="C93" t="s">
        <v>223</v>
      </c>
      <c r="D93">
        <f>IFERROR(VLOOKUP(A93,[1]Hoja2!$A$1:$E$430,4,FALSE),0)</f>
        <v>0</v>
      </c>
      <c r="E93">
        <f>IFERROR(VLOOKUP(A93,[2]Hoja3!$A$1:$E$410,4,FALSE),0)</f>
        <v>0.52</v>
      </c>
      <c r="F93">
        <f>IFERROR(VLOOKUP(A93,[3]Hoja2!$A$1:$E$411,4,FALSE),0)</f>
        <v>0.34</v>
      </c>
      <c r="G93">
        <f>VLOOKUP(A93,[4]Hoja1!$D$1:$K$778,7,FALSE)</f>
        <v>0.54</v>
      </c>
      <c r="H93">
        <f>VLOOKUP(A93,[5]Hoja1!$D$1:$K$781,7,FALSE)</f>
        <v>0.54</v>
      </c>
      <c r="I93">
        <f>VLOOKUP(A93,[6]Hoja1!$D$1:$O$781,7,FALSE)</f>
        <v>0.54</v>
      </c>
      <c r="J93">
        <f>VLOOKUP(A93,[6]Hoja1!$D$1:$O$781,8,FALSE)</f>
        <v>0.54</v>
      </c>
      <c r="K93">
        <f>VLOOKUP(A93,[6]Hoja1!$D$1:$O$781,9,FALSE)</f>
        <v>0.54</v>
      </c>
      <c r="L93">
        <f>VLOOKUP(A93,[6]Hoja1!$D$1:$O$781,11,FALSE)</f>
        <v>1.0113343929575742</v>
      </c>
    </row>
    <row r="94" spans="1:12" x14ac:dyDescent="0.2">
      <c r="A94" t="s">
        <v>224</v>
      </c>
      <c r="B94" t="s">
        <v>225</v>
      </c>
      <c r="C94" t="s">
        <v>16</v>
      </c>
      <c r="D94">
        <f>IFERROR(VLOOKUP(A94,[1]Hoja2!$A$1:$E$430,4,FALSE),0)</f>
        <v>0</v>
      </c>
      <c r="E94">
        <f>IFERROR(VLOOKUP(A94,[2]Hoja3!$A$1:$E$410,4,FALSE),0)</f>
        <v>6</v>
      </c>
      <c r="F94">
        <f>IFERROR(VLOOKUP(A94,[3]Hoja2!$A$1:$E$411,4,FALSE),0)</f>
        <v>5.9</v>
      </c>
      <c r="G94">
        <f>VLOOKUP(A94,[4]Hoja1!$D$1:$K$778,7,FALSE)</f>
        <v>6.89</v>
      </c>
      <c r="H94">
        <f>VLOOKUP(A94,[5]Hoja1!$D$1:$K$781,7,FALSE)</f>
        <v>6.89</v>
      </c>
      <c r="I94">
        <f>VLOOKUP(A94,[6]Hoja1!$D$1:$O$781,7,FALSE)</f>
        <v>6.89</v>
      </c>
      <c r="J94">
        <f>VLOOKUP(A94,[6]Hoja1!$D$1:$O$781,8,FALSE)</f>
        <v>6.89</v>
      </c>
      <c r="K94">
        <f>VLOOKUP(A94,[6]Hoja1!$D$1:$O$781,9,FALSE)</f>
        <v>6.89</v>
      </c>
      <c r="L94">
        <f>VLOOKUP(A94,[6]Hoja1!$D$1:$O$781,11,FALSE)</f>
        <v>6.89</v>
      </c>
    </row>
    <row r="95" spans="1:12" x14ac:dyDescent="0.2">
      <c r="A95" t="s">
        <v>226</v>
      </c>
      <c r="B95" t="s">
        <v>227</v>
      </c>
      <c r="C95" t="s">
        <v>6</v>
      </c>
      <c r="D95">
        <f>IFERROR(VLOOKUP(A95,[1]Hoja2!$A$1:$E$430,4,FALSE),0)</f>
        <v>0</v>
      </c>
      <c r="E95">
        <f>IFERROR(VLOOKUP(A95,[2]Hoja3!$A$1:$E$410,4,FALSE),0)</f>
        <v>1.9</v>
      </c>
      <c r="F95">
        <f>IFERROR(VLOOKUP(A95,[3]Hoja2!$A$1:$E$411,4,FALSE),0)</f>
        <v>0</v>
      </c>
      <c r="G95">
        <f>VLOOKUP(A95,[4]Hoja1!$D$1:$K$778,7,FALSE)</f>
        <v>2.1507142857142898</v>
      </c>
      <c r="H95">
        <f>VLOOKUP(A95,[5]Hoja1!$D$1:$K$781,7,FALSE)</f>
        <v>2.1507142857142858</v>
      </c>
      <c r="I95">
        <f>VLOOKUP(A95,[6]Hoja1!$D$1:$O$781,7,FALSE)</f>
        <v>2.1507142857142858</v>
      </c>
      <c r="J95">
        <f>VLOOKUP(A95,[6]Hoja1!$D$1:$O$781,8,FALSE)</f>
        <v>2.1507142857142858</v>
      </c>
      <c r="K95">
        <f>VLOOKUP(A95,[6]Hoja1!$D$1:$O$781,9,FALSE)</f>
        <v>2.1507142857142858</v>
      </c>
      <c r="L95">
        <f>VLOOKUP(A95,[6]Hoja1!$D$1:$O$781,11,FALSE)</f>
        <v>2.1507142857142858</v>
      </c>
    </row>
    <row r="96" spans="1:12" x14ac:dyDescent="0.2">
      <c r="A96" t="s">
        <v>228</v>
      </c>
      <c r="B96" t="s">
        <v>229</v>
      </c>
      <c r="C96" t="s">
        <v>11</v>
      </c>
      <c r="D96">
        <f>IFERROR(VLOOKUP(A96,[1]Hoja2!$A$1:$E$430,4,FALSE),0)</f>
        <v>0</v>
      </c>
      <c r="E96">
        <f>IFERROR(VLOOKUP(A96,[2]Hoja3!$A$1:$E$410,4,FALSE),0)</f>
        <v>1.25</v>
      </c>
      <c r="F96">
        <f>IFERROR(VLOOKUP(A96,[3]Hoja2!$A$1:$E$411,4,FALSE),0)</f>
        <v>1.25</v>
      </c>
      <c r="G96">
        <f>VLOOKUP(A96,[4]Hoja1!$D$1:$K$778,7,FALSE)</f>
        <v>2.82</v>
      </c>
      <c r="H96">
        <f>VLOOKUP(A96,[5]Hoja1!$D$1:$K$781,7,FALSE)</f>
        <v>2.82</v>
      </c>
      <c r="I96">
        <f>VLOOKUP(A96,[6]Hoja1!$D$1:$O$781,7,FALSE)</f>
        <v>2.82</v>
      </c>
      <c r="J96">
        <f>VLOOKUP(A96,[6]Hoja1!$D$1:$O$781,8,FALSE)</f>
        <v>2.82</v>
      </c>
      <c r="K96">
        <f>VLOOKUP(A96,[6]Hoja1!$D$1:$O$781,9,FALSE)</f>
        <v>2.82</v>
      </c>
      <c r="L96">
        <f>VLOOKUP(A96,[6]Hoja1!$D$1:$O$781,11,FALSE)</f>
        <v>2.82</v>
      </c>
    </row>
    <row r="97" spans="1:12" x14ac:dyDescent="0.2">
      <c r="A97" t="s">
        <v>230</v>
      </c>
      <c r="B97" t="s">
        <v>231</v>
      </c>
      <c r="C97" t="s">
        <v>232</v>
      </c>
      <c r="D97">
        <f>IFERROR(VLOOKUP(A97,[1]Hoja2!$A$1:$E$430,4,FALSE),0)</f>
        <v>0</v>
      </c>
      <c r="E97">
        <f>IFERROR(VLOOKUP(A97,[2]Hoja3!$A$1:$E$410,4,FALSE),0)</f>
        <v>1.204642</v>
      </c>
      <c r="F97">
        <f>IFERROR(VLOOKUP(A97,[3]Hoja2!$A$1:$E$411,4,FALSE),0)</f>
        <v>1.20475</v>
      </c>
      <c r="G97">
        <f>VLOOKUP(A97,[4]Hoja1!$D$1:$K$778,7,FALSE)</f>
        <v>1.66</v>
      </c>
      <c r="H97">
        <f>VLOOKUP(A97,[5]Hoja1!$D$1:$K$781,7,FALSE)</f>
        <v>1.66</v>
      </c>
      <c r="I97">
        <f>VLOOKUP(A97,[6]Hoja1!$D$1:$O$781,7,FALSE)</f>
        <v>1.66</v>
      </c>
      <c r="J97">
        <f>VLOOKUP(A97,[6]Hoja1!$D$1:$O$781,8,FALSE)</f>
        <v>1.66</v>
      </c>
      <c r="K97">
        <f>VLOOKUP(A97,[6]Hoja1!$D$1:$O$781,9,FALSE)</f>
        <v>1.66</v>
      </c>
      <c r="L97">
        <f>VLOOKUP(A97,[6]Hoja1!$D$1:$O$781,11,FALSE)</f>
        <v>2.209186694686601</v>
      </c>
    </row>
    <row r="98" spans="1:12" x14ac:dyDescent="0.2">
      <c r="A98" t="s">
        <v>233</v>
      </c>
      <c r="B98" t="s">
        <v>234</v>
      </c>
      <c r="C98" t="s">
        <v>38</v>
      </c>
      <c r="D98">
        <f>IFERROR(VLOOKUP(A98,[1]Hoja2!$A$1:$E$430,4,FALSE),0)</f>
        <v>0</v>
      </c>
      <c r="E98">
        <f>IFERROR(VLOOKUP(A98,[2]Hoja3!$A$1:$E$410,4,FALSE),0)</f>
        <v>1.183894</v>
      </c>
      <c r="F98">
        <f>IFERROR(VLOOKUP(A98,[3]Hoja2!$A$1:$E$411,4,FALSE),0)</f>
        <v>0.80445429219999998</v>
      </c>
      <c r="G98">
        <f>VLOOKUP(A98,[4]Hoja1!$D$1:$K$778,7,FALSE)</f>
        <v>1.8</v>
      </c>
      <c r="H98">
        <f>VLOOKUP(A98,[5]Hoja1!$D$1:$K$781,7,FALSE)</f>
        <v>1.8</v>
      </c>
      <c r="I98">
        <f>VLOOKUP(A98,[6]Hoja1!$D$1:$O$781,7,FALSE)</f>
        <v>1.8</v>
      </c>
      <c r="J98">
        <f>VLOOKUP(A98,[6]Hoja1!$D$1:$O$781,8,FALSE)</f>
        <v>1.8</v>
      </c>
      <c r="K98">
        <f>VLOOKUP(A98,[6]Hoja1!$D$1:$O$781,9,FALSE)</f>
        <v>1.8</v>
      </c>
      <c r="L98">
        <f>VLOOKUP(A98,[6]Hoja1!$D$1:$O$781,11,FALSE)</f>
        <v>1.8</v>
      </c>
    </row>
    <row r="99" spans="1:12" x14ac:dyDescent="0.2">
      <c r="A99" t="s">
        <v>235</v>
      </c>
      <c r="B99" t="s">
        <v>236</v>
      </c>
      <c r="C99" t="s">
        <v>237</v>
      </c>
      <c r="D99">
        <f>IFERROR(VLOOKUP(A99,[1]Hoja2!$A$1:$E$430,4,FALSE),0)</f>
        <v>0</v>
      </c>
      <c r="E99">
        <f>IFERROR(VLOOKUP(A99,[2]Hoja3!$A$1:$E$410,4,FALSE),0)</f>
        <v>0.17199</v>
      </c>
      <c r="F99">
        <f>IFERROR(VLOOKUP(A99,[3]Hoja2!$A$1:$E$411,4,FALSE),0)</f>
        <v>0.19</v>
      </c>
      <c r="G99">
        <f>VLOOKUP(A99,[4]Hoja1!$D$1:$K$778,7,FALSE)</f>
        <v>0.33</v>
      </c>
      <c r="H99">
        <f>VLOOKUP(A99,[5]Hoja1!$D$1:$K$781,7,FALSE)</f>
        <v>0.33</v>
      </c>
      <c r="I99">
        <f>VLOOKUP(A99,[6]Hoja1!$D$1:$O$781,7,FALSE)</f>
        <v>0.33</v>
      </c>
      <c r="J99">
        <f>VLOOKUP(A99,[6]Hoja1!$D$1:$O$781,8,FALSE)</f>
        <v>0.33</v>
      </c>
      <c r="K99">
        <f>VLOOKUP(A99,[6]Hoja1!$D$1:$O$781,9,FALSE)</f>
        <v>0.33</v>
      </c>
      <c r="L99">
        <f>VLOOKUP(A99,[6]Hoja1!$D$1:$O$781,11,FALSE)</f>
        <v>0.61728286769944896</v>
      </c>
    </row>
    <row r="100" spans="1:12" x14ac:dyDescent="0.2">
      <c r="A100" t="s">
        <v>238</v>
      </c>
      <c r="B100" t="s">
        <v>236</v>
      </c>
      <c r="C100" t="s">
        <v>146</v>
      </c>
      <c r="D100">
        <f>IFERROR(VLOOKUP(A100,[1]Hoja2!$A$1:$E$430,4,FALSE),0)</f>
        <v>0</v>
      </c>
      <c r="E100">
        <f>IFERROR(VLOOKUP(A100,[2]Hoja3!$A$1:$E$410,4,FALSE),0)</f>
        <v>1.787857</v>
      </c>
      <c r="F100">
        <f>IFERROR(VLOOKUP(A100,[3]Hoja2!$A$1:$E$411,4,FALSE),0)</f>
        <v>1.7999560036</v>
      </c>
      <c r="G100">
        <f>VLOOKUP(A100,[4]Hoja1!$D$1:$K$778,7,FALSE)</f>
        <v>1.8</v>
      </c>
      <c r="H100">
        <f>VLOOKUP(A100,[5]Hoja1!$D$1:$K$781,7,FALSE)</f>
        <v>1.8</v>
      </c>
      <c r="I100">
        <f>VLOOKUP(A100,[6]Hoja1!$D$1:$O$781,7,FALSE)</f>
        <v>1.8</v>
      </c>
      <c r="J100">
        <f>VLOOKUP(A100,[6]Hoja1!$D$1:$O$781,8,FALSE)</f>
        <v>1.8</v>
      </c>
      <c r="K100">
        <f>VLOOKUP(A100,[6]Hoja1!$D$1:$O$781,9,FALSE)</f>
        <v>1.8</v>
      </c>
      <c r="L100">
        <f>VLOOKUP(A100,[6]Hoja1!$D$1:$O$781,11,FALSE)</f>
        <v>2.7590709280915191</v>
      </c>
    </row>
    <row r="101" spans="1:12" x14ac:dyDescent="0.2">
      <c r="A101" t="s">
        <v>239</v>
      </c>
      <c r="B101" t="s">
        <v>240</v>
      </c>
      <c r="C101" t="s">
        <v>11</v>
      </c>
      <c r="D101">
        <f>IFERROR(VLOOKUP(A101,[1]Hoja2!$A$1:$E$430,4,FALSE),0)</f>
        <v>0</v>
      </c>
      <c r="E101">
        <f>IFERROR(VLOOKUP(A101,[2]Hoja3!$A$1:$E$410,4,FALSE),0)</f>
        <v>0.15606900000000001</v>
      </c>
      <c r="F101">
        <f>IFERROR(VLOOKUP(A101,[3]Hoja2!$A$1:$E$411,4,FALSE),0)</f>
        <v>0.1500033086</v>
      </c>
      <c r="G101">
        <f>VLOOKUP(A101,[4]Hoja1!$D$1:$K$778,7,FALSE)</f>
        <v>0.78</v>
      </c>
      <c r="H101">
        <f>VLOOKUP(A101,[5]Hoja1!$D$1:$K$781,7,FALSE)</f>
        <v>0.78</v>
      </c>
      <c r="I101">
        <f>VLOOKUP(A101,[6]Hoja1!$D$1:$O$781,7,FALSE)</f>
        <v>0.78</v>
      </c>
      <c r="J101">
        <f>VLOOKUP(A101,[6]Hoja1!$D$1:$O$781,8,FALSE)</f>
        <v>0.78</v>
      </c>
      <c r="K101">
        <f>VLOOKUP(A101,[6]Hoja1!$D$1:$O$781,9,FALSE)</f>
        <v>0.78</v>
      </c>
      <c r="L101">
        <f>VLOOKUP(A101,[6]Hoja1!$D$1:$O$781,11,FALSE)</f>
        <v>0.78</v>
      </c>
    </row>
    <row r="102" spans="1:12" x14ac:dyDescent="0.2">
      <c r="A102" t="s">
        <v>241</v>
      </c>
      <c r="B102" t="s">
        <v>242</v>
      </c>
      <c r="C102" t="s">
        <v>243</v>
      </c>
      <c r="D102">
        <f>IFERROR(VLOOKUP(A102,[1]Hoja2!$A$1:$E$430,4,FALSE),0)</f>
        <v>0</v>
      </c>
      <c r="E102">
        <f>IFERROR(VLOOKUP(A102,[2]Hoja3!$A$1:$E$410,4,FALSE),0)</f>
        <v>0.74930600000000003</v>
      </c>
      <c r="F102">
        <f>IFERROR(VLOOKUP(A102,[3]Hoja2!$A$1:$E$411,4,FALSE),0)</f>
        <v>0.74930600000000003</v>
      </c>
      <c r="G102">
        <f>VLOOKUP(A102,[4]Hoja1!$D$1:$K$778,7,FALSE)</f>
        <v>1.23</v>
      </c>
      <c r="H102">
        <f>VLOOKUP(A102,[5]Hoja1!$D$1:$K$781,7,FALSE)</f>
        <v>1.23</v>
      </c>
      <c r="I102">
        <f>VLOOKUP(A102,[6]Hoja1!$D$1:$O$781,7,FALSE)</f>
        <v>1.23</v>
      </c>
      <c r="J102">
        <f>VLOOKUP(A102,[6]Hoja1!$D$1:$O$781,8,FALSE)</f>
        <v>1.23</v>
      </c>
      <c r="K102">
        <f>VLOOKUP(A102,[6]Hoja1!$D$1:$O$781,9,FALSE)</f>
        <v>1.23</v>
      </c>
      <c r="L102">
        <f>VLOOKUP(A102,[6]Hoja1!$D$1:$O$781,11,FALSE)</f>
        <v>1.23</v>
      </c>
    </row>
    <row r="103" spans="1:12" x14ac:dyDescent="0.2">
      <c r="A103" t="s">
        <v>244</v>
      </c>
      <c r="B103" t="s">
        <v>245</v>
      </c>
      <c r="C103" t="s">
        <v>52</v>
      </c>
      <c r="D103">
        <f>IFERROR(VLOOKUP(A103,[1]Hoja2!$A$1:$E$430,4,FALSE),0)</f>
        <v>0</v>
      </c>
      <c r="E103">
        <f>IFERROR(VLOOKUP(A103,[2]Hoja3!$A$1:$E$410,4,FALSE),0)</f>
        <v>3.0077159999999998</v>
      </c>
      <c r="F103">
        <f>IFERROR(VLOOKUP(A103,[3]Hoja2!$A$1:$E$411,4,FALSE),0)</f>
        <v>3</v>
      </c>
      <c r="G103">
        <f>VLOOKUP(A103,[4]Hoja1!$D$1:$K$778,7,FALSE)</f>
        <v>3.0282142857142902</v>
      </c>
      <c r="H103">
        <f>VLOOKUP(A103,[5]Hoja1!$D$1:$K$781,7,FALSE)</f>
        <v>3.0282142857142857</v>
      </c>
      <c r="I103">
        <f>VLOOKUP(A103,[6]Hoja1!$D$1:$O$781,7,FALSE)</f>
        <v>3.0282142857142857</v>
      </c>
      <c r="J103">
        <f>VLOOKUP(A103,[6]Hoja1!$D$1:$O$781,8,FALSE)</f>
        <v>3.0282142857142857</v>
      </c>
      <c r="K103">
        <f>VLOOKUP(A103,[6]Hoja1!$D$1:$O$781,9,FALSE)</f>
        <v>3.0282142857142857</v>
      </c>
      <c r="L103">
        <f>VLOOKUP(A103,[6]Hoja1!$D$1:$O$781,11,FALSE)</f>
        <v>3.0282142857142857</v>
      </c>
    </row>
    <row r="104" spans="1:12" x14ac:dyDescent="0.2">
      <c r="A104" t="s">
        <v>246</v>
      </c>
      <c r="B104" t="s">
        <v>245</v>
      </c>
      <c r="C104" t="s">
        <v>52</v>
      </c>
      <c r="D104">
        <f>IFERROR(VLOOKUP(A104,[1]Hoja2!$A$1:$E$430,4,FALSE),0)</f>
        <v>0</v>
      </c>
      <c r="E104">
        <f>IFERROR(VLOOKUP(A104,[2]Hoja3!$A$1:$E$410,4,FALSE),0)</f>
        <v>42.04</v>
      </c>
      <c r="F104">
        <f>IFERROR(VLOOKUP(A104,[3]Hoja2!$A$1:$E$411,4,FALSE),0)</f>
        <v>42.05</v>
      </c>
      <c r="G104">
        <f>VLOOKUP(A104,[4]Hoja1!$D$1:$K$778,7,FALSE)</f>
        <v>42.05</v>
      </c>
      <c r="H104">
        <f>VLOOKUP(A104,[5]Hoja1!$D$1:$K$781,7,FALSE)</f>
        <v>42.05</v>
      </c>
      <c r="I104">
        <f>VLOOKUP(A104,[6]Hoja1!$D$1:$O$781,7,FALSE)</f>
        <v>42.05</v>
      </c>
      <c r="J104">
        <f>VLOOKUP(A104,[6]Hoja1!$D$1:$O$781,8,FALSE)</f>
        <v>42.05</v>
      </c>
      <c r="K104">
        <f>VLOOKUP(A104,[6]Hoja1!$D$1:$O$781,9,FALSE)</f>
        <v>42.05</v>
      </c>
      <c r="L104">
        <f>VLOOKUP(A104,[6]Hoja1!$D$1:$O$781,11,FALSE)</f>
        <v>42.05</v>
      </c>
    </row>
    <row r="105" spans="1:12" x14ac:dyDescent="0.2">
      <c r="A105" t="s">
        <v>247</v>
      </c>
      <c r="B105" t="s">
        <v>248</v>
      </c>
      <c r="C105" t="s">
        <v>38</v>
      </c>
      <c r="D105">
        <f>IFERROR(VLOOKUP(A105,[1]Hoja2!$A$1:$E$430,4,FALSE),0)</f>
        <v>0</v>
      </c>
      <c r="E105">
        <f>IFERROR(VLOOKUP(A105,[2]Hoja3!$A$1:$E$410,4,FALSE),0)</f>
        <v>0.269376</v>
      </c>
      <c r="F105">
        <f>IFERROR(VLOOKUP(A105,[3]Hoja2!$A$1:$E$411,4,FALSE),0)</f>
        <v>0.269365417</v>
      </c>
      <c r="G105">
        <f>VLOOKUP(A105,[4]Hoja1!$D$1:$K$778,7,FALSE)</f>
        <v>0.57999999999999996</v>
      </c>
      <c r="H105">
        <f>VLOOKUP(A105,[5]Hoja1!$D$1:$K$781,7,FALSE)</f>
        <v>0.57999999999999996</v>
      </c>
      <c r="I105">
        <f>VLOOKUP(A105,[6]Hoja1!$D$1:$O$781,7,FALSE)</f>
        <v>0.57999999999999996</v>
      </c>
      <c r="J105">
        <f>VLOOKUP(A105,[6]Hoja1!$D$1:$O$781,8,FALSE)</f>
        <v>0.57999999999999996</v>
      </c>
      <c r="K105">
        <f>VLOOKUP(A105,[6]Hoja1!$D$1:$O$781,9,FALSE)</f>
        <v>0.57999999999999996</v>
      </c>
      <c r="L105">
        <f>VLOOKUP(A105,[6]Hoja1!$D$1:$O$781,11,FALSE)</f>
        <v>0.57999999999999996</v>
      </c>
    </row>
    <row r="106" spans="1:12" x14ac:dyDescent="0.2">
      <c r="A106" t="s">
        <v>249</v>
      </c>
      <c r="B106" t="s">
        <v>250</v>
      </c>
      <c r="C106" t="s">
        <v>237</v>
      </c>
      <c r="D106">
        <f>IFERROR(VLOOKUP(A106,[1]Hoja2!$A$1:$E$430,4,FALSE),0)</f>
        <v>0</v>
      </c>
      <c r="E106">
        <f>IFERROR(VLOOKUP(A106,[2]Hoja3!$A$1:$E$410,4,FALSE),0)</f>
        <v>0.3</v>
      </c>
      <c r="F106">
        <f>IFERROR(VLOOKUP(A106,[3]Hoja2!$A$1:$E$411,4,FALSE),0)</f>
        <v>0.29979020979999998</v>
      </c>
      <c r="G106">
        <f>VLOOKUP(A106,[4]Hoja1!$D$1:$K$778,7,FALSE)</f>
        <v>0.33250000000000002</v>
      </c>
      <c r="H106">
        <f>VLOOKUP(A106,[5]Hoja1!$D$1:$K$781,7,FALSE)</f>
        <v>0.33250000000000002</v>
      </c>
      <c r="I106">
        <f>VLOOKUP(A106,[6]Hoja1!$D$1:$O$781,7,FALSE)</f>
        <v>0.33250000000000002</v>
      </c>
      <c r="J106">
        <f>VLOOKUP(A106,[6]Hoja1!$D$1:$O$781,8,FALSE)</f>
        <v>0.33250000000000002</v>
      </c>
      <c r="K106">
        <f>VLOOKUP(A106,[6]Hoja1!$D$1:$O$781,9,FALSE)</f>
        <v>0.33250000000000002</v>
      </c>
      <c r="L106">
        <f>VLOOKUP(A106,[6]Hoja1!$D$1:$O$781,11,FALSE)</f>
        <v>0.33250000000000002</v>
      </c>
    </row>
    <row r="107" spans="1:12" x14ac:dyDescent="0.2">
      <c r="A107" t="s">
        <v>251</v>
      </c>
      <c r="B107" t="s">
        <v>252</v>
      </c>
      <c r="C107" t="s">
        <v>253</v>
      </c>
      <c r="D107">
        <f>IFERROR(VLOOKUP(A107,[1]Hoja2!$A$1:$E$430,4,FALSE),0)</f>
        <v>0</v>
      </c>
      <c r="E107">
        <f>IFERROR(VLOOKUP(A107,[2]Hoja3!$A$1:$E$410,4,FALSE),0)</f>
        <v>0.45024700000000001</v>
      </c>
      <c r="F107">
        <f>IFERROR(VLOOKUP(A107,[3]Hoja2!$A$1:$E$411,4,FALSE),0)</f>
        <v>0.44007471990000002</v>
      </c>
      <c r="G107">
        <f>VLOOKUP(A107,[4]Hoja1!$D$1:$K$778,7,FALSE)</f>
        <v>1.93</v>
      </c>
      <c r="H107">
        <f>VLOOKUP(A107,[5]Hoja1!$D$1:$K$781,7,FALSE)</f>
        <v>1.93</v>
      </c>
      <c r="I107">
        <f>VLOOKUP(A107,[6]Hoja1!$D$1:$O$781,7,FALSE)</f>
        <v>1.93</v>
      </c>
      <c r="J107">
        <f>VLOOKUP(A107,[6]Hoja1!$D$1:$O$781,8,FALSE)</f>
        <v>1.93</v>
      </c>
      <c r="K107">
        <f>VLOOKUP(A107,[6]Hoja1!$D$1:$O$781,9,FALSE)</f>
        <v>1.93</v>
      </c>
      <c r="L107">
        <f>VLOOKUP(A107,[6]Hoja1!$D$1:$O$781,11,FALSE)</f>
        <v>2.269083716752573</v>
      </c>
    </row>
    <row r="108" spans="1:12" x14ac:dyDescent="0.2">
      <c r="A108" t="s">
        <v>254</v>
      </c>
      <c r="B108" t="s">
        <v>252</v>
      </c>
      <c r="C108" t="s">
        <v>255</v>
      </c>
      <c r="D108">
        <f>IFERROR(VLOOKUP(A108,[1]Hoja2!$A$1:$E$430,4,FALSE),0)</f>
        <v>0</v>
      </c>
      <c r="E108">
        <f>IFERROR(VLOOKUP(A108,[2]Hoja3!$A$1:$E$410,4,FALSE),0)</f>
        <v>0.97602500000000003</v>
      </c>
      <c r="F108">
        <f>IFERROR(VLOOKUP(A108,[3]Hoja2!$A$1:$E$411,4,FALSE),0)</f>
        <v>0.98</v>
      </c>
      <c r="G108">
        <f>VLOOKUP(A108,[4]Hoja1!$D$1:$K$778,7,FALSE)</f>
        <v>2.12</v>
      </c>
      <c r="H108">
        <f>VLOOKUP(A108,[5]Hoja1!$D$1:$K$781,7,FALSE)</f>
        <v>2.12</v>
      </c>
      <c r="I108">
        <f>VLOOKUP(A108,[6]Hoja1!$D$1:$O$781,7,FALSE)</f>
        <v>2.12</v>
      </c>
      <c r="J108">
        <f>VLOOKUP(A108,[6]Hoja1!$D$1:$O$781,8,FALSE)</f>
        <v>2.12</v>
      </c>
      <c r="K108">
        <f>VLOOKUP(A108,[6]Hoja1!$D$1:$O$781,9,FALSE)</f>
        <v>2.12</v>
      </c>
      <c r="L108">
        <f>VLOOKUP(A108,[6]Hoja1!$D$1:$O$781,11,FALSE)</f>
        <v>2.6639435678646279</v>
      </c>
    </row>
    <row r="109" spans="1:12" x14ac:dyDescent="0.2">
      <c r="A109" t="s">
        <v>256</v>
      </c>
      <c r="B109" t="s">
        <v>257</v>
      </c>
      <c r="C109" t="s">
        <v>49</v>
      </c>
      <c r="D109">
        <f>IFERROR(VLOOKUP(A109,[1]Hoja2!$A$1:$E$430,4,FALSE),0)</f>
        <v>0</v>
      </c>
      <c r="E109">
        <f>IFERROR(VLOOKUP(A109,[2]Hoja3!$A$1:$E$410,4,FALSE),0)</f>
        <v>2.2210100000000002</v>
      </c>
      <c r="F109">
        <f>IFERROR(VLOOKUP(A109,[3]Hoja2!$A$1:$E$411,4,FALSE),0)</f>
        <v>0.73950579039999997</v>
      </c>
      <c r="G109">
        <f>VLOOKUP(A109,[4]Hoja1!$D$1:$K$778,7,FALSE)</f>
        <v>2.96</v>
      </c>
      <c r="H109">
        <f>VLOOKUP(A109,[5]Hoja1!$D$1:$K$781,7,FALSE)</f>
        <v>2.96</v>
      </c>
      <c r="I109">
        <f>VLOOKUP(A109,[6]Hoja1!$D$1:$O$781,7,FALSE)</f>
        <v>2.96</v>
      </c>
      <c r="J109">
        <f>VLOOKUP(A109,[6]Hoja1!$D$1:$O$781,8,FALSE)</f>
        <v>2.96</v>
      </c>
      <c r="K109">
        <f>VLOOKUP(A109,[6]Hoja1!$D$1:$O$781,9,FALSE)</f>
        <v>2.96</v>
      </c>
      <c r="L109">
        <f>VLOOKUP(A109,[6]Hoja1!$D$1:$O$781,11,FALSE)</f>
        <v>2.96</v>
      </c>
    </row>
    <row r="110" spans="1:12" x14ac:dyDescent="0.2">
      <c r="A110" t="s">
        <v>258</v>
      </c>
      <c r="B110" t="s">
        <v>259</v>
      </c>
      <c r="C110" t="s">
        <v>260</v>
      </c>
      <c r="D110">
        <f>IFERROR(VLOOKUP(A110,[1]Hoja2!$A$1:$E$430,4,FALSE),0)</f>
        <v>0</v>
      </c>
      <c r="E110">
        <f>IFERROR(VLOOKUP(A110,[2]Hoja3!$A$1:$E$410,4,FALSE),0)</f>
        <v>0.389434</v>
      </c>
      <c r="F110">
        <f>IFERROR(VLOOKUP(A110,[3]Hoja2!$A$1:$E$411,4,FALSE),0)</f>
        <v>0.35294545820000001</v>
      </c>
      <c r="G110">
        <f>VLOOKUP(A110,[4]Hoja1!$D$1:$K$778,7,FALSE)</f>
        <v>0.93</v>
      </c>
      <c r="H110">
        <f>VLOOKUP(A110,[5]Hoja1!$D$1:$K$781,7,FALSE)</f>
        <v>0.93</v>
      </c>
      <c r="I110">
        <f>VLOOKUP(A110,[6]Hoja1!$D$1:$O$781,7,FALSE)</f>
        <v>0.93</v>
      </c>
      <c r="J110">
        <f>VLOOKUP(A110,[6]Hoja1!$D$1:$O$781,8,FALSE)</f>
        <v>0.93</v>
      </c>
      <c r="K110">
        <f>VLOOKUP(A110,[6]Hoja1!$D$1:$O$781,9,FALSE)</f>
        <v>0.93</v>
      </c>
      <c r="L110">
        <f>VLOOKUP(A110,[6]Hoja1!$D$1:$O$781,11,FALSE)</f>
        <v>0.93</v>
      </c>
    </row>
    <row r="111" spans="1:12" x14ac:dyDescent="0.2">
      <c r="A111" t="s">
        <v>261</v>
      </c>
      <c r="B111" t="s">
        <v>262</v>
      </c>
      <c r="C111" t="s">
        <v>19</v>
      </c>
      <c r="D111">
        <f>IFERROR(VLOOKUP(A111,[1]Hoja2!$A$1:$E$430,4,FALSE),0)</f>
        <v>0</v>
      </c>
      <c r="E111">
        <f>IFERROR(VLOOKUP(A111,[2]Hoja3!$A$1:$E$410,4,FALSE),0)</f>
        <v>0.13</v>
      </c>
      <c r="F111">
        <f>IFERROR(VLOOKUP(A111,[3]Hoja2!$A$1:$E$411,4,FALSE),0)</f>
        <v>0.13</v>
      </c>
      <c r="G111">
        <f>VLOOKUP(A111,[4]Hoja1!$D$1:$K$778,7,FALSE)</f>
        <v>0.63</v>
      </c>
      <c r="H111">
        <f>VLOOKUP(A111,[5]Hoja1!$D$1:$K$781,7,FALSE)</f>
        <v>0.63</v>
      </c>
      <c r="I111">
        <f>VLOOKUP(A111,[6]Hoja1!$D$1:$O$781,7,FALSE)</f>
        <v>0.63</v>
      </c>
      <c r="J111">
        <f>VLOOKUP(A111,[6]Hoja1!$D$1:$O$781,8,FALSE)</f>
        <v>0.63</v>
      </c>
      <c r="K111">
        <f>VLOOKUP(A111,[6]Hoja1!$D$1:$O$781,9,FALSE)</f>
        <v>0.63</v>
      </c>
      <c r="L111">
        <f>VLOOKUP(A111,[6]Hoja1!$D$1:$O$781,11,FALSE)</f>
        <v>1.1205499009732129</v>
      </c>
    </row>
    <row r="112" spans="1:12" x14ac:dyDescent="0.2">
      <c r="A112" t="s">
        <v>263</v>
      </c>
      <c r="B112" t="s">
        <v>264</v>
      </c>
      <c r="C112" t="s">
        <v>19</v>
      </c>
      <c r="D112">
        <f>IFERROR(VLOOKUP(A112,[1]Hoja2!$A$1:$E$430,4,FALSE),0)</f>
        <v>0</v>
      </c>
      <c r="E112">
        <f>IFERROR(VLOOKUP(A112,[2]Hoja3!$A$1:$E$410,4,FALSE),0)</f>
        <v>0.2</v>
      </c>
      <c r="F112">
        <f>IFERROR(VLOOKUP(A112,[3]Hoja2!$A$1:$E$411,4,FALSE),0)</f>
        <v>0.14001199759999999</v>
      </c>
      <c r="G112">
        <f>VLOOKUP(A112,[4]Hoja1!$D$1:$K$778,7,FALSE)</f>
        <v>0.24</v>
      </c>
      <c r="H112">
        <f>VLOOKUP(A112,[5]Hoja1!$D$1:$K$781,7,FALSE)</f>
        <v>0.24</v>
      </c>
      <c r="I112">
        <f>VLOOKUP(A112,[6]Hoja1!$D$1:$O$781,7,FALSE)</f>
        <v>0.24</v>
      </c>
      <c r="J112">
        <f>VLOOKUP(A112,[6]Hoja1!$D$1:$O$781,8,FALSE)</f>
        <v>0.24</v>
      </c>
      <c r="K112">
        <f>VLOOKUP(A112,[6]Hoja1!$D$1:$O$781,9,FALSE)</f>
        <v>0.24</v>
      </c>
      <c r="L112">
        <f>VLOOKUP(A112,[6]Hoja1!$D$1:$O$781,11,FALSE)</f>
        <v>0.24</v>
      </c>
    </row>
    <row r="113" spans="1:12" x14ac:dyDescent="0.2">
      <c r="A113" t="s">
        <v>265</v>
      </c>
      <c r="B113" t="s">
        <v>266</v>
      </c>
      <c r="C113" t="s">
        <v>11</v>
      </c>
      <c r="D113">
        <f>IFERROR(VLOOKUP(A113,[1]Hoja2!$A$1:$E$430,4,FALSE),0)</f>
        <v>0</v>
      </c>
      <c r="E113">
        <f>IFERROR(VLOOKUP(A113,[2]Hoja3!$A$1:$E$410,4,FALSE),0)</f>
        <v>0.562917</v>
      </c>
      <c r="F113">
        <f>IFERROR(VLOOKUP(A113,[3]Hoja2!$A$1:$E$411,4,FALSE),0)</f>
        <v>0.65995020039999996</v>
      </c>
      <c r="G113">
        <f>VLOOKUP(A113,[4]Hoja1!$D$1:$K$778,7,FALSE)</f>
        <v>0.67</v>
      </c>
      <c r="H113">
        <f>VLOOKUP(A113,[5]Hoja1!$D$1:$K$781,7,FALSE)</f>
        <v>0.67</v>
      </c>
      <c r="I113">
        <f>VLOOKUP(A113,[6]Hoja1!$D$1:$O$781,7,FALSE)</f>
        <v>0.67</v>
      </c>
      <c r="J113">
        <f>VLOOKUP(A113,[6]Hoja1!$D$1:$O$781,8,FALSE)</f>
        <v>0.67</v>
      </c>
      <c r="K113">
        <f>VLOOKUP(A113,[6]Hoja1!$D$1:$O$781,9,FALSE)</f>
        <v>0.67</v>
      </c>
      <c r="L113">
        <f>VLOOKUP(A113,[6]Hoja1!$D$1:$O$781,11,FALSE)</f>
        <v>1.4005399593920562</v>
      </c>
    </row>
    <row r="114" spans="1:12" x14ac:dyDescent="0.2">
      <c r="A114" t="s">
        <v>267</v>
      </c>
      <c r="B114" t="s">
        <v>268</v>
      </c>
      <c r="C114" t="s">
        <v>19</v>
      </c>
      <c r="D114">
        <f>IFERROR(VLOOKUP(A114,[1]Hoja2!$A$1:$E$430,4,FALSE),0)</f>
        <v>0</v>
      </c>
      <c r="E114">
        <f>IFERROR(VLOOKUP(A114,[2]Hoja3!$A$1:$E$410,4,FALSE),0)</f>
        <v>0.17930499999999999</v>
      </c>
      <c r="F114">
        <f>IFERROR(VLOOKUP(A114,[3]Hoja2!$A$1:$E$411,4,FALSE),0)</f>
        <v>0.1</v>
      </c>
      <c r="G114">
        <f>VLOOKUP(A114,[4]Hoja1!$D$1:$K$778,7,FALSE)</f>
        <v>0.97</v>
      </c>
      <c r="H114">
        <f>VLOOKUP(A114,[5]Hoja1!$D$1:$K$781,7,FALSE)</f>
        <v>0.97</v>
      </c>
      <c r="I114">
        <f>VLOOKUP(A114,[6]Hoja1!$D$1:$O$781,7,FALSE)</f>
        <v>0.97</v>
      </c>
      <c r="J114">
        <f>VLOOKUP(A114,[6]Hoja1!$D$1:$O$781,8,FALSE)</f>
        <v>0.97</v>
      </c>
      <c r="K114">
        <f>VLOOKUP(A114,[6]Hoja1!$D$1:$O$781,9,FALSE)</f>
        <v>0.97</v>
      </c>
      <c r="L114">
        <f>VLOOKUP(A114,[6]Hoja1!$D$1:$O$781,11,FALSE)</f>
        <v>0.97</v>
      </c>
    </row>
    <row r="115" spans="1:12" x14ac:dyDescent="0.2">
      <c r="A115" t="s">
        <v>269</v>
      </c>
      <c r="B115" t="s">
        <v>270</v>
      </c>
      <c r="C115" t="s">
        <v>271</v>
      </c>
      <c r="D115">
        <f>IFERROR(VLOOKUP(A115,[1]Hoja2!$A$1:$E$430,4,FALSE),0)</f>
        <v>0</v>
      </c>
      <c r="E115">
        <f>IFERROR(VLOOKUP(A115,[2]Hoja3!$A$1:$E$410,4,FALSE),0)</f>
        <v>0.93758699999999995</v>
      </c>
      <c r="F115">
        <f>IFERROR(VLOOKUP(A115,[3]Hoja2!$A$1:$E$411,4,FALSE),0)</f>
        <v>0.97920538960000003</v>
      </c>
      <c r="G115">
        <f>VLOOKUP(A115,[4]Hoja1!$D$1:$K$778,7,FALSE)</f>
        <v>2.33</v>
      </c>
      <c r="H115">
        <f>VLOOKUP(A115,[5]Hoja1!$D$1:$K$781,7,FALSE)</f>
        <v>2.33</v>
      </c>
      <c r="I115">
        <f>VLOOKUP(A115,[6]Hoja1!$D$1:$O$781,7,FALSE)</f>
        <v>2.33</v>
      </c>
      <c r="J115">
        <f>VLOOKUP(A115,[6]Hoja1!$D$1:$O$781,8,FALSE)</f>
        <v>2.33</v>
      </c>
      <c r="K115">
        <f>VLOOKUP(A115,[6]Hoja1!$D$1:$O$781,9,FALSE)</f>
        <v>2.33</v>
      </c>
      <c r="L115">
        <f>VLOOKUP(A115,[6]Hoja1!$D$1:$O$781,11,FALSE)</f>
        <v>2.5337638954869357</v>
      </c>
    </row>
    <row r="116" spans="1:12" x14ac:dyDescent="0.2">
      <c r="A116" t="s">
        <v>272</v>
      </c>
      <c r="B116" t="s">
        <v>273</v>
      </c>
      <c r="C116" t="s">
        <v>216</v>
      </c>
      <c r="D116">
        <f>IFERROR(VLOOKUP(A116,[1]Hoja2!$A$1:$E$430,4,FALSE),0)</f>
        <v>0</v>
      </c>
      <c r="E116">
        <f>IFERROR(VLOOKUP(A116,[2]Hoja3!$A$1:$E$410,4,FALSE),0)</f>
        <v>3.9857800000000001</v>
      </c>
      <c r="F116">
        <f>IFERROR(VLOOKUP(A116,[3]Hoja2!$A$1:$E$411,4,FALSE),0)</f>
        <v>3.9056491413000001</v>
      </c>
      <c r="G116">
        <f>VLOOKUP(A116,[4]Hoja1!$D$1:$K$778,7,FALSE)</f>
        <v>4.9749999999999996</v>
      </c>
      <c r="H116">
        <f>VLOOKUP(A116,[5]Hoja1!$D$1:$K$781,7,FALSE)</f>
        <v>4.9749999999999996</v>
      </c>
      <c r="I116">
        <f>VLOOKUP(A116,[6]Hoja1!$D$1:$O$781,7,FALSE)</f>
        <v>4.9749999999999996</v>
      </c>
      <c r="J116">
        <f>VLOOKUP(A116,[6]Hoja1!$D$1:$O$781,8,FALSE)</f>
        <v>4.9749999999999996</v>
      </c>
      <c r="K116">
        <f>VLOOKUP(A116,[6]Hoja1!$D$1:$O$781,9,FALSE)</f>
        <v>4.9749999999999996</v>
      </c>
      <c r="L116">
        <f>VLOOKUP(A116,[6]Hoja1!$D$1:$O$781,11,FALSE)</f>
        <v>4.9749999999999996</v>
      </c>
    </row>
    <row r="117" spans="1:12" x14ac:dyDescent="0.2">
      <c r="A117" t="s">
        <v>274</v>
      </c>
      <c r="B117" t="s">
        <v>268</v>
      </c>
      <c r="C117" t="s">
        <v>275</v>
      </c>
      <c r="D117">
        <f>IFERROR(VLOOKUP(A117,[1]Hoja2!$A$1:$E$430,4,FALSE),0)</f>
        <v>0</v>
      </c>
      <c r="E117">
        <f>IFERROR(VLOOKUP(A117,[2]Hoja3!$A$1:$E$410,4,FALSE),0)</f>
        <v>0.43075400000000003</v>
      </c>
      <c r="F117">
        <f>IFERROR(VLOOKUP(A117,[3]Hoja2!$A$1:$E$411,4,FALSE),0)</f>
        <v>0.50013170829999998</v>
      </c>
      <c r="G117">
        <f>VLOOKUP(A117,[4]Hoja1!$D$1:$K$778,7,FALSE)</f>
        <v>1.17</v>
      </c>
      <c r="H117">
        <f>VLOOKUP(A117,[5]Hoja1!$D$1:$K$781,7,FALSE)</f>
        <v>1.17</v>
      </c>
      <c r="I117">
        <f>VLOOKUP(A117,[6]Hoja1!$D$1:$O$781,7,FALSE)</f>
        <v>1.17</v>
      </c>
      <c r="J117">
        <f>VLOOKUP(A117,[6]Hoja1!$D$1:$O$781,8,FALSE)</f>
        <v>1.17</v>
      </c>
      <c r="K117">
        <f>VLOOKUP(A117,[6]Hoja1!$D$1:$O$781,9,FALSE)</f>
        <v>1.17</v>
      </c>
      <c r="L117">
        <f>VLOOKUP(A117,[6]Hoja1!$D$1:$O$781,11,FALSE)</f>
        <v>1.4032298121617661</v>
      </c>
    </row>
    <row r="118" spans="1:12" x14ac:dyDescent="0.2">
      <c r="A118" t="s">
        <v>276</v>
      </c>
      <c r="B118" t="s">
        <v>277</v>
      </c>
      <c r="C118" t="s">
        <v>278</v>
      </c>
      <c r="D118">
        <f>IFERROR(VLOOKUP(A118,[1]Hoja2!$A$1:$E$430,4,FALSE),0)</f>
        <v>0</v>
      </c>
      <c r="E118">
        <f>IFERROR(VLOOKUP(A118,[2]Hoja3!$A$1:$E$410,4,FALSE),0)</f>
        <v>6.7</v>
      </c>
      <c r="F118">
        <f>IFERROR(VLOOKUP(A118,[3]Hoja2!$A$1:$E$411,4,FALSE),0)</f>
        <v>6.7</v>
      </c>
      <c r="G118">
        <f>VLOOKUP(A118,[4]Hoja1!$D$1:$K$778,7,FALSE)</f>
        <v>6.9</v>
      </c>
      <c r="H118">
        <f>VLOOKUP(A118,[5]Hoja1!$D$1:$K$781,7,FALSE)</f>
        <v>6.9</v>
      </c>
      <c r="I118">
        <f>VLOOKUP(A118,[6]Hoja1!$D$1:$O$781,7,FALSE)</f>
        <v>6.9</v>
      </c>
      <c r="J118">
        <f>VLOOKUP(A118,[6]Hoja1!$D$1:$O$781,8,FALSE)</f>
        <v>6.9</v>
      </c>
      <c r="K118">
        <f>VLOOKUP(A118,[6]Hoja1!$D$1:$O$781,9,FALSE)</f>
        <v>6.9</v>
      </c>
      <c r="L118">
        <f>VLOOKUP(A118,[6]Hoja1!$D$1:$O$781,11,FALSE)</f>
        <v>6.9</v>
      </c>
    </row>
    <row r="119" spans="1:12" x14ac:dyDescent="0.2">
      <c r="A119" t="s">
        <v>279</v>
      </c>
      <c r="B119" t="s">
        <v>280</v>
      </c>
      <c r="C119">
        <v>0.01</v>
      </c>
      <c r="D119">
        <f>IFERROR(VLOOKUP(A119,[1]Hoja2!$A$1:$E$430,4,FALSE),0)</f>
        <v>0</v>
      </c>
      <c r="E119">
        <f>IFERROR(VLOOKUP(A119,[2]Hoja3!$A$1:$E$410,4,FALSE),0)</f>
        <v>3.5</v>
      </c>
      <c r="F119">
        <f>IFERROR(VLOOKUP(A119,[3]Hoja2!$A$1:$E$411,4,FALSE),0)</f>
        <v>3.5</v>
      </c>
      <c r="G119">
        <f>VLOOKUP(A119,[4]Hoja1!$D$1:$K$778,7,FALSE)</f>
        <v>7.51</v>
      </c>
      <c r="H119">
        <f>VLOOKUP(A119,[5]Hoja1!$D$1:$K$781,7,FALSE)</f>
        <v>7.51</v>
      </c>
      <c r="I119">
        <f>VLOOKUP(A119,[6]Hoja1!$D$1:$O$781,7,FALSE)</f>
        <v>7.51</v>
      </c>
      <c r="J119">
        <f>VLOOKUP(A119,[6]Hoja1!$D$1:$O$781,8,FALSE)</f>
        <v>7.51</v>
      </c>
      <c r="K119">
        <f>VLOOKUP(A119,[6]Hoja1!$D$1:$O$781,9,FALSE)</f>
        <v>7.51</v>
      </c>
      <c r="L119">
        <f>VLOOKUP(A119,[6]Hoja1!$D$1:$O$781,11,FALSE)</f>
        <v>7.51</v>
      </c>
    </row>
    <row r="120" spans="1:12" x14ac:dyDescent="0.2">
      <c r="A120" t="s">
        <v>281</v>
      </c>
      <c r="B120" t="s">
        <v>65</v>
      </c>
      <c r="C120" t="s">
        <v>282</v>
      </c>
      <c r="D120">
        <f>IFERROR(VLOOKUP(A120,[1]Hoja2!$A$1:$E$430,4,FALSE),0)</f>
        <v>0</v>
      </c>
      <c r="E120">
        <f>IFERROR(VLOOKUP(A120,[2]Hoja3!$A$1:$E$410,4,FALSE),0)</f>
        <v>0</v>
      </c>
      <c r="F120">
        <f>IFERROR(VLOOKUP(A120,[3]Hoja2!$A$1:$E$411,4,FALSE),0)</f>
        <v>0</v>
      </c>
      <c r="G120">
        <f>VLOOKUP(A120,[4]Hoja1!$D$1:$K$778,7,FALSE)</f>
        <v>10.766059523809499</v>
      </c>
      <c r="H120">
        <f>VLOOKUP(A120,[5]Hoja1!$D$1:$K$781,7,FALSE)</f>
        <v>10.766059523809524</v>
      </c>
      <c r="I120">
        <f>VLOOKUP(A120,[6]Hoja1!$D$1:$O$781,7,FALSE)</f>
        <v>10.766059523809524</v>
      </c>
      <c r="J120">
        <f>VLOOKUP(A120,[6]Hoja1!$D$1:$O$781,8,FALSE)</f>
        <v>10.766059523809524</v>
      </c>
      <c r="K120">
        <f>VLOOKUP(A120,[6]Hoja1!$D$1:$O$781,9,FALSE)</f>
        <v>10.766059523809524</v>
      </c>
      <c r="L120">
        <f>VLOOKUP(A120,[6]Hoja1!$D$1:$O$781,11,FALSE)</f>
        <v>10.766059523809524</v>
      </c>
    </row>
    <row r="121" spans="1:12" x14ac:dyDescent="0.2">
      <c r="A121" t="s">
        <v>283</v>
      </c>
      <c r="B121" t="s">
        <v>284</v>
      </c>
      <c r="C121">
        <v>0.01</v>
      </c>
      <c r="D121">
        <f>IFERROR(VLOOKUP(A121,[1]Hoja2!$A$1:$E$430,4,FALSE),0)</f>
        <v>0</v>
      </c>
      <c r="E121">
        <f>IFERROR(VLOOKUP(A121,[2]Hoja3!$A$1:$E$410,4,FALSE),0)</f>
        <v>22.9</v>
      </c>
      <c r="F121">
        <f>IFERROR(VLOOKUP(A121,[3]Hoja2!$A$1:$E$411,4,FALSE),0)</f>
        <v>23</v>
      </c>
      <c r="G121">
        <f>VLOOKUP(A121,[4]Hoja1!$D$1:$K$778,7,FALSE)</f>
        <v>23.15</v>
      </c>
      <c r="H121">
        <f>VLOOKUP(A121,[5]Hoja1!$D$1:$K$781,7,FALSE)</f>
        <v>23.15</v>
      </c>
      <c r="I121">
        <f>VLOOKUP(A121,[6]Hoja1!$D$1:$O$781,7,FALSE)</f>
        <v>23.15</v>
      </c>
      <c r="J121">
        <f>VLOOKUP(A121,[6]Hoja1!$D$1:$O$781,8,FALSE)</f>
        <v>23.15</v>
      </c>
      <c r="K121">
        <f>VLOOKUP(A121,[6]Hoja1!$D$1:$O$781,9,FALSE)</f>
        <v>23.15</v>
      </c>
      <c r="L121">
        <f>VLOOKUP(A121,[6]Hoja1!$D$1:$O$781,11,FALSE)</f>
        <v>23.15</v>
      </c>
    </row>
    <row r="122" spans="1:12" x14ac:dyDescent="0.2">
      <c r="A122" t="s">
        <v>285</v>
      </c>
      <c r="B122" t="s">
        <v>286</v>
      </c>
      <c r="C122">
        <v>0.01</v>
      </c>
      <c r="D122">
        <f>IFERROR(VLOOKUP(A122,[1]Hoja2!$A$1:$E$430,4,FALSE),0)</f>
        <v>0</v>
      </c>
      <c r="E122">
        <f>IFERROR(VLOOKUP(A122,[2]Hoja3!$A$1:$E$410,4,FALSE),0)</f>
        <v>2.8</v>
      </c>
      <c r="F122">
        <f>IFERROR(VLOOKUP(A122,[3]Hoja2!$A$1:$E$411,4,FALSE),0)</f>
        <v>2.7</v>
      </c>
      <c r="G122">
        <f>VLOOKUP(A122,[4]Hoja1!$D$1:$K$778,7,FALSE)</f>
        <v>2.85</v>
      </c>
      <c r="H122">
        <f>VLOOKUP(A122,[5]Hoja1!$D$1:$K$781,7,FALSE)</f>
        <v>2.85</v>
      </c>
      <c r="I122">
        <f>VLOOKUP(A122,[6]Hoja1!$D$1:$O$781,7,FALSE)</f>
        <v>2.85</v>
      </c>
      <c r="J122">
        <f>VLOOKUP(A122,[6]Hoja1!$D$1:$O$781,8,FALSE)</f>
        <v>2.85</v>
      </c>
      <c r="K122">
        <f>VLOOKUP(A122,[6]Hoja1!$D$1:$O$781,9,FALSE)</f>
        <v>2.85</v>
      </c>
      <c r="L122">
        <f>VLOOKUP(A122,[6]Hoja1!$D$1:$O$781,11,FALSE)</f>
        <v>2.85</v>
      </c>
    </row>
    <row r="123" spans="1:12" x14ac:dyDescent="0.2">
      <c r="A123" t="s">
        <v>287</v>
      </c>
      <c r="B123" t="s">
        <v>288</v>
      </c>
      <c r="C123" t="s">
        <v>52</v>
      </c>
      <c r="D123">
        <f>IFERROR(VLOOKUP(A123,[1]Hoja2!$A$1:$E$430,4,FALSE),0)</f>
        <v>0</v>
      </c>
      <c r="E123">
        <f>IFERROR(VLOOKUP(A123,[2]Hoja3!$A$1:$E$410,4,FALSE),0)</f>
        <v>16.25</v>
      </c>
      <c r="F123">
        <f>IFERROR(VLOOKUP(A123,[3]Hoja2!$A$1:$E$411,4,FALSE),0)</f>
        <v>6.79</v>
      </c>
      <c r="G123">
        <f>VLOOKUP(A123,[4]Hoja1!$D$1:$K$778,7,FALSE)</f>
        <v>16.25</v>
      </c>
      <c r="H123">
        <f>VLOOKUP(A123,[5]Hoja1!$D$1:$K$781,7,FALSE)</f>
        <v>16.25</v>
      </c>
      <c r="I123">
        <f>VLOOKUP(A123,[6]Hoja1!$D$1:$O$781,7,FALSE)</f>
        <v>16.25</v>
      </c>
      <c r="J123">
        <f>VLOOKUP(A123,[6]Hoja1!$D$1:$O$781,8,FALSE)</f>
        <v>16.25</v>
      </c>
      <c r="K123">
        <f>VLOOKUP(A123,[6]Hoja1!$D$1:$O$781,9,FALSE)</f>
        <v>16.25</v>
      </c>
      <c r="L123">
        <f>VLOOKUP(A123,[6]Hoja1!$D$1:$O$781,11,FALSE)</f>
        <v>24.680088814210272</v>
      </c>
    </row>
    <row r="124" spans="1:12" x14ac:dyDescent="0.2">
      <c r="A124" t="s">
        <v>289</v>
      </c>
      <c r="B124" t="s">
        <v>290</v>
      </c>
      <c r="C124">
        <v>0.02</v>
      </c>
      <c r="D124">
        <f>IFERROR(VLOOKUP(A124,[1]Hoja2!$A$1:$E$430,4,FALSE),0)</f>
        <v>0</v>
      </c>
      <c r="E124">
        <f>IFERROR(VLOOKUP(A124,[2]Hoja3!$A$1:$E$410,4,FALSE),0)</f>
        <v>14.9</v>
      </c>
      <c r="F124">
        <f>IFERROR(VLOOKUP(A124,[3]Hoja2!$A$1:$E$411,4,FALSE),0)</f>
        <v>33</v>
      </c>
      <c r="G124">
        <f>VLOOKUP(A124,[4]Hoja1!$D$1:$K$778,7,FALSE)</f>
        <v>23.02</v>
      </c>
      <c r="H124">
        <f>VLOOKUP(A124,[5]Hoja1!$D$1:$K$781,7,FALSE)</f>
        <v>23.02</v>
      </c>
      <c r="I124">
        <f>VLOOKUP(A124,[6]Hoja1!$D$1:$O$781,7,FALSE)</f>
        <v>23.02</v>
      </c>
      <c r="J124">
        <f>VLOOKUP(A124,[6]Hoja1!$D$1:$O$781,8,FALSE)</f>
        <v>23.02</v>
      </c>
      <c r="K124">
        <f>VLOOKUP(A124,[6]Hoja1!$D$1:$O$781,9,FALSE)</f>
        <v>23.02</v>
      </c>
      <c r="L124">
        <f>VLOOKUP(A124,[6]Hoja1!$D$1:$O$781,11,FALSE)</f>
        <v>23.02</v>
      </c>
    </row>
    <row r="125" spans="1:12" x14ac:dyDescent="0.2">
      <c r="A125" t="s">
        <v>291</v>
      </c>
      <c r="B125" t="s">
        <v>292</v>
      </c>
      <c r="C125">
        <v>0.01</v>
      </c>
      <c r="D125">
        <f>IFERROR(VLOOKUP(A125,[1]Hoja2!$A$1:$E$430,4,FALSE),0)</f>
        <v>0</v>
      </c>
      <c r="E125">
        <f>IFERROR(VLOOKUP(A125,[2]Hoja3!$A$1:$E$410,4,FALSE),0)</f>
        <v>38.551322999999996</v>
      </c>
      <c r="F125">
        <f>IFERROR(VLOOKUP(A125,[3]Hoja2!$A$1:$E$411,4,FALSE),0)</f>
        <v>38.551322999999996</v>
      </c>
      <c r="G125">
        <f>VLOOKUP(A125,[4]Hoja1!$D$1:$K$778,7,FALSE)</f>
        <v>48.1</v>
      </c>
      <c r="H125">
        <f>VLOOKUP(A125,[5]Hoja1!$D$1:$K$781,7,FALSE)</f>
        <v>48.1</v>
      </c>
      <c r="I125">
        <f>VLOOKUP(A125,[6]Hoja1!$D$1:$O$781,7,FALSE)</f>
        <v>48.1</v>
      </c>
      <c r="J125">
        <f>VLOOKUP(A125,[6]Hoja1!$D$1:$O$781,8,FALSE)</f>
        <v>48.1</v>
      </c>
      <c r="K125">
        <f>VLOOKUP(A125,[6]Hoja1!$D$1:$O$781,9,FALSE)</f>
        <v>48.1</v>
      </c>
      <c r="L125">
        <f>VLOOKUP(A125,[6]Hoja1!$D$1:$O$781,11,FALSE)</f>
        <v>48.1</v>
      </c>
    </row>
    <row r="126" spans="1:12" x14ac:dyDescent="0.2">
      <c r="A126" t="s">
        <v>293</v>
      </c>
      <c r="B126" t="s">
        <v>294</v>
      </c>
      <c r="C126">
        <v>0.05</v>
      </c>
      <c r="D126">
        <f>IFERROR(VLOOKUP(A126,[1]Hoja2!$A$1:$E$430,4,FALSE),0)</f>
        <v>0</v>
      </c>
      <c r="E126">
        <f>IFERROR(VLOOKUP(A126,[2]Hoja3!$A$1:$E$410,4,FALSE),0)</f>
        <v>8.8847310000000004</v>
      </c>
      <c r="F126">
        <f>IFERROR(VLOOKUP(A126,[3]Hoja2!$A$1:$E$411,4,FALSE),0)</f>
        <v>8</v>
      </c>
      <c r="G126">
        <f>VLOOKUP(A126,[4]Hoja1!$D$1:$K$778,7,FALSE)</f>
        <v>16.8</v>
      </c>
      <c r="H126">
        <f>VLOOKUP(A126,[5]Hoja1!$D$1:$K$781,7,FALSE)</f>
        <v>16.8</v>
      </c>
      <c r="I126">
        <f>VLOOKUP(A126,[6]Hoja1!$D$1:$O$781,7,FALSE)</f>
        <v>16.8</v>
      </c>
      <c r="J126">
        <f>VLOOKUP(A126,[6]Hoja1!$D$1:$O$781,8,FALSE)</f>
        <v>16.8</v>
      </c>
      <c r="K126">
        <f>VLOOKUP(A126,[6]Hoja1!$D$1:$O$781,9,FALSE)</f>
        <v>16.8</v>
      </c>
      <c r="L126">
        <f>VLOOKUP(A126,[6]Hoja1!$D$1:$O$781,11,FALSE)</f>
        <v>16.8</v>
      </c>
    </row>
    <row r="127" spans="1:12" x14ac:dyDescent="0.2">
      <c r="A127" t="s">
        <v>295</v>
      </c>
      <c r="B127" t="s">
        <v>296</v>
      </c>
      <c r="C127" t="s">
        <v>297</v>
      </c>
      <c r="D127">
        <f>IFERROR(VLOOKUP(A127,[1]Hoja2!$A$1:$E$430,4,FALSE),0)</f>
        <v>0</v>
      </c>
      <c r="E127">
        <f>IFERROR(VLOOKUP(A127,[2]Hoja3!$A$1:$E$410,4,FALSE),0)</f>
        <v>7.0905570000000004</v>
      </c>
      <c r="F127">
        <f>IFERROR(VLOOKUP(A127,[3]Hoja2!$A$1:$E$411,4,FALSE),0)</f>
        <v>7.8738889355000001</v>
      </c>
      <c r="G127">
        <f>VLOOKUP(A127,[4]Hoja1!$D$1:$K$778,7,FALSE)</f>
        <v>9.48</v>
      </c>
      <c r="H127">
        <f>VLOOKUP(A127,[5]Hoja1!$D$1:$K$781,7,FALSE)</f>
        <v>9.48</v>
      </c>
      <c r="I127">
        <f>VLOOKUP(A127,[6]Hoja1!$D$1:$O$781,7,FALSE)</f>
        <v>9.48</v>
      </c>
      <c r="J127">
        <f>VLOOKUP(A127,[6]Hoja1!$D$1:$O$781,8,FALSE)</f>
        <v>9.48</v>
      </c>
      <c r="K127">
        <f>VLOOKUP(A127,[6]Hoja1!$D$1:$O$781,9,FALSE)</f>
        <v>9.48</v>
      </c>
      <c r="L127">
        <f>VLOOKUP(A127,[6]Hoja1!$D$1:$O$781,11,FALSE)</f>
        <v>9.48</v>
      </c>
    </row>
    <row r="128" spans="1:12" x14ac:dyDescent="0.2">
      <c r="A128" t="s">
        <v>298</v>
      </c>
      <c r="B128" t="s">
        <v>299</v>
      </c>
      <c r="C128" t="s">
        <v>300</v>
      </c>
      <c r="D128">
        <f>IFERROR(VLOOKUP(A128,[1]Hoja2!$A$1:$E$430,4,FALSE),0)</f>
        <v>0</v>
      </c>
      <c r="E128">
        <f>IFERROR(VLOOKUP(A128,[2]Hoja3!$A$1:$E$410,4,FALSE),0)</f>
        <v>12</v>
      </c>
      <c r="F128">
        <f>IFERROR(VLOOKUP(A128,[3]Hoja2!$A$1:$E$411,4,FALSE),0)</f>
        <v>11.4</v>
      </c>
      <c r="G128">
        <f>VLOOKUP(A128,[4]Hoja1!$D$1:$K$778,7,FALSE)</f>
        <v>13.31</v>
      </c>
      <c r="H128">
        <f>VLOOKUP(A128,[5]Hoja1!$D$1:$K$781,7,FALSE)</f>
        <v>13.31</v>
      </c>
      <c r="I128">
        <f>VLOOKUP(A128,[6]Hoja1!$D$1:$O$781,7,FALSE)</f>
        <v>13.31</v>
      </c>
      <c r="J128">
        <f>VLOOKUP(A128,[6]Hoja1!$D$1:$O$781,8,FALSE)</f>
        <v>13.31</v>
      </c>
      <c r="K128">
        <f>VLOOKUP(A128,[6]Hoja1!$D$1:$O$781,9,FALSE)</f>
        <v>13.31</v>
      </c>
      <c r="L128">
        <f>VLOOKUP(A128,[6]Hoja1!$D$1:$O$781,11,FALSE)</f>
        <v>18.802144581804132</v>
      </c>
    </row>
    <row r="129" spans="1:12" x14ac:dyDescent="0.2">
      <c r="A129" t="s">
        <v>301</v>
      </c>
      <c r="B129" t="s">
        <v>299</v>
      </c>
      <c r="C129" t="s">
        <v>300</v>
      </c>
      <c r="D129">
        <f>IFERROR(VLOOKUP(A129,[1]Hoja2!$A$1:$E$430,4,FALSE),0)</f>
        <v>0</v>
      </c>
      <c r="E129">
        <f>IFERROR(VLOOKUP(A129,[2]Hoja3!$A$1:$E$410,4,FALSE),0)</f>
        <v>55</v>
      </c>
      <c r="F129">
        <f>IFERROR(VLOOKUP(A129,[3]Hoja2!$A$1:$E$411,4,FALSE),0)</f>
        <v>54.444444444399998</v>
      </c>
      <c r="G129">
        <f>VLOOKUP(A129,[4]Hoja1!$D$1:$K$778,7,FALSE)</f>
        <v>56.9</v>
      </c>
      <c r="H129">
        <f>VLOOKUP(A129,[5]Hoja1!$D$1:$K$781,7,FALSE)</f>
        <v>56.9</v>
      </c>
      <c r="I129">
        <f>VLOOKUP(A129,[6]Hoja1!$D$1:$O$781,7,FALSE)</f>
        <v>56.9</v>
      </c>
      <c r="J129">
        <f>VLOOKUP(A129,[6]Hoja1!$D$1:$O$781,8,FALSE)</f>
        <v>56.9</v>
      </c>
      <c r="K129">
        <f>VLOOKUP(A129,[6]Hoja1!$D$1:$O$781,9,FALSE)</f>
        <v>56.9</v>
      </c>
      <c r="L129">
        <f>VLOOKUP(A129,[6]Hoja1!$D$1:$O$781,11,FALSE)</f>
        <v>56.9</v>
      </c>
    </row>
    <row r="130" spans="1:12" x14ac:dyDescent="0.2">
      <c r="A130" t="s">
        <v>302</v>
      </c>
      <c r="B130" t="s">
        <v>303</v>
      </c>
      <c r="C130">
        <v>0.01</v>
      </c>
      <c r="D130">
        <f>IFERROR(VLOOKUP(A130,[1]Hoja2!$A$1:$E$430,4,FALSE),0)</f>
        <v>0</v>
      </c>
      <c r="E130">
        <f>IFERROR(VLOOKUP(A130,[2]Hoja3!$A$1:$E$410,4,FALSE),0)</f>
        <v>7.5</v>
      </c>
      <c r="F130">
        <f>IFERROR(VLOOKUP(A130,[3]Hoja2!$A$1:$E$411,4,FALSE),0)</f>
        <v>8</v>
      </c>
      <c r="G130">
        <f>VLOOKUP(A130,[4]Hoja1!$D$1:$K$778,7,FALSE)</f>
        <v>11.39</v>
      </c>
      <c r="H130">
        <f>VLOOKUP(A130,[5]Hoja1!$D$1:$K$781,7,FALSE)</f>
        <v>11.39</v>
      </c>
      <c r="I130">
        <f>VLOOKUP(A130,[6]Hoja1!$D$1:$O$781,7,FALSE)</f>
        <v>11.39</v>
      </c>
      <c r="J130">
        <f>VLOOKUP(A130,[6]Hoja1!$D$1:$O$781,8,FALSE)</f>
        <v>11.39</v>
      </c>
      <c r="K130">
        <f>VLOOKUP(A130,[6]Hoja1!$D$1:$O$781,9,FALSE)</f>
        <v>11.39</v>
      </c>
      <c r="L130">
        <f>VLOOKUP(A130,[6]Hoja1!$D$1:$O$781,11,FALSE)</f>
        <v>11.39</v>
      </c>
    </row>
    <row r="131" spans="1:12" x14ac:dyDescent="0.2">
      <c r="A131" t="s">
        <v>304</v>
      </c>
      <c r="B131" t="s">
        <v>305</v>
      </c>
      <c r="C131" t="s">
        <v>306</v>
      </c>
      <c r="D131">
        <f>IFERROR(VLOOKUP(A131,[1]Hoja2!$A$1:$E$430,4,FALSE),0)</f>
        <v>0</v>
      </c>
      <c r="E131">
        <f>IFERROR(VLOOKUP(A131,[2]Hoja3!$A$1:$E$410,4,FALSE),0)</f>
        <v>56.6</v>
      </c>
      <c r="F131">
        <f>IFERROR(VLOOKUP(A131,[3]Hoja2!$A$1:$E$411,4,FALSE),0)</f>
        <v>56.52</v>
      </c>
      <c r="G131">
        <f>VLOOKUP(A131,[4]Hoja1!$D$1:$K$778,7,FALSE)</f>
        <v>56.63</v>
      </c>
      <c r="H131">
        <f>VLOOKUP(A131,[5]Hoja1!$D$1:$K$781,7,FALSE)</f>
        <v>56.63</v>
      </c>
      <c r="I131">
        <f>VLOOKUP(A131,[6]Hoja1!$D$1:$O$781,7,FALSE)</f>
        <v>56.63</v>
      </c>
      <c r="J131">
        <f>VLOOKUP(A131,[6]Hoja1!$D$1:$O$781,8,FALSE)</f>
        <v>56.63</v>
      </c>
      <c r="K131">
        <f>VLOOKUP(A131,[6]Hoja1!$D$1:$O$781,9,FALSE)</f>
        <v>56.63</v>
      </c>
      <c r="L131">
        <f>VLOOKUP(A131,[6]Hoja1!$D$1:$O$781,11,FALSE)</f>
        <v>56.63</v>
      </c>
    </row>
    <row r="132" spans="1:12" x14ac:dyDescent="0.2">
      <c r="A132" t="s">
        <v>307</v>
      </c>
      <c r="B132" t="s">
        <v>308</v>
      </c>
      <c r="C132">
        <v>0.05</v>
      </c>
      <c r="D132">
        <f>IFERROR(VLOOKUP(A132,[1]Hoja2!$A$1:$E$430,4,FALSE),0)</f>
        <v>0</v>
      </c>
      <c r="E132">
        <f>IFERROR(VLOOKUP(A132,[2]Hoja3!$A$1:$E$410,4,FALSE),0)</f>
        <v>64.5</v>
      </c>
      <c r="F132">
        <f>IFERROR(VLOOKUP(A132,[3]Hoja2!$A$1:$E$411,4,FALSE),0)</f>
        <v>64.5</v>
      </c>
      <c r="G132">
        <f>VLOOKUP(A132,[4]Hoja1!$D$1:$K$778,7,FALSE)</f>
        <v>64.8</v>
      </c>
      <c r="H132">
        <f>VLOOKUP(A132,[5]Hoja1!$D$1:$K$781,7,FALSE)</f>
        <v>64.8</v>
      </c>
      <c r="I132">
        <f>VLOOKUP(A132,[6]Hoja1!$D$1:$O$781,7,FALSE)</f>
        <v>64.8</v>
      </c>
      <c r="J132">
        <f>VLOOKUP(A132,[6]Hoja1!$D$1:$O$781,8,FALSE)</f>
        <v>64.8</v>
      </c>
      <c r="K132">
        <f>VLOOKUP(A132,[6]Hoja1!$D$1:$O$781,9,FALSE)</f>
        <v>64.8</v>
      </c>
      <c r="L132">
        <f>VLOOKUP(A132,[6]Hoja1!$D$1:$O$781,11,FALSE)</f>
        <v>64.8</v>
      </c>
    </row>
    <row r="133" spans="1:12" x14ac:dyDescent="0.2">
      <c r="A133" t="s">
        <v>309</v>
      </c>
      <c r="B133" t="s">
        <v>310</v>
      </c>
      <c r="C133">
        <v>0.1</v>
      </c>
      <c r="D133">
        <f>IFERROR(VLOOKUP(A133,[1]Hoja2!$A$1:$E$430,4,FALSE),0)</f>
        <v>0</v>
      </c>
      <c r="E133">
        <f>IFERROR(VLOOKUP(A133,[2]Hoja3!$A$1:$E$410,4,FALSE),0)</f>
        <v>21.376666</v>
      </c>
      <c r="F133">
        <f>IFERROR(VLOOKUP(A133,[3]Hoja2!$A$1:$E$411,4,FALSE),0)</f>
        <v>0</v>
      </c>
      <c r="G133">
        <f>VLOOKUP(A133,[4]Hoja1!$D$1:$K$778,7,FALSE)</f>
        <v>22.67</v>
      </c>
      <c r="H133">
        <f>VLOOKUP(A133,[5]Hoja1!$D$1:$K$781,7,FALSE)</f>
        <v>22.67</v>
      </c>
      <c r="I133">
        <f>VLOOKUP(A133,[6]Hoja1!$D$1:$O$781,7,FALSE)</f>
        <v>22.67</v>
      </c>
      <c r="J133">
        <f>VLOOKUP(A133,[6]Hoja1!$D$1:$O$781,8,FALSE)</f>
        <v>22.67</v>
      </c>
      <c r="K133">
        <f>VLOOKUP(A133,[6]Hoja1!$D$1:$O$781,9,FALSE)</f>
        <v>22.67</v>
      </c>
      <c r="L133">
        <f>VLOOKUP(A133,[6]Hoja1!$D$1:$O$781,11,FALSE)</f>
        <v>22.67</v>
      </c>
    </row>
    <row r="134" spans="1:12" x14ac:dyDescent="0.2">
      <c r="A134" t="s">
        <v>311</v>
      </c>
      <c r="B134" t="s">
        <v>312</v>
      </c>
      <c r="C134" t="s">
        <v>135</v>
      </c>
      <c r="D134">
        <f>IFERROR(VLOOKUP(A134,[1]Hoja2!$A$1:$E$430,4,FALSE),0)</f>
        <v>0</v>
      </c>
      <c r="E134">
        <f>IFERROR(VLOOKUP(A134,[2]Hoja3!$A$1:$E$410,4,FALSE),0)</f>
        <v>2.2000000000000002</v>
      </c>
      <c r="F134">
        <f>IFERROR(VLOOKUP(A134,[3]Hoja2!$A$1:$E$411,4,FALSE),0)</f>
        <v>2.2000000000000002</v>
      </c>
      <c r="G134" t="e">
        <f>VLOOKUP(A134,[4]Hoja1!$D$1:$K$778,7,FALSE)</f>
        <v>#N/A</v>
      </c>
      <c r="H134" t="e">
        <f>VLOOKUP(A134,[5]Hoja1!$D$1:$K$781,7,FALSE)</f>
        <v>#N/A</v>
      </c>
      <c r="I134">
        <v>2.2000000000000002</v>
      </c>
      <c r="J134" t="e">
        <f>VLOOKUP(A134,[6]Hoja1!$D$1:$O$781,8,FALSE)</f>
        <v>#N/A</v>
      </c>
      <c r="K134" t="e">
        <f>VLOOKUP(A134,[6]Hoja1!$D$1:$O$781,9,FALSE)</f>
        <v>#N/A</v>
      </c>
      <c r="L134" t="e">
        <f>VLOOKUP(A134,[6]Hoja1!$D$1:$O$781,11,FALSE)</f>
        <v>#N/A</v>
      </c>
    </row>
    <row r="135" spans="1:12" x14ac:dyDescent="0.2">
      <c r="A135" t="s">
        <v>313</v>
      </c>
      <c r="B135" t="s">
        <v>314</v>
      </c>
      <c r="C135" t="s">
        <v>315</v>
      </c>
      <c r="D135">
        <f>IFERROR(VLOOKUP(A135,[1]Hoja2!$A$1:$E$430,4,FALSE),0)</f>
        <v>0</v>
      </c>
      <c r="E135">
        <f>IFERROR(VLOOKUP(A135,[2]Hoja3!$A$1:$E$410,4,FALSE),0)</f>
        <v>6.3</v>
      </c>
      <c r="F135">
        <f>IFERROR(VLOOKUP(A135,[3]Hoja2!$A$1:$E$411,4,FALSE),0)</f>
        <v>0</v>
      </c>
      <c r="G135" t="e">
        <f>VLOOKUP(A135,[4]Hoja1!$D$1:$K$778,7,FALSE)</f>
        <v>#N/A</v>
      </c>
      <c r="H135" t="e">
        <f>VLOOKUP(A135,[5]Hoja1!$D$1:$K$781,7,FALSE)</f>
        <v>#N/A</v>
      </c>
      <c r="I135">
        <v>6.3</v>
      </c>
      <c r="J135" t="e">
        <f>VLOOKUP(A135,[6]Hoja1!$D$1:$O$781,8,FALSE)</f>
        <v>#N/A</v>
      </c>
      <c r="K135" t="e">
        <f>VLOOKUP(A135,[6]Hoja1!$D$1:$O$781,9,FALSE)</f>
        <v>#N/A</v>
      </c>
      <c r="L135" t="e">
        <f>VLOOKUP(A135,[6]Hoja1!$D$1:$O$781,11,FALSE)</f>
        <v>#N/A</v>
      </c>
    </row>
    <row r="136" spans="1:12" x14ac:dyDescent="0.2">
      <c r="A136" t="s">
        <v>316</v>
      </c>
      <c r="B136" t="s">
        <v>317</v>
      </c>
      <c r="C136" t="s">
        <v>318</v>
      </c>
      <c r="D136">
        <f>IFERROR(VLOOKUP(A136,[1]Hoja2!$A$1:$E$430,4,FALSE),0)</f>
        <v>0</v>
      </c>
      <c r="E136">
        <f>IFERROR(VLOOKUP(A136,[2]Hoja3!$A$1:$E$410,4,FALSE),0)</f>
        <v>5.3</v>
      </c>
      <c r="F136">
        <f>IFERROR(VLOOKUP(A136,[3]Hoja2!$A$1:$E$411,4,FALSE),0)</f>
        <v>0</v>
      </c>
      <c r="G136" t="e">
        <f>VLOOKUP(A136,[4]Hoja1!$D$1:$K$778,7,FALSE)</f>
        <v>#N/A</v>
      </c>
      <c r="H136" t="e">
        <f>VLOOKUP(A136,[5]Hoja1!$D$1:$K$781,7,FALSE)</f>
        <v>#N/A</v>
      </c>
      <c r="I136">
        <v>5.3</v>
      </c>
      <c r="J136" t="e">
        <f>VLOOKUP(A136,[6]Hoja1!$D$1:$O$781,8,FALSE)</f>
        <v>#N/A</v>
      </c>
      <c r="K136" t="e">
        <f>VLOOKUP(A136,[6]Hoja1!$D$1:$O$781,9,FALSE)</f>
        <v>#N/A</v>
      </c>
      <c r="L136" t="e">
        <f>VLOOKUP(A136,[6]Hoja1!$D$1:$O$781,11,FALSE)</f>
        <v>#N/A</v>
      </c>
    </row>
    <row r="137" spans="1:12" x14ac:dyDescent="0.2">
      <c r="A137" t="s">
        <v>320</v>
      </c>
      <c r="B137" t="s">
        <v>321</v>
      </c>
      <c r="C137" t="s">
        <v>319</v>
      </c>
      <c r="D137">
        <f>IFERROR(VLOOKUP(A137,[1]Hoja2!$A$1:$E$430,4,FALSE),0)</f>
        <v>0</v>
      </c>
      <c r="E137">
        <f>IFERROR(VLOOKUP(A137,[2]Hoja3!$A$1:$E$410,4,FALSE),0)</f>
        <v>0</v>
      </c>
      <c r="F137">
        <f>IFERROR(VLOOKUP(A137,[3]Hoja2!$A$1:$E$411,4,FALSE),0)</f>
        <v>0</v>
      </c>
      <c r="G137" t="e">
        <f>VLOOKUP(A137,[4]Hoja1!$D$1:$K$778,7,FALSE)</f>
        <v>#N/A</v>
      </c>
      <c r="H137" t="e">
        <f>VLOOKUP(A137,[5]Hoja1!$D$1:$K$781,7,FALSE)</f>
        <v>#N/A</v>
      </c>
      <c r="I137">
        <v>8</v>
      </c>
      <c r="J137" t="e">
        <f>VLOOKUP(A137,[6]Hoja1!$D$1:$O$781,8,FALSE)</f>
        <v>#N/A</v>
      </c>
      <c r="K137" t="e">
        <f>VLOOKUP(A137,[6]Hoja1!$D$1:$O$781,9,FALSE)</f>
        <v>#N/A</v>
      </c>
      <c r="L137" t="e">
        <f>VLOOKUP(A137,[6]Hoja1!$D$1:$O$781,11,FALSE)</f>
        <v>#N/A</v>
      </c>
    </row>
    <row r="138" spans="1:12" x14ac:dyDescent="0.2">
      <c r="A138" t="s">
        <v>322</v>
      </c>
      <c r="B138" t="s">
        <v>323</v>
      </c>
      <c r="C138" t="s">
        <v>324</v>
      </c>
      <c r="D138">
        <f>IFERROR(VLOOKUP(A138,[1]Hoja2!$A$1:$E$430,4,FALSE),0)</f>
        <v>0</v>
      </c>
      <c r="E138">
        <f>IFERROR(VLOOKUP(A138,[2]Hoja3!$A$1:$E$410,4,FALSE),0)</f>
        <v>11</v>
      </c>
      <c r="F138">
        <f>IFERROR(VLOOKUP(A138,[3]Hoja2!$A$1:$E$411,4,FALSE),0)</f>
        <v>11</v>
      </c>
      <c r="G138" t="e">
        <f>VLOOKUP(A138,[4]Hoja1!$D$1:$K$778,7,FALSE)</f>
        <v>#N/A</v>
      </c>
      <c r="H138" t="e">
        <f>VLOOKUP(A138,[5]Hoja1!$D$1:$K$781,7,FALSE)</f>
        <v>#N/A</v>
      </c>
      <c r="I138">
        <v>11</v>
      </c>
      <c r="J138" t="e">
        <f>VLOOKUP(A138,[6]Hoja1!$D$1:$O$781,8,FALSE)</f>
        <v>#N/A</v>
      </c>
      <c r="K138" t="e">
        <f>VLOOKUP(A138,[6]Hoja1!$D$1:$O$781,9,FALSE)</f>
        <v>#N/A</v>
      </c>
      <c r="L138" t="e">
        <f>VLOOKUP(A138,[6]Hoja1!$D$1:$O$781,11,FALSE)</f>
        <v>#N/A</v>
      </c>
    </row>
    <row r="139" spans="1:12" x14ac:dyDescent="0.2">
      <c r="A139" t="s">
        <v>325</v>
      </c>
      <c r="B139" t="s">
        <v>326</v>
      </c>
      <c r="C139" t="s">
        <v>327</v>
      </c>
      <c r="D139">
        <f>IFERROR(VLOOKUP(A139,[1]Hoja2!$A$1:$E$430,4,FALSE),0)</f>
        <v>0</v>
      </c>
      <c r="E139">
        <f>IFERROR(VLOOKUP(A139,[2]Hoja3!$A$1:$E$410,4,FALSE),0)</f>
        <v>0</v>
      </c>
      <c r="F139">
        <f>IFERROR(VLOOKUP(A139,[3]Hoja2!$A$1:$E$411,4,FALSE),0)</f>
        <v>104.5</v>
      </c>
      <c r="G139" t="e">
        <f>VLOOKUP(A139,[4]Hoja1!$D$1:$K$778,7,FALSE)</f>
        <v>#N/A</v>
      </c>
      <c r="H139" t="e">
        <f>VLOOKUP(A139,[5]Hoja1!$D$1:$K$781,7,FALSE)</f>
        <v>#N/A</v>
      </c>
      <c r="I139">
        <v>104.5</v>
      </c>
      <c r="J139" t="e">
        <f>VLOOKUP(A139,[6]Hoja1!$D$1:$O$781,8,FALSE)</f>
        <v>#N/A</v>
      </c>
      <c r="K139" t="e">
        <f>VLOOKUP(A139,[6]Hoja1!$D$1:$O$781,9,FALSE)</f>
        <v>#N/A</v>
      </c>
      <c r="L139" t="e">
        <f>VLOOKUP(A139,[6]Hoja1!$D$1:$O$781,11,FALSE)</f>
        <v>#N/A</v>
      </c>
    </row>
    <row r="140" spans="1:12" x14ac:dyDescent="0.2">
      <c r="A140" t="s">
        <v>328</v>
      </c>
      <c r="B140" t="s">
        <v>280</v>
      </c>
      <c r="C140" t="s">
        <v>38</v>
      </c>
      <c r="D140">
        <f>IFERROR(VLOOKUP(A140,[1]Hoja2!$A$1:$E$430,4,FALSE),0)</f>
        <v>0</v>
      </c>
      <c r="E140">
        <f>IFERROR(VLOOKUP(A140,[2]Hoja3!$A$1:$E$410,4,FALSE),0)</f>
        <v>1.56</v>
      </c>
      <c r="F140">
        <f>IFERROR(VLOOKUP(A140,[3]Hoja2!$A$1:$E$411,4,FALSE),0)</f>
        <v>0.97057100360000004</v>
      </c>
      <c r="G140">
        <f>VLOOKUP(A140,[4]Hoja1!$D$1:$K$778,7,FALSE)</f>
        <v>1.57</v>
      </c>
      <c r="H140">
        <f>VLOOKUP(A140,[5]Hoja1!$D$1:$K$781,7,FALSE)</f>
        <v>1.57</v>
      </c>
      <c r="I140">
        <f>VLOOKUP(A140,[6]Hoja1!$D$1:$O$781,7,FALSE)</f>
        <v>1.57</v>
      </c>
      <c r="J140">
        <f>VLOOKUP(A140,[6]Hoja1!$D$1:$O$781,8,FALSE)</f>
        <v>1.57</v>
      </c>
      <c r="K140">
        <f>VLOOKUP(A140,[6]Hoja1!$D$1:$O$781,9,FALSE)</f>
        <v>1.57</v>
      </c>
      <c r="L140">
        <f>VLOOKUP(A140,[6]Hoja1!$D$1:$O$781,11,FALSE)</f>
        <v>1.57</v>
      </c>
    </row>
    <row r="141" spans="1:12" x14ac:dyDescent="0.2">
      <c r="A141" t="s">
        <v>329</v>
      </c>
      <c r="B141" t="s">
        <v>280</v>
      </c>
      <c r="C141">
        <v>0.01</v>
      </c>
      <c r="D141">
        <f>IFERROR(VLOOKUP(A141,[1]Hoja2!$A$1:$E$430,4,FALSE),0)</f>
        <v>0</v>
      </c>
      <c r="E141">
        <f>IFERROR(VLOOKUP(A141,[2]Hoja3!$A$1:$E$410,4,FALSE),0)</f>
        <v>10.074698</v>
      </c>
      <c r="F141">
        <f>IFERROR(VLOOKUP(A141,[3]Hoja2!$A$1:$E$411,4,FALSE),0)</f>
        <v>9.9</v>
      </c>
      <c r="G141">
        <f>VLOOKUP(A141,[4]Hoja1!$D$1:$K$778,7,FALSE)</f>
        <v>10.51</v>
      </c>
      <c r="H141">
        <f>VLOOKUP(A141,[5]Hoja1!$D$1:$K$781,7,FALSE)</f>
        <v>10.51</v>
      </c>
      <c r="I141">
        <f>VLOOKUP(A141,[6]Hoja1!$D$1:$O$781,7,FALSE)</f>
        <v>10.51</v>
      </c>
      <c r="J141">
        <f>VLOOKUP(A141,[6]Hoja1!$D$1:$O$781,8,FALSE)</f>
        <v>10.51</v>
      </c>
      <c r="K141">
        <f>VLOOKUP(A141,[6]Hoja1!$D$1:$O$781,9,FALSE)</f>
        <v>10.51</v>
      </c>
      <c r="L141">
        <f>VLOOKUP(A141,[6]Hoja1!$D$1:$O$781,11,FALSE)</f>
        <v>10.51</v>
      </c>
    </row>
    <row r="142" spans="1:12" x14ac:dyDescent="0.2">
      <c r="A142" t="s">
        <v>330</v>
      </c>
      <c r="B142" t="s">
        <v>331</v>
      </c>
      <c r="C142" t="s">
        <v>72</v>
      </c>
      <c r="D142">
        <f>IFERROR(VLOOKUP(A142,[1]Hoja2!$A$1:$E$430,4,FALSE),0)</f>
        <v>0</v>
      </c>
      <c r="E142">
        <f>IFERROR(VLOOKUP(A142,[2]Hoja3!$A$1:$E$410,4,FALSE),0)</f>
        <v>1.07</v>
      </c>
      <c r="F142">
        <f>IFERROR(VLOOKUP(A142,[3]Hoja2!$A$1:$E$411,4,FALSE),0)</f>
        <v>1.23</v>
      </c>
      <c r="G142">
        <f>VLOOKUP(A142,[4]Hoja1!$D$1:$K$778,7,FALSE)</f>
        <v>1.83</v>
      </c>
      <c r="H142">
        <f>VLOOKUP(A142,[5]Hoja1!$D$1:$K$781,7,FALSE)</f>
        <v>1.83</v>
      </c>
      <c r="I142">
        <f>VLOOKUP(A142,[6]Hoja1!$D$1:$O$781,7,FALSE)</f>
        <v>1.83</v>
      </c>
      <c r="J142">
        <f>VLOOKUP(A142,[6]Hoja1!$D$1:$O$781,8,FALSE)</f>
        <v>1.83</v>
      </c>
      <c r="K142">
        <f>VLOOKUP(A142,[6]Hoja1!$D$1:$O$781,9,FALSE)</f>
        <v>1.83</v>
      </c>
      <c r="L142">
        <f>VLOOKUP(A142,[6]Hoja1!$D$1:$O$781,11,FALSE)</f>
        <v>1.83</v>
      </c>
    </row>
    <row r="143" spans="1:12" x14ac:dyDescent="0.2">
      <c r="A143" t="s">
        <v>332</v>
      </c>
      <c r="B143" t="s">
        <v>65</v>
      </c>
      <c r="C143" t="s">
        <v>108</v>
      </c>
      <c r="D143">
        <f>IFERROR(VLOOKUP(A143,[1]Hoja2!$A$1:$E$430,4,FALSE),0)</f>
        <v>0</v>
      </c>
      <c r="E143">
        <f>IFERROR(VLOOKUP(A143,[2]Hoja3!$A$1:$E$410,4,FALSE),0)</f>
        <v>1.913333</v>
      </c>
      <c r="F143">
        <f>IFERROR(VLOOKUP(A143,[3]Hoja2!$A$1:$E$411,4,FALSE),0)</f>
        <v>0</v>
      </c>
      <c r="G143">
        <f>VLOOKUP(A143,[4]Hoja1!$D$1:$K$778,7,FALSE)</f>
        <v>1.145</v>
      </c>
      <c r="H143">
        <f>VLOOKUP(A143,[5]Hoja1!$D$1:$K$781,7,FALSE)</f>
        <v>1.145</v>
      </c>
      <c r="I143">
        <f>VLOOKUP(A143,[6]Hoja1!$D$1:$O$781,7,FALSE)</f>
        <v>1.145</v>
      </c>
      <c r="J143">
        <f>VLOOKUP(A143,[6]Hoja1!$D$1:$O$781,8,FALSE)</f>
        <v>1.145</v>
      </c>
      <c r="K143">
        <f>VLOOKUP(A143,[6]Hoja1!$D$1:$O$781,9,FALSE)</f>
        <v>1.145</v>
      </c>
      <c r="L143">
        <f>VLOOKUP(A143,[6]Hoja1!$D$1:$O$781,11,FALSE)</f>
        <v>1.145</v>
      </c>
    </row>
    <row r="144" spans="1:12" x14ac:dyDescent="0.2">
      <c r="A144" t="s">
        <v>333</v>
      </c>
      <c r="B144" t="s">
        <v>334</v>
      </c>
      <c r="C144" t="s">
        <v>335</v>
      </c>
      <c r="D144">
        <f>IFERROR(VLOOKUP(A144,[1]Hoja2!$A$1:$E$430,4,FALSE),0)</f>
        <v>0</v>
      </c>
      <c r="E144">
        <f>IFERROR(VLOOKUP(A144,[2]Hoja3!$A$1:$E$410,4,FALSE),0)</f>
        <v>1.7203170000000001</v>
      </c>
      <c r="F144">
        <f>IFERROR(VLOOKUP(A144,[3]Hoja2!$A$1:$E$411,4,FALSE),0)</f>
        <v>0</v>
      </c>
      <c r="G144">
        <f>VLOOKUP(A144,[4]Hoja1!$D$1:$K$778,7,FALSE)</f>
        <v>1.7853030303030299</v>
      </c>
      <c r="H144">
        <f>VLOOKUP(A144,[5]Hoja1!$D$1:$K$781,7,FALSE)</f>
        <v>1.7853030303030302</v>
      </c>
      <c r="I144">
        <f>VLOOKUP(A144,[6]Hoja1!$D$1:$O$781,7,FALSE)</f>
        <v>1.7853030303030302</v>
      </c>
      <c r="J144">
        <f>VLOOKUP(A144,[6]Hoja1!$D$1:$O$781,8,FALSE)</f>
        <v>1.7853030303030302</v>
      </c>
      <c r="K144">
        <f>VLOOKUP(A144,[6]Hoja1!$D$1:$O$781,9,FALSE)</f>
        <v>4.0525897742280366</v>
      </c>
      <c r="L144">
        <f>VLOOKUP(A144,[6]Hoja1!$D$1:$O$781,11,FALSE)</f>
        <v>4.0525897742280366</v>
      </c>
    </row>
    <row r="145" spans="1:12" x14ac:dyDescent="0.2">
      <c r="A145" t="s">
        <v>336</v>
      </c>
      <c r="B145" t="s">
        <v>334</v>
      </c>
      <c r="C145" t="s">
        <v>337</v>
      </c>
      <c r="D145">
        <f>IFERROR(VLOOKUP(A145,[1]Hoja2!$A$1:$E$430,4,FALSE),0)</f>
        <v>0</v>
      </c>
      <c r="E145">
        <f>IFERROR(VLOOKUP(A145,[2]Hoja3!$A$1:$E$410,4,FALSE),0)</f>
        <v>6.9</v>
      </c>
      <c r="F145">
        <f>IFERROR(VLOOKUP(A145,[3]Hoja2!$A$1:$E$411,4,FALSE),0)</f>
        <v>8</v>
      </c>
      <c r="G145">
        <f>VLOOKUP(A145,[4]Hoja1!$D$1:$K$778,7,FALSE)</f>
        <v>8.3699999999999992</v>
      </c>
      <c r="H145">
        <f>VLOOKUP(A145,[5]Hoja1!$D$1:$K$781,7,FALSE)</f>
        <v>8.3699999999999992</v>
      </c>
      <c r="I145">
        <f>VLOOKUP(A145,[6]Hoja1!$D$1:$O$781,7,FALSE)</f>
        <v>8.3699999999999992</v>
      </c>
      <c r="J145">
        <f>VLOOKUP(A145,[6]Hoja1!$D$1:$O$781,8,FALSE)</f>
        <v>8.3699999999999992</v>
      </c>
      <c r="K145">
        <f>VLOOKUP(A145,[6]Hoja1!$D$1:$O$781,9,FALSE)</f>
        <v>8.3699999999999992</v>
      </c>
      <c r="L145">
        <f>VLOOKUP(A145,[6]Hoja1!$D$1:$O$781,11,FALSE)</f>
        <v>8.3699999999999992</v>
      </c>
    </row>
    <row r="146" spans="1:12" x14ac:dyDescent="0.2">
      <c r="A146" t="s">
        <v>338</v>
      </c>
      <c r="B146" t="s">
        <v>339</v>
      </c>
      <c r="C146" t="s">
        <v>340</v>
      </c>
      <c r="D146">
        <f>IFERROR(VLOOKUP(A146,[1]Hoja2!$A$1:$E$430,4,FALSE),0)</f>
        <v>0</v>
      </c>
      <c r="E146">
        <f>IFERROR(VLOOKUP(A146,[2]Hoja3!$A$1:$E$410,4,FALSE),0)</f>
        <v>2.65</v>
      </c>
      <c r="F146">
        <f>IFERROR(VLOOKUP(A146,[3]Hoja2!$A$1:$E$411,4,FALSE),0)</f>
        <v>1.7</v>
      </c>
      <c r="G146">
        <f>VLOOKUP(A146,[4]Hoja1!$D$1:$K$778,7,FALSE)</f>
        <v>2.67</v>
      </c>
      <c r="H146">
        <f>VLOOKUP(A146,[5]Hoja1!$D$1:$K$781,7,FALSE)</f>
        <v>2.67</v>
      </c>
      <c r="I146">
        <f>VLOOKUP(A146,[6]Hoja1!$D$1:$O$781,7,FALSE)</f>
        <v>2.67</v>
      </c>
      <c r="J146">
        <f>VLOOKUP(A146,[6]Hoja1!$D$1:$O$781,8,FALSE)</f>
        <v>2.67</v>
      </c>
      <c r="K146">
        <f>VLOOKUP(A146,[6]Hoja1!$D$1:$O$781,9,FALSE)</f>
        <v>2.67</v>
      </c>
      <c r="L146">
        <f>VLOOKUP(A146,[6]Hoja1!$D$1:$O$781,11,FALSE)</f>
        <v>2.67</v>
      </c>
    </row>
    <row r="147" spans="1:12" x14ac:dyDescent="0.2">
      <c r="A147" t="s">
        <v>341</v>
      </c>
      <c r="B147" t="s">
        <v>342</v>
      </c>
      <c r="C147" t="s">
        <v>343</v>
      </c>
      <c r="D147">
        <f>IFERROR(VLOOKUP(A147,[1]Hoja2!$A$1:$E$430,4,FALSE),0)</f>
        <v>0</v>
      </c>
      <c r="E147">
        <f>IFERROR(VLOOKUP(A147,[2]Hoja3!$A$1:$E$410,4,FALSE),0)</f>
        <v>40</v>
      </c>
      <c r="F147">
        <f>IFERROR(VLOOKUP(A147,[3]Hoja2!$A$1:$E$411,4,FALSE),0)</f>
        <v>40</v>
      </c>
      <c r="G147">
        <f>VLOOKUP(A147,[4]Hoja1!$D$1:$K$778,7,FALSE)</f>
        <v>59.49</v>
      </c>
      <c r="H147">
        <f>VLOOKUP(A147,[5]Hoja1!$D$1:$K$781,7,FALSE)</f>
        <v>59.49</v>
      </c>
      <c r="I147">
        <f>VLOOKUP(A147,[6]Hoja1!$D$1:$O$781,7,FALSE)</f>
        <v>59.49</v>
      </c>
      <c r="J147">
        <f>VLOOKUP(A147,[6]Hoja1!$D$1:$O$781,8,FALSE)</f>
        <v>59.49</v>
      </c>
      <c r="K147">
        <f>VLOOKUP(A147,[6]Hoja1!$D$1:$O$781,9,FALSE)</f>
        <v>59.49</v>
      </c>
      <c r="L147">
        <f>VLOOKUP(A147,[6]Hoja1!$D$1:$O$781,11,FALSE)</f>
        <v>59.49</v>
      </c>
    </row>
    <row r="148" spans="1:12" x14ac:dyDescent="0.2">
      <c r="A148" t="s">
        <v>344</v>
      </c>
      <c r="B148" t="s">
        <v>345</v>
      </c>
      <c r="C148" t="s">
        <v>346</v>
      </c>
      <c r="D148">
        <f>IFERROR(VLOOKUP(A148,[1]Hoja2!$A$1:$E$430,4,FALSE),0)</f>
        <v>0</v>
      </c>
      <c r="E148">
        <f>IFERROR(VLOOKUP(A148,[2]Hoja3!$A$1:$E$410,4,FALSE),0)</f>
        <v>116.21</v>
      </c>
      <c r="F148">
        <f>IFERROR(VLOOKUP(A148,[3]Hoja2!$A$1:$E$411,4,FALSE),0)</f>
        <v>116.21</v>
      </c>
      <c r="G148">
        <f>VLOOKUP(A148,[4]Hoja1!$D$1:$K$778,7,FALSE)</f>
        <v>116.21833333333301</v>
      </c>
      <c r="H148">
        <f>VLOOKUP(A148,[5]Hoja1!$D$1:$K$781,7,FALSE)</f>
        <v>116.21833333333333</v>
      </c>
      <c r="I148">
        <f>VLOOKUP(A148,[6]Hoja1!$D$1:$O$781,7,FALSE)</f>
        <v>116.21833333333333</v>
      </c>
      <c r="J148">
        <f>VLOOKUP(A148,[6]Hoja1!$D$1:$O$781,8,FALSE)</f>
        <v>116.21833333333333</v>
      </c>
      <c r="K148">
        <f>VLOOKUP(A148,[6]Hoja1!$D$1:$O$781,9,FALSE)</f>
        <v>116.21833333333333</v>
      </c>
      <c r="L148">
        <f>VLOOKUP(A148,[6]Hoja1!$D$1:$O$781,11,FALSE)</f>
        <v>116.21833333333333</v>
      </c>
    </row>
    <row r="149" spans="1:12" x14ac:dyDescent="0.2">
      <c r="A149" t="s">
        <v>347</v>
      </c>
      <c r="B149" t="s">
        <v>348</v>
      </c>
      <c r="C149" t="s">
        <v>349</v>
      </c>
      <c r="D149">
        <f>IFERROR(VLOOKUP(A149,[1]Hoja2!$A$1:$E$430,4,FALSE),0)</f>
        <v>0</v>
      </c>
      <c r="E149">
        <f>IFERROR(VLOOKUP(A149,[2]Hoja3!$A$1:$E$410,4,FALSE),0)</f>
        <v>6</v>
      </c>
      <c r="F149">
        <f>IFERROR(VLOOKUP(A149,[3]Hoja2!$A$1:$E$411,4,FALSE),0)</f>
        <v>6</v>
      </c>
      <c r="G149">
        <f>VLOOKUP(A149,[4]Hoja1!$D$1:$K$778,7,FALSE)</f>
        <v>5.9829355877616699</v>
      </c>
      <c r="H149">
        <f>VLOOKUP(A149,[5]Hoja1!$D$1:$K$781,7,FALSE)</f>
        <v>5.9829355877616743</v>
      </c>
      <c r="I149">
        <f>VLOOKUP(A149,[6]Hoja1!$D$1:$O$781,7,FALSE)</f>
        <v>5.9829355877616743</v>
      </c>
      <c r="J149">
        <f>VLOOKUP(A149,[6]Hoja1!$D$1:$O$781,8,FALSE)</f>
        <v>5.9829355877616743</v>
      </c>
      <c r="K149">
        <f>VLOOKUP(A149,[6]Hoja1!$D$1:$O$781,9,FALSE)</f>
        <v>5.9829355877616743</v>
      </c>
      <c r="L149">
        <f>VLOOKUP(A149,[6]Hoja1!$D$1:$O$781,11,FALSE)</f>
        <v>5.9829355877616743</v>
      </c>
    </row>
    <row r="150" spans="1:12" x14ac:dyDescent="0.2">
      <c r="A150" t="s">
        <v>350</v>
      </c>
      <c r="B150" t="s">
        <v>351</v>
      </c>
      <c r="C150" t="s">
        <v>352</v>
      </c>
      <c r="D150">
        <f>IFERROR(VLOOKUP(A150,[1]Hoja2!$A$1:$E$430,4,FALSE),0)</f>
        <v>0</v>
      </c>
      <c r="E150">
        <f>IFERROR(VLOOKUP(A150,[2]Hoja3!$A$1:$E$410,4,FALSE),0)</f>
        <v>11.948333</v>
      </c>
      <c r="F150">
        <f>IFERROR(VLOOKUP(A150,[3]Hoja2!$A$1:$E$411,4,FALSE),0)</f>
        <v>0</v>
      </c>
      <c r="G150">
        <f>VLOOKUP(A150,[4]Hoja1!$D$1:$K$778,7,FALSE)</f>
        <v>11.4030555555556</v>
      </c>
      <c r="H150">
        <f>VLOOKUP(A150,[5]Hoja1!$D$1:$K$781,7,FALSE)</f>
        <v>11.403055555555556</v>
      </c>
      <c r="I150">
        <f>VLOOKUP(A150,[6]Hoja1!$D$1:$O$781,7,FALSE)</f>
        <v>11.403055555555556</v>
      </c>
      <c r="J150">
        <f>VLOOKUP(A150,[6]Hoja1!$D$1:$O$781,8,FALSE)</f>
        <v>11.403055555555556</v>
      </c>
      <c r="K150">
        <f>VLOOKUP(A150,[6]Hoja1!$D$1:$O$781,9,FALSE)</f>
        <v>11.403055555555556</v>
      </c>
      <c r="L150">
        <f>VLOOKUP(A150,[6]Hoja1!$D$1:$O$781,11,FALSE)</f>
        <v>11.403055555555556</v>
      </c>
    </row>
    <row r="151" spans="1:12" x14ac:dyDescent="0.2">
      <c r="A151" t="s">
        <v>353</v>
      </c>
      <c r="B151" t="s">
        <v>354</v>
      </c>
      <c r="C151" t="s">
        <v>355</v>
      </c>
      <c r="D151">
        <f>IFERROR(VLOOKUP(A151,[1]Hoja2!$A$1:$E$430,4,FALSE),0)</f>
        <v>0</v>
      </c>
      <c r="E151">
        <f>IFERROR(VLOOKUP(A151,[2]Hoja3!$A$1:$E$410,4,FALSE),0)</f>
        <v>1220</v>
      </c>
      <c r="F151">
        <f>IFERROR(VLOOKUP(A151,[3]Hoja2!$A$1:$E$411,4,FALSE),0)</f>
        <v>1220.48</v>
      </c>
      <c r="G151">
        <f>VLOOKUP(A151,[4]Hoja1!$D$1:$K$778,7,FALSE)</f>
        <v>1220.48166666667</v>
      </c>
      <c r="H151">
        <f>VLOOKUP(A151,[5]Hoja1!$D$1:$K$781,7,FALSE)</f>
        <v>1220.4816666666666</v>
      </c>
      <c r="I151">
        <f>VLOOKUP(A151,[6]Hoja1!$D$1:$O$781,7,FALSE)</f>
        <v>1220.4816666666666</v>
      </c>
      <c r="J151">
        <f>VLOOKUP(A151,[6]Hoja1!$D$1:$O$781,8,FALSE)</f>
        <v>1220.4816666666666</v>
      </c>
      <c r="K151">
        <f>VLOOKUP(A151,[6]Hoja1!$D$1:$O$781,9,FALSE)</f>
        <v>1220.4816666666666</v>
      </c>
      <c r="L151">
        <f>VLOOKUP(A151,[6]Hoja1!$D$1:$O$781,11,FALSE)</f>
        <v>1220.4816666666666</v>
      </c>
    </row>
    <row r="152" spans="1:12" x14ac:dyDescent="0.2">
      <c r="A152" t="s">
        <v>356</v>
      </c>
      <c r="B152" t="s">
        <v>357</v>
      </c>
      <c r="C152" t="s">
        <v>49</v>
      </c>
      <c r="D152">
        <f>IFERROR(VLOOKUP(A152,[1]Hoja2!$A$1:$E$430,4,FALSE),0)</f>
        <v>0</v>
      </c>
      <c r="E152">
        <f>IFERROR(VLOOKUP(A152,[2]Hoja3!$A$1:$E$410,4,FALSE),0)</f>
        <v>1.6723699999999999</v>
      </c>
      <c r="F152">
        <f>IFERROR(VLOOKUP(A152,[3]Hoja2!$A$1:$E$411,4,FALSE),0)</f>
        <v>0.88319543789999999</v>
      </c>
      <c r="G152">
        <f>VLOOKUP(A152,[4]Hoja1!$D$1:$K$778,7,FALSE)</f>
        <v>2.88</v>
      </c>
      <c r="H152">
        <f>VLOOKUP(A152,[5]Hoja1!$D$1:$K$781,7,FALSE)</f>
        <v>2.88</v>
      </c>
      <c r="I152">
        <f>VLOOKUP(A152,[6]Hoja1!$D$1:$O$781,7,FALSE)</f>
        <v>2.88</v>
      </c>
      <c r="J152">
        <f>VLOOKUP(A152,[6]Hoja1!$D$1:$O$781,8,FALSE)</f>
        <v>2.88</v>
      </c>
      <c r="K152">
        <f>VLOOKUP(A152,[6]Hoja1!$D$1:$O$781,9,FALSE)</f>
        <v>2.88</v>
      </c>
      <c r="L152">
        <f>VLOOKUP(A152,[6]Hoja1!$D$1:$O$781,11,FALSE)</f>
        <v>3</v>
      </c>
    </row>
    <row r="153" spans="1:12" x14ac:dyDescent="0.2">
      <c r="A153" t="s">
        <v>358</v>
      </c>
      <c r="B153" t="s">
        <v>359</v>
      </c>
      <c r="C153" t="s">
        <v>360</v>
      </c>
      <c r="D153">
        <f>IFERROR(VLOOKUP(A153,[1]Hoja2!$A$1:$E$430,4,FALSE),0)</f>
        <v>0</v>
      </c>
      <c r="E153">
        <f>IFERROR(VLOOKUP(A153,[2]Hoja3!$A$1:$E$410,4,FALSE),0)</f>
        <v>5.3895580000000001</v>
      </c>
      <c r="F153">
        <f>IFERROR(VLOOKUP(A153,[3]Hoja2!$A$1:$E$411,4,FALSE),0)</f>
        <v>5.4855945217000004</v>
      </c>
      <c r="G153">
        <f>VLOOKUP(A153,[4]Hoja1!$D$1:$K$778,7,FALSE)</f>
        <v>6.5</v>
      </c>
      <c r="H153">
        <f>VLOOKUP(A153,[5]Hoja1!$D$1:$K$781,7,FALSE)</f>
        <v>6.5</v>
      </c>
      <c r="I153">
        <f>VLOOKUP(A153,[6]Hoja1!$D$1:$O$781,7,FALSE)</f>
        <v>6.5</v>
      </c>
      <c r="J153">
        <f>VLOOKUP(A153,[6]Hoja1!$D$1:$O$781,8,FALSE)</f>
        <v>6.5</v>
      </c>
      <c r="K153">
        <f>VLOOKUP(A153,[6]Hoja1!$D$1:$O$781,9,FALSE)</f>
        <v>6.5</v>
      </c>
      <c r="L153">
        <f>VLOOKUP(A153,[6]Hoja1!$D$1:$O$781,11,FALSE)</f>
        <v>6.5</v>
      </c>
    </row>
    <row r="154" spans="1:12" x14ac:dyDescent="0.2">
      <c r="A154" t="s">
        <v>361</v>
      </c>
      <c r="B154" t="s">
        <v>362</v>
      </c>
      <c r="C154" t="s">
        <v>363</v>
      </c>
      <c r="D154">
        <f>IFERROR(VLOOKUP(A154,[1]Hoja2!$A$1:$E$430,4,FALSE),0)</f>
        <v>0</v>
      </c>
      <c r="E154">
        <f>IFERROR(VLOOKUP(A154,[2]Hoja3!$A$1:$E$410,4,FALSE),0)</f>
        <v>0.42293199999999997</v>
      </c>
      <c r="F154">
        <f>IFERROR(VLOOKUP(A154,[3]Hoja2!$A$1:$E$411,4,FALSE),0)</f>
        <v>0.42293199999999997</v>
      </c>
      <c r="G154">
        <f>VLOOKUP(A154,[4]Hoja1!$D$1:$K$778,7,FALSE)</f>
        <v>0.57999999999999996</v>
      </c>
      <c r="H154">
        <f>VLOOKUP(A154,[5]Hoja1!$D$1:$K$781,7,FALSE)</f>
        <v>0.57999999999999996</v>
      </c>
      <c r="I154">
        <f>VLOOKUP(A154,[6]Hoja1!$D$1:$O$781,7,FALSE)</f>
        <v>0.57999999999999996</v>
      </c>
      <c r="J154">
        <f>VLOOKUP(A154,[6]Hoja1!$D$1:$O$781,8,FALSE)</f>
        <v>0.57999999999999996</v>
      </c>
      <c r="K154">
        <f>VLOOKUP(A154,[6]Hoja1!$D$1:$O$781,9,FALSE)</f>
        <v>0.57999999999999996</v>
      </c>
      <c r="L154">
        <f>VLOOKUP(A154,[6]Hoja1!$D$1:$O$781,11,FALSE)</f>
        <v>0.57999999999999996</v>
      </c>
    </row>
    <row r="155" spans="1:12" x14ac:dyDescent="0.2">
      <c r="A155" t="s">
        <v>364</v>
      </c>
      <c r="B155" t="s">
        <v>362</v>
      </c>
      <c r="C155" t="s">
        <v>365</v>
      </c>
      <c r="D155">
        <f>IFERROR(VLOOKUP(A155,[1]Hoja2!$A$1:$E$430,4,FALSE),0)</f>
        <v>0</v>
      </c>
      <c r="E155">
        <f>IFERROR(VLOOKUP(A155,[2]Hoja3!$A$1:$E$410,4,FALSE),0)</f>
        <v>0.85902500000000004</v>
      </c>
      <c r="F155">
        <f>IFERROR(VLOOKUP(A155,[3]Hoja2!$A$1:$E$411,4,FALSE),0)</f>
        <v>0.65250920339999996</v>
      </c>
      <c r="G155">
        <f>VLOOKUP(A155,[4]Hoja1!$D$1:$K$778,7,FALSE)</f>
        <v>2.0499999999999998</v>
      </c>
      <c r="H155">
        <f>VLOOKUP(A155,[5]Hoja1!$D$1:$K$781,7,FALSE)</f>
        <v>2.0499999999999998</v>
      </c>
      <c r="I155">
        <f>VLOOKUP(A155,[6]Hoja1!$D$1:$O$781,7,FALSE)</f>
        <v>2.0499999999999998</v>
      </c>
      <c r="J155">
        <f>VLOOKUP(A155,[6]Hoja1!$D$1:$O$781,8,FALSE)</f>
        <v>2.0499999999999998</v>
      </c>
      <c r="K155">
        <f>VLOOKUP(A155,[6]Hoja1!$D$1:$O$781,9,FALSE)</f>
        <v>2.0499999999999998</v>
      </c>
      <c r="L155">
        <f>VLOOKUP(A155,[6]Hoja1!$D$1:$O$781,11,FALSE)</f>
        <v>4</v>
      </c>
    </row>
    <row r="156" spans="1:12" x14ac:dyDescent="0.2">
      <c r="A156" t="s">
        <v>366</v>
      </c>
      <c r="B156" t="s">
        <v>367</v>
      </c>
      <c r="C156" t="s">
        <v>38</v>
      </c>
      <c r="D156">
        <f>IFERROR(VLOOKUP(A156,[1]Hoja2!$A$1:$E$430,4,FALSE),0)</f>
        <v>0</v>
      </c>
      <c r="E156">
        <f>IFERROR(VLOOKUP(A156,[2]Hoja3!$A$1:$E$410,4,FALSE),0)</f>
        <v>5.7016359999999997</v>
      </c>
      <c r="F156">
        <f>IFERROR(VLOOKUP(A156,[3]Hoja2!$A$1:$E$411,4,FALSE),0)</f>
        <v>4.5342859646000004</v>
      </c>
      <c r="G156">
        <f>VLOOKUP(A156,[4]Hoja1!$D$1:$K$778,7,FALSE)</f>
        <v>11.47</v>
      </c>
      <c r="H156">
        <f>VLOOKUP(A156,[5]Hoja1!$D$1:$K$781,7,FALSE)</f>
        <v>11.47</v>
      </c>
      <c r="I156">
        <f>VLOOKUP(A156,[6]Hoja1!$D$1:$O$781,7,FALSE)</f>
        <v>11.47</v>
      </c>
      <c r="J156">
        <f>VLOOKUP(A156,[6]Hoja1!$D$1:$O$781,8,FALSE)</f>
        <v>11.47</v>
      </c>
      <c r="K156">
        <f>VLOOKUP(A156,[6]Hoja1!$D$1:$O$781,9,FALSE)</f>
        <v>11.87</v>
      </c>
      <c r="L156">
        <f>VLOOKUP(A156,[6]Hoja1!$D$1:$O$781,11,FALSE)</f>
        <v>11.87</v>
      </c>
    </row>
    <row r="157" spans="1:12" x14ac:dyDescent="0.2">
      <c r="A157" t="s">
        <v>368</v>
      </c>
      <c r="B157" t="s">
        <v>367</v>
      </c>
      <c r="C157" t="s">
        <v>232</v>
      </c>
      <c r="D157">
        <f>IFERROR(VLOOKUP(A157,[1]Hoja2!$A$1:$E$430,4,FALSE),0)</f>
        <v>0</v>
      </c>
      <c r="E157">
        <f>IFERROR(VLOOKUP(A157,[2]Hoja3!$A$1:$E$410,4,FALSE),0)</f>
        <v>21.982634999999998</v>
      </c>
      <c r="F157">
        <f>IFERROR(VLOOKUP(A157,[3]Hoja2!$A$1:$E$411,4,FALSE),0)</f>
        <v>6.9438091876000003</v>
      </c>
      <c r="G157">
        <f>VLOOKUP(A157,[4]Hoja1!$D$1:$K$778,7,FALSE)</f>
        <v>45.872222222222199</v>
      </c>
      <c r="H157">
        <f>VLOOKUP(A157,[5]Hoja1!$D$1:$K$781,7,FALSE)</f>
        <v>45.872222222222227</v>
      </c>
      <c r="I157">
        <f>VLOOKUP(A157,[6]Hoja1!$D$1:$O$781,7,FALSE)</f>
        <v>45.872222222222227</v>
      </c>
      <c r="J157">
        <f>VLOOKUP(A157,[6]Hoja1!$D$1:$O$781,8,FALSE)</f>
        <v>45.872222222222227</v>
      </c>
      <c r="K157">
        <f>VLOOKUP(A157,[6]Hoja1!$D$1:$O$781,9,FALSE)</f>
        <v>45.872222222222227</v>
      </c>
      <c r="L157">
        <f>VLOOKUP(A157,[6]Hoja1!$D$1:$O$781,11,FALSE)</f>
        <v>45.872222222222227</v>
      </c>
    </row>
    <row r="158" spans="1:12" x14ac:dyDescent="0.2">
      <c r="A158" t="s">
        <v>369</v>
      </c>
      <c r="B158" t="s">
        <v>370</v>
      </c>
      <c r="C158" t="s">
        <v>72</v>
      </c>
      <c r="D158">
        <f>IFERROR(VLOOKUP(A158,[1]Hoja2!$A$1:$E$430,4,FALSE),0)</f>
        <v>0</v>
      </c>
      <c r="E158">
        <f>IFERROR(VLOOKUP(A158,[2]Hoja3!$A$1:$E$410,4,FALSE),0)</f>
        <v>73.892857000000006</v>
      </c>
      <c r="F158">
        <f>IFERROR(VLOOKUP(A158,[3]Hoja2!$A$1:$E$411,4,FALSE),0)</f>
        <v>65.799350636400007</v>
      </c>
      <c r="G158">
        <f>VLOOKUP(A158,[4]Hoja1!$D$1:$K$778,7,FALSE)</f>
        <v>113.5</v>
      </c>
      <c r="H158">
        <f>VLOOKUP(A158,[5]Hoja1!$D$1:$K$781,7,FALSE)</f>
        <v>113.5</v>
      </c>
      <c r="I158">
        <f>VLOOKUP(A158,[6]Hoja1!$D$1:$O$781,7,FALSE)</f>
        <v>113.5</v>
      </c>
      <c r="J158">
        <f>VLOOKUP(A158,[6]Hoja1!$D$1:$O$781,8,FALSE)</f>
        <v>113.5</v>
      </c>
      <c r="K158">
        <f>VLOOKUP(A158,[6]Hoja1!$D$1:$O$781,9,FALSE)</f>
        <v>113.5</v>
      </c>
      <c r="L158">
        <f>VLOOKUP(A158,[6]Hoja1!$D$1:$O$781,11,FALSE)</f>
        <v>113.5</v>
      </c>
    </row>
    <row r="159" spans="1:12" x14ac:dyDescent="0.2">
      <c r="A159" t="s">
        <v>371</v>
      </c>
      <c r="B159" t="s">
        <v>372</v>
      </c>
      <c r="C159" t="s">
        <v>49</v>
      </c>
      <c r="D159">
        <f>IFERROR(VLOOKUP(A159,[1]Hoja2!$A$1:$E$430,4,FALSE),0)</f>
        <v>0</v>
      </c>
      <c r="E159">
        <f>IFERROR(VLOOKUP(A159,[2]Hoja3!$A$1:$E$410,4,FALSE),0)</f>
        <v>0.30044399999999999</v>
      </c>
      <c r="F159">
        <f>IFERROR(VLOOKUP(A159,[3]Hoja2!$A$1:$E$411,4,FALSE),0)</f>
        <v>0.28999999999999998</v>
      </c>
      <c r="G159">
        <f>VLOOKUP(A159,[4]Hoja1!$D$1:$K$778,7,FALSE)</f>
        <v>0.34</v>
      </c>
      <c r="H159">
        <f>VLOOKUP(A159,[5]Hoja1!$D$1:$K$781,7,FALSE)</f>
        <v>0.34</v>
      </c>
      <c r="I159">
        <f>VLOOKUP(A159,[6]Hoja1!$D$1:$O$781,7,FALSE)</f>
        <v>0.34</v>
      </c>
      <c r="J159">
        <f>VLOOKUP(A159,[6]Hoja1!$D$1:$O$781,8,FALSE)</f>
        <v>0.34</v>
      </c>
      <c r="K159">
        <f>VLOOKUP(A159,[6]Hoja1!$D$1:$O$781,9,FALSE)</f>
        <v>0.34</v>
      </c>
      <c r="L159">
        <f>VLOOKUP(A159,[6]Hoja1!$D$1:$O$781,11,FALSE)</f>
        <v>0.74618311090939948</v>
      </c>
    </row>
    <row r="160" spans="1:12" x14ac:dyDescent="0.2">
      <c r="A160" t="s">
        <v>373</v>
      </c>
      <c r="B160" t="s">
        <v>372</v>
      </c>
      <c r="C160" t="s">
        <v>6</v>
      </c>
      <c r="D160">
        <f>IFERROR(VLOOKUP(A160,[1]Hoja2!$A$1:$E$430,4,FALSE),0)</f>
        <v>0</v>
      </c>
      <c r="E160">
        <f>IFERROR(VLOOKUP(A160,[2]Hoja3!$A$1:$E$410,4,FALSE),0)</f>
        <v>0.5</v>
      </c>
      <c r="F160">
        <f>IFERROR(VLOOKUP(A160,[3]Hoja2!$A$1:$E$411,4,FALSE),0)</f>
        <v>0.5</v>
      </c>
      <c r="G160">
        <f>VLOOKUP(A160,[4]Hoja1!$D$1:$K$778,7,FALSE)</f>
        <v>0.92</v>
      </c>
      <c r="H160">
        <f>VLOOKUP(A160,[5]Hoja1!$D$1:$K$781,7,FALSE)</f>
        <v>0.92</v>
      </c>
      <c r="I160">
        <f>VLOOKUP(A160,[6]Hoja1!$D$1:$O$781,7,FALSE)</f>
        <v>0.92</v>
      </c>
      <c r="J160">
        <f>VLOOKUP(A160,[6]Hoja1!$D$1:$O$781,8,FALSE)</f>
        <v>0.92</v>
      </c>
      <c r="K160">
        <f>VLOOKUP(A160,[6]Hoja1!$D$1:$O$781,9,FALSE)</f>
        <v>0.92</v>
      </c>
      <c r="L160">
        <f>VLOOKUP(A160,[6]Hoja1!$D$1:$O$781,11,FALSE)</f>
        <v>1.1505536071994904</v>
      </c>
    </row>
    <row r="161" spans="1:12" x14ac:dyDescent="0.2">
      <c r="A161" t="s">
        <v>374</v>
      </c>
      <c r="B161" t="s">
        <v>375</v>
      </c>
      <c r="C161" t="s">
        <v>376</v>
      </c>
      <c r="D161">
        <f>IFERROR(VLOOKUP(A161,[1]Hoja2!$A$1:$E$430,4,FALSE),0)</f>
        <v>0</v>
      </c>
      <c r="E161">
        <f>IFERROR(VLOOKUP(A161,[2]Hoja3!$A$1:$E$410,4,FALSE),0)</f>
        <v>0.51147500000000001</v>
      </c>
      <c r="F161">
        <f>IFERROR(VLOOKUP(A161,[3]Hoja2!$A$1:$E$411,4,FALSE),0)</f>
        <v>0.49998634060000002</v>
      </c>
      <c r="G161">
        <f>VLOOKUP(A161,[4]Hoja1!$D$1:$K$778,7,FALSE)</f>
        <v>0.501428571428571</v>
      </c>
      <c r="H161">
        <f>VLOOKUP(A161,[5]Hoja1!$D$1:$K$781,7,FALSE)</f>
        <v>0.50142857142857145</v>
      </c>
      <c r="I161">
        <f>VLOOKUP(A161,[6]Hoja1!$D$1:$O$781,7,FALSE)</f>
        <v>0.50142857142857145</v>
      </c>
      <c r="J161">
        <f>VLOOKUP(A161,[6]Hoja1!$D$1:$O$781,8,FALSE)</f>
        <v>0.50142857142857145</v>
      </c>
      <c r="K161">
        <f>VLOOKUP(A161,[6]Hoja1!$D$1:$O$781,9,FALSE)</f>
        <v>0.67</v>
      </c>
      <c r="L161">
        <f>VLOOKUP(A161,[6]Hoja1!$D$1:$O$781,11,FALSE)</f>
        <v>0.67</v>
      </c>
    </row>
    <row r="162" spans="1:12" x14ac:dyDescent="0.2">
      <c r="A162" t="s">
        <v>377</v>
      </c>
      <c r="B162" t="s">
        <v>378</v>
      </c>
      <c r="C162" t="s">
        <v>72</v>
      </c>
      <c r="D162">
        <f>IFERROR(VLOOKUP(A162,[1]Hoja2!$A$1:$E$430,4,FALSE),0)</f>
        <v>0</v>
      </c>
      <c r="E162">
        <f>IFERROR(VLOOKUP(A162,[2]Hoja3!$A$1:$E$410,4,FALSE),0)</f>
        <v>0</v>
      </c>
      <c r="F162">
        <f>IFERROR(VLOOKUP(A162,[3]Hoja2!$A$1:$E$411,4,FALSE),0)</f>
        <v>1.2420998780000001</v>
      </c>
      <c r="G162">
        <f>VLOOKUP(A162,[4]Hoja1!$D$1:$K$778,7,FALSE)</f>
        <v>1.66</v>
      </c>
      <c r="H162">
        <f>VLOOKUP(A162,[5]Hoja1!$D$1:$K$781,7,FALSE)</f>
        <v>1.66</v>
      </c>
      <c r="I162">
        <f>VLOOKUP(A162,[6]Hoja1!$D$1:$O$781,7,FALSE)</f>
        <v>1.66</v>
      </c>
      <c r="J162">
        <f>VLOOKUP(A162,[6]Hoja1!$D$1:$O$781,8,FALSE)</f>
        <v>1.66</v>
      </c>
      <c r="K162">
        <f>VLOOKUP(A162,[6]Hoja1!$D$1:$O$781,9,FALSE)</f>
        <v>1.66</v>
      </c>
      <c r="L162">
        <f>VLOOKUP(A162,[6]Hoja1!$D$1:$O$781,11,FALSE)</f>
        <v>1.66</v>
      </c>
    </row>
    <row r="163" spans="1:12" x14ac:dyDescent="0.2">
      <c r="A163" t="s">
        <v>379</v>
      </c>
      <c r="B163" t="s">
        <v>378</v>
      </c>
      <c r="C163" t="s">
        <v>380</v>
      </c>
      <c r="D163">
        <f>IFERROR(VLOOKUP(A163,[1]Hoja2!$A$1:$E$430,4,FALSE),0)</f>
        <v>0</v>
      </c>
      <c r="E163">
        <f>IFERROR(VLOOKUP(A163,[2]Hoja3!$A$1:$E$410,4,FALSE),0)</f>
        <v>19.536999999999999</v>
      </c>
      <c r="F163">
        <f>IFERROR(VLOOKUP(A163,[3]Hoja2!$A$1:$E$411,4,FALSE),0)</f>
        <v>19.536999999999999</v>
      </c>
      <c r="G163">
        <f>VLOOKUP(A163,[4]Hoja1!$D$1:$K$778,7,FALSE)</f>
        <v>29.16</v>
      </c>
      <c r="H163">
        <f>VLOOKUP(A163,[5]Hoja1!$D$1:$K$781,7,FALSE)</f>
        <v>29.16</v>
      </c>
      <c r="I163">
        <f>VLOOKUP(A163,[6]Hoja1!$D$1:$O$781,7,FALSE)</f>
        <v>29.16</v>
      </c>
      <c r="J163">
        <f>VLOOKUP(A163,[6]Hoja1!$D$1:$O$781,8,FALSE)</f>
        <v>29.16</v>
      </c>
      <c r="K163">
        <f>VLOOKUP(A163,[6]Hoja1!$D$1:$O$781,9,FALSE)</f>
        <v>29.16</v>
      </c>
      <c r="L163">
        <f>VLOOKUP(A163,[6]Hoja1!$D$1:$O$781,11,FALSE)</f>
        <v>29.16</v>
      </c>
    </row>
    <row r="164" spans="1:12" x14ac:dyDescent="0.2">
      <c r="A164" t="s">
        <v>381</v>
      </c>
      <c r="B164" t="s">
        <v>382</v>
      </c>
      <c r="C164" t="s">
        <v>383</v>
      </c>
      <c r="D164">
        <f>IFERROR(VLOOKUP(A164,[1]Hoja2!$A$1:$E$430,4,FALSE),0)</f>
        <v>0</v>
      </c>
      <c r="E164">
        <f>IFERROR(VLOOKUP(A164,[2]Hoja3!$A$1:$E$410,4,FALSE),0)</f>
        <v>5.9061219999999999</v>
      </c>
      <c r="F164">
        <f>IFERROR(VLOOKUP(A164,[3]Hoja2!$A$1:$E$411,4,FALSE),0)</f>
        <v>4.5999061625</v>
      </c>
      <c r="G164">
        <f>VLOOKUP(A164,[4]Hoja1!$D$1:$K$778,7,FALSE)</f>
        <v>6.17</v>
      </c>
      <c r="H164">
        <f>VLOOKUP(A164,[5]Hoja1!$D$1:$K$781,7,FALSE)</f>
        <v>6.17</v>
      </c>
      <c r="I164">
        <f>VLOOKUP(A164,[6]Hoja1!$D$1:$O$781,7,FALSE)</f>
        <v>6.17</v>
      </c>
      <c r="J164">
        <f>VLOOKUP(A164,[6]Hoja1!$D$1:$O$781,8,FALSE)</f>
        <v>6.17</v>
      </c>
      <c r="K164">
        <f>VLOOKUP(A164,[6]Hoja1!$D$1:$O$781,9,FALSE)</f>
        <v>6.17</v>
      </c>
      <c r="L164">
        <f>VLOOKUP(A164,[6]Hoja1!$D$1:$O$781,11,FALSE)</f>
        <v>7.7667349285603633</v>
      </c>
    </row>
    <row r="165" spans="1:12" x14ac:dyDescent="0.2">
      <c r="A165" t="s">
        <v>384</v>
      </c>
      <c r="B165" t="s">
        <v>385</v>
      </c>
      <c r="C165" t="s">
        <v>386</v>
      </c>
      <c r="D165">
        <f>IFERROR(VLOOKUP(A165,[1]Hoja2!$A$1:$E$430,4,FALSE),0)</f>
        <v>0</v>
      </c>
      <c r="E165">
        <f>IFERROR(VLOOKUP(A165,[2]Hoja3!$A$1:$E$410,4,FALSE),0)</f>
        <v>0.92223200000000005</v>
      </c>
      <c r="F165">
        <f>IFERROR(VLOOKUP(A165,[3]Hoja2!$A$1:$E$411,4,FALSE),0)</f>
        <v>0.84114044759999995</v>
      </c>
      <c r="G165">
        <f>VLOOKUP(A165,[4]Hoja1!$D$1:$K$778,7,FALSE)</f>
        <v>1.22</v>
      </c>
      <c r="H165">
        <f>VLOOKUP(A165,[5]Hoja1!$D$1:$K$781,7,FALSE)</f>
        <v>1.22</v>
      </c>
      <c r="I165">
        <f>VLOOKUP(A165,[6]Hoja1!$D$1:$O$781,7,FALSE)</f>
        <v>1.22</v>
      </c>
      <c r="J165">
        <f>VLOOKUP(A165,[6]Hoja1!$D$1:$O$781,8,FALSE)</f>
        <v>1.22</v>
      </c>
      <c r="K165">
        <f>VLOOKUP(A165,[6]Hoja1!$D$1:$O$781,9,FALSE)</f>
        <v>1.22</v>
      </c>
      <c r="L165">
        <f>VLOOKUP(A165,[6]Hoja1!$D$1:$O$781,11,FALSE)</f>
        <v>1.22</v>
      </c>
    </row>
    <row r="166" spans="1:12" x14ac:dyDescent="0.2">
      <c r="A166" t="s">
        <v>387</v>
      </c>
      <c r="B166" t="s">
        <v>385</v>
      </c>
      <c r="C166" t="s">
        <v>72</v>
      </c>
      <c r="D166">
        <f>IFERROR(VLOOKUP(A166,[1]Hoja2!$A$1:$E$430,4,FALSE),0)</f>
        <v>0</v>
      </c>
      <c r="E166">
        <f>IFERROR(VLOOKUP(A166,[2]Hoja3!$A$1:$E$410,4,FALSE),0)</f>
        <v>0.49933300000000003</v>
      </c>
      <c r="F166">
        <f>IFERROR(VLOOKUP(A166,[3]Hoja2!$A$1:$E$411,4,FALSE),0)</f>
        <v>0.4308221304</v>
      </c>
      <c r="G166">
        <f>VLOOKUP(A166,[4]Hoja1!$D$1:$K$778,7,FALSE)</f>
        <v>0.57999999999999996</v>
      </c>
      <c r="H166">
        <f>VLOOKUP(A166,[5]Hoja1!$D$1:$K$781,7,FALSE)</f>
        <v>0.57999999999999996</v>
      </c>
      <c r="I166">
        <f>VLOOKUP(A166,[6]Hoja1!$D$1:$O$781,7,FALSE)</f>
        <v>0.57999999999999996</v>
      </c>
      <c r="J166">
        <f>VLOOKUP(A166,[6]Hoja1!$D$1:$O$781,8,FALSE)</f>
        <v>0.57999999999999996</v>
      </c>
      <c r="K166">
        <f>VLOOKUP(A166,[6]Hoja1!$D$1:$O$781,9,FALSE)</f>
        <v>0.57999999999999996</v>
      </c>
      <c r="L166">
        <f>VLOOKUP(A166,[6]Hoja1!$D$1:$O$781,11,FALSE)</f>
        <v>0.57999999999999996</v>
      </c>
    </row>
    <row r="167" spans="1:12" x14ac:dyDescent="0.2">
      <c r="A167" t="s">
        <v>388</v>
      </c>
      <c r="B167" t="s">
        <v>389</v>
      </c>
      <c r="C167" t="s">
        <v>390</v>
      </c>
      <c r="D167">
        <f>IFERROR(VLOOKUP(A167,[1]Hoja2!$A$1:$E$430,4,FALSE),0)</f>
        <v>0</v>
      </c>
      <c r="E167">
        <f>IFERROR(VLOOKUP(A167,[2]Hoja3!$A$1:$E$410,4,FALSE),0)</f>
        <v>2.3131159999999999</v>
      </c>
      <c r="F167">
        <f>IFERROR(VLOOKUP(A167,[3]Hoja2!$A$1:$E$411,4,FALSE),0)</f>
        <v>1.6325690334</v>
      </c>
      <c r="G167">
        <f>VLOOKUP(A167,[4]Hoja1!$D$1:$K$778,7,FALSE)</f>
        <v>6.36</v>
      </c>
      <c r="H167">
        <f>VLOOKUP(A167,[5]Hoja1!$D$1:$K$781,7,FALSE)</f>
        <v>6.36</v>
      </c>
      <c r="I167">
        <f>VLOOKUP(A167,[6]Hoja1!$D$1:$O$781,7,FALSE)</f>
        <v>6.36</v>
      </c>
      <c r="J167">
        <f>VLOOKUP(A167,[6]Hoja1!$D$1:$O$781,8,FALSE)</f>
        <v>6.36</v>
      </c>
      <c r="K167">
        <f>VLOOKUP(A167,[6]Hoja1!$D$1:$O$781,9,FALSE)</f>
        <v>6.36</v>
      </c>
      <c r="L167">
        <f>VLOOKUP(A167,[6]Hoja1!$D$1:$O$781,11,FALSE)</f>
        <v>6.36</v>
      </c>
    </row>
    <row r="168" spans="1:12" x14ac:dyDescent="0.2">
      <c r="A168" t="s">
        <v>391</v>
      </c>
      <c r="B168" t="s">
        <v>389</v>
      </c>
      <c r="C168" t="s">
        <v>392</v>
      </c>
      <c r="D168">
        <f>IFERROR(VLOOKUP(A168,[1]Hoja2!$A$1:$E$430,4,FALSE),0)</f>
        <v>0</v>
      </c>
      <c r="E168">
        <f>IFERROR(VLOOKUP(A168,[2]Hoja3!$A$1:$E$410,4,FALSE),0)</f>
        <v>48.226044999999999</v>
      </c>
      <c r="F168">
        <f>IFERROR(VLOOKUP(A168,[3]Hoja2!$A$1:$E$411,4,FALSE),0)</f>
        <v>45</v>
      </c>
      <c r="G168">
        <f>VLOOKUP(A168,[4]Hoja1!$D$1:$K$778,7,FALSE)</f>
        <v>56.36</v>
      </c>
      <c r="H168">
        <f>VLOOKUP(A168,[5]Hoja1!$D$1:$K$781,7,FALSE)</f>
        <v>56.36</v>
      </c>
      <c r="I168">
        <f>VLOOKUP(A168,[6]Hoja1!$D$1:$O$781,7,FALSE)</f>
        <v>56.36</v>
      </c>
      <c r="J168">
        <f>VLOOKUP(A168,[6]Hoja1!$D$1:$O$781,8,FALSE)</f>
        <v>56.36</v>
      </c>
      <c r="K168">
        <f>VLOOKUP(A168,[6]Hoja1!$D$1:$O$781,9,FALSE)</f>
        <v>56.36</v>
      </c>
      <c r="L168">
        <f>VLOOKUP(A168,[6]Hoja1!$D$1:$O$781,11,FALSE)</f>
        <v>56.36</v>
      </c>
    </row>
    <row r="169" spans="1:12" x14ac:dyDescent="0.2">
      <c r="A169" t="s">
        <v>393</v>
      </c>
      <c r="B169" t="s">
        <v>394</v>
      </c>
      <c r="C169" t="s">
        <v>72</v>
      </c>
      <c r="D169">
        <f>IFERROR(VLOOKUP(A169,[1]Hoja2!$A$1:$E$430,4,FALSE),0)</f>
        <v>0</v>
      </c>
      <c r="E169">
        <f>IFERROR(VLOOKUP(A169,[2]Hoja3!$A$1:$E$410,4,FALSE),0)</f>
        <v>1.898245</v>
      </c>
      <c r="F169">
        <f>IFERROR(VLOOKUP(A169,[3]Hoja2!$A$1:$E$411,4,FALSE),0)</f>
        <v>1.4920389578</v>
      </c>
      <c r="G169">
        <f>VLOOKUP(A169,[4]Hoja1!$D$1:$K$778,7,FALSE)</f>
        <v>5.56</v>
      </c>
      <c r="H169">
        <f>VLOOKUP(A169,[5]Hoja1!$D$1:$K$781,7,FALSE)</f>
        <v>5.56</v>
      </c>
      <c r="I169">
        <f>VLOOKUP(A169,[6]Hoja1!$D$1:$O$781,7,FALSE)</f>
        <v>5.56</v>
      </c>
      <c r="J169">
        <f>VLOOKUP(A169,[6]Hoja1!$D$1:$O$781,8,FALSE)</f>
        <v>5.56</v>
      </c>
      <c r="K169">
        <f>VLOOKUP(A169,[6]Hoja1!$D$1:$O$781,9,FALSE)</f>
        <v>5.56</v>
      </c>
      <c r="L169">
        <f>VLOOKUP(A169,[6]Hoja1!$D$1:$O$781,11,FALSE)</f>
        <v>5.56</v>
      </c>
    </row>
    <row r="170" spans="1:12" x14ac:dyDescent="0.2">
      <c r="A170" t="s">
        <v>395</v>
      </c>
      <c r="B170" t="s">
        <v>396</v>
      </c>
      <c r="C170" t="s">
        <v>397</v>
      </c>
      <c r="D170">
        <f>IFERROR(VLOOKUP(A170,[1]Hoja2!$A$1:$E$430,4,FALSE),0)</f>
        <v>0</v>
      </c>
      <c r="E170">
        <f>IFERROR(VLOOKUP(A170,[2]Hoja3!$A$1:$E$410,4,FALSE),0)</f>
        <v>4.5</v>
      </c>
      <c r="F170">
        <f>IFERROR(VLOOKUP(A170,[3]Hoja2!$A$1:$E$411,4,FALSE),0)</f>
        <v>4.5</v>
      </c>
      <c r="G170">
        <f>VLOOKUP(A170,[4]Hoja1!$D$1:$K$778,7,FALSE)</f>
        <v>6</v>
      </c>
      <c r="H170">
        <f>VLOOKUP(A170,[5]Hoja1!$D$1:$K$781,7,FALSE)</f>
        <v>6</v>
      </c>
      <c r="I170">
        <f>VLOOKUP(A170,[6]Hoja1!$D$1:$O$781,7,FALSE)</f>
        <v>6</v>
      </c>
      <c r="J170">
        <f>VLOOKUP(A170,[6]Hoja1!$D$1:$O$781,8,FALSE)</f>
        <v>6</v>
      </c>
      <c r="K170">
        <f>VLOOKUP(A170,[6]Hoja1!$D$1:$O$781,9,FALSE)</f>
        <v>6</v>
      </c>
      <c r="L170">
        <f>VLOOKUP(A170,[6]Hoja1!$D$1:$O$781,11,FALSE)</f>
        <v>6</v>
      </c>
    </row>
    <row r="171" spans="1:12" x14ac:dyDescent="0.2">
      <c r="A171" t="s">
        <v>398</v>
      </c>
      <c r="B171" t="s">
        <v>396</v>
      </c>
      <c r="C171" t="s">
        <v>399</v>
      </c>
      <c r="D171">
        <f>IFERROR(VLOOKUP(A171,[1]Hoja2!$A$1:$E$430,4,FALSE),0)</f>
        <v>0</v>
      </c>
      <c r="E171">
        <f>IFERROR(VLOOKUP(A171,[2]Hoja3!$A$1:$E$410,4,FALSE),0)</f>
        <v>5.4069149999999997</v>
      </c>
      <c r="F171">
        <f>IFERROR(VLOOKUP(A171,[3]Hoja2!$A$1:$E$411,4,FALSE),0)</f>
        <v>7</v>
      </c>
      <c r="G171">
        <f>VLOOKUP(A171,[4]Hoja1!$D$1:$K$778,7,FALSE)</f>
        <v>11.22</v>
      </c>
      <c r="H171">
        <f>VLOOKUP(A171,[5]Hoja1!$D$1:$K$781,7,FALSE)</f>
        <v>11.22</v>
      </c>
      <c r="I171">
        <f>VLOOKUP(A171,[6]Hoja1!$D$1:$O$781,7,FALSE)</f>
        <v>11.22</v>
      </c>
      <c r="J171">
        <f>VLOOKUP(A171,[6]Hoja1!$D$1:$O$781,8,FALSE)</f>
        <v>11.22</v>
      </c>
      <c r="K171">
        <f>VLOOKUP(A171,[6]Hoja1!$D$1:$O$781,9,FALSE)</f>
        <v>11.22</v>
      </c>
      <c r="L171">
        <f>VLOOKUP(A171,[6]Hoja1!$D$1:$O$781,11,FALSE)</f>
        <v>11.22</v>
      </c>
    </row>
    <row r="172" spans="1:12" x14ac:dyDescent="0.2">
      <c r="A172" t="s">
        <v>400</v>
      </c>
      <c r="B172" t="s">
        <v>401</v>
      </c>
      <c r="C172" t="s">
        <v>402</v>
      </c>
      <c r="D172">
        <f>IFERROR(VLOOKUP(A172,[1]Hoja2!$A$1:$E$430,4,FALSE),0)</f>
        <v>0</v>
      </c>
      <c r="E172">
        <f>IFERROR(VLOOKUP(A172,[2]Hoja3!$A$1:$E$410,4,FALSE),0)</f>
        <v>4.3201020000000003</v>
      </c>
      <c r="F172">
        <f>IFERROR(VLOOKUP(A172,[3]Hoja2!$A$1:$E$411,4,FALSE),0)</f>
        <v>4.3200644210999997</v>
      </c>
      <c r="G172">
        <f>VLOOKUP(A172,[4]Hoja1!$D$1:$K$778,7,FALSE)</f>
        <v>6.84</v>
      </c>
      <c r="H172">
        <f>VLOOKUP(A172,[5]Hoja1!$D$1:$K$781,7,FALSE)</f>
        <v>6.84</v>
      </c>
      <c r="I172">
        <f>VLOOKUP(A172,[6]Hoja1!$D$1:$O$781,7,FALSE)</f>
        <v>6.84</v>
      </c>
      <c r="J172">
        <f>VLOOKUP(A172,[6]Hoja1!$D$1:$O$781,8,FALSE)</f>
        <v>6.84</v>
      </c>
      <c r="K172">
        <f>VLOOKUP(A172,[6]Hoja1!$D$1:$O$781,9,FALSE)</f>
        <v>6.84</v>
      </c>
      <c r="L172">
        <f>VLOOKUP(A172,[6]Hoja1!$D$1:$O$781,11,FALSE)</f>
        <v>6.84</v>
      </c>
    </row>
    <row r="173" spans="1:12" x14ac:dyDescent="0.2">
      <c r="A173" t="s">
        <v>403</v>
      </c>
      <c r="B173" t="s">
        <v>404</v>
      </c>
      <c r="C173" t="s">
        <v>386</v>
      </c>
      <c r="D173">
        <f>IFERROR(VLOOKUP(A173,[1]Hoja2!$A$1:$E$430,4,FALSE),0)</f>
        <v>0</v>
      </c>
      <c r="E173">
        <f>IFERROR(VLOOKUP(A173,[2]Hoja3!$A$1:$E$410,4,FALSE),0)</f>
        <v>6.0199009999999999</v>
      </c>
      <c r="F173">
        <f>IFERROR(VLOOKUP(A173,[3]Hoja2!$A$1:$E$411,4,FALSE),0)</f>
        <v>5.0114779585999996</v>
      </c>
      <c r="G173">
        <f>VLOOKUP(A173,[4]Hoja1!$D$1:$K$778,7,FALSE)</f>
        <v>10.78</v>
      </c>
      <c r="H173">
        <f>VLOOKUP(A173,[5]Hoja1!$D$1:$K$781,7,FALSE)</f>
        <v>10.78</v>
      </c>
      <c r="I173">
        <f>VLOOKUP(A173,[6]Hoja1!$D$1:$O$781,7,FALSE)</f>
        <v>10.78</v>
      </c>
      <c r="J173">
        <f>VLOOKUP(A173,[6]Hoja1!$D$1:$O$781,8,FALSE)</f>
        <v>10.78</v>
      </c>
      <c r="K173">
        <f>VLOOKUP(A173,[6]Hoja1!$D$1:$O$781,9,FALSE)</f>
        <v>10.78</v>
      </c>
      <c r="L173">
        <f>VLOOKUP(A173,[6]Hoja1!$D$1:$O$781,11,FALSE)</f>
        <v>19.616554106199679</v>
      </c>
    </row>
    <row r="174" spans="1:12" x14ac:dyDescent="0.2">
      <c r="A174" t="s">
        <v>405</v>
      </c>
      <c r="B174" t="s">
        <v>406</v>
      </c>
      <c r="C174" t="s">
        <v>386</v>
      </c>
      <c r="D174">
        <f>IFERROR(VLOOKUP(A174,[1]Hoja2!$A$1:$E$430,4,FALSE),0)</f>
        <v>0</v>
      </c>
      <c r="E174">
        <f>IFERROR(VLOOKUP(A174,[2]Hoja3!$A$1:$E$410,4,FALSE),0)</f>
        <v>4.0762400000000003</v>
      </c>
      <c r="F174">
        <f>IFERROR(VLOOKUP(A174,[3]Hoja2!$A$1:$E$411,4,FALSE),0)</f>
        <v>4.3011719527999999</v>
      </c>
      <c r="G174">
        <f>VLOOKUP(A174,[4]Hoja1!$D$1:$K$778,7,FALSE)</f>
        <v>7.35</v>
      </c>
      <c r="H174">
        <f>VLOOKUP(A174,[5]Hoja1!$D$1:$K$781,7,FALSE)</f>
        <v>7.35</v>
      </c>
      <c r="I174">
        <f>VLOOKUP(A174,[6]Hoja1!$D$1:$O$781,7,FALSE)</f>
        <v>7.35</v>
      </c>
      <c r="J174">
        <f>VLOOKUP(A174,[6]Hoja1!$D$1:$O$781,8,FALSE)</f>
        <v>7.35</v>
      </c>
      <c r="K174">
        <f>VLOOKUP(A174,[6]Hoja1!$D$1:$O$781,9,FALSE)</f>
        <v>7.35</v>
      </c>
      <c r="L174">
        <f>VLOOKUP(A174,[6]Hoja1!$D$1:$O$781,11,FALSE)</f>
        <v>10.376439273084261</v>
      </c>
    </row>
    <row r="175" spans="1:12" x14ac:dyDescent="0.2">
      <c r="A175" t="s">
        <v>407</v>
      </c>
      <c r="B175" t="s">
        <v>408</v>
      </c>
      <c r="C175" t="s">
        <v>72</v>
      </c>
      <c r="D175">
        <f>IFERROR(VLOOKUP(A175,[1]Hoja2!$A$1:$E$430,4,FALSE),0)</f>
        <v>0</v>
      </c>
      <c r="E175">
        <f>IFERROR(VLOOKUP(A175,[2]Hoja3!$A$1:$E$410,4,FALSE),0)</f>
        <v>1.3991690000000001</v>
      </c>
      <c r="F175">
        <f>IFERROR(VLOOKUP(A175,[3]Hoja2!$A$1:$E$411,4,FALSE),0)</f>
        <v>1.1000000000000001</v>
      </c>
      <c r="G175">
        <f>VLOOKUP(A175,[4]Hoja1!$D$1:$K$778,7,FALSE)</f>
        <v>2.23</v>
      </c>
      <c r="H175">
        <f>VLOOKUP(A175,[5]Hoja1!$D$1:$K$781,7,FALSE)</f>
        <v>2.23</v>
      </c>
      <c r="I175">
        <f>VLOOKUP(A175,[6]Hoja1!$D$1:$O$781,7,FALSE)</f>
        <v>2.23</v>
      </c>
      <c r="J175">
        <f>VLOOKUP(A175,[6]Hoja1!$D$1:$O$781,8,FALSE)</f>
        <v>2.23</v>
      </c>
      <c r="K175">
        <f>VLOOKUP(A175,[6]Hoja1!$D$1:$O$781,9,FALSE)</f>
        <v>2.23</v>
      </c>
      <c r="L175">
        <f>VLOOKUP(A175,[6]Hoja1!$D$1:$O$781,11,FALSE)</f>
        <v>2.3832984156345498</v>
      </c>
    </row>
    <row r="176" spans="1:12" x14ac:dyDescent="0.2">
      <c r="A176" t="s">
        <v>409</v>
      </c>
      <c r="B176" t="s">
        <v>410</v>
      </c>
      <c r="C176" t="s">
        <v>386</v>
      </c>
      <c r="D176">
        <f>IFERROR(VLOOKUP(A176,[1]Hoja2!$A$1:$E$430,4,FALSE),0)</f>
        <v>0</v>
      </c>
      <c r="E176">
        <f>IFERROR(VLOOKUP(A176,[2]Hoja3!$A$1:$E$410,4,FALSE),0)</f>
        <v>23.573333333299999</v>
      </c>
      <c r="F176">
        <f>IFERROR(VLOOKUP(A176,[3]Hoja2!$A$1:$E$411,4,FALSE),0)</f>
        <v>0</v>
      </c>
      <c r="G176">
        <f>VLOOKUP(A176,[4]Hoja1!$D$1:$K$778,7,FALSE)</f>
        <v>20.87</v>
      </c>
      <c r="H176">
        <f>VLOOKUP(A176,[5]Hoja1!$D$1:$K$781,7,FALSE)</f>
        <v>20.87</v>
      </c>
      <c r="I176">
        <f>VLOOKUP(A176,[6]Hoja1!$D$1:$O$781,7,FALSE)</f>
        <v>20.87</v>
      </c>
      <c r="J176">
        <f>VLOOKUP(A176,[6]Hoja1!$D$1:$O$781,8,FALSE)</f>
        <v>20.87</v>
      </c>
      <c r="K176">
        <f>VLOOKUP(A176,[6]Hoja1!$D$1:$O$781,9,FALSE)</f>
        <v>20.87</v>
      </c>
      <c r="L176">
        <f>VLOOKUP(A176,[6]Hoja1!$D$1:$O$781,11,FALSE)</f>
        <v>20.87</v>
      </c>
    </row>
    <row r="177" spans="1:12" x14ac:dyDescent="0.2">
      <c r="A177" t="s">
        <v>411</v>
      </c>
      <c r="B177" t="s">
        <v>412</v>
      </c>
      <c r="C177" t="s">
        <v>386</v>
      </c>
      <c r="D177">
        <f>IFERROR(VLOOKUP(A177,[1]Hoja2!$A$1:$E$430,4,FALSE),0)</f>
        <v>0</v>
      </c>
      <c r="E177">
        <f>IFERROR(VLOOKUP(A177,[2]Hoja3!$A$1:$E$410,4,FALSE),0)</f>
        <v>4.0353440000000003</v>
      </c>
      <c r="F177">
        <f>IFERROR(VLOOKUP(A177,[3]Hoja2!$A$1:$E$411,4,FALSE),0)</f>
        <v>4.0353440000000003</v>
      </c>
      <c r="G177">
        <f>VLOOKUP(A177,[4]Hoja1!$D$1:$K$778,7,FALSE)</f>
        <v>10.27</v>
      </c>
      <c r="H177">
        <f>VLOOKUP(A177,[5]Hoja1!$D$1:$K$781,7,FALSE)</f>
        <v>10.27</v>
      </c>
      <c r="I177">
        <f>VLOOKUP(A177,[6]Hoja1!$D$1:$O$781,7,FALSE)</f>
        <v>10.27</v>
      </c>
      <c r="J177">
        <f>VLOOKUP(A177,[6]Hoja1!$D$1:$O$781,8,FALSE)</f>
        <v>10.27</v>
      </c>
      <c r="K177">
        <f>VLOOKUP(A177,[6]Hoja1!$D$1:$O$781,9,FALSE)</f>
        <v>10.27</v>
      </c>
      <c r="L177">
        <f>VLOOKUP(A177,[6]Hoja1!$D$1:$O$781,11,FALSE)</f>
        <v>17.613732390090998</v>
      </c>
    </row>
    <row r="178" spans="1:12" x14ac:dyDescent="0.2">
      <c r="A178" t="s">
        <v>413</v>
      </c>
      <c r="B178" t="s">
        <v>414</v>
      </c>
      <c r="C178" t="s">
        <v>72</v>
      </c>
      <c r="D178">
        <f>IFERROR(VLOOKUP(A178,[1]Hoja2!$A$1:$E$430,4,FALSE),0)</f>
        <v>0</v>
      </c>
      <c r="E178">
        <f>IFERROR(VLOOKUP(A178,[2]Hoja3!$A$1:$E$410,4,FALSE),0)</f>
        <v>0.41221999999999998</v>
      </c>
      <c r="F178">
        <f>IFERROR(VLOOKUP(A178,[3]Hoja2!$A$1:$E$411,4,FALSE),0)</f>
        <v>0.40624208470000001</v>
      </c>
      <c r="G178">
        <f>VLOOKUP(A178,[4]Hoja1!$D$1:$K$778,7,FALSE)</f>
        <v>0.7</v>
      </c>
      <c r="H178">
        <f>VLOOKUP(A178,[5]Hoja1!$D$1:$K$781,7,FALSE)</f>
        <v>0.7</v>
      </c>
      <c r="I178">
        <f>VLOOKUP(A178,[6]Hoja1!$D$1:$O$781,7,FALSE)</f>
        <v>0.7</v>
      </c>
      <c r="J178">
        <f>VLOOKUP(A178,[6]Hoja1!$D$1:$O$781,8,FALSE)</f>
        <v>0.7</v>
      </c>
      <c r="K178">
        <f>VLOOKUP(A178,[6]Hoja1!$D$1:$O$781,9,FALSE)</f>
        <v>0.7</v>
      </c>
      <c r="L178">
        <f>VLOOKUP(A178,[6]Hoja1!$D$1:$O$781,11,FALSE)</f>
        <v>1.8</v>
      </c>
    </row>
    <row r="179" spans="1:12" x14ac:dyDescent="0.2">
      <c r="A179" t="s">
        <v>415</v>
      </c>
      <c r="B179" t="s">
        <v>414</v>
      </c>
      <c r="C179" t="s">
        <v>216</v>
      </c>
      <c r="D179">
        <f>IFERROR(VLOOKUP(A179,[1]Hoja2!$A$1:$E$430,4,FALSE),0)</f>
        <v>0</v>
      </c>
      <c r="E179">
        <f>IFERROR(VLOOKUP(A179,[2]Hoja3!$A$1:$E$410,4,FALSE),0)</f>
        <v>8</v>
      </c>
      <c r="F179">
        <f>IFERROR(VLOOKUP(A179,[3]Hoja2!$A$1:$E$411,4,FALSE),0)</f>
        <v>6.5155918081999999</v>
      </c>
      <c r="G179">
        <f>VLOOKUP(A179,[4]Hoja1!$D$1:$K$778,7,FALSE)</f>
        <v>11.64</v>
      </c>
      <c r="H179">
        <f>VLOOKUP(A179,[5]Hoja1!$D$1:$K$781,7,FALSE)</f>
        <v>11.64</v>
      </c>
      <c r="I179">
        <f>VLOOKUP(A179,[6]Hoja1!$D$1:$O$781,7,FALSE)</f>
        <v>11.64</v>
      </c>
      <c r="J179">
        <f>VLOOKUP(A179,[6]Hoja1!$D$1:$O$781,8,FALSE)</f>
        <v>11.64</v>
      </c>
      <c r="K179">
        <f>VLOOKUP(A179,[6]Hoja1!$D$1:$O$781,9,FALSE)</f>
        <v>11.64</v>
      </c>
      <c r="L179">
        <f>VLOOKUP(A179,[6]Hoja1!$D$1:$O$781,11,FALSE)</f>
        <v>13.317484002341743</v>
      </c>
    </row>
    <row r="180" spans="1:12" x14ac:dyDescent="0.2">
      <c r="A180" t="s">
        <v>416</v>
      </c>
      <c r="B180" t="s">
        <v>417</v>
      </c>
      <c r="C180" t="s">
        <v>72</v>
      </c>
      <c r="D180">
        <f>IFERROR(VLOOKUP(A180,[1]Hoja2!$A$1:$E$430,4,FALSE),0)</f>
        <v>0</v>
      </c>
      <c r="E180">
        <f>IFERROR(VLOOKUP(A180,[2]Hoja3!$A$1:$E$410,4,FALSE),0)</f>
        <v>3.065283</v>
      </c>
      <c r="F180">
        <f>IFERROR(VLOOKUP(A180,[3]Hoja2!$A$1:$E$411,4,FALSE),0)</f>
        <v>3</v>
      </c>
      <c r="G180">
        <f>VLOOKUP(A180,[4]Hoja1!$D$1:$K$778,7,FALSE)</f>
        <v>4.12</v>
      </c>
      <c r="H180">
        <f>VLOOKUP(A180,[5]Hoja1!$D$1:$K$781,7,FALSE)</f>
        <v>4.12</v>
      </c>
      <c r="I180">
        <f>VLOOKUP(A180,[6]Hoja1!$D$1:$O$781,7,FALSE)</f>
        <v>4.12</v>
      </c>
      <c r="J180">
        <f>VLOOKUP(A180,[6]Hoja1!$D$1:$O$781,8,FALSE)</f>
        <v>4.12</v>
      </c>
      <c r="K180">
        <f>VLOOKUP(A180,[6]Hoja1!$D$1:$O$781,9,FALSE)</f>
        <v>4.12</v>
      </c>
      <c r="L180">
        <f>VLOOKUP(A180,[6]Hoja1!$D$1:$O$781,11,FALSE)</f>
        <v>4.12</v>
      </c>
    </row>
    <row r="181" spans="1:12" x14ac:dyDescent="0.2">
      <c r="A181" t="s">
        <v>418</v>
      </c>
      <c r="B181" t="s">
        <v>419</v>
      </c>
      <c r="C181" t="s">
        <v>386</v>
      </c>
      <c r="D181">
        <f>IFERROR(VLOOKUP(A181,[1]Hoja2!$A$1:$E$430,4,FALSE),0)</f>
        <v>0</v>
      </c>
      <c r="E181">
        <f>IFERROR(VLOOKUP(A181,[2]Hoja3!$A$1:$E$410,4,FALSE),0)</f>
        <v>7.5925930435</v>
      </c>
      <c r="F181">
        <f>IFERROR(VLOOKUP(A181,[3]Hoja2!$A$1:$E$411,4,FALSE),0)</f>
        <v>0</v>
      </c>
      <c r="G181">
        <f>VLOOKUP(A181,[4]Hoja1!$D$1:$K$778,7,FALSE)</f>
        <v>9.25</v>
      </c>
      <c r="H181">
        <f>VLOOKUP(A181,[5]Hoja1!$D$1:$K$781,7,FALSE)</f>
        <v>9.25</v>
      </c>
      <c r="I181">
        <f>VLOOKUP(A181,[6]Hoja1!$D$1:$O$781,7,FALSE)</f>
        <v>9.25</v>
      </c>
      <c r="J181">
        <f>VLOOKUP(A181,[6]Hoja1!$D$1:$O$781,8,FALSE)</f>
        <v>9.25</v>
      </c>
      <c r="K181">
        <f>VLOOKUP(A181,[6]Hoja1!$D$1:$O$781,9,FALSE)</f>
        <v>9.25</v>
      </c>
      <c r="L181">
        <f>VLOOKUP(A181,[6]Hoja1!$D$1:$O$781,11,FALSE)</f>
        <v>9.25</v>
      </c>
    </row>
    <row r="182" spans="1:12" x14ac:dyDescent="0.2">
      <c r="A182" t="s">
        <v>420</v>
      </c>
      <c r="B182" t="s">
        <v>421</v>
      </c>
      <c r="C182" t="s">
        <v>422</v>
      </c>
      <c r="D182">
        <f>IFERROR(VLOOKUP(A182,[1]Hoja2!$A$1:$E$430,4,FALSE),0)</f>
        <v>0</v>
      </c>
      <c r="E182">
        <f>IFERROR(VLOOKUP(A182,[2]Hoja3!$A$1:$E$410,4,FALSE),0)</f>
        <v>0.50913200000000003</v>
      </c>
      <c r="F182">
        <f>IFERROR(VLOOKUP(A182,[3]Hoja2!$A$1:$E$411,4,FALSE),0)</f>
        <v>0.3920489533</v>
      </c>
      <c r="G182">
        <f>VLOOKUP(A182,[4]Hoja1!$D$1:$K$778,7,FALSE)</f>
        <v>0.75</v>
      </c>
      <c r="H182">
        <f>VLOOKUP(A182,[5]Hoja1!$D$1:$K$781,7,FALSE)</f>
        <v>0.75</v>
      </c>
      <c r="I182">
        <f>VLOOKUP(A182,[6]Hoja1!$D$1:$O$781,7,FALSE)</f>
        <v>0.75</v>
      </c>
      <c r="J182">
        <f>VLOOKUP(A182,[6]Hoja1!$D$1:$O$781,8,FALSE)</f>
        <v>0.75</v>
      </c>
      <c r="K182">
        <f>VLOOKUP(A182,[6]Hoja1!$D$1:$O$781,9,FALSE)</f>
        <v>0.75</v>
      </c>
      <c r="L182">
        <f>VLOOKUP(A182,[6]Hoja1!$D$1:$O$781,11,FALSE)</f>
        <v>1.7824539941604221</v>
      </c>
    </row>
    <row r="183" spans="1:12" x14ac:dyDescent="0.2">
      <c r="A183" t="s">
        <v>423</v>
      </c>
      <c r="B183" t="s">
        <v>421</v>
      </c>
      <c r="C183" t="s">
        <v>424</v>
      </c>
      <c r="D183">
        <f>IFERROR(VLOOKUP(A183,[1]Hoja2!$A$1:$E$430,4,FALSE),0)</f>
        <v>0</v>
      </c>
      <c r="E183">
        <f>IFERROR(VLOOKUP(A183,[2]Hoja3!$A$1:$E$410,4,FALSE),0)</f>
        <v>8</v>
      </c>
      <c r="F183">
        <f>IFERROR(VLOOKUP(A183,[3]Hoja2!$A$1:$E$411,4,FALSE),0)</f>
        <v>7</v>
      </c>
      <c r="G183">
        <f>VLOOKUP(A183,[4]Hoja1!$D$1:$K$778,7,FALSE)</f>
        <v>9.18</v>
      </c>
      <c r="H183">
        <f>VLOOKUP(A183,[5]Hoja1!$D$1:$K$781,7,FALSE)</f>
        <v>9.18</v>
      </c>
      <c r="I183">
        <f>VLOOKUP(A183,[6]Hoja1!$D$1:$O$781,7,FALSE)</f>
        <v>9.18</v>
      </c>
      <c r="J183">
        <f>VLOOKUP(A183,[6]Hoja1!$D$1:$O$781,8,FALSE)</f>
        <v>9.18</v>
      </c>
      <c r="K183">
        <f>VLOOKUP(A183,[6]Hoja1!$D$1:$O$781,9,FALSE)</f>
        <v>9.18</v>
      </c>
      <c r="L183">
        <f>VLOOKUP(A183,[6]Hoja1!$D$1:$O$781,11,FALSE)</f>
        <v>9.18</v>
      </c>
    </row>
    <row r="184" spans="1:12" x14ac:dyDescent="0.2">
      <c r="A184" t="s">
        <v>425</v>
      </c>
      <c r="B184" t="s">
        <v>426</v>
      </c>
      <c r="C184" t="s">
        <v>72</v>
      </c>
      <c r="D184">
        <f>IFERROR(VLOOKUP(A184,[1]Hoja2!$A$1:$E$430,4,FALSE),0)</f>
        <v>0</v>
      </c>
      <c r="E184">
        <f>IFERROR(VLOOKUP(A184,[2]Hoja3!$A$1:$E$410,4,FALSE),0)</f>
        <v>0.9</v>
      </c>
      <c r="F184">
        <f>IFERROR(VLOOKUP(A184,[3]Hoja2!$A$1:$E$411,4,FALSE),0)</f>
        <v>1.0492537313000001</v>
      </c>
      <c r="G184">
        <f>VLOOKUP(A184,[4]Hoja1!$D$1:$K$778,7,FALSE)</f>
        <v>1.24</v>
      </c>
      <c r="H184">
        <f>VLOOKUP(A184,[5]Hoja1!$D$1:$K$781,7,FALSE)</f>
        <v>1.24</v>
      </c>
      <c r="I184">
        <f>VLOOKUP(A184,[6]Hoja1!$D$1:$O$781,7,FALSE)</f>
        <v>1.24</v>
      </c>
      <c r="J184">
        <f>VLOOKUP(A184,[6]Hoja1!$D$1:$O$781,8,FALSE)</f>
        <v>1.24</v>
      </c>
      <c r="K184">
        <f>VLOOKUP(A184,[6]Hoja1!$D$1:$O$781,9,FALSE)</f>
        <v>1.24</v>
      </c>
      <c r="L184">
        <f>VLOOKUP(A184,[6]Hoja1!$D$1:$O$781,11,FALSE)</f>
        <v>1.24</v>
      </c>
    </row>
    <row r="185" spans="1:12" x14ac:dyDescent="0.2">
      <c r="A185" t="s">
        <v>427</v>
      </c>
      <c r="B185" t="s">
        <v>428</v>
      </c>
      <c r="C185" t="s">
        <v>38</v>
      </c>
      <c r="D185">
        <f>IFERROR(VLOOKUP(A185,[1]Hoja2!$A$1:$E$430,4,FALSE),0)</f>
        <v>0</v>
      </c>
      <c r="E185">
        <f>IFERROR(VLOOKUP(A185,[2]Hoja3!$A$1:$E$410,4,FALSE),0)</f>
        <v>0.44434699999999999</v>
      </c>
      <c r="F185">
        <f>IFERROR(VLOOKUP(A185,[3]Hoja2!$A$1:$E$411,4,FALSE),0)</f>
        <v>0.49984277830000001</v>
      </c>
      <c r="G185">
        <f>VLOOKUP(A185,[4]Hoja1!$D$1:$K$778,7,FALSE)</f>
        <v>0.71</v>
      </c>
      <c r="H185">
        <f>VLOOKUP(A185,[5]Hoja1!$D$1:$K$781,7,FALSE)</f>
        <v>0.71</v>
      </c>
      <c r="I185">
        <f>VLOOKUP(A185,[6]Hoja1!$D$1:$O$781,7,FALSE)</f>
        <v>0.71</v>
      </c>
      <c r="J185">
        <f>VLOOKUP(A185,[6]Hoja1!$D$1:$O$781,8,FALSE)</f>
        <v>0.71</v>
      </c>
      <c r="K185">
        <f>VLOOKUP(A185,[6]Hoja1!$D$1:$O$781,9,FALSE)</f>
        <v>0.71</v>
      </c>
      <c r="L185">
        <f>VLOOKUP(A185,[6]Hoja1!$D$1:$O$781,11,FALSE)</f>
        <v>0.71</v>
      </c>
    </row>
    <row r="186" spans="1:12" x14ac:dyDescent="0.2">
      <c r="A186" t="s">
        <v>429</v>
      </c>
      <c r="B186" t="s">
        <v>430</v>
      </c>
      <c r="C186" t="s">
        <v>72</v>
      </c>
      <c r="D186">
        <f>IFERROR(VLOOKUP(A186,[1]Hoja2!$A$1:$E$430,4,FALSE),0)</f>
        <v>0</v>
      </c>
      <c r="E186">
        <f>IFERROR(VLOOKUP(A186,[2]Hoja3!$A$1:$E$410,4,FALSE),0)</f>
        <v>0.97916300000000001</v>
      </c>
      <c r="F186">
        <f>IFERROR(VLOOKUP(A186,[3]Hoja2!$A$1:$E$411,4,FALSE),0)</f>
        <v>0.97915696350000003</v>
      </c>
      <c r="G186">
        <f>VLOOKUP(A186,[4]Hoja1!$D$1:$K$778,7,FALSE)</f>
        <v>1.39</v>
      </c>
      <c r="H186">
        <f>VLOOKUP(A186,[5]Hoja1!$D$1:$K$781,7,FALSE)</f>
        <v>1.39</v>
      </c>
      <c r="I186">
        <f>VLOOKUP(A186,[6]Hoja1!$D$1:$O$781,7,FALSE)</f>
        <v>1.39</v>
      </c>
      <c r="J186">
        <f>VLOOKUP(A186,[6]Hoja1!$D$1:$O$781,8,FALSE)</f>
        <v>1.39</v>
      </c>
      <c r="K186">
        <f>VLOOKUP(A186,[6]Hoja1!$D$1:$O$781,9,FALSE)</f>
        <v>1.39</v>
      </c>
      <c r="L186">
        <f>VLOOKUP(A186,[6]Hoja1!$D$1:$O$781,11,FALSE)</f>
        <v>1.39</v>
      </c>
    </row>
    <row r="187" spans="1:12" x14ac:dyDescent="0.2">
      <c r="A187" t="s">
        <v>431</v>
      </c>
      <c r="B187" t="s">
        <v>432</v>
      </c>
      <c r="C187" t="s">
        <v>433</v>
      </c>
      <c r="D187">
        <f>IFERROR(VLOOKUP(A187,[1]Hoja2!$A$1:$E$430,4,FALSE),0)</f>
        <v>0</v>
      </c>
      <c r="E187">
        <f>IFERROR(VLOOKUP(A187,[2]Hoja3!$A$1:$E$410,4,FALSE),0)</f>
        <v>48.641812999999999</v>
      </c>
      <c r="F187">
        <f>IFERROR(VLOOKUP(A187,[3]Hoja2!$A$1:$E$411,4,FALSE),0)</f>
        <v>44</v>
      </c>
      <c r="G187">
        <f>VLOOKUP(A187,[4]Hoja1!$D$1:$K$778,7,FALSE)</f>
        <v>68.3</v>
      </c>
      <c r="H187">
        <f>VLOOKUP(A187,[5]Hoja1!$D$1:$K$781,7,FALSE)</f>
        <v>68.3</v>
      </c>
      <c r="I187">
        <f>VLOOKUP(A187,[6]Hoja1!$D$1:$O$781,7,FALSE)</f>
        <v>68.3</v>
      </c>
      <c r="J187">
        <f>VLOOKUP(A187,[6]Hoja1!$D$1:$O$781,8,FALSE)</f>
        <v>68.3</v>
      </c>
      <c r="K187">
        <f>VLOOKUP(A187,[6]Hoja1!$D$1:$O$781,9,FALSE)</f>
        <v>68.3</v>
      </c>
      <c r="L187">
        <f>VLOOKUP(A187,[6]Hoja1!$D$1:$O$781,11,FALSE)</f>
        <v>69.293815657828915</v>
      </c>
    </row>
    <row r="188" spans="1:12" x14ac:dyDescent="0.2">
      <c r="A188" t="s">
        <v>434</v>
      </c>
      <c r="B188" t="s">
        <v>435</v>
      </c>
      <c r="C188" t="s">
        <v>38</v>
      </c>
      <c r="D188">
        <f>IFERROR(VLOOKUP(A188,[1]Hoja2!$A$1:$E$430,4,FALSE),0)</f>
        <v>0</v>
      </c>
      <c r="E188">
        <f>IFERROR(VLOOKUP(A188,[2]Hoja3!$A$1:$E$410,4,FALSE),0)</f>
        <v>0.89704200000000001</v>
      </c>
      <c r="F188">
        <f>IFERROR(VLOOKUP(A188,[3]Hoja2!$A$1:$E$411,4,FALSE),0)</f>
        <v>0.85013402280000006</v>
      </c>
      <c r="G188">
        <f>VLOOKUP(A188,[4]Hoja1!$D$1:$K$778,7,FALSE)</f>
        <v>1.50045299145299</v>
      </c>
      <c r="H188">
        <f>VLOOKUP(A188,[5]Hoja1!$D$1:$K$781,7,FALSE)</f>
        <v>1.5004529914529918</v>
      </c>
      <c r="I188">
        <f>VLOOKUP(A188,[6]Hoja1!$D$1:$O$781,7,FALSE)</f>
        <v>1.5004529914529918</v>
      </c>
      <c r="J188">
        <f>VLOOKUP(A188,[6]Hoja1!$D$1:$O$781,8,FALSE)</f>
        <v>1.5004529914529918</v>
      </c>
      <c r="K188">
        <f>VLOOKUP(A188,[6]Hoja1!$D$1:$O$781,9,FALSE)</f>
        <v>1.5004529914529918</v>
      </c>
      <c r="L188">
        <f>VLOOKUP(A188,[6]Hoja1!$D$1:$O$781,11,FALSE)</f>
        <v>1.5004529914529918</v>
      </c>
    </row>
    <row r="189" spans="1:12" x14ac:dyDescent="0.2">
      <c r="A189" t="s">
        <v>436</v>
      </c>
      <c r="B189" t="s">
        <v>437</v>
      </c>
      <c r="C189" t="s">
        <v>72</v>
      </c>
      <c r="D189">
        <f>IFERROR(VLOOKUP(A189,[1]Hoja2!$A$1:$E$430,4,FALSE),0)</f>
        <v>0</v>
      </c>
      <c r="E189">
        <f>IFERROR(VLOOKUP(A189,[2]Hoja3!$A$1:$E$410,4,FALSE),0)</f>
        <v>0.45132800000000001</v>
      </c>
      <c r="F189">
        <f>IFERROR(VLOOKUP(A189,[3]Hoja2!$A$1:$E$411,4,FALSE),0)</f>
        <v>0.4513244045</v>
      </c>
      <c r="G189">
        <f>VLOOKUP(A189,[4]Hoja1!$D$1:$K$778,7,FALSE)</f>
        <v>0.71</v>
      </c>
      <c r="H189">
        <f>VLOOKUP(A189,[5]Hoja1!$D$1:$K$781,7,FALSE)</f>
        <v>0.71</v>
      </c>
      <c r="I189">
        <f>VLOOKUP(A189,[6]Hoja1!$D$1:$O$781,7,FALSE)</f>
        <v>0.71</v>
      </c>
      <c r="J189">
        <f>VLOOKUP(A189,[6]Hoja1!$D$1:$O$781,8,FALSE)</f>
        <v>0.71</v>
      </c>
      <c r="K189">
        <f>VLOOKUP(A189,[6]Hoja1!$D$1:$O$781,9,FALSE)</f>
        <v>0.71</v>
      </c>
      <c r="L189">
        <f>VLOOKUP(A189,[6]Hoja1!$D$1:$O$781,11,FALSE)</f>
        <v>0.71</v>
      </c>
    </row>
    <row r="190" spans="1:12" x14ac:dyDescent="0.2">
      <c r="A190" t="s">
        <v>438</v>
      </c>
      <c r="B190" t="s">
        <v>439</v>
      </c>
      <c r="C190" t="s">
        <v>72</v>
      </c>
      <c r="D190">
        <f>IFERROR(VLOOKUP(A190,[1]Hoja2!$A$1:$E$430,4,FALSE),0)</f>
        <v>0</v>
      </c>
      <c r="E190">
        <f>IFERROR(VLOOKUP(A190,[2]Hoja3!$A$1:$E$410,4,FALSE),0)</f>
        <v>15.540509999999999</v>
      </c>
      <c r="F190">
        <f>IFERROR(VLOOKUP(A190,[3]Hoja2!$A$1:$E$411,4,FALSE),0)</f>
        <v>15.540509999999999</v>
      </c>
      <c r="G190">
        <f>VLOOKUP(A190,[4]Hoja1!$D$1:$K$778,7,FALSE)</f>
        <v>25.89</v>
      </c>
      <c r="H190">
        <f>VLOOKUP(A190,[5]Hoja1!$D$1:$K$781,7,FALSE)</f>
        <v>25.89</v>
      </c>
      <c r="I190">
        <f>VLOOKUP(A190,[6]Hoja1!$D$1:$O$781,7,FALSE)</f>
        <v>25.89</v>
      </c>
      <c r="J190">
        <f>VLOOKUP(A190,[6]Hoja1!$D$1:$O$781,8,FALSE)</f>
        <v>25.89</v>
      </c>
      <c r="K190">
        <f>VLOOKUP(A190,[6]Hoja1!$D$1:$O$781,9,FALSE)</f>
        <v>25.89</v>
      </c>
      <c r="L190">
        <f>VLOOKUP(A190,[6]Hoja1!$D$1:$O$781,11,FALSE)</f>
        <v>28</v>
      </c>
    </row>
    <row r="191" spans="1:12" x14ac:dyDescent="0.2">
      <c r="A191" t="s">
        <v>440</v>
      </c>
      <c r="B191" t="s">
        <v>385</v>
      </c>
      <c r="C191" t="s">
        <v>441</v>
      </c>
      <c r="D191">
        <f>IFERROR(VLOOKUP(A191,[1]Hoja2!$A$1:$E$430,4,FALSE),0)</f>
        <v>0</v>
      </c>
      <c r="E191">
        <f>IFERROR(VLOOKUP(A191,[2]Hoja3!$A$1:$E$410,4,FALSE),0)</f>
        <v>11.621620999999999</v>
      </c>
      <c r="F191">
        <f>IFERROR(VLOOKUP(A191,[3]Hoja2!$A$1:$E$411,4,FALSE),0)</f>
        <v>9.4261200080999998</v>
      </c>
      <c r="G191">
        <f>VLOOKUP(A191,[4]Hoja1!$D$1:$K$778,7,FALSE)</f>
        <v>12.72</v>
      </c>
      <c r="H191">
        <f>VLOOKUP(A191,[5]Hoja1!$D$1:$K$781,7,FALSE)</f>
        <v>12.72</v>
      </c>
      <c r="I191">
        <f>VLOOKUP(A191,[6]Hoja1!$D$1:$O$781,7,FALSE)</f>
        <v>12.72</v>
      </c>
      <c r="J191">
        <f>VLOOKUP(A191,[6]Hoja1!$D$1:$O$781,8,FALSE)</f>
        <v>12.72</v>
      </c>
      <c r="K191">
        <f>VLOOKUP(A191,[6]Hoja1!$D$1:$O$781,9,FALSE)</f>
        <v>12.72</v>
      </c>
      <c r="L191">
        <f>VLOOKUP(A191,[6]Hoja1!$D$1:$O$781,11,FALSE)</f>
        <v>12.72</v>
      </c>
    </row>
    <row r="192" spans="1:12" x14ac:dyDescent="0.2">
      <c r="A192" t="s">
        <v>442</v>
      </c>
      <c r="B192" t="s">
        <v>443</v>
      </c>
      <c r="C192" t="s">
        <v>444</v>
      </c>
      <c r="D192">
        <f>IFERROR(VLOOKUP(A192,[1]Hoja2!$A$1:$E$430,4,FALSE),0)</f>
        <v>0</v>
      </c>
      <c r="E192">
        <f>IFERROR(VLOOKUP(A192,[2]Hoja3!$A$1:$E$410,4,FALSE),0)</f>
        <v>2.0030060000000001</v>
      </c>
      <c r="F192">
        <f>IFERROR(VLOOKUP(A192,[3]Hoja2!$A$1:$E$411,4,FALSE),0)</f>
        <v>1.84</v>
      </c>
      <c r="G192">
        <f>VLOOKUP(A192,[4]Hoja1!$D$1:$K$778,7,FALSE)</f>
        <v>7.38</v>
      </c>
      <c r="H192">
        <f>VLOOKUP(A192,[5]Hoja1!$D$1:$K$781,7,FALSE)</f>
        <v>7.38</v>
      </c>
      <c r="I192">
        <f>VLOOKUP(A192,[6]Hoja1!$D$1:$O$781,7,FALSE)</f>
        <v>7.38</v>
      </c>
      <c r="J192">
        <f>VLOOKUP(A192,[6]Hoja1!$D$1:$O$781,8,FALSE)</f>
        <v>7.38</v>
      </c>
      <c r="K192">
        <f>VLOOKUP(A192,[6]Hoja1!$D$1:$O$781,9,FALSE)</f>
        <v>7.38</v>
      </c>
      <c r="L192">
        <f>VLOOKUP(A192,[6]Hoja1!$D$1:$O$781,11,FALSE)</f>
        <v>9.2173367143715552</v>
      </c>
    </row>
    <row r="193" spans="1:12" x14ac:dyDescent="0.2">
      <c r="A193" t="s">
        <v>445</v>
      </c>
      <c r="B193" t="s">
        <v>394</v>
      </c>
      <c r="C193" t="s">
        <v>446</v>
      </c>
      <c r="D193">
        <f>IFERROR(VLOOKUP(A193,[1]Hoja2!$A$1:$E$430,4,FALSE),0)</f>
        <v>0</v>
      </c>
      <c r="E193">
        <f>IFERROR(VLOOKUP(A193,[2]Hoja3!$A$1:$E$410,4,FALSE),0)</f>
        <v>32.11</v>
      </c>
      <c r="F193">
        <f>IFERROR(VLOOKUP(A193,[3]Hoja2!$A$1:$E$411,4,FALSE),0)</f>
        <v>20</v>
      </c>
      <c r="G193">
        <f>VLOOKUP(A193,[4]Hoja1!$D$1:$K$778,7,FALSE)</f>
        <v>32.11</v>
      </c>
      <c r="H193">
        <f>VLOOKUP(A193,[5]Hoja1!$D$1:$K$781,7,FALSE)</f>
        <v>32.11</v>
      </c>
      <c r="I193">
        <f>VLOOKUP(A193,[6]Hoja1!$D$1:$O$781,7,FALSE)</f>
        <v>32.11</v>
      </c>
      <c r="J193">
        <f>VLOOKUP(A193,[6]Hoja1!$D$1:$O$781,8,FALSE)</f>
        <v>32.11</v>
      </c>
      <c r="K193">
        <f>VLOOKUP(A193,[6]Hoja1!$D$1:$O$781,9,FALSE)</f>
        <v>32.11</v>
      </c>
      <c r="L193">
        <f>VLOOKUP(A193,[6]Hoja1!$D$1:$O$781,11,FALSE)</f>
        <v>32.11</v>
      </c>
    </row>
    <row r="194" spans="1:12" x14ac:dyDescent="0.2">
      <c r="A194" t="s">
        <v>447</v>
      </c>
      <c r="B194" t="s">
        <v>443</v>
      </c>
      <c r="C194" t="s">
        <v>448</v>
      </c>
      <c r="D194">
        <f>IFERROR(VLOOKUP(A194,[1]Hoja2!$A$1:$E$430,4,FALSE),0)</f>
        <v>0</v>
      </c>
      <c r="E194">
        <f>IFERROR(VLOOKUP(A194,[2]Hoja3!$A$1:$E$410,4,FALSE),0)</f>
        <v>25</v>
      </c>
      <c r="F194">
        <f>IFERROR(VLOOKUP(A194,[3]Hoja2!$A$1:$E$411,4,FALSE),0)</f>
        <v>25</v>
      </c>
      <c r="G194">
        <f>VLOOKUP(A194,[4]Hoja1!$D$1:$K$778,7,FALSE)</f>
        <v>38.58</v>
      </c>
      <c r="H194">
        <f>VLOOKUP(A194,[5]Hoja1!$D$1:$K$781,7,FALSE)</f>
        <v>38.58</v>
      </c>
      <c r="I194">
        <f>VLOOKUP(A194,[6]Hoja1!$D$1:$O$781,7,FALSE)</f>
        <v>38.58</v>
      </c>
      <c r="J194">
        <f>VLOOKUP(A194,[6]Hoja1!$D$1:$O$781,8,FALSE)</f>
        <v>38.58</v>
      </c>
      <c r="K194">
        <f>VLOOKUP(A194,[6]Hoja1!$D$1:$O$781,9,FALSE)</f>
        <v>38.58</v>
      </c>
      <c r="L194">
        <f>VLOOKUP(A194,[6]Hoja1!$D$1:$O$781,11,FALSE)</f>
        <v>38.58</v>
      </c>
    </row>
    <row r="195" spans="1:12" x14ac:dyDescent="0.2">
      <c r="A195" t="s">
        <v>449</v>
      </c>
      <c r="B195" t="s">
        <v>450</v>
      </c>
      <c r="C195" t="s">
        <v>271</v>
      </c>
      <c r="D195">
        <f>IFERROR(VLOOKUP(A195,[1]Hoja2!$A$1:$E$430,4,FALSE),0)</f>
        <v>0</v>
      </c>
      <c r="E195">
        <f>IFERROR(VLOOKUP(A195,[2]Hoja3!$A$1:$E$410,4,FALSE),0)</f>
        <v>16.8</v>
      </c>
      <c r="F195">
        <f>IFERROR(VLOOKUP(A195,[3]Hoja2!$A$1:$E$411,4,FALSE),0)</f>
        <v>17.191543216399999</v>
      </c>
      <c r="G195">
        <f>VLOOKUP(A195,[4]Hoja1!$D$1:$K$778,7,FALSE)</f>
        <v>17.2</v>
      </c>
      <c r="H195">
        <f>VLOOKUP(A195,[5]Hoja1!$D$1:$K$781,7,FALSE)</f>
        <v>17.2</v>
      </c>
      <c r="I195">
        <f>VLOOKUP(A195,[6]Hoja1!$D$1:$O$781,7,FALSE)</f>
        <v>17.2</v>
      </c>
      <c r="J195">
        <f>VLOOKUP(A195,[6]Hoja1!$D$1:$O$781,8,FALSE)</f>
        <v>17.2</v>
      </c>
      <c r="K195">
        <f>VLOOKUP(A195,[6]Hoja1!$D$1:$O$781,9,FALSE)</f>
        <v>17.2</v>
      </c>
      <c r="L195">
        <f>VLOOKUP(A195,[6]Hoja1!$D$1:$O$781,11,FALSE)</f>
        <v>17.2</v>
      </c>
    </row>
    <row r="196" spans="1:12" x14ac:dyDescent="0.2">
      <c r="A196" t="s">
        <v>451</v>
      </c>
      <c r="B196" t="s">
        <v>452</v>
      </c>
      <c r="C196" t="s">
        <v>72</v>
      </c>
      <c r="D196">
        <f>IFERROR(VLOOKUP(A196,[1]Hoja2!$A$1:$E$430,4,FALSE),0)</f>
        <v>0</v>
      </c>
      <c r="E196">
        <f>IFERROR(VLOOKUP(A196,[2]Hoja3!$A$1:$E$410,4,FALSE),0)</f>
        <v>1.1887179999999999</v>
      </c>
      <c r="F196">
        <f>IFERROR(VLOOKUP(A196,[3]Hoja2!$A$1:$E$411,4,FALSE),0)</f>
        <v>1.5</v>
      </c>
      <c r="G196">
        <f>VLOOKUP(A196,[4]Hoja1!$D$1:$K$778,7,FALSE)</f>
        <v>2.82</v>
      </c>
      <c r="H196">
        <f>VLOOKUP(A196,[5]Hoja1!$D$1:$K$781,7,FALSE)</f>
        <v>2.82</v>
      </c>
      <c r="I196">
        <f>VLOOKUP(A196,[6]Hoja1!$D$1:$O$781,7,FALSE)</f>
        <v>2.82</v>
      </c>
      <c r="J196">
        <f>VLOOKUP(A196,[6]Hoja1!$D$1:$O$781,8,FALSE)</f>
        <v>2.82</v>
      </c>
      <c r="K196">
        <f>VLOOKUP(A196,[6]Hoja1!$D$1:$O$781,9,FALSE)</f>
        <v>2.82</v>
      </c>
      <c r="L196">
        <f>VLOOKUP(A196,[6]Hoja1!$D$1:$O$781,11,FALSE)</f>
        <v>2.82</v>
      </c>
    </row>
    <row r="197" spans="1:12" x14ac:dyDescent="0.2">
      <c r="A197" t="s">
        <v>453</v>
      </c>
      <c r="B197" t="s">
        <v>452</v>
      </c>
      <c r="C197" t="s">
        <v>454</v>
      </c>
      <c r="D197">
        <f>IFERROR(VLOOKUP(A197,[1]Hoja2!$A$1:$E$430,4,FALSE),0)</f>
        <v>0</v>
      </c>
      <c r="E197">
        <f>IFERROR(VLOOKUP(A197,[2]Hoja3!$A$1:$E$410,4,FALSE),0)</f>
        <v>42.159807000000001</v>
      </c>
      <c r="F197">
        <f>IFERROR(VLOOKUP(A197,[3]Hoja2!$A$1:$E$411,4,FALSE),0)</f>
        <v>42.159812102399997</v>
      </c>
      <c r="G197">
        <f>VLOOKUP(A197,[4]Hoja1!$D$1:$K$778,7,FALSE)</f>
        <v>46</v>
      </c>
      <c r="H197">
        <f>VLOOKUP(A197,[5]Hoja1!$D$1:$K$781,7,FALSE)</f>
        <v>46</v>
      </c>
      <c r="I197">
        <f>VLOOKUP(A197,[6]Hoja1!$D$1:$O$781,7,FALSE)</f>
        <v>46</v>
      </c>
      <c r="J197">
        <f>VLOOKUP(A197,[6]Hoja1!$D$1:$O$781,8,FALSE)</f>
        <v>46</v>
      </c>
      <c r="K197">
        <f>VLOOKUP(A197,[6]Hoja1!$D$1:$O$781,9,FALSE)</f>
        <v>46</v>
      </c>
      <c r="L197">
        <f>VLOOKUP(A197,[6]Hoja1!$D$1:$O$781,11,FALSE)</f>
        <v>46</v>
      </c>
    </row>
    <row r="198" spans="1:12" x14ac:dyDescent="0.2">
      <c r="A198" t="s">
        <v>455</v>
      </c>
      <c r="B198" t="s">
        <v>389</v>
      </c>
      <c r="C198" t="s">
        <v>456</v>
      </c>
      <c r="D198">
        <f>IFERROR(VLOOKUP(A198,[1]Hoja2!$A$1:$E$430,4,FALSE),0)</f>
        <v>0</v>
      </c>
      <c r="E198">
        <f>IFERROR(VLOOKUP(A198,[2]Hoja3!$A$1:$E$410,4,FALSE),0)</f>
        <v>3.458021</v>
      </c>
      <c r="F198">
        <f>IFERROR(VLOOKUP(A198,[3]Hoja2!$A$1:$E$411,4,FALSE),0)</f>
        <v>4.3670597354999998</v>
      </c>
      <c r="G198">
        <f>VLOOKUP(A198,[4]Hoja1!$D$1:$K$778,7,FALSE)</f>
        <v>6.9</v>
      </c>
      <c r="H198">
        <f>VLOOKUP(A198,[5]Hoja1!$D$1:$K$781,7,FALSE)</f>
        <v>6.9</v>
      </c>
      <c r="I198">
        <f>VLOOKUP(A198,[6]Hoja1!$D$1:$O$781,7,FALSE)</f>
        <v>6.9</v>
      </c>
      <c r="J198">
        <f>VLOOKUP(A198,[6]Hoja1!$D$1:$O$781,8,FALSE)</f>
        <v>6.9</v>
      </c>
      <c r="K198">
        <f>VLOOKUP(A198,[6]Hoja1!$D$1:$O$781,9,FALSE)</f>
        <v>6.9</v>
      </c>
      <c r="L198">
        <f>VLOOKUP(A198,[6]Hoja1!$D$1:$O$781,11,FALSE)</f>
        <v>12.814932820689997</v>
      </c>
    </row>
    <row r="199" spans="1:12" x14ac:dyDescent="0.2">
      <c r="A199" t="s">
        <v>457</v>
      </c>
      <c r="B199" t="s">
        <v>458</v>
      </c>
      <c r="C199" t="s">
        <v>216</v>
      </c>
      <c r="D199">
        <f>IFERROR(VLOOKUP(A199,[1]Hoja2!$A$1:$E$430,4,FALSE),0)</f>
        <v>0</v>
      </c>
      <c r="E199">
        <f>IFERROR(VLOOKUP(A199,[2]Hoja3!$A$1:$E$410,4,FALSE),0)</f>
        <v>27.995778999999999</v>
      </c>
      <c r="F199">
        <f>IFERROR(VLOOKUP(A199,[3]Hoja2!$A$1:$E$411,4,FALSE),0)</f>
        <v>26</v>
      </c>
      <c r="G199">
        <f>VLOOKUP(A199,[4]Hoja1!$D$1:$K$778,7,FALSE)</f>
        <v>28.56</v>
      </c>
      <c r="H199">
        <f>VLOOKUP(A199,[5]Hoja1!$D$1:$K$781,7,FALSE)</f>
        <v>28.56</v>
      </c>
      <c r="I199">
        <f>VLOOKUP(A199,[6]Hoja1!$D$1:$O$781,7,FALSE)</f>
        <v>28.56</v>
      </c>
      <c r="J199">
        <f>VLOOKUP(A199,[6]Hoja1!$D$1:$O$781,8,FALSE)</f>
        <v>28.56</v>
      </c>
      <c r="K199">
        <f>VLOOKUP(A199,[6]Hoja1!$D$1:$O$781,9,FALSE)</f>
        <v>28.56</v>
      </c>
      <c r="L199">
        <f>VLOOKUP(A199,[6]Hoja1!$D$1:$O$781,11,FALSE)</f>
        <v>28.56</v>
      </c>
    </row>
    <row r="200" spans="1:12" x14ac:dyDescent="0.2">
      <c r="A200" t="s">
        <v>459</v>
      </c>
      <c r="B200" t="s">
        <v>458</v>
      </c>
      <c r="C200" t="s">
        <v>9</v>
      </c>
      <c r="D200">
        <f>IFERROR(VLOOKUP(A200,[1]Hoja2!$A$1:$E$430,4,FALSE),0)</f>
        <v>0</v>
      </c>
      <c r="E200">
        <f>IFERROR(VLOOKUP(A200,[2]Hoja3!$A$1:$E$410,4,FALSE),0)</f>
        <v>1.7821709999999999</v>
      </c>
      <c r="F200">
        <f>IFERROR(VLOOKUP(A200,[3]Hoja2!$A$1:$E$411,4,FALSE),0)</f>
        <v>1.8</v>
      </c>
      <c r="G200">
        <f>VLOOKUP(A200,[4]Hoja1!$D$1:$K$778,7,FALSE)</f>
        <v>2.95</v>
      </c>
      <c r="H200">
        <f>VLOOKUP(A200,[5]Hoja1!$D$1:$K$781,7,FALSE)</f>
        <v>2.95</v>
      </c>
      <c r="I200">
        <f>VLOOKUP(A200,[6]Hoja1!$D$1:$O$781,7,FALSE)</f>
        <v>2.95</v>
      </c>
      <c r="J200">
        <f>VLOOKUP(A200,[6]Hoja1!$D$1:$O$781,8,FALSE)</f>
        <v>2.95</v>
      </c>
      <c r="K200">
        <f>VLOOKUP(A200,[6]Hoja1!$D$1:$O$781,9,FALSE)</f>
        <v>2.95</v>
      </c>
      <c r="L200">
        <f>VLOOKUP(A200,[6]Hoja1!$D$1:$O$781,11,FALSE)</f>
        <v>2.95</v>
      </c>
    </row>
    <row r="201" spans="1:12" x14ac:dyDescent="0.2">
      <c r="A201" t="s">
        <v>460</v>
      </c>
      <c r="B201" t="s">
        <v>294</v>
      </c>
      <c r="C201" t="s">
        <v>444</v>
      </c>
      <c r="D201">
        <f>IFERROR(VLOOKUP(A201,[1]Hoja2!$A$1:$E$430,4,FALSE),0)</f>
        <v>0</v>
      </c>
      <c r="E201">
        <f>IFERROR(VLOOKUP(A201,[2]Hoja3!$A$1:$E$410,4,FALSE),0)</f>
        <v>1</v>
      </c>
      <c r="F201">
        <f>IFERROR(VLOOKUP(A201,[3]Hoja2!$A$1:$E$411,4,FALSE),0)</f>
        <v>1</v>
      </c>
      <c r="G201">
        <f>VLOOKUP(A201,[4]Hoja1!$D$1:$K$778,7,FALSE)</f>
        <v>1.4</v>
      </c>
      <c r="H201">
        <f>VLOOKUP(A201,[5]Hoja1!$D$1:$K$781,7,FALSE)</f>
        <v>1.4</v>
      </c>
      <c r="I201">
        <f>VLOOKUP(A201,[6]Hoja1!$D$1:$O$781,7,FALSE)</f>
        <v>1.4</v>
      </c>
      <c r="J201">
        <f>VLOOKUP(A201,[6]Hoja1!$D$1:$O$781,8,FALSE)</f>
        <v>1.4</v>
      </c>
      <c r="K201">
        <f>VLOOKUP(A201,[6]Hoja1!$D$1:$O$781,9,FALSE)</f>
        <v>1.4</v>
      </c>
      <c r="L201">
        <f>VLOOKUP(A201,[6]Hoja1!$D$1:$O$781,11,FALSE)</f>
        <v>2.0995898700550182</v>
      </c>
    </row>
    <row r="202" spans="1:12" x14ac:dyDescent="0.2">
      <c r="A202" t="s">
        <v>461</v>
      </c>
      <c r="B202" t="s">
        <v>462</v>
      </c>
      <c r="C202" t="s">
        <v>143</v>
      </c>
      <c r="D202">
        <f>IFERROR(VLOOKUP(A202,[1]Hoja2!$A$1:$E$430,4,FALSE),0)</f>
        <v>0</v>
      </c>
      <c r="E202">
        <f>IFERROR(VLOOKUP(A202,[2]Hoja3!$A$1:$E$410,4,FALSE),0)</f>
        <v>23.839074</v>
      </c>
      <c r="F202">
        <f>IFERROR(VLOOKUP(A202,[3]Hoja2!$A$1:$E$411,4,FALSE),0)</f>
        <v>23.839074</v>
      </c>
      <c r="G202">
        <f>VLOOKUP(A202,[4]Hoja1!$D$1:$K$778,7,FALSE)</f>
        <v>23.75</v>
      </c>
      <c r="H202">
        <f>VLOOKUP(A202,[5]Hoja1!$D$1:$K$781,7,FALSE)</f>
        <v>23.75</v>
      </c>
      <c r="I202">
        <f>VLOOKUP(A202,[6]Hoja1!$D$1:$O$781,7,FALSE)</f>
        <v>23.75</v>
      </c>
      <c r="J202">
        <f>VLOOKUP(A202,[6]Hoja1!$D$1:$O$781,8,FALSE)</f>
        <v>23.75</v>
      </c>
      <c r="K202">
        <f>VLOOKUP(A202,[6]Hoja1!$D$1:$O$781,9,FALSE)</f>
        <v>23.75</v>
      </c>
      <c r="L202">
        <f>VLOOKUP(A202,[6]Hoja1!$D$1:$O$781,11,FALSE)</f>
        <v>23.75</v>
      </c>
    </row>
    <row r="203" spans="1:12" x14ac:dyDescent="0.2">
      <c r="A203" t="s">
        <v>463</v>
      </c>
      <c r="B203" t="s">
        <v>464</v>
      </c>
      <c r="C203" t="s">
        <v>11</v>
      </c>
      <c r="D203">
        <f>IFERROR(VLOOKUP(A203,[1]Hoja2!$A$1:$E$430,4,FALSE),0)</f>
        <v>0</v>
      </c>
      <c r="E203">
        <f>IFERROR(VLOOKUP(A203,[2]Hoja3!$A$1:$E$410,4,FALSE),0)</f>
        <v>55.639949999999999</v>
      </c>
      <c r="F203">
        <f>IFERROR(VLOOKUP(A203,[3]Hoja2!$A$1:$E$411,4,FALSE),0)</f>
        <v>55</v>
      </c>
      <c r="G203">
        <f>VLOOKUP(A203,[4]Hoja1!$D$1:$K$778,7,FALSE)</f>
        <v>61.199166666666699</v>
      </c>
      <c r="H203">
        <f>VLOOKUP(A203,[5]Hoja1!$D$1:$K$781,7,FALSE)</f>
        <v>61.199166666666663</v>
      </c>
      <c r="I203">
        <f>VLOOKUP(A203,[6]Hoja1!$D$1:$O$781,7,FALSE)</f>
        <v>61.199166666666663</v>
      </c>
      <c r="J203">
        <f>VLOOKUP(A203,[6]Hoja1!$D$1:$O$781,8,FALSE)</f>
        <v>61.199166666666663</v>
      </c>
      <c r="K203">
        <f>VLOOKUP(A203,[6]Hoja1!$D$1:$O$781,9,FALSE)</f>
        <v>121.75</v>
      </c>
      <c r="L203">
        <f>VLOOKUP(A203,[6]Hoja1!$D$1:$O$781,11,FALSE)</f>
        <v>6.14</v>
      </c>
    </row>
    <row r="204" spans="1:12" x14ac:dyDescent="0.2">
      <c r="A204" t="s">
        <v>465</v>
      </c>
      <c r="B204" t="s">
        <v>464</v>
      </c>
      <c r="C204" t="s">
        <v>466</v>
      </c>
      <c r="D204">
        <f>IFERROR(VLOOKUP(A204,[1]Hoja2!$A$1:$E$430,4,FALSE),0)</f>
        <v>0</v>
      </c>
      <c r="E204">
        <f>IFERROR(VLOOKUP(A204,[2]Hoja3!$A$1:$E$410,4,FALSE),0)</f>
        <v>1.9034150000000001</v>
      </c>
      <c r="F204">
        <f>IFERROR(VLOOKUP(A204,[3]Hoja2!$A$1:$E$411,4,FALSE),0)</f>
        <v>1.6</v>
      </c>
      <c r="G204">
        <f>VLOOKUP(A204,[4]Hoja1!$D$1:$K$778,7,FALSE)</f>
        <v>3.52</v>
      </c>
      <c r="H204">
        <f>VLOOKUP(A204,[5]Hoja1!$D$1:$K$781,7,FALSE)</f>
        <v>3.52</v>
      </c>
      <c r="I204">
        <f>VLOOKUP(A204,[6]Hoja1!$D$1:$O$781,7,FALSE)</f>
        <v>3.52</v>
      </c>
      <c r="J204">
        <f>VLOOKUP(A204,[6]Hoja1!$D$1:$O$781,8,FALSE)</f>
        <v>3.52</v>
      </c>
      <c r="K204">
        <f>VLOOKUP(A204,[6]Hoja1!$D$1:$O$781,9,FALSE)</f>
        <v>3.52</v>
      </c>
      <c r="L204">
        <f>VLOOKUP(A204,[6]Hoja1!$D$1:$O$781,11,FALSE)</f>
        <v>321.75</v>
      </c>
    </row>
    <row r="205" spans="1:12" x14ac:dyDescent="0.2">
      <c r="A205" t="s">
        <v>467</v>
      </c>
      <c r="B205" t="s">
        <v>468</v>
      </c>
      <c r="C205" t="s">
        <v>469</v>
      </c>
      <c r="D205">
        <f>IFERROR(VLOOKUP(A205,[1]Hoja2!$A$1:$E$430,4,FALSE),0)</f>
        <v>0</v>
      </c>
      <c r="E205">
        <f>IFERROR(VLOOKUP(A205,[2]Hoja3!$A$1:$E$410,4,FALSE),0)</f>
        <v>6.83</v>
      </c>
      <c r="F205">
        <f>IFERROR(VLOOKUP(A205,[3]Hoja2!$A$1:$E$411,4,FALSE),0)</f>
        <v>7.2</v>
      </c>
      <c r="G205">
        <f>VLOOKUP(A205,[4]Hoja1!$D$1:$K$778,7,FALSE)</f>
        <v>10.4488095238095</v>
      </c>
      <c r="H205">
        <f>VLOOKUP(A205,[5]Hoja1!$D$1:$K$781,7,FALSE)</f>
        <v>10.448809523809524</v>
      </c>
      <c r="I205">
        <f>VLOOKUP(A205,[6]Hoja1!$D$1:$O$781,7,FALSE)</f>
        <v>10.448809523809524</v>
      </c>
      <c r="J205">
        <f>VLOOKUP(A205,[6]Hoja1!$D$1:$O$781,8,FALSE)</f>
        <v>10.448809523809524</v>
      </c>
      <c r="K205">
        <f>VLOOKUP(A205,[6]Hoja1!$D$1:$O$781,9,FALSE)</f>
        <v>10.448809523809524</v>
      </c>
      <c r="L205">
        <f>VLOOKUP(A205,[6]Hoja1!$D$1:$O$781,11,FALSE)</f>
        <v>10.448809523809524</v>
      </c>
    </row>
    <row r="206" spans="1:12" x14ac:dyDescent="0.2">
      <c r="A206" t="s">
        <v>470</v>
      </c>
      <c r="B206" t="s">
        <v>471</v>
      </c>
      <c r="C206" t="s">
        <v>232</v>
      </c>
      <c r="D206">
        <f>IFERROR(VLOOKUP(A206,[1]Hoja2!$A$1:$E$430,4,FALSE),0)</f>
        <v>0</v>
      </c>
      <c r="E206">
        <f>IFERROR(VLOOKUP(A206,[2]Hoja3!$A$1:$E$410,4,FALSE),0)</f>
        <v>3</v>
      </c>
      <c r="F206">
        <f>IFERROR(VLOOKUP(A206,[3]Hoja2!$A$1:$E$411,4,FALSE),0)</f>
        <v>0</v>
      </c>
      <c r="G206">
        <f>VLOOKUP(A206,[4]Hoja1!$D$1:$K$778,7,FALSE)</f>
        <v>3.2349999999999999</v>
      </c>
      <c r="H206">
        <f>VLOOKUP(A206,[5]Hoja1!$D$1:$K$781,7,FALSE)</f>
        <v>3.2349999999999999</v>
      </c>
      <c r="I206">
        <f>VLOOKUP(A206,[6]Hoja1!$D$1:$O$781,7,FALSE)</f>
        <v>3.2349999999999999</v>
      </c>
      <c r="J206">
        <f>VLOOKUP(A206,[6]Hoja1!$D$1:$O$781,8,FALSE)</f>
        <v>3.2349999999999999</v>
      </c>
      <c r="K206">
        <f>VLOOKUP(A206,[6]Hoja1!$D$1:$O$781,9,FALSE)</f>
        <v>6.09</v>
      </c>
      <c r="L206">
        <f>VLOOKUP(A206,[6]Hoja1!$D$1:$O$781,11,FALSE)</f>
        <v>13</v>
      </c>
    </row>
    <row r="207" spans="1:12" x14ac:dyDescent="0.2">
      <c r="A207" t="s">
        <v>472</v>
      </c>
      <c r="B207" t="s">
        <v>473</v>
      </c>
      <c r="C207" t="s">
        <v>6</v>
      </c>
      <c r="D207">
        <f>IFERROR(VLOOKUP(A207,[1]Hoja2!$A$1:$E$430,4,FALSE),0)</f>
        <v>0</v>
      </c>
      <c r="E207">
        <f>IFERROR(VLOOKUP(A207,[2]Hoja3!$A$1:$E$410,4,FALSE),0)</f>
        <v>2</v>
      </c>
      <c r="F207">
        <f>IFERROR(VLOOKUP(A207,[3]Hoja2!$A$1:$E$411,4,FALSE),0)</f>
        <v>2</v>
      </c>
      <c r="G207">
        <f>VLOOKUP(A207,[4]Hoja1!$D$1:$K$778,7,FALSE)</f>
        <v>2.9738888888888901</v>
      </c>
      <c r="H207">
        <f>VLOOKUP(A207,[5]Hoja1!$D$1:$K$781,7,FALSE)</f>
        <v>2.9738888888888884</v>
      </c>
      <c r="I207">
        <f>VLOOKUP(A207,[6]Hoja1!$D$1:$O$781,7,FALSE)</f>
        <v>2.9738888888888884</v>
      </c>
      <c r="J207">
        <f>VLOOKUP(A207,[6]Hoja1!$D$1:$O$781,8,FALSE)</f>
        <v>2.9738888888888884</v>
      </c>
      <c r="K207">
        <f>VLOOKUP(A207,[6]Hoja1!$D$1:$O$781,9,FALSE)</f>
        <v>2.9738888888888884</v>
      </c>
      <c r="L207">
        <f>VLOOKUP(A207,[6]Hoja1!$D$1:$O$781,11,FALSE)</f>
        <v>5.75</v>
      </c>
    </row>
    <row r="208" spans="1:12" x14ac:dyDescent="0.2">
      <c r="A208" t="s">
        <v>474</v>
      </c>
      <c r="B208" t="s">
        <v>475</v>
      </c>
      <c r="C208" t="s">
        <v>476</v>
      </c>
      <c r="D208">
        <f>IFERROR(VLOOKUP(A208,[1]Hoja2!$A$1:$E$430,4,FALSE),0)</f>
        <v>0</v>
      </c>
      <c r="E208">
        <f>IFERROR(VLOOKUP(A208,[2]Hoja3!$A$1:$E$410,4,FALSE),0)</f>
        <v>0</v>
      </c>
      <c r="F208">
        <f>IFERROR(VLOOKUP(A208,[3]Hoja2!$A$1:$E$411,4,FALSE),0)</f>
        <v>0</v>
      </c>
      <c r="G208">
        <f>VLOOKUP(A208,[4]Hoja1!$D$1:$K$778,7,FALSE)</f>
        <v>4759.1818181818198</v>
      </c>
      <c r="H208">
        <f>VLOOKUP(A208,[5]Hoja1!$D$1:$K$781,7,FALSE)</f>
        <v>4759.181818181818</v>
      </c>
      <c r="I208">
        <f>VLOOKUP(A208,[6]Hoja1!$D$1:$O$781,7,FALSE)</f>
        <v>4759.181818181818</v>
      </c>
      <c r="J208">
        <f>VLOOKUP(A208,[6]Hoja1!$D$1:$O$781,8,FALSE)</f>
        <v>4759.181818181818</v>
      </c>
      <c r="K208">
        <f>VLOOKUP(A208,[6]Hoja1!$D$1:$O$781,9,FALSE)</f>
        <v>4759.181818181818</v>
      </c>
      <c r="L208">
        <f>VLOOKUP(A208,[6]Hoja1!$D$1:$O$781,11,FALSE)</f>
        <v>4759.181818181818</v>
      </c>
    </row>
    <row r="209" spans="1:12" x14ac:dyDescent="0.2">
      <c r="A209" t="s">
        <v>477</v>
      </c>
      <c r="B209" t="s">
        <v>475</v>
      </c>
      <c r="C209" t="s">
        <v>478</v>
      </c>
      <c r="D209">
        <f>IFERROR(VLOOKUP(A209,[1]Hoja2!$A$1:$E$430,4,FALSE),0)</f>
        <v>0</v>
      </c>
      <c r="E209">
        <f>IFERROR(VLOOKUP(A209,[2]Hoja3!$A$1:$E$410,4,FALSE),0)</f>
        <v>9380.2000000000007</v>
      </c>
      <c r="F209">
        <f>IFERROR(VLOOKUP(A209,[3]Hoja2!$A$1:$E$411,4,FALSE),0)</f>
        <v>4499</v>
      </c>
      <c r="G209">
        <f>VLOOKUP(A209,[4]Hoja1!$D$1:$K$778,7,FALSE)</f>
        <v>9380.1990000000005</v>
      </c>
      <c r="H209">
        <f>VLOOKUP(A209,[5]Hoja1!$D$1:$K$781,7,FALSE)</f>
        <v>9380.1990000000005</v>
      </c>
      <c r="I209">
        <f>VLOOKUP(A209,[6]Hoja1!$D$1:$O$781,7,FALSE)</f>
        <v>9380.1990000000005</v>
      </c>
      <c r="J209">
        <f>VLOOKUP(A209,[6]Hoja1!$D$1:$O$781,8,FALSE)</f>
        <v>9380.1990000000005</v>
      </c>
      <c r="K209">
        <f>VLOOKUP(A209,[6]Hoja1!$D$1:$O$781,9,FALSE)</f>
        <v>9380.1990000000005</v>
      </c>
      <c r="L209">
        <f>VLOOKUP(A209,[6]Hoja1!$D$1:$O$781,11,FALSE)</f>
        <v>9380.1990000000005</v>
      </c>
    </row>
    <row r="210" spans="1:12" x14ac:dyDescent="0.2">
      <c r="A210" t="s">
        <v>479</v>
      </c>
      <c r="B210" t="s">
        <v>480</v>
      </c>
      <c r="C210" t="s">
        <v>481</v>
      </c>
      <c r="D210">
        <f>IFERROR(VLOOKUP(A210,[1]Hoja2!$A$1:$E$430,4,FALSE),0)</f>
        <v>0</v>
      </c>
      <c r="E210">
        <f>IFERROR(VLOOKUP(A210,[2]Hoja3!$A$1:$E$410,4,FALSE),0)</f>
        <v>103</v>
      </c>
      <c r="F210">
        <f>IFERROR(VLOOKUP(A210,[3]Hoja2!$A$1:$E$411,4,FALSE),0)</f>
        <v>103</v>
      </c>
      <c r="G210">
        <f>VLOOKUP(A210,[4]Hoja1!$D$1:$K$778,7,FALSE)</f>
        <v>103.87625</v>
      </c>
      <c r="H210">
        <f>VLOOKUP(A210,[5]Hoja1!$D$1:$K$781,7,FALSE)</f>
        <v>103.87625</v>
      </c>
      <c r="I210">
        <f>VLOOKUP(A210,[6]Hoja1!$D$1:$O$781,7,FALSE)</f>
        <v>103.87625</v>
      </c>
      <c r="J210">
        <f>VLOOKUP(A210,[6]Hoja1!$D$1:$O$781,8,FALSE)</f>
        <v>103.87625</v>
      </c>
      <c r="K210">
        <f>VLOOKUP(A210,[6]Hoja1!$D$1:$O$781,9,FALSE)</f>
        <v>218.02905403251515</v>
      </c>
      <c r="L210">
        <f>VLOOKUP(A210,[6]Hoja1!$D$1:$O$781,11,FALSE)</f>
        <v>260.89999999999998</v>
      </c>
    </row>
    <row r="211" spans="1:12" x14ac:dyDescent="0.2">
      <c r="A211" t="s">
        <v>482</v>
      </c>
      <c r="B211" t="s">
        <v>483</v>
      </c>
      <c r="C211" t="s">
        <v>11</v>
      </c>
      <c r="D211">
        <f>IFERROR(VLOOKUP(A211,[1]Hoja2!$A$1:$E$430,4,FALSE),0)</f>
        <v>0</v>
      </c>
      <c r="E211">
        <f>IFERROR(VLOOKUP(A211,[2]Hoja3!$A$1:$E$410,4,FALSE),0)</f>
        <v>2.900763</v>
      </c>
      <c r="F211">
        <f>IFERROR(VLOOKUP(A211,[3]Hoja2!$A$1:$E$411,4,FALSE),0)</f>
        <v>2.8875000000000002</v>
      </c>
      <c r="G211">
        <f>VLOOKUP(A211,[4]Hoja1!$D$1:$K$778,7,FALSE)</f>
        <v>3.3867857142857098</v>
      </c>
      <c r="H211">
        <f>VLOOKUP(A211,[5]Hoja1!$D$1:$K$781,7,FALSE)</f>
        <v>3.3867857142857138</v>
      </c>
      <c r="I211">
        <f>VLOOKUP(A211,[6]Hoja1!$D$1:$O$781,7,FALSE)</f>
        <v>3.3867857142857138</v>
      </c>
      <c r="J211">
        <f>VLOOKUP(A211,[6]Hoja1!$D$1:$O$781,8,FALSE)</f>
        <v>3.3867857142857138</v>
      </c>
      <c r="K211">
        <f>VLOOKUP(A211,[6]Hoja1!$D$1:$O$781,9,FALSE)</f>
        <v>3.3867857142857138</v>
      </c>
      <c r="L211">
        <f>VLOOKUP(A211,[6]Hoja1!$D$1:$O$781,11,FALSE)</f>
        <v>3.3867857142857138</v>
      </c>
    </row>
    <row r="212" spans="1:12" x14ac:dyDescent="0.2">
      <c r="A212" t="s">
        <v>484</v>
      </c>
      <c r="B212" t="s">
        <v>485</v>
      </c>
      <c r="C212" t="s">
        <v>72</v>
      </c>
      <c r="D212">
        <f>IFERROR(VLOOKUP(A212,[1]Hoja2!$A$1:$E$430,4,FALSE),0)</f>
        <v>0</v>
      </c>
      <c r="E212">
        <f>IFERROR(VLOOKUP(A212,[2]Hoja3!$A$1:$E$410,4,FALSE),0)</f>
        <v>3.0074441613</v>
      </c>
      <c r="F212">
        <f>IFERROR(VLOOKUP(A212,[3]Hoja2!$A$1:$E$411,4,FALSE),0)</f>
        <v>5</v>
      </c>
      <c r="G212">
        <f>VLOOKUP(A212,[4]Hoja1!$D$1:$K$778,7,FALSE)</f>
        <v>5.4682954545454496</v>
      </c>
      <c r="H212">
        <f>VLOOKUP(A212,[5]Hoja1!$D$1:$K$781,7,FALSE)</f>
        <v>5.468295454545455</v>
      </c>
      <c r="I212">
        <f>VLOOKUP(A212,[6]Hoja1!$D$1:$O$781,7,FALSE)</f>
        <v>5.468295454545455</v>
      </c>
      <c r="J212">
        <f>VLOOKUP(A212,[6]Hoja1!$D$1:$O$781,8,FALSE)</f>
        <v>5.468295454545455</v>
      </c>
      <c r="K212">
        <f>VLOOKUP(A212,[6]Hoja1!$D$1:$O$781,9,FALSE)</f>
        <v>5.468295454545455</v>
      </c>
      <c r="L212">
        <f>VLOOKUP(A212,[6]Hoja1!$D$1:$O$781,11,FALSE)</f>
        <v>5.468295454545455</v>
      </c>
    </row>
    <row r="213" spans="1:12" x14ac:dyDescent="0.2">
      <c r="A213" t="s">
        <v>486</v>
      </c>
      <c r="B213" t="s">
        <v>487</v>
      </c>
      <c r="C213" t="s">
        <v>469</v>
      </c>
      <c r="D213">
        <f>IFERROR(VLOOKUP(A213,[1]Hoja2!$A$1:$E$430,4,FALSE),0)</f>
        <v>0</v>
      </c>
      <c r="E213">
        <f>IFERROR(VLOOKUP(A213,[2]Hoja3!$A$1:$E$410,4,FALSE),0)</f>
        <v>8.0132138421000008</v>
      </c>
      <c r="F213">
        <f>IFERROR(VLOOKUP(A213,[3]Hoja2!$A$1:$E$411,4,FALSE),0)</f>
        <v>8.0000024108000005</v>
      </c>
      <c r="G213">
        <f>VLOOKUP(A213,[4]Hoja1!$D$1:$K$778,7,FALSE)</f>
        <v>10.0914444444444</v>
      </c>
      <c r="H213">
        <f>VLOOKUP(A213,[5]Hoja1!$D$1:$K$781,7,FALSE)</f>
        <v>10.091444444444445</v>
      </c>
      <c r="I213">
        <f>VLOOKUP(A213,[6]Hoja1!$D$1:$O$781,7,FALSE)</f>
        <v>10.091444444444445</v>
      </c>
      <c r="J213">
        <f>VLOOKUP(A213,[6]Hoja1!$D$1:$O$781,8,FALSE)</f>
        <v>10.091444444444445</v>
      </c>
      <c r="K213">
        <f>VLOOKUP(A213,[6]Hoja1!$D$1:$O$781,9,FALSE)</f>
        <v>10.091444444444445</v>
      </c>
      <c r="L213">
        <f>VLOOKUP(A213,[6]Hoja1!$D$1:$O$781,11,FALSE)</f>
        <v>10.091444444444445</v>
      </c>
    </row>
    <row r="214" spans="1:12" x14ac:dyDescent="0.2">
      <c r="A214" t="s">
        <v>488</v>
      </c>
      <c r="B214" t="s">
        <v>489</v>
      </c>
      <c r="C214" t="s">
        <v>6</v>
      </c>
      <c r="D214">
        <f>IFERROR(VLOOKUP(A214,[1]Hoja2!$A$1:$E$430,4,FALSE),0)</f>
        <v>0</v>
      </c>
      <c r="E214">
        <f>IFERROR(VLOOKUP(A214,[2]Hoja3!$A$1:$E$410,4,FALSE),0)</f>
        <v>3.15</v>
      </c>
      <c r="F214">
        <f>IFERROR(VLOOKUP(A214,[3]Hoja2!$A$1:$E$411,4,FALSE),0)</f>
        <v>3.8</v>
      </c>
      <c r="G214">
        <f>VLOOKUP(A214,[4]Hoja1!$D$1:$K$778,7,FALSE)</f>
        <v>10.86</v>
      </c>
      <c r="H214">
        <f>VLOOKUP(A214,[5]Hoja1!$D$1:$K$781,7,FALSE)</f>
        <v>10.86</v>
      </c>
      <c r="I214">
        <f>VLOOKUP(A214,[6]Hoja1!$D$1:$O$781,7,FALSE)</f>
        <v>10.86</v>
      </c>
      <c r="J214">
        <f>VLOOKUP(A214,[6]Hoja1!$D$1:$O$781,8,FALSE)</f>
        <v>10.86</v>
      </c>
      <c r="K214">
        <f>VLOOKUP(A214,[6]Hoja1!$D$1:$O$781,9,FALSE)</f>
        <v>10.86</v>
      </c>
      <c r="L214">
        <f>VLOOKUP(A214,[6]Hoja1!$D$1:$O$781,11,FALSE)</f>
        <v>12.75111444277861</v>
      </c>
    </row>
    <row r="215" spans="1:12" x14ac:dyDescent="0.2">
      <c r="A215" t="s">
        <v>490</v>
      </c>
      <c r="B215" t="s">
        <v>491</v>
      </c>
      <c r="C215">
        <v>0.01</v>
      </c>
      <c r="D215">
        <f>IFERROR(VLOOKUP(A215,[1]Hoja2!$A$1:$E$430,4,FALSE),0)</f>
        <v>0</v>
      </c>
      <c r="E215">
        <f>IFERROR(VLOOKUP(A215,[2]Hoja3!$A$1:$E$410,4,FALSE),0)</f>
        <v>10.458128</v>
      </c>
      <c r="F215">
        <f>IFERROR(VLOOKUP(A215,[3]Hoja2!$A$1:$E$411,4,FALSE),0)</f>
        <v>3.9048378266000001</v>
      </c>
      <c r="G215">
        <f>VLOOKUP(A215,[4]Hoja1!$D$1:$K$778,7,FALSE)</f>
        <v>11.02</v>
      </c>
      <c r="H215">
        <f>VLOOKUP(A215,[5]Hoja1!$D$1:$K$781,7,FALSE)</f>
        <v>11.02</v>
      </c>
      <c r="I215">
        <f>VLOOKUP(A215,[6]Hoja1!$D$1:$O$781,7,FALSE)</f>
        <v>11.02</v>
      </c>
      <c r="J215">
        <f>VLOOKUP(A215,[6]Hoja1!$D$1:$O$781,8,FALSE)</f>
        <v>11.02</v>
      </c>
      <c r="K215">
        <f>VLOOKUP(A215,[6]Hoja1!$D$1:$O$781,9,FALSE)</f>
        <v>11.02</v>
      </c>
      <c r="L215">
        <f>VLOOKUP(A215,[6]Hoja1!$D$1:$O$781,11,FALSE)</f>
        <v>11.02</v>
      </c>
    </row>
    <row r="216" spans="1:12" x14ac:dyDescent="0.2">
      <c r="A216" t="s">
        <v>492</v>
      </c>
      <c r="B216" t="s">
        <v>491</v>
      </c>
      <c r="C216" t="s">
        <v>11</v>
      </c>
      <c r="D216">
        <f>IFERROR(VLOOKUP(A216,[1]Hoja2!$A$1:$E$430,4,FALSE),0)</f>
        <v>0</v>
      </c>
      <c r="E216">
        <f>IFERROR(VLOOKUP(A216,[2]Hoja3!$A$1:$E$410,4,FALSE),0)</f>
        <v>0.13839000000000001</v>
      </c>
      <c r="F216">
        <f>IFERROR(VLOOKUP(A216,[3]Hoja2!$A$1:$E$411,4,FALSE),0)</f>
        <v>8.0004119400000004E-2</v>
      </c>
      <c r="G216">
        <f>VLOOKUP(A216,[4]Hoja1!$D$1:$K$778,7,FALSE)</f>
        <v>0.18</v>
      </c>
      <c r="H216">
        <f>VLOOKUP(A216,[5]Hoja1!$D$1:$K$781,7,FALSE)</f>
        <v>0.18</v>
      </c>
      <c r="I216">
        <f>VLOOKUP(A216,[6]Hoja1!$D$1:$O$781,7,FALSE)</f>
        <v>0.18</v>
      </c>
      <c r="J216">
        <f>VLOOKUP(A216,[6]Hoja1!$D$1:$O$781,8,FALSE)</f>
        <v>0.18</v>
      </c>
      <c r="K216">
        <f>VLOOKUP(A216,[6]Hoja1!$D$1:$O$781,9,FALSE)</f>
        <v>0.18</v>
      </c>
      <c r="L216">
        <f>VLOOKUP(A216,[6]Hoja1!$D$1:$O$781,11,FALSE)</f>
        <v>0.18</v>
      </c>
    </row>
    <row r="217" spans="1:12" x14ac:dyDescent="0.2">
      <c r="A217" t="s">
        <v>493</v>
      </c>
      <c r="B217" t="s">
        <v>491</v>
      </c>
      <c r="C217" t="s">
        <v>143</v>
      </c>
      <c r="D217">
        <f>IFERROR(VLOOKUP(A217,[1]Hoja2!$A$1:$E$430,4,FALSE),0)</f>
        <v>0</v>
      </c>
      <c r="E217">
        <f>IFERROR(VLOOKUP(A217,[2]Hoja3!$A$1:$E$410,4,FALSE),0)</f>
        <v>0.98546500000000004</v>
      </c>
      <c r="F217">
        <f>IFERROR(VLOOKUP(A217,[3]Hoja2!$A$1:$E$411,4,FALSE),0)</f>
        <v>0.99830863560000005</v>
      </c>
      <c r="G217">
        <f>VLOOKUP(A217,[4]Hoja1!$D$1:$K$778,7,FALSE)</f>
        <v>1.45</v>
      </c>
      <c r="H217">
        <f>VLOOKUP(A217,[5]Hoja1!$D$1:$K$781,7,FALSE)</f>
        <v>1.45</v>
      </c>
      <c r="I217">
        <f>VLOOKUP(A217,[6]Hoja1!$D$1:$O$781,7,FALSE)</f>
        <v>1.45</v>
      </c>
      <c r="J217">
        <f>VLOOKUP(A217,[6]Hoja1!$D$1:$O$781,8,FALSE)</f>
        <v>1.45</v>
      </c>
      <c r="K217">
        <f>VLOOKUP(A217,[6]Hoja1!$D$1:$O$781,9,FALSE)</f>
        <v>1.45</v>
      </c>
      <c r="L217">
        <f>VLOOKUP(A217,[6]Hoja1!$D$1:$O$781,11,FALSE)</f>
        <v>1.45</v>
      </c>
    </row>
    <row r="218" spans="1:12" x14ac:dyDescent="0.2">
      <c r="A218" t="s">
        <v>494</v>
      </c>
      <c r="B218" t="s">
        <v>495</v>
      </c>
      <c r="C218" t="s">
        <v>448</v>
      </c>
      <c r="D218">
        <f>IFERROR(VLOOKUP(A218,[1]Hoja2!$A$1:$E$430,4,FALSE),0)</f>
        <v>0</v>
      </c>
      <c r="E218">
        <f>IFERROR(VLOOKUP(A218,[2]Hoja3!$A$1:$E$410,4,FALSE),0)</f>
        <v>6.89</v>
      </c>
      <c r="F218">
        <f>IFERROR(VLOOKUP(A218,[3]Hoja2!$A$1:$E$411,4,FALSE),0)</f>
        <v>6.2314096915999997</v>
      </c>
      <c r="G218">
        <f>VLOOKUP(A218,[4]Hoja1!$D$1:$K$778,7,FALSE)</f>
        <v>9.77</v>
      </c>
      <c r="H218">
        <f>VLOOKUP(A218,[5]Hoja1!$D$1:$K$781,7,FALSE)</f>
        <v>9.77</v>
      </c>
      <c r="I218">
        <f>VLOOKUP(A218,[6]Hoja1!$D$1:$O$781,7,FALSE)</f>
        <v>9.77</v>
      </c>
      <c r="J218">
        <f>VLOOKUP(A218,[6]Hoja1!$D$1:$O$781,8,FALSE)</f>
        <v>9.77</v>
      </c>
      <c r="K218">
        <f>VLOOKUP(A218,[6]Hoja1!$D$1:$O$781,9,FALSE)</f>
        <v>9.77</v>
      </c>
      <c r="L218">
        <f>VLOOKUP(A218,[6]Hoja1!$D$1:$O$781,11,FALSE)</f>
        <v>9.77</v>
      </c>
    </row>
    <row r="219" spans="1:12" x14ac:dyDescent="0.2">
      <c r="A219" t="s">
        <v>496</v>
      </c>
      <c r="B219" t="s">
        <v>495</v>
      </c>
      <c r="C219" t="s">
        <v>444</v>
      </c>
      <c r="D219">
        <f>IFERROR(VLOOKUP(A219,[1]Hoja2!$A$1:$E$430,4,FALSE),0)</f>
        <v>0</v>
      </c>
      <c r="E219">
        <f>IFERROR(VLOOKUP(A219,[2]Hoja3!$A$1:$E$410,4,FALSE),0)</f>
        <v>0.212338</v>
      </c>
      <c r="F219">
        <f>IFERROR(VLOOKUP(A219,[3]Hoja2!$A$1:$E$411,4,FALSE),0)</f>
        <v>0.1687254229</v>
      </c>
      <c r="G219">
        <f>VLOOKUP(A219,[4]Hoja1!$D$1:$K$778,7,FALSE)</f>
        <v>0.31</v>
      </c>
      <c r="H219">
        <f>VLOOKUP(A219,[5]Hoja1!$D$1:$K$781,7,FALSE)</f>
        <v>0.31</v>
      </c>
      <c r="I219">
        <f>VLOOKUP(A219,[6]Hoja1!$D$1:$O$781,7,FALSE)</f>
        <v>0.31</v>
      </c>
      <c r="J219">
        <f>VLOOKUP(A219,[6]Hoja1!$D$1:$O$781,8,FALSE)</f>
        <v>0.31</v>
      </c>
      <c r="K219">
        <f>VLOOKUP(A219,[6]Hoja1!$D$1:$O$781,9,FALSE)</f>
        <v>0.31</v>
      </c>
      <c r="L219">
        <f>VLOOKUP(A219,[6]Hoja1!$D$1:$O$781,11,FALSE)</f>
        <v>0.35719090972892914</v>
      </c>
    </row>
    <row r="220" spans="1:12" x14ac:dyDescent="0.2">
      <c r="A220" t="s">
        <v>497</v>
      </c>
      <c r="B220" t="s">
        <v>498</v>
      </c>
      <c r="C220" t="s">
        <v>499</v>
      </c>
      <c r="D220">
        <f>IFERROR(VLOOKUP(A220,[1]Hoja2!$A$1:$E$430,4,FALSE),0)</f>
        <v>0</v>
      </c>
      <c r="E220">
        <f>IFERROR(VLOOKUP(A220,[2]Hoja3!$A$1:$E$410,4,FALSE),0)</f>
        <v>0</v>
      </c>
      <c r="F220">
        <f>IFERROR(VLOOKUP(A220,[3]Hoja2!$A$1:$E$411,4,FALSE),0)</f>
        <v>0.20014899999999999</v>
      </c>
      <c r="G220">
        <f>VLOOKUP(A220,[4]Hoja1!$D$1:$K$778,7,FALSE)</f>
        <v>0.26</v>
      </c>
      <c r="H220">
        <f>VLOOKUP(A220,[5]Hoja1!$D$1:$K$781,7,FALSE)</f>
        <v>0.26</v>
      </c>
      <c r="I220">
        <f>VLOOKUP(A220,[6]Hoja1!$D$1:$O$781,7,FALSE)</f>
        <v>0.26</v>
      </c>
      <c r="J220">
        <f>VLOOKUP(A220,[6]Hoja1!$D$1:$O$781,8,FALSE)</f>
        <v>0.26</v>
      </c>
      <c r="K220">
        <f>VLOOKUP(A220,[6]Hoja1!$D$1:$O$781,9,FALSE)</f>
        <v>0.26</v>
      </c>
      <c r="L220">
        <f>VLOOKUP(A220,[6]Hoja1!$D$1:$O$781,11,FALSE)</f>
        <v>0.26</v>
      </c>
    </row>
    <row r="221" spans="1:12" x14ac:dyDescent="0.2">
      <c r="A221" t="s">
        <v>500</v>
      </c>
      <c r="B221" t="s">
        <v>498</v>
      </c>
      <c r="C221" t="s">
        <v>38</v>
      </c>
      <c r="D221">
        <f>IFERROR(VLOOKUP(A221,[1]Hoja2!$A$1:$E$430,4,FALSE),0)</f>
        <v>0</v>
      </c>
      <c r="E221">
        <f>IFERROR(VLOOKUP(A221,[2]Hoja3!$A$1:$E$410,4,FALSE),0)</f>
        <v>1.6685049999999999</v>
      </c>
      <c r="F221">
        <f>IFERROR(VLOOKUP(A221,[3]Hoja2!$A$1:$E$411,4,FALSE),0)</f>
        <v>1.58</v>
      </c>
      <c r="G221">
        <f>VLOOKUP(A221,[4]Hoja1!$D$1:$K$778,7,FALSE)</f>
        <v>1.68</v>
      </c>
      <c r="H221">
        <f>VLOOKUP(A221,[5]Hoja1!$D$1:$K$781,7,FALSE)</f>
        <v>1.68</v>
      </c>
      <c r="I221">
        <f>VLOOKUP(A221,[6]Hoja1!$D$1:$O$781,7,FALSE)</f>
        <v>1.68</v>
      </c>
      <c r="J221">
        <f>VLOOKUP(A221,[6]Hoja1!$D$1:$O$781,8,FALSE)</f>
        <v>1.68</v>
      </c>
      <c r="K221">
        <f>VLOOKUP(A221,[6]Hoja1!$D$1:$O$781,9,FALSE)</f>
        <v>1.68</v>
      </c>
      <c r="L221">
        <f>VLOOKUP(A221,[6]Hoja1!$D$1:$O$781,11,FALSE)</f>
        <v>1.68</v>
      </c>
    </row>
    <row r="222" spans="1:12" x14ac:dyDescent="0.2">
      <c r="A222" t="s">
        <v>501</v>
      </c>
      <c r="B222" t="s">
        <v>502</v>
      </c>
      <c r="C222" t="s">
        <v>503</v>
      </c>
      <c r="D222">
        <f>IFERROR(VLOOKUP(A222,[1]Hoja2!$A$1:$E$430,4,FALSE),0)</f>
        <v>0</v>
      </c>
      <c r="E222">
        <f>IFERROR(VLOOKUP(A222,[2]Hoja3!$A$1:$E$410,4,FALSE),0)</f>
        <v>2.109515</v>
      </c>
      <c r="F222">
        <f>IFERROR(VLOOKUP(A222,[3]Hoja2!$A$1:$E$411,4,FALSE),0)</f>
        <v>2.4469184224</v>
      </c>
      <c r="G222">
        <f>VLOOKUP(A222,[4]Hoja1!$D$1:$K$778,7,FALSE)</f>
        <v>6.3</v>
      </c>
      <c r="H222">
        <f>VLOOKUP(A222,[5]Hoja1!$D$1:$K$781,7,FALSE)</f>
        <v>6.3</v>
      </c>
      <c r="I222">
        <f>VLOOKUP(A222,[6]Hoja1!$D$1:$O$781,7,FALSE)</f>
        <v>6.3</v>
      </c>
      <c r="J222">
        <f>VLOOKUP(A222,[6]Hoja1!$D$1:$O$781,8,FALSE)</f>
        <v>6.3</v>
      </c>
      <c r="K222">
        <f>VLOOKUP(A222,[6]Hoja1!$D$1:$O$781,9,FALSE)</f>
        <v>6.3</v>
      </c>
      <c r="L222">
        <f>VLOOKUP(A222,[6]Hoja1!$D$1:$O$781,11,FALSE)</f>
        <v>10.901929335648667</v>
      </c>
    </row>
    <row r="223" spans="1:12" x14ac:dyDescent="0.2">
      <c r="A223" t="s">
        <v>504</v>
      </c>
      <c r="B223" t="s">
        <v>505</v>
      </c>
      <c r="C223" t="s">
        <v>38</v>
      </c>
      <c r="D223">
        <f>IFERROR(VLOOKUP(A223,[1]Hoja2!$A$1:$E$430,4,FALSE),0)</f>
        <v>0</v>
      </c>
      <c r="E223">
        <f>IFERROR(VLOOKUP(A223,[2]Hoja3!$A$1:$E$410,4,FALSE),0)</f>
        <v>7.4</v>
      </c>
      <c r="F223">
        <f>IFERROR(VLOOKUP(A223,[3]Hoja2!$A$1:$E$411,4,FALSE),0)</f>
        <v>5</v>
      </c>
      <c r="G223">
        <f>VLOOKUP(A223,[4]Hoja1!$D$1:$K$778,7,FALSE)</f>
        <v>13.8</v>
      </c>
      <c r="H223">
        <f>VLOOKUP(A223,[5]Hoja1!$D$1:$K$781,7,FALSE)</f>
        <v>13.8</v>
      </c>
      <c r="I223">
        <f>VLOOKUP(A223,[6]Hoja1!$D$1:$O$781,7,FALSE)</f>
        <v>13.8</v>
      </c>
      <c r="J223">
        <f>VLOOKUP(A223,[6]Hoja1!$D$1:$O$781,8,FALSE)</f>
        <v>13.8</v>
      </c>
      <c r="K223">
        <f>VLOOKUP(A223,[6]Hoja1!$D$1:$O$781,9,FALSE)</f>
        <v>13.8</v>
      </c>
      <c r="L223">
        <f>VLOOKUP(A223,[6]Hoja1!$D$1:$O$781,11,FALSE)</f>
        <v>19.351167588734349</v>
      </c>
    </row>
    <row r="224" spans="1:12" x14ac:dyDescent="0.2">
      <c r="A224" t="s">
        <v>506</v>
      </c>
      <c r="B224" t="s">
        <v>507</v>
      </c>
      <c r="C224" t="s">
        <v>508</v>
      </c>
      <c r="D224">
        <f>IFERROR(VLOOKUP(A224,[1]Hoja2!$A$1:$E$430,4,FALSE),0)</f>
        <v>0</v>
      </c>
      <c r="E224">
        <f>IFERROR(VLOOKUP(A224,[2]Hoja3!$A$1:$E$410,4,FALSE),0)</f>
        <v>0.5</v>
      </c>
      <c r="F224">
        <f>IFERROR(VLOOKUP(A224,[3]Hoja2!$A$1:$E$411,4,FALSE),0)</f>
        <v>0.42261749570000001</v>
      </c>
      <c r="G224">
        <f>VLOOKUP(A224,[4]Hoja1!$D$1:$K$778,7,FALSE)</f>
        <v>3.03</v>
      </c>
      <c r="H224">
        <f>VLOOKUP(A224,[5]Hoja1!$D$1:$K$781,7,FALSE)</f>
        <v>3.03</v>
      </c>
      <c r="I224">
        <f>VLOOKUP(A224,[6]Hoja1!$D$1:$O$781,7,FALSE)</f>
        <v>3.03</v>
      </c>
      <c r="J224">
        <f>VLOOKUP(A224,[6]Hoja1!$D$1:$O$781,8,FALSE)</f>
        <v>3.03</v>
      </c>
      <c r="K224">
        <f>VLOOKUP(A224,[6]Hoja1!$D$1:$O$781,9,FALSE)</f>
        <v>3.03</v>
      </c>
      <c r="L224">
        <f>VLOOKUP(A224,[6]Hoja1!$D$1:$O$781,11,FALSE)</f>
        <v>4.0006973000036652</v>
      </c>
    </row>
    <row r="225" spans="1:12" x14ac:dyDescent="0.2">
      <c r="A225" t="s">
        <v>509</v>
      </c>
      <c r="B225" t="s">
        <v>510</v>
      </c>
      <c r="C225" t="s">
        <v>146</v>
      </c>
      <c r="D225">
        <f>IFERROR(VLOOKUP(A225,[1]Hoja2!$A$1:$E$430,4,FALSE),0)</f>
        <v>0</v>
      </c>
      <c r="E225">
        <f>IFERROR(VLOOKUP(A225,[2]Hoja3!$A$1:$E$410,4,FALSE),0)</f>
        <v>28</v>
      </c>
      <c r="F225">
        <f>IFERROR(VLOOKUP(A225,[3]Hoja2!$A$1:$E$411,4,FALSE),0)</f>
        <v>26.1415995668</v>
      </c>
      <c r="G225">
        <f>VLOOKUP(A225,[4]Hoja1!$D$1:$K$778,7,FALSE)</f>
        <v>27</v>
      </c>
      <c r="H225">
        <f>VLOOKUP(A225,[5]Hoja1!$D$1:$K$781,7,FALSE)</f>
        <v>27</v>
      </c>
      <c r="I225">
        <f>VLOOKUP(A225,[6]Hoja1!$D$1:$O$781,7,FALSE)</f>
        <v>27</v>
      </c>
      <c r="J225">
        <f>VLOOKUP(A225,[6]Hoja1!$D$1:$O$781,8,FALSE)</f>
        <v>27</v>
      </c>
      <c r="K225">
        <f>VLOOKUP(A225,[6]Hoja1!$D$1:$O$781,9,FALSE)</f>
        <v>27</v>
      </c>
      <c r="L225">
        <f>VLOOKUP(A225,[6]Hoja1!$D$1:$O$781,11,FALSE)</f>
        <v>42.79965018209699</v>
      </c>
    </row>
    <row r="226" spans="1:12" x14ac:dyDescent="0.2">
      <c r="A226" t="s">
        <v>511</v>
      </c>
      <c r="B226" t="s">
        <v>512</v>
      </c>
      <c r="C226" t="s">
        <v>104</v>
      </c>
      <c r="D226">
        <f>IFERROR(VLOOKUP(A226,[1]Hoja2!$A$1:$E$430,4,FALSE),0)</f>
        <v>0</v>
      </c>
      <c r="E226">
        <f>IFERROR(VLOOKUP(A226,[2]Hoja3!$A$1:$E$410,4,FALSE),0)</f>
        <v>0.49060700000000002</v>
      </c>
      <c r="F226">
        <f>IFERROR(VLOOKUP(A226,[3]Hoja2!$A$1:$E$411,4,FALSE),0)</f>
        <v>0.55000000000000004</v>
      </c>
      <c r="G226">
        <f>VLOOKUP(A226,[4]Hoja1!$D$1:$K$778,7,FALSE)</f>
        <v>0.89</v>
      </c>
      <c r="H226">
        <f>VLOOKUP(A226,[5]Hoja1!$D$1:$K$781,7,FALSE)</f>
        <v>0.89</v>
      </c>
      <c r="I226">
        <f>VLOOKUP(A226,[6]Hoja1!$D$1:$O$781,7,FALSE)</f>
        <v>0.89</v>
      </c>
      <c r="J226">
        <f>VLOOKUP(A226,[6]Hoja1!$D$1:$O$781,8,FALSE)</f>
        <v>0.89</v>
      </c>
      <c r="K226">
        <f>VLOOKUP(A226,[6]Hoja1!$D$1:$O$781,9,FALSE)</f>
        <v>0.89</v>
      </c>
      <c r="L226">
        <f>VLOOKUP(A226,[6]Hoja1!$D$1:$O$781,11,FALSE)</f>
        <v>0.89</v>
      </c>
    </row>
    <row r="227" spans="1:12" x14ac:dyDescent="0.2">
      <c r="A227" t="s">
        <v>513</v>
      </c>
      <c r="B227" t="s">
        <v>514</v>
      </c>
      <c r="C227" t="s">
        <v>363</v>
      </c>
      <c r="D227">
        <f>IFERROR(VLOOKUP(A227,[1]Hoja2!$A$1:$E$430,4,FALSE),0)</f>
        <v>0</v>
      </c>
      <c r="E227">
        <f>IFERROR(VLOOKUP(A227,[2]Hoja3!$A$1:$E$410,4,FALSE),0)</f>
        <v>0.82805700000000004</v>
      </c>
      <c r="F227">
        <f>IFERROR(VLOOKUP(A227,[3]Hoja2!$A$1:$E$411,4,FALSE),0)</f>
        <v>0.82805700000000004</v>
      </c>
      <c r="G227">
        <f>VLOOKUP(A227,[4]Hoja1!$D$1:$K$778,7,FALSE)</f>
        <v>1.2</v>
      </c>
      <c r="H227">
        <f>VLOOKUP(A227,[5]Hoja1!$D$1:$K$781,7,FALSE)</f>
        <v>1.2</v>
      </c>
      <c r="I227">
        <f>VLOOKUP(A227,[6]Hoja1!$D$1:$O$781,7,FALSE)</f>
        <v>1.2</v>
      </c>
      <c r="J227">
        <f>VLOOKUP(A227,[6]Hoja1!$D$1:$O$781,8,FALSE)</f>
        <v>1.2</v>
      </c>
      <c r="K227">
        <f>VLOOKUP(A227,[6]Hoja1!$D$1:$O$781,9,FALSE)</f>
        <v>1.2</v>
      </c>
      <c r="L227">
        <f>VLOOKUP(A227,[6]Hoja1!$D$1:$O$781,11,FALSE)</f>
        <v>1.2</v>
      </c>
    </row>
    <row r="228" spans="1:12" x14ac:dyDescent="0.2">
      <c r="A228" t="s">
        <v>515</v>
      </c>
      <c r="B228" t="s">
        <v>516</v>
      </c>
      <c r="C228" t="s">
        <v>517</v>
      </c>
      <c r="D228">
        <f>IFERROR(VLOOKUP(A228,[1]Hoja2!$A$1:$E$430,4,FALSE),0)</f>
        <v>0</v>
      </c>
      <c r="E228">
        <f>IFERROR(VLOOKUP(A228,[2]Hoja3!$A$1:$E$410,4,FALSE),0)</f>
        <v>2</v>
      </c>
      <c r="F228">
        <f>IFERROR(VLOOKUP(A228,[3]Hoja2!$A$1:$E$411,4,FALSE),0)</f>
        <v>1.2157894736999999</v>
      </c>
      <c r="G228">
        <f>VLOOKUP(A228,[4]Hoja1!$D$1:$K$778,7,FALSE)</f>
        <v>6.65</v>
      </c>
      <c r="H228">
        <f>VLOOKUP(A228,[5]Hoja1!$D$1:$K$781,7,FALSE)</f>
        <v>6.65</v>
      </c>
      <c r="I228">
        <f>VLOOKUP(A228,[6]Hoja1!$D$1:$O$781,7,FALSE)</f>
        <v>6.65</v>
      </c>
      <c r="J228">
        <f>VLOOKUP(A228,[6]Hoja1!$D$1:$O$781,8,FALSE)</f>
        <v>6.65</v>
      </c>
      <c r="K228">
        <f>VLOOKUP(A228,[6]Hoja1!$D$1:$O$781,9,FALSE)</f>
        <v>6.65</v>
      </c>
      <c r="L228">
        <f>VLOOKUP(A228,[6]Hoja1!$D$1:$O$781,11,FALSE)</f>
        <v>6.65</v>
      </c>
    </row>
    <row r="229" spans="1:12" x14ac:dyDescent="0.2">
      <c r="A229" t="s">
        <v>518</v>
      </c>
      <c r="B229" t="s">
        <v>519</v>
      </c>
      <c r="C229" t="s">
        <v>520</v>
      </c>
      <c r="D229">
        <f>IFERROR(VLOOKUP(A229,[1]Hoja2!$A$1:$E$430,4,FALSE),0)</f>
        <v>0</v>
      </c>
      <c r="E229">
        <f>IFERROR(VLOOKUP(A229,[2]Hoja3!$A$1:$E$410,4,FALSE),0)</f>
        <v>11.285964</v>
      </c>
      <c r="F229">
        <f>IFERROR(VLOOKUP(A229,[3]Hoja2!$A$1:$E$411,4,FALSE),0)</f>
        <v>11.2095515203</v>
      </c>
      <c r="G229">
        <f>VLOOKUP(A229,[4]Hoja1!$D$1:$K$778,7,FALSE)</f>
        <v>13.322628205128201</v>
      </c>
      <c r="H229">
        <f>VLOOKUP(A229,[5]Hoja1!$D$1:$K$781,7,FALSE)</f>
        <v>13.322628205128204</v>
      </c>
      <c r="I229">
        <f>VLOOKUP(A229,[6]Hoja1!$D$1:$O$781,7,FALSE)</f>
        <v>13.322628205128204</v>
      </c>
      <c r="J229">
        <f>VLOOKUP(A229,[6]Hoja1!$D$1:$O$781,8,FALSE)</f>
        <v>13.322628205128204</v>
      </c>
      <c r="K229">
        <f>VLOOKUP(A229,[6]Hoja1!$D$1:$O$781,9,FALSE)</f>
        <v>13.322628205128204</v>
      </c>
      <c r="L229">
        <f>VLOOKUP(A229,[6]Hoja1!$D$1:$O$781,11,FALSE)</f>
        <v>13.322628205128204</v>
      </c>
    </row>
    <row r="230" spans="1:12" x14ac:dyDescent="0.2">
      <c r="A230" t="s">
        <v>521</v>
      </c>
      <c r="B230" t="s">
        <v>522</v>
      </c>
      <c r="C230" t="s">
        <v>523</v>
      </c>
      <c r="D230">
        <f>IFERROR(VLOOKUP(A230,[1]Hoja2!$A$1:$E$430,4,FALSE),0)</f>
        <v>0</v>
      </c>
      <c r="E230">
        <f>IFERROR(VLOOKUP(A230,[2]Hoja3!$A$1:$E$410,4,FALSE),0)</f>
        <v>33.668762000000001</v>
      </c>
      <c r="F230">
        <f>IFERROR(VLOOKUP(A230,[3]Hoja2!$A$1:$E$411,4,FALSE),0)</f>
        <v>33.668762000000001</v>
      </c>
      <c r="G230">
        <f>VLOOKUP(A230,[4]Hoja1!$D$1:$K$778,7,FALSE)</f>
        <v>33.6</v>
      </c>
      <c r="H230">
        <f>VLOOKUP(A230,[5]Hoja1!$D$1:$K$781,7,FALSE)</f>
        <v>33.6</v>
      </c>
      <c r="I230">
        <f>VLOOKUP(A230,[6]Hoja1!$D$1:$O$781,7,FALSE)</f>
        <v>33.6</v>
      </c>
      <c r="J230">
        <f>VLOOKUP(A230,[6]Hoja1!$D$1:$O$781,8,FALSE)</f>
        <v>33.6</v>
      </c>
      <c r="K230">
        <f>VLOOKUP(A230,[6]Hoja1!$D$1:$O$781,9,FALSE)</f>
        <v>33.6</v>
      </c>
      <c r="L230">
        <f>VLOOKUP(A230,[6]Hoja1!$D$1:$O$781,11,FALSE)</f>
        <v>33.6</v>
      </c>
    </row>
    <row r="231" spans="1:12" x14ac:dyDescent="0.2">
      <c r="A231" t="s">
        <v>524</v>
      </c>
      <c r="B231" t="s">
        <v>525</v>
      </c>
      <c r="C231">
        <v>0.02</v>
      </c>
      <c r="D231">
        <f>IFERROR(VLOOKUP(A231,[1]Hoja2!$A$1:$E$430,4,FALSE),0)</f>
        <v>0</v>
      </c>
      <c r="E231">
        <f>IFERROR(VLOOKUP(A231,[2]Hoja3!$A$1:$E$410,4,FALSE),0)</f>
        <v>8.5</v>
      </c>
      <c r="F231">
        <f>IFERROR(VLOOKUP(A231,[3]Hoja2!$A$1:$E$411,4,FALSE),0)</f>
        <v>5.0704647675999999</v>
      </c>
      <c r="G231">
        <f>VLOOKUP(A231,[4]Hoja1!$D$1:$K$778,7,FALSE)</f>
        <v>10.67</v>
      </c>
      <c r="H231">
        <f>VLOOKUP(A231,[5]Hoja1!$D$1:$K$781,7,FALSE)</f>
        <v>10.67</v>
      </c>
      <c r="I231">
        <f>VLOOKUP(A231,[6]Hoja1!$D$1:$O$781,7,FALSE)</f>
        <v>10.67</v>
      </c>
      <c r="J231">
        <f>VLOOKUP(A231,[6]Hoja1!$D$1:$O$781,8,FALSE)</f>
        <v>10.67</v>
      </c>
      <c r="K231">
        <f>VLOOKUP(A231,[6]Hoja1!$D$1:$O$781,9,FALSE)</f>
        <v>10.67</v>
      </c>
      <c r="L231">
        <f>VLOOKUP(A231,[6]Hoja1!$D$1:$O$781,11,FALSE)</f>
        <v>10.67</v>
      </c>
    </row>
    <row r="232" spans="1:12" x14ac:dyDescent="0.2">
      <c r="A232" t="s">
        <v>526</v>
      </c>
      <c r="B232" t="s">
        <v>527</v>
      </c>
      <c r="C232" t="s">
        <v>146</v>
      </c>
      <c r="D232">
        <f>IFERROR(VLOOKUP(A232,[1]Hoja2!$A$1:$E$430,4,FALSE),0)</f>
        <v>0</v>
      </c>
      <c r="E232">
        <f>IFERROR(VLOOKUP(A232,[2]Hoja3!$A$1:$E$410,4,FALSE),0)</f>
        <v>18.989999999999998</v>
      </c>
      <c r="F232">
        <f>IFERROR(VLOOKUP(A232,[3]Hoja2!$A$1:$E$411,4,FALSE),0)</f>
        <v>17.399999999999999</v>
      </c>
      <c r="G232">
        <f>VLOOKUP(A232,[4]Hoja1!$D$1:$K$778,7,FALSE)</f>
        <v>41.008095238095201</v>
      </c>
      <c r="H232">
        <f>VLOOKUP(A232,[5]Hoja1!$D$1:$K$781,7,FALSE)</f>
        <v>41.008095238095244</v>
      </c>
      <c r="I232">
        <f>VLOOKUP(A232,[6]Hoja1!$D$1:$O$781,7,FALSE)</f>
        <v>41.008095238095244</v>
      </c>
      <c r="J232">
        <f>VLOOKUP(A232,[6]Hoja1!$D$1:$O$781,8,FALSE)</f>
        <v>41.008095238095244</v>
      </c>
      <c r="K232">
        <f>VLOOKUP(A232,[6]Hoja1!$D$1:$O$781,9,FALSE)</f>
        <v>74.318595139920291</v>
      </c>
      <c r="L232">
        <f>VLOOKUP(A232,[6]Hoja1!$D$1:$O$781,11,FALSE)</f>
        <v>74.318595139920291</v>
      </c>
    </row>
    <row r="233" spans="1:12" x14ac:dyDescent="0.2">
      <c r="A233" t="s">
        <v>528</v>
      </c>
      <c r="B233" t="s">
        <v>529</v>
      </c>
      <c r="C233" t="s">
        <v>386</v>
      </c>
      <c r="D233">
        <f>IFERROR(VLOOKUP(A233,[1]Hoja2!$A$1:$E$430,4,FALSE),0)</f>
        <v>0</v>
      </c>
      <c r="E233">
        <f>IFERROR(VLOOKUP(A233,[2]Hoja3!$A$1:$E$410,4,FALSE),0)</f>
        <v>0</v>
      </c>
      <c r="F233">
        <f>IFERROR(VLOOKUP(A233,[3]Hoja2!$A$1:$E$411,4,FALSE),0)</f>
        <v>25</v>
      </c>
      <c r="G233">
        <f>VLOOKUP(A233,[4]Hoja1!$D$1:$K$778,7,FALSE)</f>
        <v>36.848222222222198</v>
      </c>
      <c r="H233">
        <f>VLOOKUP(A233,[5]Hoja1!$D$1:$K$781,7,FALSE)</f>
        <v>36.848222222222219</v>
      </c>
      <c r="I233">
        <f>VLOOKUP(A233,[6]Hoja1!$D$1:$O$781,7,FALSE)</f>
        <v>36.848222222222219</v>
      </c>
      <c r="J233">
        <f>VLOOKUP(A233,[6]Hoja1!$D$1:$O$781,8,FALSE)</f>
        <v>36.848222222222219</v>
      </c>
      <c r="K233">
        <f>VLOOKUP(A233,[6]Hoja1!$D$1:$O$781,9,FALSE)</f>
        <v>36.848222222222219</v>
      </c>
      <c r="L233">
        <f>VLOOKUP(A233,[6]Hoja1!$D$1:$O$781,11,FALSE)</f>
        <v>36.848222222222219</v>
      </c>
    </row>
    <row r="234" spans="1:12" x14ac:dyDescent="0.2">
      <c r="A234" t="s">
        <v>530</v>
      </c>
      <c r="B234" t="s">
        <v>531</v>
      </c>
      <c r="C234" t="s">
        <v>49</v>
      </c>
      <c r="D234">
        <f>IFERROR(VLOOKUP(A234,[1]Hoja2!$A$1:$E$430,4,FALSE),0)</f>
        <v>0</v>
      </c>
      <c r="E234">
        <f>IFERROR(VLOOKUP(A234,[2]Hoja3!$A$1:$E$410,4,FALSE),0)</f>
        <v>125</v>
      </c>
      <c r="F234">
        <f>IFERROR(VLOOKUP(A234,[3]Hoja2!$A$1:$E$411,4,FALSE),0)</f>
        <v>120</v>
      </c>
      <c r="G234">
        <f>VLOOKUP(A234,[4]Hoja1!$D$1:$K$778,7,FALSE)</f>
        <v>130.61500000000001</v>
      </c>
      <c r="H234">
        <f>VLOOKUP(A234,[5]Hoja1!$D$1:$K$781,7,FALSE)</f>
        <v>130.61500000000001</v>
      </c>
      <c r="I234">
        <f>VLOOKUP(A234,[6]Hoja1!$D$1:$O$781,7,FALSE)</f>
        <v>130.61500000000001</v>
      </c>
      <c r="J234">
        <f>VLOOKUP(A234,[6]Hoja1!$D$1:$O$781,8,FALSE)</f>
        <v>130.61500000000001</v>
      </c>
      <c r="K234">
        <f>VLOOKUP(A234,[6]Hoja1!$D$1:$O$781,9,FALSE)</f>
        <v>130.61500000000001</v>
      </c>
      <c r="L234">
        <f>VLOOKUP(A234,[6]Hoja1!$D$1:$O$781,11,FALSE)</f>
        <v>130.61500000000001</v>
      </c>
    </row>
    <row r="235" spans="1:12" x14ac:dyDescent="0.2">
      <c r="A235" t="s">
        <v>532</v>
      </c>
      <c r="B235" t="s">
        <v>533</v>
      </c>
      <c r="C235" t="s">
        <v>534</v>
      </c>
      <c r="D235">
        <f>IFERROR(VLOOKUP(A235,[1]Hoja2!$A$1:$E$430,4,FALSE),0)</f>
        <v>0</v>
      </c>
      <c r="E235">
        <f>IFERROR(VLOOKUP(A235,[2]Hoja3!$A$1:$E$410,4,FALSE),0)</f>
        <v>1.5</v>
      </c>
      <c r="F235">
        <f>IFERROR(VLOOKUP(A235,[3]Hoja2!$A$1:$E$411,4,FALSE),0)</f>
        <v>1.4081726353999999</v>
      </c>
      <c r="G235">
        <f>VLOOKUP(A235,[4]Hoja1!$D$1:$K$778,7,FALSE)</f>
        <v>2.6</v>
      </c>
      <c r="H235">
        <f>VLOOKUP(A235,[5]Hoja1!$D$1:$K$781,7,FALSE)</f>
        <v>2.6</v>
      </c>
      <c r="I235">
        <f>VLOOKUP(A235,[6]Hoja1!$D$1:$O$781,7,FALSE)</f>
        <v>2.6</v>
      </c>
      <c r="J235">
        <f>VLOOKUP(A235,[6]Hoja1!$D$1:$O$781,8,FALSE)</f>
        <v>2.6</v>
      </c>
      <c r="K235">
        <f>VLOOKUP(A235,[6]Hoja1!$D$1:$O$781,9,FALSE)</f>
        <v>2.6</v>
      </c>
      <c r="L235">
        <f>VLOOKUP(A235,[6]Hoja1!$D$1:$O$781,11,FALSE)</f>
        <v>2.6</v>
      </c>
    </row>
    <row r="236" spans="1:12" x14ac:dyDescent="0.2">
      <c r="A236" t="s">
        <v>535</v>
      </c>
      <c r="B236" t="s">
        <v>536</v>
      </c>
      <c r="C236" t="s">
        <v>386</v>
      </c>
      <c r="D236">
        <f>IFERROR(VLOOKUP(A236,[1]Hoja2!$A$1:$E$430,4,FALSE),0)</f>
        <v>0</v>
      </c>
      <c r="E236">
        <f>IFERROR(VLOOKUP(A236,[2]Hoja3!$A$1:$E$410,4,FALSE),0)</f>
        <v>1.796923</v>
      </c>
      <c r="F236">
        <f>IFERROR(VLOOKUP(A236,[3]Hoja2!$A$1:$E$411,4,FALSE),0)</f>
        <v>1.2007212291</v>
      </c>
      <c r="G236">
        <f>VLOOKUP(A236,[4]Hoja1!$D$1:$K$778,7,FALSE)</f>
        <v>1.82</v>
      </c>
      <c r="H236">
        <f>VLOOKUP(A236,[5]Hoja1!$D$1:$K$781,7,FALSE)</f>
        <v>1.82</v>
      </c>
      <c r="I236">
        <f>VLOOKUP(A236,[6]Hoja1!$D$1:$O$781,7,FALSE)</f>
        <v>1.82</v>
      </c>
      <c r="J236">
        <f>VLOOKUP(A236,[6]Hoja1!$D$1:$O$781,8,FALSE)</f>
        <v>1.82</v>
      </c>
      <c r="K236">
        <f>VLOOKUP(A236,[6]Hoja1!$D$1:$O$781,9,FALSE)</f>
        <v>1.82</v>
      </c>
      <c r="L236">
        <f>VLOOKUP(A236,[6]Hoja1!$D$1:$O$781,11,FALSE)</f>
        <v>5</v>
      </c>
    </row>
    <row r="237" spans="1:12" x14ac:dyDescent="0.2">
      <c r="A237" t="s">
        <v>537</v>
      </c>
      <c r="B237" t="s">
        <v>538</v>
      </c>
      <c r="C237" t="s">
        <v>146</v>
      </c>
      <c r="D237">
        <f>IFERROR(VLOOKUP(A237,[1]Hoja2!$A$1:$E$430,4,FALSE),0)</f>
        <v>0</v>
      </c>
      <c r="E237">
        <f>IFERROR(VLOOKUP(A237,[2]Hoja3!$A$1:$E$410,4,FALSE),0)</f>
        <v>12</v>
      </c>
      <c r="F237">
        <f>IFERROR(VLOOKUP(A237,[3]Hoja2!$A$1:$E$411,4,FALSE),0)</f>
        <v>11.99</v>
      </c>
      <c r="G237">
        <f>VLOOKUP(A237,[4]Hoja1!$D$1:$K$778,7,FALSE)</f>
        <v>15</v>
      </c>
      <c r="H237">
        <f>VLOOKUP(A237,[5]Hoja1!$D$1:$K$781,7,FALSE)</f>
        <v>15</v>
      </c>
      <c r="I237">
        <f>VLOOKUP(A237,[6]Hoja1!$D$1:$O$781,7,FALSE)</f>
        <v>15</v>
      </c>
      <c r="J237">
        <f>VLOOKUP(A237,[6]Hoja1!$D$1:$O$781,8,FALSE)</f>
        <v>15</v>
      </c>
      <c r="K237">
        <f>VLOOKUP(A237,[6]Hoja1!$D$1:$O$781,9,FALSE)</f>
        <v>15</v>
      </c>
      <c r="L237">
        <f>VLOOKUP(A237,[6]Hoja1!$D$1:$O$781,11,FALSE)</f>
        <v>15</v>
      </c>
    </row>
    <row r="238" spans="1:12" x14ac:dyDescent="0.2">
      <c r="A238" t="s">
        <v>539</v>
      </c>
      <c r="B238" t="s">
        <v>540</v>
      </c>
      <c r="C238" t="s">
        <v>72</v>
      </c>
      <c r="D238">
        <f>IFERROR(VLOOKUP(A238,[1]Hoja2!$A$1:$E$430,4,FALSE),0)</f>
        <v>0</v>
      </c>
      <c r="E238">
        <f>IFERROR(VLOOKUP(A238,[2]Hoja3!$A$1:$E$410,4,FALSE),0)</f>
        <v>9.0514999999999998E-2</v>
      </c>
      <c r="F238">
        <f>IFERROR(VLOOKUP(A238,[3]Hoja2!$A$1:$E$411,4,FALSE),0)</f>
        <v>0.12</v>
      </c>
      <c r="G238">
        <f>VLOOKUP(A238,[4]Hoja1!$D$1:$K$778,7,FALSE)</f>
        <v>0.21</v>
      </c>
      <c r="H238">
        <f>VLOOKUP(A238,[5]Hoja1!$D$1:$K$781,7,FALSE)</f>
        <v>0.21</v>
      </c>
      <c r="I238">
        <f>VLOOKUP(A238,[6]Hoja1!$D$1:$O$781,7,FALSE)</f>
        <v>0.21</v>
      </c>
      <c r="J238">
        <f>VLOOKUP(A238,[6]Hoja1!$D$1:$O$781,8,FALSE)</f>
        <v>0.21</v>
      </c>
      <c r="K238">
        <f>VLOOKUP(A238,[6]Hoja1!$D$1:$O$781,9,FALSE)</f>
        <v>0.21</v>
      </c>
      <c r="L238">
        <f>VLOOKUP(A238,[6]Hoja1!$D$1:$O$781,11,FALSE)</f>
        <v>0.22977675875700279</v>
      </c>
    </row>
    <row r="239" spans="1:12" x14ac:dyDescent="0.2">
      <c r="A239" t="s">
        <v>541</v>
      </c>
      <c r="B239" t="s">
        <v>540</v>
      </c>
      <c r="C239" t="s">
        <v>542</v>
      </c>
      <c r="D239">
        <f>IFERROR(VLOOKUP(A239,[1]Hoja2!$A$1:$E$430,4,FALSE),0)</f>
        <v>0</v>
      </c>
      <c r="E239">
        <f>IFERROR(VLOOKUP(A239,[2]Hoja3!$A$1:$E$410,4,FALSE),0)</f>
        <v>6.5</v>
      </c>
      <c r="F239">
        <f>IFERROR(VLOOKUP(A239,[3]Hoja2!$A$1:$E$411,4,FALSE),0)</f>
        <v>5.8034825871000004</v>
      </c>
      <c r="G239">
        <f>VLOOKUP(A239,[4]Hoja1!$D$1:$K$778,7,FALSE)</f>
        <v>7.85</v>
      </c>
      <c r="H239">
        <f>VLOOKUP(A239,[5]Hoja1!$D$1:$K$781,7,FALSE)</f>
        <v>7.85</v>
      </c>
      <c r="I239">
        <f>VLOOKUP(A239,[6]Hoja1!$D$1:$O$781,7,FALSE)</f>
        <v>7.85</v>
      </c>
      <c r="J239">
        <f>VLOOKUP(A239,[6]Hoja1!$D$1:$O$781,8,FALSE)</f>
        <v>7.85</v>
      </c>
      <c r="K239">
        <f>VLOOKUP(A239,[6]Hoja1!$D$1:$O$781,9,FALSE)</f>
        <v>7.85</v>
      </c>
      <c r="L239">
        <f>VLOOKUP(A239,[6]Hoja1!$D$1:$O$781,11,FALSE)</f>
        <v>7.85</v>
      </c>
    </row>
    <row r="240" spans="1:12" x14ac:dyDescent="0.2">
      <c r="A240" t="s">
        <v>543</v>
      </c>
      <c r="B240" t="s">
        <v>540</v>
      </c>
      <c r="C240" t="s">
        <v>544</v>
      </c>
      <c r="D240">
        <f>IFERROR(VLOOKUP(A240,[1]Hoja2!$A$1:$E$430,4,FALSE),0)</f>
        <v>0</v>
      </c>
      <c r="E240">
        <f>IFERROR(VLOOKUP(A240,[2]Hoja3!$A$1:$E$410,4,FALSE),0)</f>
        <v>5.5</v>
      </c>
      <c r="F240">
        <f>IFERROR(VLOOKUP(A240,[3]Hoja2!$A$1:$E$411,4,FALSE),0)</f>
        <v>5</v>
      </c>
      <c r="G240">
        <f>VLOOKUP(A240,[4]Hoja1!$D$1:$K$778,7,FALSE)</f>
        <v>5.73</v>
      </c>
      <c r="H240">
        <f>VLOOKUP(A240,[5]Hoja1!$D$1:$K$781,7,FALSE)</f>
        <v>5.73</v>
      </c>
      <c r="I240">
        <f>VLOOKUP(A240,[6]Hoja1!$D$1:$O$781,7,FALSE)</f>
        <v>5.73</v>
      </c>
      <c r="J240">
        <f>VLOOKUP(A240,[6]Hoja1!$D$1:$O$781,8,FALSE)</f>
        <v>5.73</v>
      </c>
      <c r="K240">
        <f>VLOOKUP(A240,[6]Hoja1!$D$1:$O$781,9,FALSE)</f>
        <v>5.73</v>
      </c>
      <c r="L240">
        <f>VLOOKUP(A240,[6]Hoja1!$D$1:$O$781,11,FALSE)</f>
        <v>5.73</v>
      </c>
    </row>
    <row r="241" spans="1:12" x14ac:dyDescent="0.2">
      <c r="A241" t="s">
        <v>545</v>
      </c>
      <c r="B241" t="s">
        <v>540</v>
      </c>
      <c r="C241" t="s">
        <v>38</v>
      </c>
      <c r="D241">
        <f>IFERROR(VLOOKUP(A241,[1]Hoja2!$A$1:$E$430,4,FALSE),0)</f>
        <v>0</v>
      </c>
      <c r="E241">
        <f>IFERROR(VLOOKUP(A241,[2]Hoja3!$A$1:$E$410,4,FALSE),0)</f>
        <v>1.6383000000000001</v>
      </c>
      <c r="F241">
        <f>IFERROR(VLOOKUP(A241,[3]Hoja2!$A$1:$E$411,4,FALSE),0)</f>
        <v>1.6382685714</v>
      </c>
      <c r="G241">
        <f>VLOOKUP(A241,[4]Hoja1!$D$1:$K$778,7,FALSE)</f>
        <v>1.76</v>
      </c>
      <c r="H241">
        <f>VLOOKUP(A241,[5]Hoja1!$D$1:$K$781,7,FALSE)</f>
        <v>1.76</v>
      </c>
      <c r="I241">
        <f>VLOOKUP(A241,[6]Hoja1!$D$1:$O$781,7,FALSE)</f>
        <v>1.76</v>
      </c>
      <c r="J241">
        <f>VLOOKUP(A241,[6]Hoja1!$D$1:$O$781,8,FALSE)</f>
        <v>1.76</v>
      </c>
      <c r="K241">
        <f>VLOOKUP(A241,[6]Hoja1!$D$1:$O$781,9,FALSE)</f>
        <v>1.76</v>
      </c>
      <c r="L241">
        <f>VLOOKUP(A241,[6]Hoja1!$D$1:$O$781,11,FALSE)</f>
        <v>1.76</v>
      </c>
    </row>
    <row r="242" spans="1:12" x14ac:dyDescent="0.2">
      <c r="A242" t="s">
        <v>546</v>
      </c>
      <c r="B242" t="s">
        <v>547</v>
      </c>
      <c r="C242" t="s">
        <v>548</v>
      </c>
      <c r="D242">
        <f>IFERROR(VLOOKUP(A242,[1]Hoja2!$A$1:$E$430,4,FALSE),0)</f>
        <v>0</v>
      </c>
      <c r="E242">
        <f>IFERROR(VLOOKUP(A242,[2]Hoja3!$A$1:$E$410,4,FALSE),0)</f>
        <v>4.99</v>
      </c>
      <c r="F242">
        <f>IFERROR(VLOOKUP(A242,[3]Hoja2!$A$1:$E$411,4,FALSE),0)</f>
        <v>4.99</v>
      </c>
      <c r="G242">
        <f>VLOOKUP(A242,[4]Hoja1!$D$1:$K$778,7,FALSE)</f>
        <v>9.1</v>
      </c>
      <c r="H242">
        <f>VLOOKUP(A242,[5]Hoja1!$D$1:$K$781,7,FALSE)</f>
        <v>9.1</v>
      </c>
      <c r="I242">
        <f>VLOOKUP(A242,[6]Hoja1!$D$1:$O$781,7,FALSE)</f>
        <v>9.1</v>
      </c>
      <c r="J242">
        <f>VLOOKUP(A242,[6]Hoja1!$D$1:$O$781,8,FALSE)</f>
        <v>9.1</v>
      </c>
      <c r="K242">
        <f>VLOOKUP(A242,[6]Hoja1!$D$1:$O$781,9,FALSE)</f>
        <v>9.1</v>
      </c>
      <c r="L242">
        <f>VLOOKUP(A242,[6]Hoja1!$D$1:$O$781,11,FALSE)</f>
        <v>12.64</v>
      </c>
    </row>
    <row r="243" spans="1:12" x14ac:dyDescent="0.2">
      <c r="A243" t="s">
        <v>549</v>
      </c>
      <c r="B243" t="s">
        <v>547</v>
      </c>
      <c r="C243" t="s">
        <v>11</v>
      </c>
      <c r="D243">
        <f>IFERROR(VLOOKUP(A243,[1]Hoja2!$A$1:$E$430,4,FALSE),0)</f>
        <v>0</v>
      </c>
      <c r="E243">
        <f>IFERROR(VLOOKUP(A243,[2]Hoja3!$A$1:$E$410,4,FALSE),0)</f>
        <v>1.8011839999999999</v>
      </c>
      <c r="F243">
        <f>IFERROR(VLOOKUP(A243,[3]Hoja2!$A$1:$E$411,4,FALSE),0)</f>
        <v>1.8</v>
      </c>
      <c r="G243">
        <f>VLOOKUP(A243,[4]Hoja1!$D$1:$K$778,7,FALSE)</f>
        <v>2</v>
      </c>
      <c r="H243">
        <f>VLOOKUP(A243,[5]Hoja1!$D$1:$K$781,7,FALSE)</f>
        <v>2</v>
      </c>
      <c r="I243">
        <f>VLOOKUP(A243,[6]Hoja1!$D$1:$O$781,7,FALSE)</f>
        <v>2</v>
      </c>
      <c r="J243">
        <f>VLOOKUP(A243,[6]Hoja1!$D$1:$O$781,8,FALSE)</f>
        <v>2</v>
      </c>
      <c r="K243">
        <f>VLOOKUP(A243,[6]Hoja1!$D$1:$O$781,9,FALSE)</f>
        <v>2</v>
      </c>
      <c r="L243">
        <f>VLOOKUP(A243,[6]Hoja1!$D$1:$O$781,11,FALSE)</f>
        <v>5.0999999999999996</v>
      </c>
    </row>
    <row r="244" spans="1:12" x14ac:dyDescent="0.2">
      <c r="A244" t="s">
        <v>550</v>
      </c>
      <c r="B244" t="s">
        <v>547</v>
      </c>
      <c r="C244" t="s">
        <v>544</v>
      </c>
      <c r="D244">
        <f>IFERROR(VLOOKUP(A244,[1]Hoja2!$A$1:$E$430,4,FALSE),0)</f>
        <v>0</v>
      </c>
      <c r="E244">
        <f>IFERROR(VLOOKUP(A244,[2]Hoja3!$A$1:$E$410,4,FALSE),0)</f>
        <v>46.485177999999998</v>
      </c>
      <c r="F244">
        <f>IFERROR(VLOOKUP(A244,[3]Hoja2!$A$1:$E$411,4,FALSE),0)</f>
        <v>44</v>
      </c>
      <c r="G244">
        <f>VLOOKUP(A244,[4]Hoja1!$D$1:$K$778,7,FALSE)</f>
        <v>55.191666666666698</v>
      </c>
      <c r="H244">
        <f>VLOOKUP(A244,[5]Hoja1!$D$1:$K$781,7,FALSE)</f>
        <v>55.191666666666663</v>
      </c>
      <c r="I244">
        <f>VLOOKUP(A244,[6]Hoja1!$D$1:$O$781,7,FALSE)</f>
        <v>55.191666666666663</v>
      </c>
      <c r="J244">
        <f>VLOOKUP(A244,[6]Hoja1!$D$1:$O$781,8,FALSE)</f>
        <v>55.191666666666663</v>
      </c>
      <c r="K244">
        <f>VLOOKUP(A244,[6]Hoja1!$D$1:$O$781,9,FALSE)</f>
        <v>55.191666666666663</v>
      </c>
      <c r="L244">
        <f>VLOOKUP(A244,[6]Hoja1!$D$1:$O$781,11,FALSE)</f>
        <v>124.85474846070915</v>
      </c>
    </row>
    <row r="245" spans="1:12" x14ac:dyDescent="0.2">
      <c r="A245" t="s">
        <v>551</v>
      </c>
      <c r="B245" t="s">
        <v>552</v>
      </c>
      <c r="C245" t="s">
        <v>72</v>
      </c>
      <c r="D245">
        <f>IFERROR(VLOOKUP(A245,[1]Hoja2!$A$1:$E$430,4,FALSE),0)</f>
        <v>0</v>
      </c>
      <c r="E245">
        <f>IFERROR(VLOOKUP(A245,[2]Hoja3!$A$1:$E$410,4,FALSE),0)</f>
        <v>3.94</v>
      </c>
      <c r="F245">
        <f>IFERROR(VLOOKUP(A245,[3]Hoja2!$A$1:$E$411,4,FALSE),0)</f>
        <v>3.1648756218999998</v>
      </c>
      <c r="G245">
        <f>VLOOKUP(A245,[4]Hoja1!$D$1:$K$778,7,FALSE)</f>
        <v>3.9435555555555601</v>
      </c>
      <c r="H245">
        <f>VLOOKUP(A245,[5]Hoja1!$D$1:$K$781,7,FALSE)</f>
        <v>3.9435555555555553</v>
      </c>
      <c r="I245">
        <f>VLOOKUP(A245,[6]Hoja1!$D$1:$O$781,7,FALSE)</f>
        <v>3.9435555555555553</v>
      </c>
      <c r="J245">
        <f>VLOOKUP(A245,[6]Hoja1!$D$1:$O$781,8,FALSE)</f>
        <v>3.9435555555555553</v>
      </c>
      <c r="K245">
        <f>VLOOKUP(A245,[6]Hoja1!$D$1:$O$781,9,FALSE)</f>
        <v>10.54</v>
      </c>
      <c r="L245">
        <f>VLOOKUP(A245,[6]Hoja1!$D$1:$O$781,11,FALSE)</f>
        <v>10.54</v>
      </c>
    </row>
    <row r="246" spans="1:12" x14ac:dyDescent="0.2">
      <c r="A246" t="s">
        <v>553</v>
      </c>
      <c r="B246" t="s">
        <v>554</v>
      </c>
      <c r="C246" t="s">
        <v>216</v>
      </c>
      <c r="D246">
        <f>IFERROR(VLOOKUP(A246,[1]Hoja2!$A$1:$E$430,4,FALSE),0)</f>
        <v>0</v>
      </c>
      <c r="E246">
        <f>IFERROR(VLOOKUP(A246,[2]Hoja3!$A$1:$E$410,4,FALSE),0)</f>
        <v>0.30100199999999999</v>
      </c>
      <c r="F246">
        <f>IFERROR(VLOOKUP(A246,[3]Hoja2!$A$1:$E$411,4,FALSE),0)</f>
        <v>0.3446581896</v>
      </c>
      <c r="G246">
        <f>VLOOKUP(A246,[4]Hoja1!$D$1:$K$778,7,FALSE)</f>
        <v>0.47</v>
      </c>
      <c r="H246">
        <f>VLOOKUP(A246,[5]Hoja1!$D$1:$K$781,7,FALSE)</f>
        <v>0.47</v>
      </c>
      <c r="I246">
        <f>VLOOKUP(A246,[6]Hoja1!$D$1:$O$781,7,FALSE)</f>
        <v>0.47</v>
      </c>
      <c r="J246">
        <f>VLOOKUP(A246,[6]Hoja1!$D$1:$O$781,8,FALSE)</f>
        <v>0.47</v>
      </c>
      <c r="K246">
        <f>VLOOKUP(A246,[6]Hoja1!$D$1:$O$781,9,FALSE)</f>
        <v>0.47</v>
      </c>
      <c r="L246">
        <f>VLOOKUP(A246,[6]Hoja1!$D$1:$O$781,11,FALSE)</f>
        <v>1.0775686289215094</v>
      </c>
    </row>
    <row r="247" spans="1:12" x14ac:dyDescent="0.2">
      <c r="A247" t="s">
        <v>555</v>
      </c>
      <c r="B247" t="s">
        <v>556</v>
      </c>
      <c r="C247" t="s">
        <v>63</v>
      </c>
      <c r="D247">
        <f>IFERROR(VLOOKUP(A247,[1]Hoja2!$A$1:$E$430,4,FALSE),0)</f>
        <v>0</v>
      </c>
      <c r="E247">
        <f>IFERROR(VLOOKUP(A247,[2]Hoja3!$A$1:$E$410,4,FALSE),0)</f>
        <v>0.61413899999999999</v>
      </c>
      <c r="F247">
        <f>IFERROR(VLOOKUP(A247,[3]Hoja2!$A$1:$E$411,4,FALSE),0)</f>
        <v>0.60999861909999997</v>
      </c>
      <c r="G247">
        <f>VLOOKUP(A247,[4]Hoja1!$D$1:$K$778,7,FALSE)</f>
        <v>2.3199999999999998</v>
      </c>
      <c r="H247">
        <f>VLOOKUP(A247,[5]Hoja1!$D$1:$K$781,7,FALSE)</f>
        <v>2.3199999999999998</v>
      </c>
      <c r="I247">
        <f>VLOOKUP(A247,[6]Hoja1!$D$1:$O$781,7,FALSE)</f>
        <v>2.3199999999999998</v>
      </c>
      <c r="J247">
        <f>VLOOKUP(A247,[6]Hoja1!$D$1:$O$781,8,FALSE)</f>
        <v>2.3199999999999998</v>
      </c>
      <c r="K247">
        <f>VLOOKUP(A247,[6]Hoja1!$D$1:$O$781,9,FALSE)</f>
        <v>2.3199999999999998</v>
      </c>
      <c r="L247">
        <f>VLOOKUP(A247,[6]Hoja1!$D$1:$O$781,11,FALSE)</f>
        <v>4.8372826648146123</v>
      </c>
    </row>
    <row r="248" spans="1:12" x14ac:dyDescent="0.2">
      <c r="A248" t="s">
        <v>557</v>
      </c>
      <c r="B248" t="s">
        <v>558</v>
      </c>
      <c r="C248" t="s">
        <v>218</v>
      </c>
      <c r="D248">
        <f>IFERROR(VLOOKUP(A248,[1]Hoja2!$A$1:$E$430,4,FALSE),0)</f>
        <v>0</v>
      </c>
      <c r="E248">
        <f>IFERROR(VLOOKUP(A248,[2]Hoja3!$A$1:$E$410,4,FALSE),0)</f>
        <v>10.8</v>
      </c>
      <c r="F248">
        <f>IFERROR(VLOOKUP(A248,[3]Hoja2!$A$1:$E$411,4,FALSE),0)</f>
        <v>10.958438553800001</v>
      </c>
      <c r="G248">
        <f>VLOOKUP(A248,[4]Hoja1!$D$1:$K$778,7,FALSE)</f>
        <v>12.9906448412698</v>
      </c>
      <c r="H248">
        <f>VLOOKUP(A248,[5]Hoja1!$D$1:$K$781,7,FALSE)</f>
        <v>12.990644841269841</v>
      </c>
      <c r="I248">
        <f>VLOOKUP(A248,[6]Hoja1!$D$1:$O$781,7,FALSE)</f>
        <v>12.990644841269841</v>
      </c>
      <c r="J248">
        <f>VLOOKUP(A248,[6]Hoja1!$D$1:$O$781,8,FALSE)</f>
        <v>12.990644841269841</v>
      </c>
      <c r="K248">
        <f>VLOOKUP(A248,[6]Hoja1!$D$1:$O$781,9,FALSE)</f>
        <v>13.254482506447019</v>
      </c>
      <c r="L248">
        <f>VLOOKUP(A248,[6]Hoja1!$D$1:$O$781,11,FALSE)</f>
        <v>13.254482506447019</v>
      </c>
    </row>
    <row r="249" spans="1:12" x14ac:dyDescent="0.2">
      <c r="A249" t="s">
        <v>559</v>
      </c>
      <c r="B249" t="s">
        <v>558</v>
      </c>
      <c r="C249" t="s">
        <v>38</v>
      </c>
      <c r="D249">
        <f>IFERROR(VLOOKUP(A249,[1]Hoja2!$A$1:$E$430,4,FALSE),0)</f>
        <v>0</v>
      </c>
      <c r="E249">
        <f>IFERROR(VLOOKUP(A249,[2]Hoja3!$A$1:$E$410,4,FALSE),0)</f>
        <v>0.45121</v>
      </c>
      <c r="F249">
        <f>IFERROR(VLOOKUP(A249,[3]Hoja2!$A$1:$E$411,4,FALSE),0)</f>
        <v>0.39</v>
      </c>
      <c r="G249">
        <f>VLOOKUP(A249,[4]Hoja1!$D$1:$K$778,7,FALSE)</f>
        <v>0.6</v>
      </c>
      <c r="H249">
        <f>VLOOKUP(A249,[5]Hoja1!$D$1:$K$781,7,FALSE)</f>
        <v>0.6</v>
      </c>
      <c r="I249">
        <f>VLOOKUP(A249,[6]Hoja1!$D$1:$O$781,7,FALSE)</f>
        <v>0.6</v>
      </c>
      <c r="J249">
        <f>VLOOKUP(A249,[6]Hoja1!$D$1:$O$781,8,FALSE)</f>
        <v>0.6</v>
      </c>
      <c r="K249">
        <f>VLOOKUP(A249,[6]Hoja1!$D$1:$O$781,9,FALSE)</f>
        <v>0.6</v>
      </c>
      <c r="L249">
        <f>VLOOKUP(A249,[6]Hoja1!$D$1:$O$781,11,FALSE)</f>
        <v>0.71151188752949568</v>
      </c>
    </row>
    <row r="250" spans="1:12" x14ac:dyDescent="0.2">
      <c r="A250" t="s">
        <v>560</v>
      </c>
      <c r="B250" t="s">
        <v>556</v>
      </c>
      <c r="C250" t="s">
        <v>561</v>
      </c>
      <c r="D250">
        <f>IFERROR(VLOOKUP(A250,[1]Hoja2!$A$1:$E$430,4,FALSE),0)</f>
        <v>0</v>
      </c>
      <c r="E250">
        <f>IFERROR(VLOOKUP(A250,[2]Hoja3!$A$1:$E$410,4,FALSE),0)</f>
        <v>62</v>
      </c>
      <c r="F250">
        <f>IFERROR(VLOOKUP(A250,[3]Hoja2!$A$1:$E$411,4,FALSE),0)</f>
        <v>67.219629629600007</v>
      </c>
      <c r="G250">
        <f>VLOOKUP(A250,[4]Hoja1!$D$1:$K$778,7,FALSE)</f>
        <v>70.38</v>
      </c>
      <c r="H250">
        <f>VLOOKUP(A250,[5]Hoja1!$D$1:$K$781,7,FALSE)</f>
        <v>70.38</v>
      </c>
      <c r="I250">
        <f>VLOOKUP(A250,[6]Hoja1!$D$1:$O$781,7,FALSE)</f>
        <v>70.38</v>
      </c>
      <c r="J250">
        <f>VLOOKUP(A250,[6]Hoja1!$D$1:$O$781,8,FALSE)</f>
        <v>70.38</v>
      </c>
      <c r="K250">
        <f>VLOOKUP(A250,[6]Hoja1!$D$1:$O$781,9,FALSE)</f>
        <v>70.38</v>
      </c>
      <c r="L250">
        <f>VLOOKUP(A250,[6]Hoja1!$D$1:$O$781,11,FALSE)</f>
        <v>70.38</v>
      </c>
    </row>
    <row r="251" spans="1:12" x14ac:dyDescent="0.2">
      <c r="A251" t="s">
        <v>563</v>
      </c>
      <c r="B251" t="s">
        <v>562</v>
      </c>
      <c r="C251" t="s">
        <v>564</v>
      </c>
      <c r="D251">
        <f>IFERROR(VLOOKUP(A251,[1]Hoja2!$A$1:$E$430,4,FALSE),0)</f>
        <v>0</v>
      </c>
      <c r="E251">
        <f>IFERROR(VLOOKUP(A251,[2]Hoja3!$A$1:$E$410,4,FALSE),0)</f>
        <v>3.6239629999999998</v>
      </c>
      <c r="F251">
        <f>IFERROR(VLOOKUP(A251,[3]Hoja2!$A$1:$E$411,4,FALSE),0)</f>
        <v>1.3151536837</v>
      </c>
      <c r="G251">
        <f>VLOOKUP(A251,[4]Hoja1!$D$1:$K$778,7,FALSE)</f>
        <v>14.08</v>
      </c>
      <c r="H251">
        <f>VLOOKUP(A251,[5]Hoja1!$D$1:$K$781,7,FALSE)</f>
        <v>14.08</v>
      </c>
      <c r="I251">
        <f>VLOOKUP(A251,[6]Hoja1!$D$1:$O$781,7,FALSE)</f>
        <v>14.08</v>
      </c>
      <c r="J251">
        <f>VLOOKUP(A251,[6]Hoja1!$D$1:$O$781,8,FALSE)</f>
        <v>14.08</v>
      </c>
      <c r="K251">
        <f>VLOOKUP(A251,[6]Hoja1!$D$1:$O$781,9,FALSE)</f>
        <v>14.08</v>
      </c>
      <c r="L251">
        <f>VLOOKUP(A251,[6]Hoja1!$D$1:$O$781,11,FALSE)</f>
        <v>17.037955079804767</v>
      </c>
    </row>
    <row r="252" spans="1:12" x14ac:dyDescent="0.2">
      <c r="A252" t="s">
        <v>565</v>
      </c>
      <c r="B252" t="s">
        <v>566</v>
      </c>
      <c r="C252" t="s">
        <v>567</v>
      </c>
      <c r="D252">
        <f>IFERROR(VLOOKUP(A252,[1]Hoja2!$A$1:$E$430,4,FALSE),0)</f>
        <v>0</v>
      </c>
      <c r="E252">
        <f>IFERROR(VLOOKUP(A252,[2]Hoja3!$A$1:$E$410,4,FALSE),0)</f>
        <v>91.772120999999999</v>
      </c>
      <c r="F252">
        <f>IFERROR(VLOOKUP(A252,[3]Hoja2!$A$1:$E$411,4,FALSE),0)</f>
        <v>99.06</v>
      </c>
      <c r="G252">
        <f>VLOOKUP(A252,[4]Hoja1!$D$1:$K$778,7,FALSE)</f>
        <v>99.06</v>
      </c>
      <c r="H252">
        <f>VLOOKUP(A252,[5]Hoja1!$D$1:$K$781,7,FALSE)</f>
        <v>99.06</v>
      </c>
      <c r="I252">
        <f>VLOOKUP(A252,[6]Hoja1!$D$1:$O$781,7,FALSE)</f>
        <v>99.06</v>
      </c>
      <c r="J252">
        <f>VLOOKUP(A252,[6]Hoja1!$D$1:$O$781,8,FALSE)</f>
        <v>99.06</v>
      </c>
      <c r="K252">
        <f>VLOOKUP(A252,[6]Hoja1!$D$1:$O$781,9,FALSE)</f>
        <v>99.06</v>
      </c>
      <c r="L252">
        <f>VLOOKUP(A252,[6]Hoja1!$D$1:$O$781,11,FALSE)</f>
        <v>99.06</v>
      </c>
    </row>
    <row r="253" spans="1:12" x14ac:dyDescent="0.2">
      <c r="A253" t="s">
        <v>568</v>
      </c>
      <c r="B253" t="s">
        <v>569</v>
      </c>
      <c r="C253" t="s">
        <v>360</v>
      </c>
      <c r="D253">
        <f>IFERROR(VLOOKUP(A253,[1]Hoja2!$A$1:$E$430,4,FALSE),0)</f>
        <v>0</v>
      </c>
      <c r="E253">
        <f>IFERROR(VLOOKUP(A253,[2]Hoja3!$A$1:$E$410,4,FALSE),0)</f>
        <v>3.654744</v>
      </c>
      <c r="F253">
        <f>IFERROR(VLOOKUP(A253,[3]Hoja2!$A$1:$E$411,4,FALSE),0)</f>
        <v>2.68</v>
      </c>
      <c r="G253">
        <f>VLOOKUP(A253,[4]Hoja1!$D$1:$K$778,7,FALSE)</f>
        <v>4.2</v>
      </c>
      <c r="H253">
        <f>VLOOKUP(A253,[5]Hoja1!$D$1:$K$781,7,FALSE)</f>
        <v>4.2</v>
      </c>
      <c r="I253">
        <f>VLOOKUP(A253,[6]Hoja1!$D$1:$O$781,7,FALSE)</f>
        <v>4.2</v>
      </c>
      <c r="J253">
        <f>VLOOKUP(A253,[6]Hoja1!$D$1:$O$781,8,FALSE)</f>
        <v>4.2</v>
      </c>
      <c r="K253">
        <f>VLOOKUP(A253,[6]Hoja1!$D$1:$O$781,9,FALSE)</f>
        <v>4.2</v>
      </c>
      <c r="L253">
        <f>VLOOKUP(A253,[6]Hoja1!$D$1:$O$781,11,FALSE)</f>
        <v>4.2</v>
      </c>
    </row>
    <row r="254" spans="1:12" x14ac:dyDescent="0.2">
      <c r="A254" t="s">
        <v>570</v>
      </c>
      <c r="B254" t="s">
        <v>571</v>
      </c>
      <c r="C254" t="s">
        <v>572</v>
      </c>
      <c r="D254">
        <f>IFERROR(VLOOKUP(A254,[1]Hoja2!$A$1:$E$430,4,FALSE),0)</f>
        <v>0</v>
      </c>
      <c r="E254">
        <f>IFERROR(VLOOKUP(A254,[2]Hoja3!$A$1:$E$410,4,FALSE),0)</f>
        <v>3.3839999999999999</v>
      </c>
      <c r="F254">
        <f>IFERROR(VLOOKUP(A254,[3]Hoja2!$A$1:$E$411,4,FALSE),0)</f>
        <v>3</v>
      </c>
      <c r="G254">
        <f>VLOOKUP(A254,[4]Hoja1!$D$1:$K$778,7,FALSE)</f>
        <v>3.45</v>
      </c>
      <c r="H254">
        <f>VLOOKUP(A254,[5]Hoja1!$D$1:$K$781,7,FALSE)</f>
        <v>3.45</v>
      </c>
      <c r="I254">
        <f>VLOOKUP(A254,[6]Hoja1!$D$1:$O$781,7,FALSE)</f>
        <v>3.45</v>
      </c>
      <c r="J254">
        <f>VLOOKUP(A254,[6]Hoja1!$D$1:$O$781,8,FALSE)</f>
        <v>3.45</v>
      </c>
      <c r="K254">
        <f>VLOOKUP(A254,[6]Hoja1!$D$1:$O$781,9,FALSE)</f>
        <v>3.45</v>
      </c>
      <c r="L254">
        <f>VLOOKUP(A254,[6]Hoja1!$D$1:$O$781,11,FALSE)</f>
        <v>4.6507755788326364</v>
      </c>
    </row>
    <row r="255" spans="1:12" x14ac:dyDescent="0.2">
      <c r="A255" t="s">
        <v>573</v>
      </c>
      <c r="B255" t="s">
        <v>574</v>
      </c>
      <c r="C255" t="s">
        <v>363</v>
      </c>
      <c r="D255">
        <f>IFERROR(VLOOKUP(A255,[1]Hoja2!$A$1:$E$430,4,FALSE),0)</f>
        <v>0</v>
      </c>
      <c r="E255">
        <f>IFERROR(VLOOKUP(A255,[2]Hoja3!$A$1:$E$410,4,FALSE),0)</f>
        <v>0.48650500000000002</v>
      </c>
      <c r="F255">
        <f>IFERROR(VLOOKUP(A255,[3]Hoja2!$A$1:$E$411,4,FALSE),0)</f>
        <v>0.49993870870000001</v>
      </c>
      <c r="G255">
        <f>VLOOKUP(A255,[4]Hoja1!$D$1:$K$778,7,FALSE)</f>
        <v>0.94</v>
      </c>
      <c r="H255">
        <f>VLOOKUP(A255,[5]Hoja1!$D$1:$K$781,7,FALSE)</f>
        <v>0.94</v>
      </c>
      <c r="I255">
        <f>VLOOKUP(A255,[6]Hoja1!$D$1:$O$781,7,FALSE)</f>
        <v>0.94</v>
      </c>
      <c r="J255">
        <f>VLOOKUP(A255,[6]Hoja1!$D$1:$O$781,8,FALSE)</f>
        <v>0.94</v>
      </c>
      <c r="K255">
        <f>VLOOKUP(A255,[6]Hoja1!$D$1:$O$781,9,FALSE)</f>
        <v>0.94</v>
      </c>
      <c r="L255">
        <f>VLOOKUP(A255,[6]Hoja1!$D$1:$O$781,11,FALSE)</f>
        <v>0.94</v>
      </c>
    </row>
    <row r="256" spans="1:12" x14ac:dyDescent="0.2">
      <c r="A256" t="s">
        <v>576</v>
      </c>
      <c r="B256" t="s">
        <v>575</v>
      </c>
      <c r="C256" t="s">
        <v>19</v>
      </c>
      <c r="D256">
        <f>IFERROR(VLOOKUP(A256,[1]Hoja2!$A$1:$E$430,4,FALSE),0)</f>
        <v>0</v>
      </c>
      <c r="E256">
        <f>IFERROR(VLOOKUP(A256,[2]Hoja3!$A$1:$E$410,4,FALSE),0)</f>
        <v>4.5</v>
      </c>
      <c r="F256">
        <f>IFERROR(VLOOKUP(A256,[3]Hoja2!$A$1:$E$411,4,FALSE),0)</f>
        <v>4.5</v>
      </c>
      <c r="G256">
        <f>VLOOKUP(A256,[4]Hoja1!$D$1:$K$778,7,FALSE)</f>
        <v>6.96</v>
      </c>
      <c r="H256">
        <f>VLOOKUP(A256,[5]Hoja1!$D$1:$K$781,7,FALSE)</f>
        <v>6.96</v>
      </c>
      <c r="I256">
        <f>VLOOKUP(A256,[6]Hoja1!$D$1:$O$781,7,FALSE)</f>
        <v>6.96</v>
      </c>
      <c r="J256">
        <f>VLOOKUP(A256,[6]Hoja1!$D$1:$O$781,8,FALSE)</f>
        <v>6.96</v>
      </c>
      <c r="K256">
        <f>VLOOKUP(A256,[6]Hoja1!$D$1:$O$781,9,FALSE)</f>
        <v>6.96</v>
      </c>
      <c r="L256">
        <f>VLOOKUP(A256,[6]Hoja1!$D$1:$O$781,11,FALSE)</f>
        <v>6.96</v>
      </c>
    </row>
    <row r="257" spans="1:12" x14ac:dyDescent="0.2">
      <c r="A257" t="s">
        <v>577</v>
      </c>
      <c r="B257" t="s">
        <v>578</v>
      </c>
      <c r="C257" t="s">
        <v>579</v>
      </c>
      <c r="D257">
        <f>IFERROR(VLOOKUP(A257,[1]Hoja2!$A$1:$E$430,4,FALSE),0)</f>
        <v>0</v>
      </c>
      <c r="E257">
        <f>IFERROR(VLOOKUP(A257,[2]Hoja3!$A$1:$E$410,4,FALSE),0)</f>
        <v>18.218232</v>
      </c>
      <c r="F257">
        <f>IFERROR(VLOOKUP(A257,[3]Hoja2!$A$1:$E$411,4,FALSE),0)</f>
        <v>18.218252427199999</v>
      </c>
      <c r="G257">
        <f>VLOOKUP(A257,[4]Hoja1!$D$1:$K$778,7,FALSE)</f>
        <v>20.5</v>
      </c>
      <c r="H257">
        <f>VLOOKUP(A257,[5]Hoja1!$D$1:$K$781,7,FALSE)</f>
        <v>20.5</v>
      </c>
      <c r="I257">
        <f>VLOOKUP(A257,[6]Hoja1!$D$1:$O$781,7,FALSE)</f>
        <v>20.5</v>
      </c>
      <c r="J257">
        <f>VLOOKUP(A257,[6]Hoja1!$D$1:$O$781,8,FALSE)</f>
        <v>20.5</v>
      </c>
      <c r="K257">
        <f>VLOOKUP(A257,[6]Hoja1!$D$1:$O$781,9,FALSE)</f>
        <v>20.5</v>
      </c>
      <c r="L257">
        <f>VLOOKUP(A257,[6]Hoja1!$D$1:$O$781,11,FALSE)</f>
        <v>24.464143541849452</v>
      </c>
    </row>
    <row r="258" spans="1:12" x14ac:dyDescent="0.2">
      <c r="A258" t="s">
        <v>580</v>
      </c>
      <c r="B258" t="s">
        <v>581</v>
      </c>
      <c r="C258" t="s">
        <v>499</v>
      </c>
      <c r="D258">
        <f>IFERROR(VLOOKUP(A258,[1]Hoja2!$A$1:$E$430,4,FALSE),0)</f>
        <v>0</v>
      </c>
      <c r="E258">
        <f>IFERROR(VLOOKUP(A258,[2]Hoja3!$A$1:$E$410,4,FALSE),0)</f>
        <v>0.4</v>
      </c>
      <c r="F258">
        <f>IFERROR(VLOOKUP(A258,[3]Hoja2!$A$1:$E$411,4,FALSE),0)</f>
        <v>0.39</v>
      </c>
      <c r="G258">
        <f>VLOOKUP(A258,[4]Hoja1!$D$1:$K$778,7,FALSE)</f>
        <v>0.47</v>
      </c>
      <c r="H258">
        <f>VLOOKUP(A258,[5]Hoja1!$D$1:$K$781,7,FALSE)</f>
        <v>0.47</v>
      </c>
      <c r="I258">
        <f>VLOOKUP(A258,[6]Hoja1!$D$1:$O$781,7,FALSE)</f>
        <v>0.47</v>
      </c>
      <c r="J258">
        <f>VLOOKUP(A258,[6]Hoja1!$D$1:$O$781,8,FALSE)</f>
        <v>0.47</v>
      </c>
      <c r="K258">
        <f>VLOOKUP(A258,[6]Hoja1!$D$1:$O$781,9,FALSE)</f>
        <v>0.47</v>
      </c>
      <c r="L258">
        <f>VLOOKUP(A258,[6]Hoja1!$D$1:$O$781,11,FALSE)</f>
        <v>0.47</v>
      </c>
    </row>
    <row r="259" spans="1:12" x14ac:dyDescent="0.2">
      <c r="A259" t="s">
        <v>582</v>
      </c>
      <c r="B259" t="s">
        <v>583</v>
      </c>
      <c r="C259" t="s">
        <v>6</v>
      </c>
      <c r="D259">
        <f>IFERROR(VLOOKUP(A259,[1]Hoja2!$A$1:$E$430,4,FALSE),0)</f>
        <v>0</v>
      </c>
      <c r="E259">
        <f>IFERROR(VLOOKUP(A259,[2]Hoja3!$A$1:$E$410,4,FALSE),0)</f>
        <v>0.39987099999999998</v>
      </c>
      <c r="F259">
        <f>IFERROR(VLOOKUP(A259,[3]Hoja2!$A$1:$E$411,4,FALSE),0)</f>
        <v>0.37306632210000001</v>
      </c>
      <c r="G259">
        <f>VLOOKUP(A259,[4]Hoja1!$D$1:$K$778,7,FALSE)</f>
        <v>0.94</v>
      </c>
      <c r="H259">
        <f>VLOOKUP(A259,[5]Hoja1!$D$1:$K$781,7,FALSE)</f>
        <v>0.94</v>
      </c>
      <c r="I259">
        <f>VLOOKUP(A259,[6]Hoja1!$D$1:$O$781,7,FALSE)</f>
        <v>0.94</v>
      </c>
      <c r="J259">
        <f>VLOOKUP(A259,[6]Hoja1!$D$1:$O$781,8,FALSE)</f>
        <v>0.94</v>
      </c>
      <c r="K259">
        <f>VLOOKUP(A259,[6]Hoja1!$D$1:$O$781,9,FALSE)</f>
        <v>0.94</v>
      </c>
      <c r="L259">
        <f>VLOOKUP(A259,[6]Hoja1!$D$1:$O$781,11,FALSE)</f>
        <v>2.2199672951401683</v>
      </c>
    </row>
    <row r="260" spans="1:12" x14ac:dyDescent="0.2">
      <c r="A260" t="s">
        <v>584</v>
      </c>
      <c r="B260" t="s">
        <v>585</v>
      </c>
      <c r="C260" t="s">
        <v>586</v>
      </c>
      <c r="D260">
        <f>IFERROR(VLOOKUP(A260,[1]Hoja2!$A$1:$E$430,4,FALSE),0)</f>
        <v>0</v>
      </c>
      <c r="E260">
        <f>IFERROR(VLOOKUP(A260,[2]Hoja3!$A$1:$E$410,4,FALSE),0)</f>
        <v>4.7519799999999996</v>
      </c>
      <c r="F260">
        <f>IFERROR(VLOOKUP(A260,[3]Hoja2!$A$1:$E$411,4,FALSE),0)</f>
        <v>3.6308955223999999</v>
      </c>
      <c r="G260">
        <f>VLOOKUP(A260,[4]Hoja1!$D$1:$K$778,7,FALSE)</f>
        <v>8.2219999999999995</v>
      </c>
      <c r="H260">
        <f>VLOOKUP(A260,[5]Hoja1!$D$1:$K$781,7,FALSE)</f>
        <v>8.2220000000000013</v>
      </c>
      <c r="I260">
        <f>VLOOKUP(A260,[6]Hoja1!$D$1:$O$781,7,FALSE)</f>
        <v>8.2220000000000013</v>
      </c>
      <c r="J260">
        <f>VLOOKUP(A260,[6]Hoja1!$D$1:$O$781,8,FALSE)</f>
        <v>8.2220000000000013</v>
      </c>
      <c r="K260">
        <f>VLOOKUP(A260,[6]Hoja1!$D$1:$O$781,9,FALSE)</f>
        <v>8.2220000000000013</v>
      </c>
      <c r="L260">
        <f>VLOOKUP(A260,[6]Hoja1!$D$1:$O$781,11,FALSE)</f>
        <v>8.2220000000000013</v>
      </c>
    </row>
    <row r="261" spans="1:12" x14ac:dyDescent="0.2">
      <c r="A261" t="s">
        <v>587</v>
      </c>
      <c r="B261" t="s">
        <v>588</v>
      </c>
      <c r="C261" t="s">
        <v>11</v>
      </c>
      <c r="D261">
        <f>IFERROR(VLOOKUP(A261,[1]Hoja2!$A$1:$E$430,4,FALSE),0)</f>
        <v>0</v>
      </c>
      <c r="E261">
        <f>IFERROR(VLOOKUP(A261,[2]Hoja3!$A$1:$E$410,4,FALSE),0)</f>
        <v>0.41186</v>
      </c>
      <c r="F261">
        <f>IFERROR(VLOOKUP(A261,[3]Hoja2!$A$1:$E$411,4,FALSE),0)</f>
        <v>0.49661</v>
      </c>
      <c r="G261">
        <f>VLOOKUP(A261,[4]Hoja1!$D$1:$K$778,7,FALSE)</f>
        <v>0.9</v>
      </c>
      <c r="H261">
        <f>VLOOKUP(A261,[5]Hoja1!$D$1:$K$781,7,FALSE)</f>
        <v>0.9</v>
      </c>
      <c r="I261">
        <f>VLOOKUP(A261,[6]Hoja1!$D$1:$O$781,7,FALSE)</f>
        <v>0.9</v>
      </c>
      <c r="J261">
        <f>VLOOKUP(A261,[6]Hoja1!$D$1:$O$781,8,FALSE)</f>
        <v>0.9</v>
      </c>
      <c r="K261">
        <f>VLOOKUP(A261,[6]Hoja1!$D$1:$O$781,9,FALSE)</f>
        <v>0.9</v>
      </c>
      <c r="L261">
        <f>VLOOKUP(A261,[6]Hoja1!$D$1:$O$781,11,FALSE)</f>
        <v>0.9</v>
      </c>
    </row>
    <row r="262" spans="1:12" x14ac:dyDescent="0.2">
      <c r="A262" t="s">
        <v>589</v>
      </c>
      <c r="B262" t="s">
        <v>590</v>
      </c>
      <c r="C262" t="s">
        <v>591</v>
      </c>
      <c r="D262">
        <f>IFERROR(VLOOKUP(A262,[1]Hoja2!$A$1:$E$430,4,FALSE),0)</f>
        <v>0</v>
      </c>
      <c r="E262">
        <f>IFERROR(VLOOKUP(A262,[2]Hoja3!$A$1:$E$410,4,FALSE),0)</f>
        <v>4.2759289999999996</v>
      </c>
      <c r="F262">
        <f>IFERROR(VLOOKUP(A262,[3]Hoja2!$A$1:$E$411,4,FALSE),0)</f>
        <v>4.2759289999999996</v>
      </c>
      <c r="G262">
        <f>VLOOKUP(A262,[4]Hoja1!$D$1:$K$778,7,FALSE)</f>
        <v>6</v>
      </c>
      <c r="H262">
        <f>VLOOKUP(A262,[5]Hoja1!$D$1:$K$781,7,FALSE)</f>
        <v>6</v>
      </c>
      <c r="I262">
        <f>VLOOKUP(A262,[6]Hoja1!$D$1:$O$781,7,FALSE)</f>
        <v>6</v>
      </c>
      <c r="J262">
        <f>VLOOKUP(A262,[6]Hoja1!$D$1:$O$781,8,FALSE)</f>
        <v>6</v>
      </c>
      <c r="K262">
        <f>VLOOKUP(A262,[6]Hoja1!$D$1:$O$781,9,FALSE)</f>
        <v>6</v>
      </c>
      <c r="L262">
        <f>VLOOKUP(A262,[6]Hoja1!$D$1:$O$781,11,FALSE)</f>
        <v>9.66</v>
      </c>
    </row>
    <row r="263" spans="1:12" x14ac:dyDescent="0.2">
      <c r="A263" t="s">
        <v>592</v>
      </c>
      <c r="B263" t="s">
        <v>593</v>
      </c>
      <c r="C263" t="s">
        <v>19</v>
      </c>
      <c r="D263">
        <f>IFERROR(VLOOKUP(A263,[1]Hoja2!$A$1:$E$430,4,FALSE),0)</f>
        <v>0</v>
      </c>
      <c r="E263">
        <f>IFERROR(VLOOKUP(A263,[2]Hoja3!$A$1:$E$410,4,FALSE),0)</f>
        <v>2.15</v>
      </c>
      <c r="F263">
        <f>IFERROR(VLOOKUP(A263,[3]Hoja2!$A$1:$E$411,4,FALSE),0)</f>
        <v>0.36</v>
      </c>
      <c r="G263">
        <f>VLOOKUP(A263,[4]Hoja1!$D$1:$K$778,7,FALSE)</f>
        <v>2.75</v>
      </c>
      <c r="H263">
        <f>VLOOKUP(A263,[5]Hoja1!$D$1:$K$781,7,FALSE)</f>
        <v>2.75</v>
      </c>
      <c r="I263">
        <f>VLOOKUP(A263,[6]Hoja1!$D$1:$O$781,7,FALSE)</f>
        <v>2.75</v>
      </c>
      <c r="J263">
        <f>VLOOKUP(A263,[6]Hoja1!$D$1:$O$781,8,FALSE)</f>
        <v>2.75</v>
      </c>
      <c r="K263">
        <f>VLOOKUP(A263,[6]Hoja1!$D$1:$O$781,9,FALSE)</f>
        <v>2.75</v>
      </c>
      <c r="L263">
        <f>VLOOKUP(A263,[6]Hoja1!$D$1:$O$781,11,FALSE)</f>
        <v>2.75</v>
      </c>
    </row>
    <row r="264" spans="1:12" x14ac:dyDescent="0.2">
      <c r="A264" t="s">
        <v>594</v>
      </c>
      <c r="B264" t="s">
        <v>331</v>
      </c>
      <c r="C264" t="s">
        <v>380</v>
      </c>
      <c r="D264">
        <f>IFERROR(VLOOKUP(A264,[1]Hoja2!$A$1:$E$430,4,FALSE),0)</f>
        <v>0</v>
      </c>
      <c r="E264">
        <f>IFERROR(VLOOKUP(A264,[2]Hoja3!$A$1:$E$410,4,FALSE),0)</f>
        <v>0</v>
      </c>
      <c r="F264">
        <f>IFERROR(VLOOKUP(A264,[3]Hoja2!$A$1:$E$411,4,FALSE),0)</f>
        <v>0</v>
      </c>
      <c r="G264">
        <f>VLOOKUP(A264,[4]Hoja1!$D$1:$K$778,7,FALSE)</f>
        <v>14</v>
      </c>
      <c r="H264">
        <f>VLOOKUP(A264,[5]Hoja1!$D$1:$K$781,7,FALSE)</f>
        <v>14</v>
      </c>
      <c r="I264">
        <f>VLOOKUP(A264,[6]Hoja1!$D$1:$O$781,7,FALSE)</f>
        <v>14</v>
      </c>
      <c r="J264">
        <f>VLOOKUP(A264,[6]Hoja1!$D$1:$O$781,8,FALSE)</f>
        <v>14</v>
      </c>
      <c r="K264">
        <f>VLOOKUP(A264,[6]Hoja1!$D$1:$O$781,9,FALSE)</f>
        <v>14</v>
      </c>
      <c r="L264">
        <f>VLOOKUP(A264,[6]Hoja1!$D$1:$O$781,11,FALSE)</f>
        <v>14</v>
      </c>
    </row>
    <row r="265" spans="1:12" x14ac:dyDescent="0.2">
      <c r="A265" t="s">
        <v>595</v>
      </c>
      <c r="B265" t="s">
        <v>331</v>
      </c>
      <c r="C265" t="s">
        <v>72</v>
      </c>
      <c r="D265">
        <f>IFERROR(VLOOKUP(A265,[1]Hoja2!$A$1:$E$430,4,FALSE),0)</f>
        <v>0</v>
      </c>
      <c r="E265">
        <f>IFERROR(VLOOKUP(A265,[2]Hoja3!$A$1:$E$410,4,FALSE),0)</f>
        <v>8.5</v>
      </c>
      <c r="F265">
        <f>IFERROR(VLOOKUP(A265,[3]Hoja2!$A$1:$E$411,4,FALSE),0)</f>
        <v>6.5867768053000004</v>
      </c>
      <c r="G265">
        <f>VLOOKUP(A265,[4]Hoja1!$D$1:$K$778,7,FALSE)</f>
        <v>12.68</v>
      </c>
      <c r="H265">
        <f>VLOOKUP(A265,[5]Hoja1!$D$1:$K$781,7,FALSE)</f>
        <v>12.68</v>
      </c>
      <c r="I265">
        <f>VLOOKUP(A265,[6]Hoja1!$D$1:$O$781,7,FALSE)</f>
        <v>12.68</v>
      </c>
      <c r="J265">
        <f>VLOOKUP(A265,[6]Hoja1!$D$1:$O$781,8,FALSE)</f>
        <v>12.68</v>
      </c>
      <c r="K265">
        <f>VLOOKUP(A265,[6]Hoja1!$D$1:$O$781,9,FALSE)</f>
        <v>12.68</v>
      </c>
      <c r="L265">
        <f>VLOOKUP(A265,[6]Hoja1!$D$1:$O$781,11,FALSE)</f>
        <v>17.469779026419577</v>
      </c>
    </row>
    <row r="266" spans="1:12" x14ac:dyDescent="0.2">
      <c r="A266" t="s">
        <v>596</v>
      </c>
      <c r="B266" t="s">
        <v>331</v>
      </c>
      <c r="C266" t="s">
        <v>72</v>
      </c>
      <c r="D266">
        <f>IFERROR(VLOOKUP(A266,[1]Hoja2!$A$1:$E$430,4,FALSE),0)</f>
        <v>0</v>
      </c>
      <c r="E266">
        <f>IFERROR(VLOOKUP(A266,[2]Hoja3!$A$1:$E$410,4,FALSE),0)</f>
        <v>0.30665700000000001</v>
      </c>
      <c r="F266">
        <f>IFERROR(VLOOKUP(A266,[3]Hoja2!$A$1:$E$411,4,FALSE),0)</f>
        <v>0.3813482621</v>
      </c>
      <c r="G266">
        <f>VLOOKUP(A266,[4]Hoja1!$D$1:$K$778,7,FALSE)</f>
        <v>0.57999999999999996</v>
      </c>
      <c r="H266">
        <f>VLOOKUP(A266,[5]Hoja1!$D$1:$K$781,7,FALSE)</f>
        <v>0.57999999999999996</v>
      </c>
      <c r="I266">
        <f>VLOOKUP(A266,[6]Hoja1!$D$1:$O$781,7,FALSE)</f>
        <v>0.57999999999999996</v>
      </c>
      <c r="J266">
        <f>VLOOKUP(A266,[6]Hoja1!$D$1:$O$781,8,FALSE)</f>
        <v>0.57999999999999996</v>
      </c>
      <c r="K266">
        <f>VLOOKUP(A266,[6]Hoja1!$D$1:$O$781,9,FALSE)</f>
        <v>0.57999999999999996</v>
      </c>
      <c r="L266">
        <f>VLOOKUP(A266,[6]Hoja1!$D$1:$O$781,11,FALSE)</f>
        <v>0.57999999999999996</v>
      </c>
    </row>
    <row r="267" spans="1:12" x14ac:dyDescent="0.2">
      <c r="A267" t="s">
        <v>597</v>
      </c>
      <c r="B267" t="s">
        <v>598</v>
      </c>
      <c r="C267" t="s">
        <v>72</v>
      </c>
      <c r="D267">
        <f>IFERROR(VLOOKUP(A267,[1]Hoja2!$A$1:$E$430,4,FALSE),0)</f>
        <v>0</v>
      </c>
      <c r="E267">
        <f>IFERROR(VLOOKUP(A267,[2]Hoja3!$A$1:$E$410,4,FALSE),0)</f>
        <v>3</v>
      </c>
      <c r="F267">
        <f>IFERROR(VLOOKUP(A267,[3]Hoja2!$A$1:$E$411,4,FALSE),0)</f>
        <v>1.5</v>
      </c>
      <c r="G267">
        <f>VLOOKUP(A267,[4]Hoja1!$D$1:$K$778,7,FALSE)</f>
        <v>6.1</v>
      </c>
      <c r="H267">
        <f>VLOOKUP(A267,[5]Hoja1!$D$1:$K$781,7,FALSE)</f>
        <v>6.1</v>
      </c>
      <c r="I267">
        <f>VLOOKUP(A267,[6]Hoja1!$D$1:$O$781,7,FALSE)</f>
        <v>6.1</v>
      </c>
      <c r="J267">
        <f>VLOOKUP(A267,[6]Hoja1!$D$1:$O$781,8,FALSE)</f>
        <v>6.1</v>
      </c>
      <c r="K267">
        <f>VLOOKUP(A267,[6]Hoja1!$D$1:$O$781,9,FALSE)</f>
        <v>6.1</v>
      </c>
      <c r="L267">
        <f>VLOOKUP(A267,[6]Hoja1!$D$1:$O$781,11,FALSE)</f>
        <v>6.1</v>
      </c>
    </row>
    <row r="268" spans="1:12" x14ac:dyDescent="0.2">
      <c r="A268" t="s">
        <v>599</v>
      </c>
      <c r="B268" t="s">
        <v>600</v>
      </c>
      <c r="C268" t="s">
        <v>216</v>
      </c>
      <c r="D268">
        <f>IFERROR(VLOOKUP(A268,[1]Hoja2!$A$1:$E$430,4,FALSE),0)</f>
        <v>0</v>
      </c>
      <c r="E268">
        <f>IFERROR(VLOOKUP(A268,[2]Hoja3!$A$1:$E$410,4,FALSE),0)</f>
        <v>3.5</v>
      </c>
      <c r="F268">
        <f>IFERROR(VLOOKUP(A268,[3]Hoja2!$A$1:$E$411,4,FALSE),0)</f>
        <v>3.5998668442000001</v>
      </c>
      <c r="G268">
        <f>VLOOKUP(A268,[4]Hoja1!$D$1:$K$778,7,FALSE)</f>
        <v>6.8</v>
      </c>
      <c r="H268">
        <f>VLOOKUP(A268,[5]Hoja1!$D$1:$K$781,7,FALSE)</f>
        <v>6.8</v>
      </c>
      <c r="I268">
        <f>VLOOKUP(A268,[6]Hoja1!$D$1:$O$781,7,FALSE)</f>
        <v>6.8</v>
      </c>
      <c r="J268">
        <f>VLOOKUP(A268,[6]Hoja1!$D$1:$O$781,8,FALSE)</f>
        <v>6.8</v>
      </c>
      <c r="K268">
        <f>VLOOKUP(A268,[6]Hoja1!$D$1:$O$781,9,FALSE)</f>
        <v>6.8</v>
      </c>
      <c r="L268">
        <f>VLOOKUP(A268,[6]Hoja1!$D$1:$O$781,11,FALSE)</f>
        <v>6.8</v>
      </c>
    </row>
    <row r="269" spans="1:12" x14ac:dyDescent="0.2">
      <c r="A269" t="s">
        <v>601</v>
      </c>
      <c r="B269" t="s">
        <v>602</v>
      </c>
      <c r="C269" t="s">
        <v>216</v>
      </c>
      <c r="D269">
        <f>IFERROR(VLOOKUP(A269,[1]Hoja2!$A$1:$E$430,4,FALSE),0)</f>
        <v>0</v>
      </c>
      <c r="E269">
        <f>IFERROR(VLOOKUP(A269,[2]Hoja3!$A$1:$E$410,4,FALSE),0)</f>
        <v>1.20109</v>
      </c>
      <c r="F269">
        <f>IFERROR(VLOOKUP(A269,[3]Hoja2!$A$1:$E$411,4,FALSE),0)</f>
        <v>1.2010931728000001</v>
      </c>
      <c r="G269">
        <f>VLOOKUP(A269,[4]Hoja1!$D$1:$K$778,7,FALSE)</f>
        <v>1.21</v>
      </c>
      <c r="H269">
        <f>VLOOKUP(A269,[5]Hoja1!$D$1:$K$781,7,FALSE)</f>
        <v>1.21</v>
      </c>
      <c r="I269">
        <f>VLOOKUP(A269,[6]Hoja1!$D$1:$O$781,7,FALSE)</f>
        <v>1.21</v>
      </c>
      <c r="J269">
        <f>VLOOKUP(A269,[6]Hoja1!$D$1:$O$781,8,FALSE)</f>
        <v>1.21</v>
      </c>
      <c r="K269">
        <f>VLOOKUP(A269,[6]Hoja1!$D$1:$O$781,9,FALSE)</f>
        <v>1.21</v>
      </c>
      <c r="L269">
        <f>VLOOKUP(A269,[6]Hoja1!$D$1:$O$781,11,FALSE)</f>
        <v>1.21</v>
      </c>
    </row>
    <row r="270" spans="1:12" x14ac:dyDescent="0.2">
      <c r="A270" t="s">
        <v>603</v>
      </c>
      <c r="B270" t="s">
        <v>604</v>
      </c>
      <c r="C270" t="s">
        <v>38</v>
      </c>
      <c r="D270">
        <f>IFERROR(VLOOKUP(A270,[1]Hoja2!$A$1:$E$430,4,FALSE),0)</f>
        <v>0</v>
      </c>
      <c r="E270">
        <f>IFERROR(VLOOKUP(A270,[2]Hoja3!$A$1:$E$410,4,FALSE),0)</f>
        <v>0</v>
      </c>
      <c r="F270">
        <f>IFERROR(VLOOKUP(A270,[3]Hoja2!$A$1:$E$411,4,FALSE),0)</f>
        <v>0.20602000000000001</v>
      </c>
      <c r="G270">
        <f>VLOOKUP(A270,[4]Hoja1!$D$1:$K$778,7,FALSE)</f>
        <v>0.34</v>
      </c>
      <c r="H270">
        <f>VLOOKUP(A270,[5]Hoja1!$D$1:$K$781,7,FALSE)</f>
        <v>0.34</v>
      </c>
      <c r="I270">
        <f>VLOOKUP(A270,[6]Hoja1!$D$1:$O$781,7,FALSE)</f>
        <v>0.34</v>
      </c>
      <c r="J270">
        <f>VLOOKUP(A270,[6]Hoja1!$D$1:$O$781,8,FALSE)</f>
        <v>0.34</v>
      </c>
      <c r="K270">
        <f>VLOOKUP(A270,[6]Hoja1!$D$1:$O$781,9,FALSE)</f>
        <v>0.34</v>
      </c>
      <c r="L270">
        <f>VLOOKUP(A270,[6]Hoja1!$D$1:$O$781,11,FALSE)</f>
        <v>0.34</v>
      </c>
    </row>
    <row r="271" spans="1:12" x14ac:dyDescent="0.2">
      <c r="A271" t="s">
        <v>605</v>
      </c>
      <c r="B271" t="s">
        <v>604</v>
      </c>
      <c r="C271" t="s">
        <v>72</v>
      </c>
      <c r="D271">
        <f>IFERROR(VLOOKUP(A271,[1]Hoja2!$A$1:$E$430,4,FALSE),0)</f>
        <v>0</v>
      </c>
      <c r="E271">
        <f>IFERROR(VLOOKUP(A271,[2]Hoja3!$A$1:$E$410,4,FALSE),0)</f>
        <v>1.961587</v>
      </c>
      <c r="F271">
        <f>IFERROR(VLOOKUP(A271,[3]Hoja2!$A$1:$E$411,4,FALSE),0)</f>
        <v>1.961587</v>
      </c>
      <c r="G271">
        <f>VLOOKUP(A271,[4]Hoja1!$D$1:$K$778,7,FALSE)</f>
        <v>2.89</v>
      </c>
      <c r="H271">
        <f>VLOOKUP(A271,[5]Hoja1!$D$1:$K$781,7,FALSE)</f>
        <v>2.89</v>
      </c>
      <c r="I271">
        <f>VLOOKUP(A271,[6]Hoja1!$D$1:$O$781,7,FALSE)</f>
        <v>2.89</v>
      </c>
      <c r="J271">
        <f>VLOOKUP(A271,[6]Hoja1!$D$1:$O$781,8,FALSE)</f>
        <v>2.89</v>
      </c>
      <c r="K271">
        <f>VLOOKUP(A271,[6]Hoja1!$D$1:$O$781,9,FALSE)</f>
        <v>2.89</v>
      </c>
      <c r="L271">
        <f>VLOOKUP(A271,[6]Hoja1!$D$1:$O$781,11,FALSE)</f>
        <v>2.89</v>
      </c>
    </row>
    <row r="272" spans="1:12" x14ac:dyDescent="0.2">
      <c r="A272" t="s">
        <v>607</v>
      </c>
      <c r="B272" t="s">
        <v>606</v>
      </c>
      <c r="C272" t="s">
        <v>380</v>
      </c>
      <c r="D272">
        <f>IFERROR(VLOOKUP(A272,[1]Hoja2!$A$1:$E$430,4,FALSE),0)</f>
        <v>0</v>
      </c>
      <c r="E272">
        <f>IFERROR(VLOOKUP(A272,[2]Hoja3!$A$1:$E$410,4,FALSE),0)</f>
        <v>0</v>
      </c>
      <c r="F272">
        <f>IFERROR(VLOOKUP(A272,[3]Hoja2!$A$1:$E$411,4,FALSE),0)</f>
        <v>0</v>
      </c>
      <c r="G272">
        <f>VLOOKUP(A272,[4]Hoja1!$D$1:$K$778,7,FALSE)</f>
        <v>15.09</v>
      </c>
      <c r="H272">
        <f>VLOOKUP(A272,[5]Hoja1!$D$1:$K$781,7,FALSE)</f>
        <v>15.09</v>
      </c>
      <c r="I272">
        <f>VLOOKUP(A272,[6]Hoja1!$D$1:$O$781,7,FALSE)</f>
        <v>15.09</v>
      </c>
      <c r="J272">
        <f>VLOOKUP(A272,[6]Hoja1!$D$1:$O$781,8,FALSE)</f>
        <v>15.09</v>
      </c>
      <c r="K272">
        <f>VLOOKUP(A272,[6]Hoja1!$D$1:$O$781,9,FALSE)</f>
        <v>15.09</v>
      </c>
      <c r="L272">
        <f>VLOOKUP(A272,[6]Hoja1!$D$1:$O$781,11,FALSE)</f>
        <v>15.09</v>
      </c>
    </row>
    <row r="273" spans="1:12" x14ac:dyDescent="0.2">
      <c r="A273" t="s">
        <v>608</v>
      </c>
      <c r="B273" t="s">
        <v>609</v>
      </c>
      <c r="C273" t="s">
        <v>610</v>
      </c>
      <c r="D273">
        <f>IFERROR(VLOOKUP(A273,[1]Hoja2!$A$1:$E$430,4,FALSE),0)</f>
        <v>0</v>
      </c>
      <c r="E273">
        <f>IFERROR(VLOOKUP(A273,[2]Hoja3!$A$1:$E$410,4,FALSE),0)</f>
        <v>0</v>
      </c>
      <c r="F273">
        <f>IFERROR(VLOOKUP(A273,[3]Hoja2!$A$1:$E$411,4,FALSE),0)</f>
        <v>0</v>
      </c>
      <c r="G273">
        <f>VLOOKUP(A273,[4]Hoja1!$D$1:$K$778,7,FALSE)</f>
        <v>10</v>
      </c>
      <c r="H273">
        <f>VLOOKUP(A273,[5]Hoja1!$D$1:$K$781,7,FALSE)</f>
        <v>10</v>
      </c>
      <c r="I273">
        <f>VLOOKUP(A273,[6]Hoja1!$D$1:$O$781,7,FALSE)</f>
        <v>10</v>
      </c>
      <c r="J273">
        <f>VLOOKUP(A273,[6]Hoja1!$D$1:$O$781,8,FALSE)</f>
        <v>10</v>
      </c>
      <c r="K273">
        <f>VLOOKUP(A273,[6]Hoja1!$D$1:$O$781,9,FALSE)</f>
        <v>10</v>
      </c>
      <c r="L273">
        <f>VLOOKUP(A273,[6]Hoja1!$D$1:$O$781,11,FALSE)</f>
        <v>10</v>
      </c>
    </row>
    <row r="274" spans="1:12" x14ac:dyDescent="0.2">
      <c r="A274" t="s">
        <v>611</v>
      </c>
      <c r="B274" t="s">
        <v>612</v>
      </c>
      <c r="C274" t="s">
        <v>613</v>
      </c>
      <c r="D274">
        <f>IFERROR(VLOOKUP(A274,[1]Hoja2!$A$1:$E$430,4,FALSE),0)</f>
        <v>0</v>
      </c>
      <c r="E274">
        <f>IFERROR(VLOOKUP(A274,[2]Hoja3!$A$1:$E$410,4,FALSE),0)</f>
        <v>9.35</v>
      </c>
      <c r="F274">
        <f>IFERROR(VLOOKUP(A274,[3]Hoja2!$A$1:$E$411,4,FALSE),0)</f>
        <v>8</v>
      </c>
      <c r="G274">
        <f>VLOOKUP(A274,[4]Hoja1!$D$1:$K$778,7,FALSE)</f>
        <v>9.3800000000000008</v>
      </c>
      <c r="H274">
        <f>VLOOKUP(A274,[5]Hoja1!$D$1:$K$781,7,FALSE)</f>
        <v>9.3800000000000008</v>
      </c>
      <c r="I274">
        <f>VLOOKUP(A274,[6]Hoja1!$D$1:$O$781,7,FALSE)</f>
        <v>9.3800000000000008</v>
      </c>
      <c r="J274">
        <f>VLOOKUP(A274,[6]Hoja1!$D$1:$O$781,8,FALSE)</f>
        <v>9.3800000000000008</v>
      </c>
      <c r="K274">
        <f>VLOOKUP(A274,[6]Hoja1!$D$1:$O$781,9,FALSE)</f>
        <v>9.3800000000000008</v>
      </c>
      <c r="L274">
        <f>VLOOKUP(A274,[6]Hoja1!$D$1:$O$781,11,FALSE)</f>
        <v>9.3800000000000008</v>
      </c>
    </row>
    <row r="275" spans="1:12" x14ac:dyDescent="0.2">
      <c r="A275" t="s">
        <v>614</v>
      </c>
      <c r="B275" t="s">
        <v>615</v>
      </c>
      <c r="C275" t="s">
        <v>616</v>
      </c>
      <c r="D275">
        <f>IFERROR(VLOOKUP(A275,[1]Hoja2!$A$1:$E$430,4,FALSE),0)</f>
        <v>0</v>
      </c>
      <c r="E275">
        <f>IFERROR(VLOOKUP(A275,[2]Hoja3!$A$1:$E$410,4,FALSE),0)</f>
        <v>41.09836</v>
      </c>
      <c r="F275">
        <f>IFERROR(VLOOKUP(A275,[3]Hoja2!$A$1:$E$411,4,FALSE),0)</f>
        <v>37.393814433000003</v>
      </c>
      <c r="G275">
        <f>VLOOKUP(A275,[4]Hoja1!$D$1:$K$778,7,FALSE)</f>
        <v>67.691000000000003</v>
      </c>
      <c r="H275">
        <f>VLOOKUP(A275,[5]Hoja1!$D$1:$K$781,7,FALSE)</f>
        <v>67.691000000000003</v>
      </c>
      <c r="I275">
        <f>VLOOKUP(A275,[6]Hoja1!$D$1:$O$781,7,FALSE)</f>
        <v>67.691000000000003</v>
      </c>
      <c r="J275">
        <f>VLOOKUP(A275,[6]Hoja1!$D$1:$O$781,8,FALSE)</f>
        <v>67.691000000000003</v>
      </c>
      <c r="K275">
        <f>VLOOKUP(A275,[6]Hoja1!$D$1:$O$781,9,FALSE)</f>
        <v>67.691000000000003</v>
      </c>
      <c r="L275">
        <f>VLOOKUP(A275,[6]Hoja1!$D$1:$O$781,11,FALSE)</f>
        <v>67.691000000000003</v>
      </c>
    </row>
    <row r="276" spans="1:12" x14ac:dyDescent="0.2">
      <c r="A276" t="s">
        <v>617</v>
      </c>
      <c r="B276" t="s">
        <v>618</v>
      </c>
      <c r="C276" t="s">
        <v>33</v>
      </c>
      <c r="D276">
        <f>IFERROR(VLOOKUP(A276,[1]Hoja2!$A$1:$E$430,4,FALSE),0)</f>
        <v>0</v>
      </c>
      <c r="E276">
        <f>IFERROR(VLOOKUP(A276,[2]Hoja3!$A$1:$E$410,4,FALSE),0)</f>
        <v>0</v>
      </c>
      <c r="F276">
        <f>IFERROR(VLOOKUP(A276,[3]Hoja2!$A$1:$E$411,4,FALSE),0)</f>
        <v>0</v>
      </c>
      <c r="G276">
        <f>VLOOKUP(A276,[4]Hoja1!$D$1:$K$778,7,FALSE)</f>
        <v>29.206666666666699</v>
      </c>
      <c r="H276">
        <f>VLOOKUP(A276,[5]Hoja1!$D$1:$K$781,7,FALSE)</f>
        <v>29.206666666666667</v>
      </c>
      <c r="I276">
        <f>VLOOKUP(A276,[6]Hoja1!$D$1:$O$781,7,FALSE)</f>
        <v>29.206666666666667</v>
      </c>
      <c r="J276">
        <f>VLOOKUP(A276,[6]Hoja1!$D$1:$O$781,8,FALSE)</f>
        <v>29.206666666666667</v>
      </c>
      <c r="K276">
        <f>VLOOKUP(A276,[6]Hoja1!$D$1:$O$781,9,FALSE)</f>
        <v>29.206666666666667</v>
      </c>
      <c r="L276">
        <f>VLOOKUP(A276,[6]Hoja1!$D$1:$O$781,11,FALSE)</f>
        <v>29.206666666666667</v>
      </c>
    </row>
    <row r="277" spans="1:12" x14ac:dyDescent="0.2">
      <c r="A277" t="s">
        <v>619</v>
      </c>
      <c r="B277" t="s">
        <v>618</v>
      </c>
      <c r="C277" t="s">
        <v>620</v>
      </c>
      <c r="D277">
        <f>IFERROR(VLOOKUP(A277,[1]Hoja2!$A$1:$E$430,4,FALSE),0)</f>
        <v>0</v>
      </c>
      <c r="E277">
        <f>IFERROR(VLOOKUP(A277,[2]Hoja3!$A$1:$E$410,4,FALSE),0)</f>
        <v>16</v>
      </c>
      <c r="F277">
        <f>IFERROR(VLOOKUP(A277,[3]Hoja2!$A$1:$E$411,4,FALSE),0)</f>
        <v>16</v>
      </c>
      <c r="G277">
        <f>VLOOKUP(A277,[4]Hoja1!$D$1:$K$778,7,FALSE)</f>
        <v>19.687874999999998</v>
      </c>
      <c r="H277">
        <f>VLOOKUP(A277,[5]Hoja1!$D$1:$K$781,7,FALSE)</f>
        <v>19.687875000000002</v>
      </c>
      <c r="I277">
        <f>VLOOKUP(A277,[6]Hoja1!$D$1:$O$781,7,FALSE)</f>
        <v>19.687875000000002</v>
      </c>
      <c r="J277">
        <f>VLOOKUP(A277,[6]Hoja1!$D$1:$O$781,8,FALSE)</f>
        <v>19.687875000000002</v>
      </c>
      <c r="K277">
        <f>VLOOKUP(A277,[6]Hoja1!$D$1:$O$781,9,FALSE)</f>
        <v>19.687875000000002</v>
      </c>
      <c r="L277">
        <f>VLOOKUP(A277,[6]Hoja1!$D$1:$O$781,11,FALSE)</f>
        <v>19.687875000000002</v>
      </c>
    </row>
    <row r="278" spans="1:12" x14ac:dyDescent="0.2">
      <c r="A278" t="s">
        <v>621</v>
      </c>
      <c r="B278" t="s">
        <v>622</v>
      </c>
      <c r="C278" t="s">
        <v>623</v>
      </c>
      <c r="D278">
        <f>IFERROR(VLOOKUP(A278,[1]Hoja2!$A$1:$E$430,4,FALSE),0)</f>
        <v>0</v>
      </c>
      <c r="E278">
        <f>IFERROR(VLOOKUP(A278,[2]Hoja3!$A$1:$E$410,4,FALSE),0)</f>
        <v>76.833133000000004</v>
      </c>
      <c r="F278">
        <f>IFERROR(VLOOKUP(A278,[3]Hoja2!$A$1:$E$411,4,FALSE),0)</f>
        <v>70.881961713199999</v>
      </c>
      <c r="G278">
        <f>VLOOKUP(A278,[4]Hoja1!$D$1:$K$778,7,FALSE)</f>
        <v>109.664444444444</v>
      </c>
      <c r="H278">
        <f>VLOOKUP(A278,[5]Hoja1!$D$1:$K$781,7,FALSE)</f>
        <v>109.66444444444444</v>
      </c>
      <c r="I278">
        <f>VLOOKUP(A278,[6]Hoja1!$D$1:$O$781,7,FALSE)</f>
        <v>109.66444444444444</v>
      </c>
      <c r="J278">
        <f>VLOOKUP(A278,[6]Hoja1!$D$1:$O$781,8,FALSE)</f>
        <v>109.66444444444444</v>
      </c>
      <c r="K278">
        <f>VLOOKUP(A278,[6]Hoja1!$D$1:$O$781,9,FALSE)</f>
        <v>109.66444444444444</v>
      </c>
      <c r="L278">
        <f>VLOOKUP(A278,[6]Hoja1!$D$1:$O$781,11,FALSE)</f>
        <v>109.66444444444444</v>
      </c>
    </row>
    <row r="279" spans="1:12" x14ac:dyDescent="0.2">
      <c r="A279" t="s">
        <v>624</v>
      </c>
      <c r="B279" t="s">
        <v>625</v>
      </c>
      <c r="C279" t="s">
        <v>626</v>
      </c>
      <c r="D279">
        <f>IFERROR(VLOOKUP(A279,[1]Hoja2!$A$1:$E$430,4,FALSE),0)</f>
        <v>0</v>
      </c>
      <c r="E279">
        <f>IFERROR(VLOOKUP(A279,[2]Hoja3!$A$1:$E$410,4,FALSE),0)</f>
        <v>2.5</v>
      </c>
      <c r="F279">
        <f>IFERROR(VLOOKUP(A279,[3]Hoja2!$A$1:$E$411,4,FALSE),0)</f>
        <v>2.5</v>
      </c>
      <c r="G279">
        <f>VLOOKUP(A279,[4]Hoja1!$D$1:$K$778,7,FALSE)</f>
        <v>5.84</v>
      </c>
      <c r="H279">
        <f>VLOOKUP(A279,[5]Hoja1!$D$1:$K$781,7,FALSE)</f>
        <v>5.84</v>
      </c>
      <c r="I279">
        <f>VLOOKUP(A279,[6]Hoja1!$D$1:$O$781,7,FALSE)</f>
        <v>5.84</v>
      </c>
      <c r="J279">
        <f>VLOOKUP(A279,[6]Hoja1!$D$1:$O$781,8,FALSE)</f>
        <v>5.84</v>
      </c>
      <c r="K279">
        <f>VLOOKUP(A279,[6]Hoja1!$D$1:$O$781,9,FALSE)</f>
        <v>5.84</v>
      </c>
      <c r="L279">
        <f>VLOOKUP(A279,[6]Hoja1!$D$1:$O$781,11,FALSE)</f>
        <v>6</v>
      </c>
    </row>
    <row r="280" spans="1:12" x14ac:dyDescent="0.2">
      <c r="A280" t="s">
        <v>627</v>
      </c>
      <c r="B280" t="s">
        <v>628</v>
      </c>
      <c r="C280" t="s">
        <v>52</v>
      </c>
      <c r="D280">
        <f>IFERROR(VLOOKUP(A280,[1]Hoja2!$A$1:$E$430,4,FALSE),0)</f>
        <v>0</v>
      </c>
      <c r="E280">
        <f>IFERROR(VLOOKUP(A280,[2]Hoja3!$A$1:$E$410,4,FALSE),0)</f>
        <v>0.21498100000000001</v>
      </c>
      <c r="F280">
        <f>IFERROR(VLOOKUP(A280,[3]Hoja2!$A$1:$E$411,4,FALSE),0)</f>
        <v>0.26328634919999999</v>
      </c>
      <c r="G280">
        <f>VLOOKUP(A280,[4]Hoja1!$D$1:$K$778,7,FALSE)</f>
        <v>0.54</v>
      </c>
      <c r="H280">
        <f>VLOOKUP(A280,[5]Hoja1!$D$1:$K$781,7,FALSE)</f>
        <v>0.54</v>
      </c>
      <c r="I280">
        <f>VLOOKUP(A280,[6]Hoja1!$D$1:$O$781,7,FALSE)</f>
        <v>0.54</v>
      </c>
      <c r="J280">
        <f>VLOOKUP(A280,[6]Hoja1!$D$1:$O$781,8,FALSE)</f>
        <v>0.54</v>
      </c>
      <c r="K280">
        <f>VLOOKUP(A280,[6]Hoja1!$D$1:$O$781,9,FALSE)</f>
        <v>0.54</v>
      </c>
      <c r="L280">
        <f>VLOOKUP(A280,[6]Hoja1!$D$1:$O$781,11,FALSE)</f>
        <v>0.54</v>
      </c>
    </row>
    <row r="281" spans="1:12" x14ac:dyDescent="0.2">
      <c r="A281" t="s">
        <v>629</v>
      </c>
      <c r="B281" t="s">
        <v>630</v>
      </c>
      <c r="C281" t="s">
        <v>631</v>
      </c>
      <c r="D281">
        <f>IFERROR(VLOOKUP(A281,[1]Hoja2!$A$1:$E$430,4,FALSE),0)</f>
        <v>0</v>
      </c>
      <c r="E281">
        <f>IFERROR(VLOOKUP(A281,[2]Hoja3!$A$1:$E$410,4,FALSE),0)</f>
        <v>13.32361</v>
      </c>
      <c r="F281">
        <f>IFERROR(VLOOKUP(A281,[3]Hoja2!$A$1:$E$411,4,FALSE),0)</f>
        <v>14.7975778547</v>
      </c>
      <c r="G281">
        <f>VLOOKUP(A281,[4]Hoja1!$D$1:$K$778,7,FALSE)</f>
        <v>17.809999999999999</v>
      </c>
      <c r="H281">
        <f>VLOOKUP(A281,[5]Hoja1!$D$1:$K$781,7,FALSE)</f>
        <v>17.809999999999999</v>
      </c>
      <c r="I281">
        <f>VLOOKUP(A281,[6]Hoja1!$D$1:$O$781,7,FALSE)</f>
        <v>17.809999999999999</v>
      </c>
      <c r="J281">
        <f>VLOOKUP(A281,[6]Hoja1!$D$1:$O$781,8,FALSE)</f>
        <v>17.809999999999999</v>
      </c>
      <c r="K281">
        <f>VLOOKUP(A281,[6]Hoja1!$D$1:$O$781,9,FALSE)</f>
        <v>17.809999999999999</v>
      </c>
      <c r="L281">
        <f>VLOOKUP(A281,[6]Hoja1!$D$1:$O$781,11,FALSE)</f>
        <v>51.590434658927791</v>
      </c>
    </row>
    <row r="282" spans="1:12" x14ac:dyDescent="0.2">
      <c r="A282" t="s">
        <v>632</v>
      </c>
      <c r="B282" t="s">
        <v>633</v>
      </c>
      <c r="C282" t="s">
        <v>631</v>
      </c>
      <c r="D282">
        <f>IFERROR(VLOOKUP(A282,[1]Hoja2!$A$1:$E$430,4,FALSE),0)</f>
        <v>0</v>
      </c>
      <c r="E282">
        <f>IFERROR(VLOOKUP(A282,[2]Hoja3!$A$1:$E$410,4,FALSE),0)</f>
        <v>6.3075130000000001</v>
      </c>
      <c r="F282">
        <f>IFERROR(VLOOKUP(A282,[3]Hoja2!$A$1:$E$411,4,FALSE),0)</f>
        <v>5.2298923956000003</v>
      </c>
      <c r="G282">
        <f>VLOOKUP(A282,[4]Hoja1!$D$1:$K$778,7,FALSE)</f>
        <v>9.59</v>
      </c>
      <c r="H282">
        <f>VLOOKUP(A282,[5]Hoja1!$D$1:$K$781,7,FALSE)</f>
        <v>9.59</v>
      </c>
      <c r="I282">
        <f>VLOOKUP(A282,[6]Hoja1!$D$1:$O$781,7,FALSE)</f>
        <v>9.59</v>
      </c>
      <c r="J282">
        <f>VLOOKUP(A282,[6]Hoja1!$D$1:$O$781,8,FALSE)</f>
        <v>9.59</v>
      </c>
      <c r="K282">
        <f>VLOOKUP(A282,[6]Hoja1!$D$1:$O$781,9,FALSE)</f>
        <v>9.59</v>
      </c>
      <c r="L282">
        <f>VLOOKUP(A282,[6]Hoja1!$D$1:$O$781,11,FALSE)</f>
        <v>9.59</v>
      </c>
    </row>
    <row r="283" spans="1:12" x14ac:dyDescent="0.2">
      <c r="A283" t="s">
        <v>634</v>
      </c>
      <c r="B283" t="s">
        <v>635</v>
      </c>
      <c r="C283" t="s">
        <v>360</v>
      </c>
      <c r="D283">
        <f>IFERROR(VLOOKUP(A283,[1]Hoja2!$A$1:$E$430,4,FALSE),0)</f>
        <v>0</v>
      </c>
      <c r="E283">
        <f>IFERROR(VLOOKUP(A283,[2]Hoja3!$A$1:$E$410,4,FALSE),0)</f>
        <v>0.24</v>
      </c>
      <c r="F283">
        <f>IFERROR(VLOOKUP(A283,[3]Hoja2!$A$1:$E$411,4,FALSE),0)</f>
        <v>0.13443378119999999</v>
      </c>
      <c r="G283">
        <f>VLOOKUP(A283,[4]Hoja1!$D$1:$K$778,7,FALSE)</f>
        <v>0.28999999999999998</v>
      </c>
      <c r="H283">
        <f>VLOOKUP(A283,[5]Hoja1!$D$1:$K$781,7,FALSE)</f>
        <v>0.28999999999999998</v>
      </c>
      <c r="I283">
        <f>VLOOKUP(A283,[6]Hoja1!$D$1:$O$781,7,FALSE)</f>
        <v>0.28999999999999998</v>
      </c>
      <c r="J283">
        <f>VLOOKUP(A283,[6]Hoja1!$D$1:$O$781,8,FALSE)</f>
        <v>0.28999999999999998</v>
      </c>
      <c r="K283">
        <f>VLOOKUP(A283,[6]Hoja1!$D$1:$O$781,9,FALSE)</f>
        <v>0.28999999999999998</v>
      </c>
      <c r="L283">
        <f>VLOOKUP(A283,[6]Hoja1!$D$1:$O$781,11,FALSE)</f>
        <v>0.28999999999999998</v>
      </c>
    </row>
    <row r="284" spans="1:12" x14ac:dyDescent="0.2">
      <c r="A284" t="s">
        <v>636</v>
      </c>
      <c r="B284" t="s">
        <v>635</v>
      </c>
      <c r="C284" t="s">
        <v>637</v>
      </c>
      <c r="D284">
        <f>IFERROR(VLOOKUP(A284,[1]Hoja2!$A$1:$E$430,4,FALSE),0)</f>
        <v>0</v>
      </c>
      <c r="E284">
        <f>IFERROR(VLOOKUP(A284,[2]Hoja3!$A$1:$E$410,4,FALSE),0)</f>
        <v>6.08</v>
      </c>
      <c r="F284">
        <f>IFERROR(VLOOKUP(A284,[3]Hoja2!$A$1:$E$411,4,FALSE),0)</f>
        <v>6.39</v>
      </c>
      <c r="G284">
        <f>VLOOKUP(A284,[4]Hoja1!$D$1:$K$778,7,FALSE)</f>
        <v>8.9600000000000009</v>
      </c>
      <c r="H284">
        <f>VLOOKUP(A284,[5]Hoja1!$D$1:$K$781,7,FALSE)</f>
        <v>8.9600000000000009</v>
      </c>
      <c r="I284">
        <f>VLOOKUP(A284,[6]Hoja1!$D$1:$O$781,7,FALSE)</f>
        <v>8.9600000000000009</v>
      </c>
      <c r="J284">
        <f>VLOOKUP(A284,[6]Hoja1!$D$1:$O$781,8,FALSE)</f>
        <v>8.9600000000000009</v>
      </c>
      <c r="K284">
        <f>VLOOKUP(A284,[6]Hoja1!$D$1:$O$781,9,FALSE)</f>
        <v>8.9600000000000009</v>
      </c>
      <c r="L284">
        <f>VLOOKUP(A284,[6]Hoja1!$D$1:$O$781,11,FALSE)</f>
        <v>8.9600000000000009</v>
      </c>
    </row>
    <row r="285" spans="1:12" x14ac:dyDescent="0.2">
      <c r="A285" t="s">
        <v>638</v>
      </c>
      <c r="B285" t="s">
        <v>635</v>
      </c>
      <c r="C285" t="s">
        <v>146</v>
      </c>
      <c r="D285">
        <f>IFERROR(VLOOKUP(A285,[1]Hoja2!$A$1:$E$430,4,FALSE),0)</f>
        <v>0</v>
      </c>
      <c r="E285">
        <f>IFERROR(VLOOKUP(A285,[2]Hoja3!$A$1:$E$410,4,FALSE),0)</f>
        <v>1.9410620000000001</v>
      </c>
      <c r="F285">
        <f>IFERROR(VLOOKUP(A285,[3]Hoja2!$A$1:$E$411,4,FALSE),0)</f>
        <v>1.2145306253999999</v>
      </c>
      <c r="G285">
        <f>VLOOKUP(A285,[4]Hoja1!$D$1:$K$778,7,FALSE)</f>
        <v>2.0499999999999998</v>
      </c>
      <c r="H285">
        <f>VLOOKUP(A285,[5]Hoja1!$D$1:$K$781,7,FALSE)</f>
        <v>2.0499999999999998</v>
      </c>
      <c r="I285">
        <f>VLOOKUP(A285,[6]Hoja1!$D$1:$O$781,7,FALSE)</f>
        <v>2.0499999999999998</v>
      </c>
      <c r="J285">
        <f>VLOOKUP(A285,[6]Hoja1!$D$1:$O$781,8,FALSE)</f>
        <v>2.0499999999999998</v>
      </c>
      <c r="K285">
        <f>VLOOKUP(A285,[6]Hoja1!$D$1:$O$781,9,FALSE)</f>
        <v>2.0499999999999998</v>
      </c>
      <c r="L285">
        <f>VLOOKUP(A285,[6]Hoja1!$D$1:$O$781,11,FALSE)</f>
        <v>2.0499999999999998</v>
      </c>
    </row>
    <row r="286" spans="1:12" x14ac:dyDescent="0.2">
      <c r="A286" t="s">
        <v>639</v>
      </c>
      <c r="B286" t="s">
        <v>640</v>
      </c>
      <c r="C286" t="s">
        <v>469</v>
      </c>
      <c r="D286">
        <f>IFERROR(VLOOKUP(A286,[1]Hoja2!$A$1:$E$430,4,FALSE),0)</f>
        <v>0</v>
      </c>
      <c r="E286">
        <f>IFERROR(VLOOKUP(A286,[2]Hoja3!$A$1:$E$410,4,FALSE),0)</f>
        <v>3</v>
      </c>
      <c r="F286">
        <f>IFERROR(VLOOKUP(A286,[3]Hoja2!$A$1:$E$411,4,FALSE),0)</f>
        <v>0</v>
      </c>
      <c r="G286">
        <f>VLOOKUP(A286,[4]Hoja1!$D$1:$K$778,7,FALSE)</f>
        <v>3.3079999999999998</v>
      </c>
      <c r="H286">
        <f>VLOOKUP(A286,[5]Hoja1!$D$1:$K$781,7,FALSE)</f>
        <v>3.3079999999999998</v>
      </c>
      <c r="I286">
        <f>VLOOKUP(A286,[6]Hoja1!$D$1:$O$781,7,FALSE)</f>
        <v>3.3079999999999998</v>
      </c>
      <c r="J286">
        <f>VLOOKUP(A286,[6]Hoja1!$D$1:$O$781,8,FALSE)</f>
        <v>3.3079999999999998</v>
      </c>
      <c r="K286">
        <f>VLOOKUP(A286,[6]Hoja1!$D$1:$O$781,9,FALSE)</f>
        <v>3.3079999999999998</v>
      </c>
      <c r="L286">
        <f>VLOOKUP(A286,[6]Hoja1!$D$1:$O$781,11,FALSE)</f>
        <v>3.3079999999999998</v>
      </c>
    </row>
    <row r="287" spans="1:12" x14ac:dyDescent="0.2">
      <c r="A287" t="s">
        <v>641</v>
      </c>
      <c r="B287" t="s">
        <v>642</v>
      </c>
      <c r="C287" t="s">
        <v>19</v>
      </c>
      <c r="D287">
        <f>IFERROR(VLOOKUP(A287,[1]Hoja2!$A$1:$E$430,4,FALSE),0)</f>
        <v>0</v>
      </c>
      <c r="E287">
        <f>IFERROR(VLOOKUP(A287,[2]Hoja3!$A$1:$E$410,4,FALSE),0)</f>
        <v>0.4</v>
      </c>
      <c r="F287">
        <f>IFERROR(VLOOKUP(A287,[3]Hoja2!$A$1:$E$411,4,FALSE),0)</f>
        <v>0.28999999999999998</v>
      </c>
      <c r="G287">
        <f>VLOOKUP(A287,[4]Hoja1!$D$1:$K$778,7,FALSE)</f>
        <v>0.76</v>
      </c>
      <c r="H287">
        <f>VLOOKUP(A287,[5]Hoja1!$D$1:$K$781,7,FALSE)</f>
        <v>0.76</v>
      </c>
      <c r="I287">
        <f>VLOOKUP(A287,[6]Hoja1!$D$1:$O$781,7,FALSE)</f>
        <v>0.76</v>
      </c>
      <c r="J287">
        <f>VLOOKUP(A287,[6]Hoja1!$D$1:$O$781,8,FALSE)</f>
        <v>0.76</v>
      </c>
      <c r="K287">
        <f>VLOOKUP(A287,[6]Hoja1!$D$1:$O$781,9,FALSE)</f>
        <v>0.76</v>
      </c>
      <c r="L287">
        <f>VLOOKUP(A287,[6]Hoja1!$D$1:$O$781,11,FALSE)</f>
        <v>1.779018348905328</v>
      </c>
    </row>
    <row r="288" spans="1:12" x14ac:dyDescent="0.2">
      <c r="A288" t="s">
        <v>643</v>
      </c>
      <c r="B288" t="s">
        <v>642</v>
      </c>
      <c r="C288" t="s">
        <v>644</v>
      </c>
      <c r="D288">
        <f>IFERROR(VLOOKUP(A288,[1]Hoja2!$A$1:$E$430,4,FALSE),0)</f>
        <v>0</v>
      </c>
      <c r="E288">
        <f>IFERROR(VLOOKUP(A288,[2]Hoja3!$A$1:$E$410,4,FALSE),0)</f>
        <v>10.474285</v>
      </c>
      <c r="F288">
        <f>IFERROR(VLOOKUP(A288,[3]Hoja2!$A$1:$E$411,4,FALSE),0)</f>
        <v>10.99</v>
      </c>
      <c r="G288">
        <f>VLOOKUP(A288,[4]Hoja1!$D$1:$K$778,7,FALSE)</f>
        <v>17.77</v>
      </c>
      <c r="H288">
        <f>VLOOKUP(A288,[5]Hoja1!$D$1:$K$781,7,FALSE)</f>
        <v>17.77</v>
      </c>
      <c r="I288">
        <f>VLOOKUP(A288,[6]Hoja1!$D$1:$O$781,7,FALSE)</f>
        <v>17.77</v>
      </c>
      <c r="J288">
        <f>VLOOKUP(A288,[6]Hoja1!$D$1:$O$781,8,FALSE)</f>
        <v>17.77</v>
      </c>
      <c r="K288">
        <f>VLOOKUP(A288,[6]Hoja1!$D$1:$O$781,9,FALSE)</f>
        <v>17.77</v>
      </c>
      <c r="L288">
        <f>VLOOKUP(A288,[6]Hoja1!$D$1:$O$781,11,FALSE)</f>
        <v>28.452281755967284</v>
      </c>
    </row>
    <row r="289" spans="1:12" x14ac:dyDescent="0.2">
      <c r="A289" t="s">
        <v>645</v>
      </c>
      <c r="B289" t="s">
        <v>414</v>
      </c>
      <c r="C289" t="s">
        <v>646</v>
      </c>
      <c r="D289">
        <f>IFERROR(VLOOKUP(A289,[1]Hoja2!$A$1:$E$430,4,FALSE),0)</f>
        <v>0</v>
      </c>
      <c r="E289">
        <f>IFERROR(VLOOKUP(A289,[2]Hoja3!$A$1:$E$410,4,FALSE),0)</f>
        <v>34</v>
      </c>
      <c r="F289">
        <f>IFERROR(VLOOKUP(A289,[3]Hoja2!$A$1:$E$411,4,FALSE),0)</f>
        <v>34</v>
      </c>
      <c r="G289">
        <f>VLOOKUP(A289,[4]Hoja1!$D$1:$K$778,7,FALSE)</f>
        <v>22</v>
      </c>
      <c r="H289">
        <f>VLOOKUP(A289,[5]Hoja1!$D$1:$K$781,7,FALSE)</f>
        <v>22</v>
      </c>
      <c r="I289">
        <f>VLOOKUP(A289,[6]Hoja1!$D$1:$O$781,7,FALSE)</f>
        <v>22</v>
      </c>
      <c r="J289">
        <f>VLOOKUP(A289,[6]Hoja1!$D$1:$O$781,8,FALSE)</f>
        <v>22</v>
      </c>
      <c r="K289">
        <f>VLOOKUP(A289,[6]Hoja1!$D$1:$O$781,9,FALSE)</f>
        <v>22</v>
      </c>
      <c r="L289">
        <f>VLOOKUP(A289,[6]Hoja1!$D$1:$O$781,11,FALSE)</f>
        <v>22</v>
      </c>
    </row>
    <row r="290" spans="1:12" x14ac:dyDescent="0.2">
      <c r="A290" t="s">
        <v>647</v>
      </c>
      <c r="B290" t="s">
        <v>648</v>
      </c>
      <c r="C290" t="s">
        <v>520</v>
      </c>
      <c r="D290">
        <f>IFERROR(VLOOKUP(A290,[1]Hoja2!$A$1:$E$430,4,FALSE),0)</f>
        <v>0</v>
      </c>
      <c r="E290">
        <f>IFERROR(VLOOKUP(A290,[2]Hoja3!$A$1:$E$410,4,FALSE),0)</f>
        <v>0</v>
      </c>
      <c r="F290">
        <f>IFERROR(VLOOKUP(A290,[3]Hoja2!$A$1:$E$411,4,FALSE),0)</f>
        <v>7</v>
      </c>
      <c r="G290">
        <f>VLOOKUP(A290,[4]Hoja1!$D$1:$K$778,7,FALSE)</f>
        <v>11.46</v>
      </c>
      <c r="H290">
        <f>VLOOKUP(A290,[5]Hoja1!$D$1:$K$781,7,FALSE)</f>
        <v>11.46</v>
      </c>
      <c r="I290">
        <f>VLOOKUP(A290,[6]Hoja1!$D$1:$O$781,7,FALSE)</f>
        <v>11.46</v>
      </c>
      <c r="J290">
        <f>VLOOKUP(A290,[6]Hoja1!$D$1:$O$781,8,FALSE)</f>
        <v>11.46</v>
      </c>
      <c r="K290">
        <f>VLOOKUP(A290,[6]Hoja1!$D$1:$O$781,9,FALSE)</f>
        <v>11.46</v>
      </c>
      <c r="L290">
        <f>VLOOKUP(A290,[6]Hoja1!$D$1:$O$781,11,FALSE)</f>
        <v>11.46</v>
      </c>
    </row>
    <row r="291" spans="1:12" x14ac:dyDescent="0.2">
      <c r="A291" t="s">
        <v>649</v>
      </c>
      <c r="B291" t="s">
        <v>648</v>
      </c>
      <c r="C291">
        <v>0.01</v>
      </c>
      <c r="D291">
        <f>IFERROR(VLOOKUP(A291,[1]Hoja2!$A$1:$E$430,4,FALSE),0)</f>
        <v>0</v>
      </c>
      <c r="E291">
        <f>IFERROR(VLOOKUP(A291,[2]Hoja3!$A$1:$E$410,4,FALSE),0)</f>
        <v>19.7</v>
      </c>
      <c r="F291">
        <f>IFERROR(VLOOKUP(A291,[3]Hoja2!$A$1:$E$411,4,FALSE),0)</f>
        <v>17.5</v>
      </c>
      <c r="G291">
        <f>VLOOKUP(A291,[4]Hoja1!$D$1:$K$778,7,FALSE)</f>
        <v>17.510000000000002</v>
      </c>
      <c r="H291">
        <f>VLOOKUP(A291,[5]Hoja1!$D$1:$K$781,7,FALSE)</f>
        <v>17.510000000000002</v>
      </c>
      <c r="I291">
        <f>VLOOKUP(A291,[6]Hoja1!$D$1:$O$781,7,FALSE)</f>
        <v>17.510000000000002</v>
      </c>
      <c r="J291">
        <f>VLOOKUP(A291,[6]Hoja1!$D$1:$O$781,8,FALSE)</f>
        <v>17.510000000000002</v>
      </c>
      <c r="K291">
        <f>VLOOKUP(A291,[6]Hoja1!$D$1:$O$781,9,FALSE)</f>
        <v>17.510000000000002</v>
      </c>
      <c r="L291">
        <f>VLOOKUP(A291,[6]Hoja1!$D$1:$O$781,11,FALSE)</f>
        <v>17.510000000000002</v>
      </c>
    </row>
    <row r="292" spans="1:12" x14ac:dyDescent="0.2">
      <c r="A292" t="s">
        <v>650</v>
      </c>
      <c r="B292" t="s">
        <v>362</v>
      </c>
      <c r="C292" t="s">
        <v>297</v>
      </c>
      <c r="D292">
        <f>IFERROR(VLOOKUP(A292,[1]Hoja2!$A$1:$E$430,4,FALSE),0)</f>
        <v>0</v>
      </c>
      <c r="E292">
        <f>IFERROR(VLOOKUP(A292,[2]Hoja3!$A$1:$E$410,4,FALSE),0)</f>
        <v>7.8</v>
      </c>
      <c r="F292">
        <f>IFERROR(VLOOKUP(A292,[3]Hoja2!$A$1:$E$411,4,FALSE),0)</f>
        <v>10.199999999999999</v>
      </c>
      <c r="G292">
        <f>VLOOKUP(A292,[4]Hoja1!$D$1:$K$778,7,FALSE)</f>
        <v>17.22</v>
      </c>
      <c r="H292">
        <f>VLOOKUP(A292,[5]Hoja1!$D$1:$K$781,7,FALSE)</f>
        <v>17.22</v>
      </c>
      <c r="I292">
        <f>VLOOKUP(A292,[6]Hoja1!$D$1:$O$781,7,FALSE)</f>
        <v>17.22</v>
      </c>
      <c r="J292">
        <f>VLOOKUP(A292,[6]Hoja1!$D$1:$O$781,8,FALSE)</f>
        <v>17.22</v>
      </c>
      <c r="K292">
        <f>VLOOKUP(A292,[6]Hoja1!$D$1:$O$781,9,FALSE)</f>
        <v>17.22</v>
      </c>
      <c r="L292">
        <f>VLOOKUP(A292,[6]Hoja1!$D$1:$O$781,11,FALSE)</f>
        <v>17.22</v>
      </c>
    </row>
    <row r="293" spans="1:12" x14ac:dyDescent="0.2">
      <c r="A293" t="s">
        <v>651</v>
      </c>
      <c r="B293" t="s">
        <v>652</v>
      </c>
      <c r="C293">
        <v>0.02</v>
      </c>
      <c r="D293">
        <f>IFERROR(VLOOKUP(A293,[1]Hoja2!$A$1:$E$430,4,FALSE),0)</f>
        <v>0</v>
      </c>
      <c r="E293">
        <f>IFERROR(VLOOKUP(A293,[2]Hoja3!$A$1:$E$410,4,FALSE),0)</f>
        <v>49.99</v>
      </c>
      <c r="F293">
        <f>IFERROR(VLOOKUP(A293,[3]Hoja2!$A$1:$E$411,4,FALSE),0)</f>
        <v>49.99</v>
      </c>
      <c r="G293">
        <f>VLOOKUP(A293,[4]Hoja1!$D$1:$K$778,7,FALSE)</f>
        <v>95.14</v>
      </c>
      <c r="H293">
        <f>VLOOKUP(A293,[5]Hoja1!$D$1:$K$781,7,FALSE)</f>
        <v>95.14</v>
      </c>
      <c r="I293">
        <f>VLOOKUP(A293,[6]Hoja1!$D$1:$O$781,7,FALSE)</f>
        <v>95.14</v>
      </c>
      <c r="J293">
        <f>VLOOKUP(A293,[6]Hoja1!$D$1:$O$781,8,FALSE)</f>
        <v>95.14</v>
      </c>
      <c r="K293">
        <f>VLOOKUP(A293,[6]Hoja1!$D$1:$O$781,9,FALSE)</f>
        <v>95.14</v>
      </c>
      <c r="L293">
        <f>VLOOKUP(A293,[6]Hoja1!$D$1:$O$781,11,FALSE)</f>
        <v>95.14</v>
      </c>
    </row>
    <row r="294" spans="1:12" x14ac:dyDescent="0.2">
      <c r="A294" t="s">
        <v>653</v>
      </c>
      <c r="B294" t="s">
        <v>654</v>
      </c>
      <c r="C294" t="s">
        <v>646</v>
      </c>
      <c r="D294">
        <f>IFERROR(VLOOKUP(A294,[1]Hoja2!$A$1:$E$430,4,FALSE),0)</f>
        <v>0</v>
      </c>
      <c r="E294">
        <f>IFERROR(VLOOKUP(A294,[2]Hoja3!$A$1:$E$410,4,FALSE),0)</f>
        <v>19</v>
      </c>
      <c r="F294">
        <f>IFERROR(VLOOKUP(A294,[3]Hoja2!$A$1:$E$411,4,FALSE),0)</f>
        <v>24.9</v>
      </c>
      <c r="G294">
        <f>VLOOKUP(A294,[4]Hoja1!$D$1:$K$778,7,FALSE)</f>
        <v>26.05</v>
      </c>
      <c r="H294">
        <f>VLOOKUP(A294,[5]Hoja1!$D$1:$K$781,7,FALSE)</f>
        <v>26.05</v>
      </c>
      <c r="I294">
        <f>VLOOKUP(A294,[6]Hoja1!$D$1:$O$781,7,FALSE)</f>
        <v>26.05</v>
      </c>
      <c r="J294">
        <f>VLOOKUP(A294,[6]Hoja1!$D$1:$O$781,8,FALSE)</f>
        <v>26.05</v>
      </c>
      <c r="K294">
        <f>VLOOKUP(A294,[6]Hoja1!$D$1:$O$781,9,FALSE)</f>
        <v>26.05</v>
      </c>
      <c r="L294">
        <f>VLOOKUP(A294,[6]Hoja1!$D$1:$O$781,11,FALSE)</f>
        <v>26.05</v>
      </c>
    </row>
    <row r="295" spans="1:12" x14ac:dyDescent="0.2">
      <c r="A295" t="s">
        <v>655</v>
      </c>
      <c r="B295" t="s">
        <v>654</v>
      </c>
      <c r="C295" t="s">
        <v>646</v>
      </c>
      <c r="D295">
        <f>IFERROR(VLOOKUP(A295,[1]Hoja2!$A$1:$E$430,4,FALSE),0)</f>
        <v>0</v>
      </c>
      <c r="E295">
        <f>IFERROR(VLOOKUP(A295,[2]Hoja3!$A$1:$E$410,4,FALSE),0)</f>
        <v>11</v>
      </c>
      <c r="F295">
        <f>IFERROR(VLOOKUP(A295,[3]Hoja2!$A$1:$E$411,4,FALSE),0)</f>
        <v>6.3468168872000001</v>
      </c>
      <c r="G295">
        <f>VLOOKUP(A295,[4]Hoja1!$D$1:$K$778,7,FALSE)</f>
        <v>11.59</v>
      </c>
      <c r="H295">
        <f>VLOOKUP(A295,[5]Hoja1!$D$1:$K$781,7,FALSE)</f>
        <v>11.59</v>
      </c>
      <c r="I295">
        <f>VLOOKUP(A295,[6]Hoja1!$D$1:$O$781,7,FALSE)</f>
        <v>11.59</v>
      </c>
      <c r="J295">
        <f>VLOOKUP(A295,[6]Hoja1!$D$1:$O$781,8,FALSE)</f>
        <v>11.59</v>
      </c>
      <c r="K295">
        <f>VLOOKUP(A295,[6]Hoja1!$D$1:$O$781,9,FALSE)</f>
        <v>11.59</v>
      </c>
      <c r="L295">
        <f>VLOOKUP(A295,[6]Hoja1!$D$1:$O$781,11,FALSE)</f>
        <v>11.59</v>
      </c>
    </row>
    <row r="296" spans="1:12" x14ac:dyDescent="0.2">
      <c r="A296" t="s">
        <v>656</v>
      </c>
      <c r="B296" t="s">
        <v>657</v>
      </c>
      <c r="C296" t="s">
        <v>658</v>
      </c>
      <c r="D296">
        <f>IFERROR(VLOOKUP(A296,[1]Hoja2!$A$1:$E$430,4,FALSE),0)</f>
        <v>0</v>
      </c>
      <c r="E296">
        <f>IFERROR(VLOOKUP(A296,[2]Hoja3!$A$1:$E$410,4,FALSE),0)</f>
        <v>15.630458000000001</v>
      </c>
      <c r="F296">
        <f>IFERROR(VLOOKUP(A296,[3]Hoja2!$A$1:$E$411,4,FALSE),0)</f>
        <v>14.9995403296</v>
      </c>
      <c r="G296">
        <f>VLOOKUP(A296,[4]Hoja1!$D$1:$K$778,7,FALSE)</f>
        <v>21.9</v>
      </c>
      <c r="H296">
        <f>VLOOKUP(A296,[5]Hoja1!$D$1:$K$781,7,FALSE)</f>
        <v>21.9</v>
      </c>
      <c r="I296">
        <f>VLOOKUP(A296,[6]Hoja1!$D$1:$O$781,7,FALSE)</f>
        <v>21.9</v>
      </c>
      <c r="J296">
        <f>VLOOKUP(A296,[6]Hoja1!$D$1:$O$781,8,FALSE)</f>
        <v>21.9</v>
      </c>
      <c r="K296">
        <f>VLOOKUP(A296,[6]Hoja1!$D$1:$O$781,9,FALSE)</f>
        <v>21.9</v>
      </c>
      <c r="L296">
        <f>VLOOKUP(A296,[6]Hoja1!$D$1:$O$781,11,FALSE)</f>
        <v>48.027437567331262</v>
      </c>
    </row>
    <row r="297" spans="1:12" x14ac:dyDescent="0.2">
      <c r="A297" t="s">
        <v>659</v>
      </c>
      <c r="B297" t="s">
        <v>660</v>
      </c>
      <c r="C297" t="s">
        <v>297</v>
      </c>
      <c r="D297">
        <f>IFERROR(VLOOKUP(A297,[1]Hoja2!$A$1:$E$430,4,FALSE),0)</f>
        <v>0</v>
      </c>
      <c r="E297">
        <f>IFERROR(VLOOKUP(A297,[2]Hoja3!$A$1:$E$410,4,FALSE),0)</f>
        <v>19.7</v>
      </c>
      <c r="F297">
        <f>IFERROR(VLOOKUP(A297,[3]Hoja2!$A$1:$E$411,4,FALSE),0)</f>
        <v>19.7</v>
      </c>
      <c r="G297">
        <f>VLOOKUP(A297,[4]Hoja1!$D$1:$K$778,7,FALSE)</f>
        <v>19.7</v>
      </c>
      <c r="H297">
        <f>VLOOKUP(A297,[5]Hoja1!$D$1:$K$781,7,FALSE)</f>
        <v>19.7</v>
      </c>
      <c r="I297">
        <f>VLOOKUP(A297,[6]Hoja1!$D$1:$O$781,7,FALSE)</f>
        <v>19.7</v>
      </c>
      <c r="J297">
        <f>VLOOKUP(A297,[6]Hoja1!$D$1:$O$781,8,FALSE)</f>
        <v>19.7</v>
      </c>
      <c r="K297">
        <f>VLOOKUP(A297,[6]Hoja1!$D$1:$O$781,9,FALSE)</f>
        <v>19.7</v>
      </c>
      <c r="L297">
        <f>VLOOKUP(A297,[6]Hoja1!$D$1:$O$781,11,FALSE)</f>
        <v>19.7</v>
      </c>
    </row>
    <row r="298" spans="1:12" x14ac:dyDescent="0.2">
      <c r="A298" t="s">
        <v>661</v>
      </c>
      <c r="B298" t="s">
        <v>662</v>
      </c>
      <c r="C298" t="s">
        <v>520</v>
      </c>
      <c r="D298">
        <f>IFERROR(VLOOKUP(A298,[1]Hoja2!$A$1:$E$430,4,FALSE),0)</f>
        <v>0</v>
      </c>
      <c r="E298">
        <f>IFERROR(VLOOKUP(A298,[2]Hoja3!$A$1:$E$410,4,FALSE),0)</f>
        <v>20.648191000000001</v>
      </c>
      <c r="F298">
        <f>IFERROR(VLOOKUP(A298,[3]Hoja2!$A$1:$E$411,4,FALSE),0)</f>
        <v>21</v>
      </c>
      <c r="G298">
        <f>VLOOKUP(A298,[4]Hoja1!$D$1:$K$778,7,FALSE)</f>
        <v>24.31</v>
      </c>
      <c r="H298">
        <f>VLOOKUP(A298,[5]Hoja1!$D$1:$K$781,7,FALSE)</f>
        <v>24.31</v>
      </c>
      <c r="I298">
        <f>VLOOKUP(A298,[6]Hoja1!$D$1:$O$781,7,FALSE)</f>
        <v>24.31</v>
      </c>
      <c r="J298">
        <f>VLOOKUP(A298,[6]Hoja1!$D$1:$O$781,8,FALSE)</f>
        <v>24.31</v>
      </c>
      <c r="K298">
        <f>VLOOKUP(A298,[6]Hoja1!$D$1:$O$781,9,FALSE)</f>
        <v>24.31</v>
      </c>
      <c r="L298">
        <f>VLOOKUP(A298,[6]Hoja1!$D$1:$O$781,11,FALSE)</f>
        <v>24.31</v>
      </c>
    </row>
    <row r="299" spans="1:12" x14ac:dyDescent="0.2">
      <c r="A299" t="s">
        <v>663</v>
      </c>
      <c r="B299" t="s">
        <v>664</v>
      </c>
      <c r="C299" t="s">
        <v>52</v>
      </c>
      <c r="D299">
        <f>IFERROR(VLOOKUP(A299,[1]Hoja2!$A$1:$E$430,4,FALSE),0)</f>
        <v>0</v>
      </c>
      <c r="E299">
        <f>IFERROR(VLOOKUP(A299,[2]Hoja3!$A$1:$E$410,4,FALSE),0)</f>
        <v>22.51</v>
      </c>
      <c r="F299">
        <f>IFERROR(VLOOKUP(A299,[3]Hoja2!$A$1:$E$411,4,FALSE),0)</f>
        <v>16.899999999999999</v>
      </c>
      <c r="G299">
        <f>VLOOKUP(A299,[4]Hoja1!$D$1:$K$778,7,FALSE)</f>
        <v>22.513030303030298</v>
      </c>
      <c r="H299">
        <f>VLOOKUP(A299,[5]Hoja1!$D$1:$K$781,7,FALSE)</f>
        <v>22.513030303030305</v>
      </c>
      <c r="I299">
        <f>VLOOKUP(A299,[6]Hoja1!$D$1:$O$781,7,FALSE)</f>
        <v>22.513030303030305</v>
      </c>
      <c r="J299">
        <f>VLOOKUP(A299,[6]Hoja1!$D$1:$O$781,8,FALSE)</f>
        <v>22.513030303030305</v>
      </c>
      <c r="K299">
        <f>VLOOKUP(A299,[6]Hoja1!$D$1:$O$781,9,FALSE)</f>
        <v>22.513030303030305</v>
      </c>
      <c r="L299">
        <f>VLOOKUP(A299,[6]Hoja1!$D$1:$O$781,11,FALSE)</f>
        <v>22.513030303030305</v>
      </c>
    </row>
    <row r="300" spans="1:12" x14ac:dyDescent="0.2">
      <c r="A300" t="s">
        <v>665</v>
      </c>
      <c r="B300" t="s">
        <v>666</v>
      </c>
      <c r="C300" t="s">
        <v>52</v>
      </c>
      <c r="D300">
        <f>IFERROR(VLOOKUP(A300,[1]Hoja2!$A$1:$E$430,4,FALSE),0)</f>
        <v>0</v>
      </c>
      <c r="E300">
        <f>IFERROR(VLOOKUP(A300,[2]Hoja3!$A$1:$E$410,4,FALSE),0)</f>
        <v>0</v>
      </c>
      <c r="F300">
        <f>IFERROR(VLOOKUP(A300,[3]Hoja2!$A$1:$E$411,4,FALSE),0)</f>
        <v>0</v>
      </c>
      <c r="G300">
        <f>VLOOKUP(A300,[4]Hoja1!$D$1:$K$778,7,FALSE)</f>
        <v>31.213333333333299</v>
      </c>
      <c r="H300">
        <f>VLOOKUP(A300,[5]Hoja1!$D$1:$K$781,7,FALSE)</f>
        <v>31.213333333333335</v>
      </c>
      <c r="I300">
        <f>VLOOKUP(A300,[6]Hoja1!$D$1:$O$781,7,FALSE)</f>
        <v>31.213333333333335</v>
      </c>
      <c r="J300">
        <f>VLOOKUP(A300,[6]Hoja1!$D$1:$O$781,8,FALSE)</f>
        <v>31.213333333333335</v>
      </c>
      <c r="K300">
        <f>VLOOKUP(A300,[6]Hoja1!$D$1:$O$781,9,FALSE)</f>
        <v>31.213333333333335</v>
      </c>
      <c r="L300">
        <f>VLOOKUP(A300,[6]Hoja1!$D$1:$O$781,11,FALSE)</f>
        <v>31.213333333333335</v>
      </c>
    </row>
    <row r="301" spans="1:12" x14ac:dyDescent="0.2">
      <c r="A301" t="s">
        <v>667</v>
      </c>
      <c r="B301" t="s">
        <v>668</v>
      </c>
      <c r="C301" t="s">
        <v>669</v>
      </c>
      <c r="D301">
        <f>IFERROR(VLOOKUP(A301,[1]Hoja2!$A$1:$E$430,4,FALSE),0)</f>
        <v>0</v>
      </c>
      <c r="E301">
        <f>IFERROR(VLOOKUP(A301,[2]Hoja3!$A$1:$E$410,4,FALSE),0)</f>
        <v>88.267857000000006</v>
      </c>
      <c r="F301">
        <f>IFERROR(VLOOKUP(A301,[3]Hoja2!$A$1:$E$411,4,FALSE),0)</f>
        <v>64.878048780499995</v>
      </c>
      <c r="G301">
        <f>VLOOKUP(A301,[4]Hoja1!$D$1:$K$778,7,FALSE)</f>
        <v>83.286111111111097</v>
      </c>
      <c r="H301">
        <f>VLOOKUP(A301,[5]Hoja1!$D$1:$K$781,7,FALSE)</f>
        <v>83.286111111111111</v>
      </c>
      <c r="I301">
        <f>VLOOKUP(A301,[6]Hoja1!$D$1:$O$781,7,FALSE)</f>
        <v>83.286111111111111</v>
      </c>
      <c r="J301">
        <f>VLOOKUP(A301,[6]Hoja1!$D$1:$O$781,8,FALSE)</f>
        <v>83.286111111111111</v>
      </c>
      <c r="K301">
        <f>VLOOKUP(A301,[6]Hoja1!$D$1:$O$781,9,FALSE)</f>
        <v>83.286111111111111</v>
      </c>
      <c r="L301">
        <f>VLOOKUP(A301,[6]Hoja1!$D$1:$O$781,11,FALSE)</f>
        <v>83.286111111111111</v>
      </c>
    </row>
    <row r="302" spans="1:12" x14ac:dyDescent="0.2">
      <c r="A302" t="s">
        <v>670</v>
      </c>
      <c r="B302" t="s">
        <v>671</v>
      </c>
      <c r="C302" t="s">
        <v>52</v>
      </c>
      <c r="D302">
        <f>IFERROR(VLOOKUP(A302,[1]Hoja2!$A$1:$E$430,4,FALSE),0)</f>
        <v>0</v>
      </c>
      <c r="E302">
        <f>IFERROR(VLOOKUP(A302,[2]Hoja3!$A$1:$E$410,4,FALSE),0)</f>
        <v>24.9</v>
      </c>
      <c r="F302">
        <f>IFERROR(VLOOKUP(A302,[3]Hoja2!$A$1:$E$411,4,FALSE),0)</f>
        <v>24.9</v>
      </c>
      <c r="G302">
        <f>VLOOKUP(A302,[4]Hoja1!$D$1:$K$778,7,FALSE)</f>
        <v>25.33</v>
      </c>
      <c r="H302">
        <f>VLOOKUP(A302,[5]Hoja1!$D$1:$K$781,7,FALSE)</f>
        <v>25.33</v>
      </c>
      <c r="I302">
        <f>VLOOKUP(A302,[6]Hoja1!$D$1:$O$781,7,FALSE)</f>
        <v>25.33</v>
      </c>
      <c r="J302">
        <f>VLOOKUP(A302,[6]Hoja1!$D$1:$O$781,8,FALSE)</f>
        <v>25.33</v>
      </c>
      <c r="K302">
        <f>VLOOKUP(A302,[6]Hoja1!$D$1:$O$781,9,FALSE)</f>
        <v>25.33</v>
      </c>
      <c r="L302">
        <f>VLOOKUP(A302,[6]Hoja1!$D$1:$O$781,11,FALSE)</f>
        <v>25.33</v>
      </c>
    </row>
    <row r="303" spans="1:12" x14ac:dyDescent="0.2">
      <c r="A303" t="s">
        <v>672</v>
      </c>
      <c r="B303" t="s">
        <v>673</v>
      </c>
      <c r="C303">
        <v>0.1</v>
      </c>
      <c r="D303">
        <f>IFERROR(VLOOKUP(A303,[1]Hoja2!$A$1:$E$430,4,FALSE),0)</f>
        <v>0</v>
      </c>
      <c r="E303">
        <f>IFERROR(VLOOKUP(A303,[2]Hoja3!$A$1:$E$410,4,FALSE),0)</f>
        <v>9.9328830000000004</v>
      </c>
      <c r="F303">
        <f>IFERROR(VLOOKUP(A303,[3]Hoja2!$A$1:$E$411,4,FALSE),0)</f>
        <v>6.0210127466000003</v>
      </c>
      <c r="G303">
        <f>VLOOKUP(A303,[4]Hoja1!$D$1:$K$778,7,FALSE)</f>
        <v>13.3937810559006</v>
      </c>
      <c r="H303">
        <f>VLOOKUP(A303,[5]Hoja1!$D$1:$K$781,7,FALSE)</f>
        <v>13.393781055900622</v>
      </c>
      <c r="I303">
        <f>VLOOKUP(A303,[6]Hoja1!$D$1:$O$781,7,FALSE)</f>
        <v>13.393781055900622</v>
      </c>
      <c r="J303">
        <f>VLOOKUP(A303,[6]Hoja1!$D$1:$O$781,8,FALSE)</f>
        <v>13.393781055900622</v>
      </c>
      <c r="K303">
        <f>VLOOKUP(A303,[6]Hoja1!$D$1:$O$781,9,FALSE)</f>
        <v>13.393781055900622</v>
      </c>
      <c r="L303">
        <f>VLOOKUP(A303,[6]Hoja1!$D$1:$O$781,11,FALSE)</f>
        <v>15</v>
      </c>
    </row>
    <row r="304" spans="1:12" x14ac:dyDescent="0.2">
      <c r="A304" t="s">
        <v>674</v>
      </c>
      <c r="B304" t="s">
        <v>675</v>
      </c>
      <c r="C304" t="s">
        <v>52</v>
      </c>
      <c r="D304">
        <f>IFERROR(VLOOKUP(A304,[1]Hoja2!$A$1:$E$430,4,FALSE),0)</f>
        <v>0</v>
      </c>
      <c r="E304">
        <f>IFERROR(VLOOKUP(A304,[2]Hoja3!$A$1:$E$410,4,FALSE),0)</f>
        <v>99.75</v>
      </c>
      <c r="F304">
        <f>IFERROR(VLOOKUP(A304,[3]Hoja2!$A$1:$E$411,4,FALSE),0)</f>
        <v>99.75</v>
      </c>
      <c r="G304">
        <f>VLOOKUP(A304,[4]Hoja1!$D$1:$K$778,7,FALSE)</f>
        <v>85.357916666666696</v>
      </c>
      <c r="H304">
        <f>VLOOKUP(A304,[5]Hoja1!$D$1:$K$781,7,FALSE)</f>
        <v>85.357916666666668</v>
      </c>
      <c r="I304">
        <f>VLOOKUP(A304,[6]Hoja1!$D$1:$O$781,7,FALSE)</f>
        <v>85.357916666666668</v>
      </c>
      <c r="J304">
        <f>VLOOKUP(A304,[6]Hoja1!$D$1:$O$781,8,FALSE)</f>
        <v>85.357916666666668</v>
      </c>
      <c r="K304">
        <f>VLOOKUP(A304,[6]Hoja1!$D$1:$O$781,9,FALSE)</f>
        <v>117.23144664158194</v>
      </c>
      <c r="L304">
        <f>VLOOKUP(A304,[6]Hoja1!$D$1:$O$781,11,FALSE)</f>
        <v>117.23144664158194</v>
      </c>
    </row>
    <row r="305" spans="1:12" x14ac:dyDescent="0.2">
      <c r="A305" t="s">
        <v>676</v>
      </c>
      <c r="B305" t="s">
        <v>677</v>
      </c>
      <c r="C305" t="s">
        <v>678</v>
      </c>
      <c r="D305">
        <f>IFERROR(VLOOKUP(A305,[1]Hoja2!$A$1:$E$430,4,FALSE),0)</f>
        <v>0</v>
      </c>
      <c r="E305">
        <f>IFERROR(VLOOKUP(A305,[2]Hoja3!$A$1:$E$410,4,FALSE),0)</f>
        <v>53.988039000000001</v>
      </c>
      <c r="F305">
        <f>IFERROR(VLOOKUP(A305,[3]Hoja2!$A$1:$E$411,4,FALSE),0)</f>
        <v>53.980146315900001</v>
      </c>
      <c r="G305">
        <f>VLOOKUP(A305,[4]Hoja1!$D$1:$K$778,7,FALSE)</f>
        <v>54</v>
      </c>
      <c r="H305">
        <f>VLOOKUP(A305,[5]Hoja1!$D$1:$K$781,7,FALSE)</f>
        <v>54</v>
      </c>
      <c r="I305">
        <f>VLOOKUP(A305,[6]Hoja1!$D$1:$O$781,7,FALSE)</f>
        <v>54</v>
      </c>
      <c r="J305">
        <f>VLOOKUP(A305,[6]Hoja1!$D$1:$O$781,8,FALSE)</f>
        <v>65.5</v>
      </c>
      <c r="K305">
        <f>VLOOKUP(A305,[6]Hoja1!$D$1:$O$781,9,FALSE)</f>
        <v>65.5</v>
      </c>
      <c r="L305">
        <f>VLOOKUP(A305,[6]Hoja1!$D$1:$O$781,11,FALSE)</f>
        <v>97.93</v>
      </c>
    </row>
    <row r="306" spans="1:12" x14ac:dyDescent="0.2">
      <c r="A306" t="s">
        <v>679</v>
      </c>
      <c r="B306" t="s">
        <v>680</v>
      </c>
      <c r="C306" t="s">
        <v>678</v>
      </c>
      <c r="D306">
        <f>IFERROR(VLOOKUP(A306,[1]Hoja2!$A$1:$E$430,4,FALSE),0)</f>
        <v>0</v>
      </c>
      <c r="E306">
        <f>IFERROR(VLOOKUP(A306,[2]Hoja3!$A$1:$E$410,4,FALSE),0)</f>
        <v>163.99</v>
      </c>
      <c r="F306">
        <f>IFERROR(VLOOKUP(A306,[3]Hoja2!$A$1:$E$411,4,FALSE),0)</f>
        <v>178.9</v>
      </c>
      <c r="G306">
        <f>VLOOKUP(A306,[4]Hoja1!$D$1:$K$778,7,FALSE)</f>
        <v>179</v>
      </c>
      <c r="H306">
        <f>VLOOKUP(A306,[5]Hoja1!$D$1:$K$781,7,FALSE)</f>
        <v>179</v>
      </c>
      <c r="I306">
        <f>VLOOKUP(A306,[6]Hoja1!$D$1:$O$781,7,FALSE)</f>
        <v>179</v>
      </c>
      <c r="J306">
        <f>VLOOKUP(A306,[6]Hoja1!$D$1:$O$781,8,FALSE)</f>
        <v>179</v>
      </c>
      <c r="K306">
        <f>VLOOKUP(A306,[6]Hoja1!$D$1:$O$781,9,FALSE)</f>
        <v>179</v>
      </c>
      <c r="L306">
        <f>VLOOKUP(A306,[6]Hoja1!$D$1:$O$781,11,FALSE)</f>
        <v>389.34737179157145</v>
      </c>
    </row>
    <row r="307" spans="1:12" x14ac:dyDescent="0.2">
      <c r="A307" t="s">
        <v>681</v>
      </c>
      <c r="B307" t="s">
        <v>682</v>
      </c>
      <c r="C307" t="s">
        <v>678</v>
      </c>
      <c r="D307">
        <f>IFERROR(VLOOKUP(A307,[1]Hoja2!$A$1:$E$430,4,FALSE),0)</f>
        <v>0</v>
      </c>
      <c r="E307">
        <f>IFERROR(VLOOKUP(A307,[2]Hoja3!$A$1:$E$410,4,FALSE),0)</f>
        <v>57.13</v>
      </c>
      <c r="F307">
        <f>IFERROR(VLOOKUP(A307,[3]Hoja2!$A$1:$E$411,4,FALSE),0)</f>
        <v>57.13</v>
      </c>
      <c r="G307">
        <f>VLOOKUP(A307,[4]Hoja1!$D$1:$K$778,7,FALSE)</f>
        <v>57.14</v>
      </c>
      <c r="H307">
        <f>VLOOKUP(A307,[5]Hoja1!$D$1:$K$781,7,FALSE)</f>
        <v>57.140000000000008</v>
      </c>
      <c r="I307">
        <f>VLOOKUP(A307,[6]Hoja1!$D$1:$O$781,7,FALSE)</f>
        <v>57.140000000000008</v>
      </c>
      <c r="J307">
        <f>VLOOKUP(A307,[6]Hoja1!$D$1:$O$781,8,FALSE)</f>
        <v>57.140000000000008</v>
      </c>
      <c r="K307">
        <f>VLOOKUP(A307,[6]Hoja1!$D$1:$O$781,9,FALSE)</f>
        <v>166.27658093212145</v>
      </c>
      <c r="L307">
        <f>VLOOKUP(A307,[6]Hoja1!$D$1:$O$781,11,FALSE)</f>
        <v>166.27658093212145</v>
      </c>
    </row>
    <row r="308" spans="1:12" x14ac:dyDescent="0.2">
      <c r="A308" t="s">
        <v>683</v>
      </c>
      <c r="B308" t="s">
        <v>684</v>
      </c>
      <c r="C308" t="s">
        <v>685</v>
      </c>
      <c r="D308">
        <f>IFERROR(VLOOKUP(A308,[1]Hoja2!$A$1:$E$430,4,FALSE),0)</f>
        <v>0</v>
      </c>
      <c r="E308">
        <f>IFERROR(VLOOKUP(A308,[2]Hoja3!$A$1:$E$410,4,FALSE),0)</f>
        <v>304.87</v>
      </c>
      <c r="F308">
        <f>IFERROR(VLOOKUP(A308,[3]Hoja2!$A$1:$E$411,4,FALSE),0)</f>
        <v>282.60000000000002</v>
      </c>
      <c r="G308">
        <f>VLOOKUP(A308,[4]Hoja1!$D$1:$K$778,7,FALSE)</f>
        <v>304.88</v>
      </c>
      <c r="H308">
        <f>VLOOKUP(A308,[5]Hoja1!$D$1:$K$781,7,FALSE)</f>
        <v>304.88</v>
      </c>
      <c r="I308">
        <f>VLOOKUP(A308,[6]Hoja1!$D$1:$O$781,7,FALSE)</f>
        <v>304.88</v>
      </c>
      <c r="J308">
        <f>VLOOKUP(A308,[6]Hoja1!$D$1:$O$781,8,FALSE)</f>
        <v>304.88</v>
      </c>
      <c r="K308">
        <f>VLOOKUP(A308,[6]Hoja1!$D$1:$O$781,9,FALSE)</f>
        <v>352</v>
      </c>
      <c r="L308">
        <f>VLOOKUP(A308,[6]Hoja1!$D$1:$O$781,11,FALSE)</f>
        <v>352</v>
      </c>
    </row>
    <row r="309" spans="1:12" x14ac:dyDescent="0.2">
      <c r="A309" t="s">
        <v>686</v>
      </c>
      <c r="B309" t="s">
        <v>687</v>
      </c>
      <c r="C309" t="s">
        <v>688</v>
      </c>
      <c r="D309">
        <f>IFERROR(VLOOKUP(A309,[1]Hoja2!$A$1:$E$430,4,FALSE),0)</f>
        <v>0</v>
      </c>
      <c r="E309">
        <f>IFERROR(VLOOKUP(A309,[2]Hoja3!$A$1:$E$410,4,FALSE),0)</f>
        <v>449.99</v>
      </c>
      <c r="F309">
        <f>IFERROR(VLOOKUP(A309,[3]Hoja2!$A$1:$E$411,4,FALSE),0)</f>
        <v>449.99</v>
      </c>
      <c r="G309">
        <f>VLOOKUP(A309,[4]Hoja1!$D$1:$K$778,7,FALSE)</f>
        <v>450</v>
      </c>
      <c r="H309">
        <f>VLOOKUP(A309,[5]Hoja1!$D$1:$K$781,7,FALSE)</f>
        <v>450</v>
      </c>
      <c r="I309">
        <f>VLOOKUP(A309,[6]Hoja1!$D$1:$O$781,7,FALSE)</f>
        <v>450</v>
      </c>
      <c r="J309">
        <f>VLOOKUP(A309,[6]Hoja1!$D$1:$O$781,8,FALSE)</f>
        <v>450</v>
      </c>
      <c r="K309">
        <f>VLOOKUP(A309,[6]Hoja1!$D$1:$O$781,9,FALSE)</f>
        <v>450</v>
      </c>
      <c r="L309">
        <f>VLOOKUP(A309,[6]Hoja1!$D$1:$O$781,11,FALSE)</f>
        <v>450</v>
      </c>
    </row>
    <row r="310" spans="1:12" x14ac:dyDescent="0.2">
      <c r="A310" t="s">
        <v>689</v>
      </c>
      <c r="B310" t="s">
        <v>690</v>
      </c>
      <c r="C310" t="s">
        <v>691</v>
      </c>
      <c r="D310">
        <f>IFERROR(VLOOKUP(A310,[1]Hoja2!$A$1:$E$430,4,FALSE),0)</f>
        <v>0</v>
      </c>
      <c r="E310">
        <f>IFERROR(VLOOKUP(A310,[2]Hoja3!$A$1:$E$410,4,FALSE),0)</f>
        <v>130.08066600000001</v>
      </c>
      <c r="F310">
        <f>IFERROR(VLOOKUP(A310,[3]Hoja2!$A$1:$E$411,4,FALSE),0)</f>
        <v>130.08066600000001</v>
      </c>
      <c r="G310">
        <f>VLOOKUP(A310,[4]Hoja1!$D$1:$K$778,7,FALSE)</f>
        <v>120.62</v>
      </c>
      <c r="H310">
        <f>VLOOKUP(A310,[5]Hoja1!$D$1:$K$781,7,FALSE)</f>
        <v>120.62</v>
      </c>
      <c r="I310">
        <f>VLOOKUP(A310,[6]Hoja1!$D$1:$O$781,7,FALSE)</f>
        <v>120.62</v>
      </c>
      <c r="J310">
        <f>VLOOKUP(A310,[6]Hoja1!$D$1:$O$781,8,FALSE)</f>
        <v>120.62</v>
      </c>
      <c r="K310">
        <f>VLOOKUP(A310,[6]Hoja1!$D$1:$O$781,9,FALSE)</f>
        <v>145.97</v>
      </c>
      <c r="L310">
        <f>VLOOKUP(A310,[6]Hoja1!$D$1:$O$781,11,FALSE)</f>
        <v>145.97</v>
      </c>
    </row>
    <row r="311" spans="1:12" x14ac:dyDescent="0.2">
      <c r="A311" t="s">
        <v>692</v>
      </c>
      <c r="B311" t="s">
        <v>690</v>
      </c>
      <c r="C311" t="s">
        <v>693</v>
      </c>
      <c r="D311">
        <f>IFERROR(VLOOKUP(A311,[1]Hoja2!$A$1:$E$430,4,FALSE),0)</f>
        <v>0</v>
      </c>
      <c r="E311">
        <f>IFERROR(VLOOKUP(A311,[2]Hoja3!$A$1:$E$410,4,FALSE),0)</f>
        <v>156.80000000000001</v>
      </c>
      <c r="F311">
        <f>IFERROR(VLOOKUP(A311,[3]Hoja2!$A$1:$E$411,4,FALSE),0)</f>
        <v>156.80000000000001</v>
      </c>
      <c r="G311">
        <f>VLOOKUP(A311,[4]Hoja1!$D$1:$K$778,7,FALSE)</f>
        <v>156.803636363636</v>
      </c>
      <c r="H311">
        <f>VLOOKUP(A311,[5]Hoja1!$D$1:$K$781,7,FALSE)</f>
        <v>156.80363636363637</v>
      </c>
      <c r="I311">
        <f>VLOOKUP(A311,[6]Hoja1!$D$1:$O$781,7,FALSE)</f>
        <v>156.80363636363637</v>
      </c>
      <c r="J311">
        <f>VLOOKUP(A311,[6]Hoja1!$D$1:$O$781,8,FALSE)</f>
        <v>156.80363636363637</v>
      </c>
      <c r="K311">
        <f>VLOOKUP(A311,[6]Hoja1!$D$1:$O$781,9,FALSE)</f>
        <v>198</v>
      </c>
      <c r="L311">
        <f>VLOOKUP(A311,[6]Hoja1!$D$1:$O$781,11,FALSE)</f>
        <v>198</v>
      </c>
    </row>
    <row r="312" spans="1:12" x14ac:dyDescent="0.2">
      <c r="A312" t="s">
        <v>694</v>
      </c>
      <c r="B312" t="s">
        <v>695</v>
      </c>
      <c r="C312" t="s">
        <v>52</v>
      </c>
      <c r="D312">
        <f>IFERROR(VLOOKUP(A312,[1]Hoja2!$A$1:$E$430,4,FALSE),0)</f>
        <v>0</v>
      </c>
      <c r="E312">
        <f>IFERROR(VLOOKUP(A312,[2]Hoja3!$A$1:$E$410,4,FALSE),0)</f>
        <v>234.32727199999999</v>
      </c>
      <c r="F312">
        <f>IFERROR(VLOOKUP(A312,[3]Hoja2!$A$1:$E$411,4,FALSE),0)</f>
        <v>235</v>
      </c>
      <c r="G312">
        <f>VLOOKUP(A312,[4]Hoja1!$D$1:$K$778,7,FALSE)</f>
        <v>235</v>
      </c>
      <c r="H312">
        <f>VLOOKUP(A312,[5]Hoja1!$D$1:$K$781,7,FALSE)</f>
        <v>235</v>
      </c>
      <c r="I312">
        <f>VLOOKUP(A312,[6]Hoja1!$D$1:$O$781,7,FALSE)</f>
        <v>235</v>
      </c>
      <c r="J312">
        <f>VLOOKUP(A312,[6]Hoja1!$D$1:$O$781,8,FALSE)</f>
        <v>235</v>
      </c>
      <c r="K312">
        <f>VLOOKUP(A312,[6]Hoja1!$D$1:$O$781,9,FALSE)</f>
        <v>235</v>
      </c>
      <c r="L312">
        <f>VLOOKUP(A312,[6]Hoja1!$D$1:$O$781,11,FALSE)</f>
        <v>235</v>
      </c>
    </row>
    <row r="313" spans="1:12" x14ac:dyDescent="0.2">
      <c r="A313" t="s">
        <v>696</v>
      </c>
      <c r="B313" t="s">
        <v>697</v>
      </c>
      <c r="C313" t="s">
        <v>52</v>
      </c>
      <c r="D313">
        <f>IFERROR(VLOOKUP(A313,[1]Hoja2!$A$1:$E$430,4,FALSE),0)</f>
        <v>0</v>
      </c>
      <c r="E313">
        <f>IFERROR(VLOOKUP(A313,[2]Hoja3!$A$1:$E$410,4,FALSE),0)</f>
        <v>140</v>
      </c>
      <c r="F313">
        <f>IFERROR(VLOOKUP(A313,[3]Hoja2!$A$1:$E$411,4,FALSE),0)</f>
        <v>140</v>
      </c>
      <c r="G313">
        <f>VLOOKUP(A313,[4]Hoja1!$D$1:$K$778,7,FALSE)</f>
        <v>146.88399999999999</v>
      </c>
      <c r="H313">
        <f>VLOOKUP(A313,[5]Hoja1!$D$1:$K$781,7,FALSE)</f>
        <v>146.88399999999999</v>
      </c>
      <c r="I313">
        <f>VLOOKUP(A313,[6]Hoja1!$D$1:$O$781,7,FALSE)</f>
        <v>146.88399999999999</v>
      </c>
      <c r="J313">
        <f>VLOOKUP(A313,[6]Hoja1!$D$1:$O$781,8,FALSE)</f>
        <v>146.88399999999999</v>
      </c>
      <c r="K313">
        <f>VLOOKUP(A313,[6]Hoja1!$D$1:$O$781,9,FALSE)</f>
        <v>173.80010990415337</v>
      </c>
      <c r="L313">
        <f>VLOOKUP(A313,[6]Hoja1!$D$1:$O$781,11,FALSE)</f>
        <v>173.80010990415337</v>
      </c>
    </row>
    <row r="314" spans="1:12" x14ac:dyDescent="0.2">
      <c r="A314" t="s">
        <v>698</v>
      </c>
      <c r="B314" t="s">
        <v>203</v>
      </c>
      <c r="C314" t="s">
        <v>207</v>
      </c>
      <c r="D314">
        <f>IFERROR(VLOOKUP(A314,[1]Hoja2!$A$1:$E$430,4,FALSE),0)</f>
        <v>0</v>
      </c>
      <c r="E314">
        <f>IFERROR(VLOOKUP(A314,[2]Hoja3!$A$1:$E$410,4,FALSE),0)</f>
        <v>6.88</v>
      </c>
      <c r="F314">
        <f>IFERROR(VLOOKUP(A314,[3]Hoja2!$A$1:$E$411,4,FALSE),0)</f>
        <v>0</v>
      </c>
      <c r="G314">
        <f>VLOOKUP(A314,[4]Hoja1!$D$1:$K$778,7,FALSE)</f>
        <v>7.0519999999999996</v>
      </c>
      <c r="H314">
        <f>VLOOKUP(A314,[5]Hoja1!$D$1:$K$781,7,FALSE)</f>
        <v>7.0520000000000014</v>
      </c>
      <c r="I314">
        <f>VLOOKUP(A314,[6]Hoja1!$D$1:$O$781,7,FALSE)</f>
        <v>7.0520000000000014</v>
      </c>
      <c r="J314">
        <f>VLOOKUP(A314,[6]Hoja1!$D$1:$O$781,8,FALSE)</f>
        <v>7.0520000000000014</v>
      </c>
      <c r="K314">
        <f>VLOOKUP(A314,[6]Hoja1!$D$1:$O$781,9,FALSE)</f>
        <v>7.0520000000000014</v>
      </c>
      <c r="L314">
        <f>VLOOKUP(A314,[6]Hoja1!$D$1:$O$781,11,FALSE)</f>
        <v>7.0520000000000014</v>
      </c>
    </row>
    <row r="315" spans="1:12" x14ac:dyDescent="0.2">
      <c r="A315" t="s">
        <v>699</v>
      </c>
      <c r="B315" t="s">
        <v>700</v>
      </c>
      <c r="C315" t="s">
        <v>16</v>
      </c>
      <c r="D315">
        <f>IFERROR(VLOOKUP(A315,[1]Hoja2!$A$1:$E$430,4,FALSE),0)</f>
        <v>0</v>
      </c>
      <c r="E315">
        <f>IFERROR(VLOOKUP(A315,[2]Hoja3!$A$1:$E$410,4,FALSE),0)</f>
        <v>10</v>
      </c>
      <c r="F315">
        <f>IFERROR(VLOOKUP(A315,[3]Hoja2!$A$1:$E$411,4,FALSE),0)</f>
        <v>7.7008695651999997</v>
      </c>
      <c r="G315">
        <f>VLOOKUP(A315,[4]Hoja1!$D$1:$K$778,7,FALSE)</f>
        <v>28.796666666666699</v>
      </c>
      <c r="H315">
        <f>VLOOKUP(A315,[5]Hoja1!$D$1:$K$781,7,FALSE)</f>
        <v>28.796666666666667</v>
      </c>
      <c r="I315">
        <f>VLOOKUP(A315,[6]Hoja1!$D$1:$O$781,7,FALSE)</f>
        <v>28.796666666666667</v>
      </c>
      <c r="J315">
        <f>VLOOKUP(A315,[6]Hoja1!$D$1:$O$781,8,FALSE)</f>
        <v>28.796666666666667</v>
      </c>
      <c r="K315">
        <f>VLOOKUP(A315,[6]Hoja1!$D$1:$O$781,9,FALSE)</f>
        <v>28.796666666666667</v>
      </c>
      <c r="L315">
        <f>VLOOKUP(A315,[6]Hoja1!$D$1:$O$781,11,FALSE)</f>
        <v>28.796666666666667</v>
      </c>
    </row>
    <row r="316" spans="1:12" x14ac:dyDescent="0.2">
      <c r="A316" t="s">
        <v>701</v>
      </c>
      <c r="B316" t="s">
        <v>702</v>
      </c>
      <c r="C316" t="s">
        <v>72</v>
      </c>
      <c r="D316">
        <f>IFERROR(VLOOKUP(A316,[1]Hoja2!$A$1:$E$430,4,FALSE),0)</f>
        <v>0</v>
      </c>
      <c r="E316">
        <f>IFERROR(VLOOKUP(A316,[2]Hoja3!$A$1:$E$410,4,FALSE),0)</f>
        <v>0</v>
      </c>
      <c r="F316">
        <f>IFERROR(VLOOKUP(A316,[3]Hoja2!$A$1:$E$411,4,FALSE),0)</f>
        <v>0</v>
      </c>
      <c r="G316">
        <f>VLOOKUP(A316,[4]Hoja1!$D$1:$K$778,7,FALSE)</f>
        <v>1.9145151515151499</v>
      </c>
      <c r="H316">
        <f>VLOOKUP(A316,[5]Hoja1!$D$1:$K$781,7,FALSE)</f>
        <v>1.9145151515151513</v>
      </c>
      <c r="I316">
        <f>VLOOKUP(A316,[6]Hoja1!$D$1:$O$781,7,FALSE)</f>
        <v>1.9145151515151513</v>
      </c>
      <c r="J316">
        <f>VLOOKUP(A316,[6]Hoja1!$D$1:$O$781,8,FALSE)</f>
        <v>1.9145151515151513</v>
      </c>
      <c r="K316">
        <f>VLOOKUP(A316,[6]Hoja1!$D$1:$O$781,9,FALSE)</f>
        <v>1.9145151515151513</v>
      </c>
      <c r="L316">
        <f>VLOOKUP(A316,[6]Hoja1!$D$1:$O$781,11,FALSE)</f>
        <v>1.9145151515151513</v>
      </c>
    </row>
    <row r="317" spans="1:12" x14ac:dyDescent="0.2">
      <c r="A317" t="s">
        <v>703</v>
      </c>
      <c r="B317" t="s">
        <v>704</v>
      </c>
      <c r="C317">
        <v>0.5</v>
      </c>
      <c r="D317">
        <f>IFERROR(VLOOKUP(A317,[1]Hoja2!$A$1:$E$430,4,FALSE),0)</f>
        <v>0</v>
      </c>
      <c r="E317">
        <f>IFERROR(VLOOKUP(A317,[2]Hoja3!$A$1:$E$410,4,FALSE),0)</f>
        <v>64.323333000000005</v>
      </c>
      <c r="F317">
        <f>IFERROR(VLOOKUP(A317,[3]Hoja2!$A$1:$E$411,4,FALSE),0)</f>
        <v>0</v>
      </c>
      <c r="G317">
        <f>VLOOKUP(A317,[4]Hoja1!$D$1:$K$778,7,FALSE)</f>
        <v>74.06</v>
      </c>
      <c r="H317">
        <f>VLOOKUP(A317,[5]Hoja1!$D$1:$K$781,7,FALSE)</f>
        <v>74.06</v>
      </c>
      <c r="I317">
        <f>VLOOKUP(A317,[6]Hoja1!$D$1:$O$781,7,FALSE)</f>
        <v>74.06</v>
      </c>
      <c r="J317">
        <f>VLOOKUP(A317,[6]Hoja1!$D$1:$O$781,8,FALSE)</f>
        <v>74.06</v>
      </c>
      <c r="K317">
        <f>VLOOKUP(A317,[6]Hoja1!$D$1:$O$781,9,FALSE)</f>
        <v>74.06</v>
      </c>
      <c r="L317">
        <f>VLOOKUP(A317,[6]Hoja1!$D$1:$O$781,11,FALSE)</f>
        <v>74.06</v>
      </c>
    </row>
    <row r="318" spans="1:12" x14ac:dyDescent="0.2">
      <c r="A318" t="s">
        <v>705</v>
      </c>
      <c r="B318" t="s">
        <v>408</v>
      </c>
      <c r="C318" t="s">
        <v>380</v>
      </c>
      <c r="D318">
        <f>IFERROR(VLOOKUP(A318,[1]Hoja2!$A$1:$E$430,4,FALSE),0)</f>
        <v>0</v>
      </c>
      <c r="E318">
        <f>IFERROR(VLOOKUP(A318,[2]Hoja3!$A$1:$E$410,4,FALSE),0)</f>
        <v>21.084</v>
      </c>
      <c r="F318">
        <f>IFERROR(VLOOKUP(A318,[3]Hoja2!$A$1:$E$411,4,FALSE),0)</f>
        <v>21.084666666699999</v>
      </c>
      <c r="G318">
        <f>VLOOKUP(A318,[4]Hoja1!$D$1:$K$778,7,FALSE)</f>
        <v>32.4</v>
      </c>
      <c r="H318">
        <f>VLOOKUP(A318,[5]Hoja1!$D$1:$K$781,7,FALSE)</f>
        <v>32.4</v>
      </c>
      <c r="I318">
        <f>VLOOKUP(A318,[6]Hoja1!$D$1:$O$781,7,FALSE)</f>
        <v>32.4</v>
      </c>
      <c r="J318">
        <f>VLOOKUP(A318,[6]Hoja1!$D$1:$O$781,8,FALSE)</f>
        <v>32.4</v>
      </c>
      <c r="K318">
        <f>VLOOKUP(A318,[6]Hoja1!$D$1:$O$781,9,FALSE)</f>
        <v>32.4</v>
      </c>
      <c r="L318">
        <f>VLOOKUP(A318,[6]Hoja1!$D$1:$O$781,11,FALSE)</f>
        <v>32.4</v>
      </c>
    </row>
    <row r="319" spans="1:12" x14ac:dyDescent="0.2">
      <c r="A319" t="s">
        <v>706</v>
      </c>
      <c r="B319" t="s">
        <v>417</v>
      </c>
      <c r="C319" t="s">
        <v>380</v>
      </c>
      <c r="D319">
        <f>IFERROR(VLOOKUP(A319,[1]Hoja2!$A$1:$E$430,4,FALSE),0)</f>
        <v>0</v>
      </c>
      <c r="E319">
        <f>IFERROR(VLOOKUP(A319,[2]Hoja3!$A$1:$E$410,4,FALSE),0)</f>
        <v>50</v>
      </c>
      <c r="F319">
        <f>IFERROR(VLOOKUP(A319,[3]Hoja2!$A$1:$E$411,4,FALSE),0)</f>
        <v>54</v>
      </c>
      <c r="G319">
        <f>VLOOKUP(A319,[4]Hoja1!$D$1:$K$778,7,FALSE)</f>
        <v>81.55</v>
      </c>
      <c r="H319">
        <f>VLOOKUP(A319,[5]Hoja1!$D$1:$K$781,7,FALSE)</f>
        <v>81.55</v>
      </c>
      <c r="I319">
        <f>VLOOKUP(A319,[6]Hoja1!$D$1:$O$781,7,FALSE)</f>
        <v>81.55</v>
      </c>
      <c r="J319">
        <f>VLOOKUP(A319,[6]Hoja1!$D$1:$O$781,8,FALSE)</f>
        <v>81.55</v>
      </c>
      <c r="K319">
        <f>VLOOKUP(A319,[6]Hoja1!$D$1:$O$781,9,FALSE)</f>
        <v>81.55</v>
      </c>
      <c r="L319">
        <f>VLOOKUP(A319,[6]Hoja1!$D$1:$O$781,11,FALSE)</f>
        <v>217.80538240341281</v>
      </c>
    </row>
    <row r="320" spans="1:12" x14ac:dyDescent="0.2">
      <c r="A320" t="s">
        <v>707</v>
      </c>
      <c r="B320" t="s">
        <v>426</v>
      </c>
      <c r="C320" t="s">
        <v>380</v>
      </c>
      <c r="D320">
        <f>IFERROR(VLOOKUP(A320,[1]Hoja2!$A$1:$E$430,4,FALSE),0)</f>
        <v>0</v>
      </c>
      <c r="E320">
        <f>IFERROR(VLOOKUP(A320,[2]Hoja3!$A$1:$E$410,4,FALSE),0)</f>
        <v>0</v>
      </c>
      <c r="F320">
        <f>IFERROR(VLOOKUP(A320,[3]Hoja2!$A$1:$E$411,4,FALSE),0)</f>
        <v>0</v>
      </c>
      <c r="G320">
        <f>VLOOKUP(A320,[4]Hoja1!$D$1:$K$778,7,FALSE)</f>
        <v>15.86</v>
      </c>
      <c r="H320">
        <f>VLOOKUP(A320,[5]Hoja1!$D$1:$K$781,7,FALSE)</f>
        <v>15.86</v>
      </c>
      <c r="I320">
        <f>VLOOKUP(A320,[6]Hoja1!$D$1:$O$781,7,FALSE)</f>
        <v>15.86</v>
      </c>
      <c r="J320">
        <f>VLOOKUP(A320,[6]Hoja1!$D$1:$O$781,8,FALSE)</f>
        <v>15.86</v>
      </c>
      <c r="K320">
        <f>VLOOKUP(A320,[6]Hoja1!$D$1:$O$781,9,FALSE)</f>
        <v>15.86</v>
      </c>
      <c r="L320">
        <f>VLOOKUP(A320,[6]Hoja1!$D$1:$O$781,11,FALSE)</f>
        <v>15.86</v>
      </c>
    </row>
    <row r="321" spans="1:12" x14ac:dyDescent="0.2">
      <c r="A321" t="s">
        <v>708</v>
      </c>
      <c r="B321" t="s">
        <v>709</v>
      </c>
      <c r="C321" t="s">
        <v>380</v>
      </c>
      <c r="D321">
        <f>IFERROR(VLOOKUP(A321,[1]Hoja2!$A$1:$E$430,4,FALSE),0)</f>
        <v>0</v>
      </c>
      <c r="E321">
        <f>IFERROR(VLOOKUP(A321,[2]Hoja3!$A$1:$E$410,4,FALSE),0)</f>
        <v>14.362857</v>
      </c>
      <c r="F321">
        <f>IFERROR(VLOOKUP(A321,[3]Hoja2!$A$1:$E$411,4,FALSE),0)</f>
        <v>0</v>
      </c>
      <c r="G321">
        <f>VLOOKUP(A321,[4]Hoja1!$D$1:$K$778,7,FALSE)</f>
        <v>13.8</v>
      </c>
      <c r="H321">
        <f>VLOOKUP(A321,[5]Hoja1!$D$1:$K$781,7,FALSE)</f>
        <v>13.8</v>
      </c>
      <c r="I321">
        <f>VLOOKUP(A321,[6]Hoja1!$D$1:$O$781,7,FALSE)</f>
        <v>13.8</v>
      </c>
      <c r="J321">
        <f>VLOOKUP(A321,[6]Hoja1!$D$1:$O$781,8,FALSE)</f>
        <v>13.8</v>
      </c>
      <c r="K321">
        <f>VLOOKUP(A321,[6]Hoja1!$D$1:$O$781,9,FALSE)</f>
        <v>13.8</v>
      </c>
      <c r="L321">
        <f>VLOOKUP(A321,[6]Hoja1!$D$1:$O$781,11,FALSE)</f>
        <v>13.8</v>
      </c>
    </row>
    <row r="322" spans="1:12" x14ac:dyDescent="0.2">
      <c r="A322" t="s">
        <v>710</v>
      </c>
      <c r="B322" t="s">
        <v>711</v>
      </c>
      <c r="C322" t="s">
        <v>712</v>
      </c>
      <c r="D322">
        <f>IFERROR(VLOOKUP(A322,[1]Hoja2!$A$1:$E$430,4,FALSE),0)</f>
        <v>0</v>
      </c>
      <c r="E322">
        <f>IFERROR(VLOOKUP(A322,[2]Hoja3!$A$1:$E$410,4,FALSE),0)</f>
        <v>0</v>
      </c>
      <c r="F322">
        <f>IFERROR(VLOOKUP(A322,[3]Hoja2!$A$1:$E$411,4,FALSE),0)</f>
        <v>0</v>
      </c>
      <c r="G322">
        <f>VLOOKUP(A322,[4]Hoja1!$D$1:$K$778,7,FALSE)</f>
        <v>830.85</v>
      </c>
      <c r="H322">
        <f>VLOOKUP(A322,[5]Hoja1!$D$1:$K$781,7,FALSE)</f>
        <v>830.85</v>
      </c>
      <c r="I322">
        <f>VLOOKUP(A322,[6]Hoja1!$D$1:$O$781,7,FALSE)</f>
        <v>830.85</v>
      </c>
      <c r="J322">
        <f>VLOOKUP(A322,[6]Hoja1!$D$1:$O$781,8,FALSE)</f>
        <v>830.85</v>
      </c>
      <c r="K322">
        <f>VLOOKUP(A322,[6]Hoja1!$D$1:$O$781,9,FALSE)</f>
        <v>1600</v>
      </c>
      <c r="L322">
        <f>VLOOKUP(A322,[6]Hoja1!$D$1:$O$781,11,FALSE)</f>
        <v>1600</v>
      </c>
    </row>
    <row r="323" spans="1:12" x14ac:dyDescent="0.2">
      <c r="A323" t="s">
        <v>713</v>
      </c>
      <c r="B323" t="s">
        <v>714</v>
      </c>
      <c r="C323" t="s">
        <v>72</v>
      </c>
      <c r="D323">
        <f>IFERROR(VLOOKUP(A323,[1]Hoja2!$A$1:$E$430,4,FALSE),0)</f>
        <v>0</v>
      </c>
      <c r="E323">
        <f>IFERROR(VLOOKUP(A323,[2]Hoja3!$A$1:$E$410,4,FALSE),0)</f>
        <v>13.3</v>
      </c>
      <c r="F323">
        <f>IFERROR(VLOOKUP(A323,[3]Hoja2!$A$1:$E$411,4,FALSE),0)</f>
        <v>9</v>
      </c>
      <c r="G323">
        <f>VLOOKUP(A323,[4]Hoja1!$D$1:$K$778,7,FALSE)</f>
        <v>13.3921428571429</v>
      </c>
      <c r="H323">
        <f>VLOOKUP(A323,[5]Hoja1!$D$1:$K$781,7,FALSE)</f>
        <v>13.392142857142858</v>
      </c>
      <c r="I323">
        <f>VLOOKUP(A323,[6]Hoja1!$D$1:$O$781,7,FALSE)</f>
        <v>13.392142857142858</v>
      </c>
      <c r="J323">
        <f>VLOOKUP(A323,[6]Hoja1!$D$1:$O$781,8,FALSE)</f>
        <v>13.392142857142858</v>
      </c>
      <c r="K323">
        <f>VLOOKUP(A323,[6]Hoja1!$D$1:$O$781,9,FALSE)</f>
        <v>13.392142857142858</v>
      </c>
      <c r="L323">
        <f>VLOOKUP(A323,[6]Hoja1!$D$1:$O$781,11,FALSE)</f>
        <v>16.95</v>
      </c>
    </row>
    <row r="324" spans="1:12" x14ac:dyDescent="0.2">
      <c r="A324" t="s">
        <v>715</v>
      </c>
      <c r="B324" t="s">
        <v>716</v>
      </c>
      <c r="C324" t="s">
        <v>717</v>
      </c>
      <c r="D324">
        <f>IFERROR(VLOOKUP(A324,[1]Hoja2!$A$1:$E$430,4,FALSE),0)</f>
        <v>0</v>
      </c>
      <c r="E324">
        <f>IFERROR(VLOOKUP(A324,[2]Hoja3!$A$1:$E$410,4,FALSE),0)</f>
        <v>0</v>
      </c>
      <c r="F324">
        <f>IFERROR(VLOOKUP(A324,[3]Hoja2!$A$1:$E$411,4,FALSE),0)</f>
        <v>419</v>
      </c>
      <c r="G324">
        <f>VLOOKUP(A324,[4]Hoja1!$D$1:$K$778,7,FALSE)</f>
        <v>426.09500000000003</v>
      </c>
      <c r="H324">
        <f>VLOOKUP(A324,[5]Hoja1!$D$1:$K$781,7,FALSE)</f>
        <v>426.09500000000003</v>
      </c>
      <c r="I324">
        <f>VLOOKUP(A324,[6]Hoja1!$D$1:$O$781,7,FALSE)</f>
        <v>426.09500000000003</v>
      </c>
      <c r="J324">
        <f>VLOOKUP(A324,[6]Hoja1!$D$1:$O$781,8,FALSE)</f>
        <v>426.09500000000003</v>
      </c>
      <c r="K324">
        <f>VLOOKUP(A324,[6]Hoja1!$D$1:$O$781,9,FALSE)</f>
        <v>426.09500000000003</v>
      </c>
      <c r="L324">
        <f>VLOOKUP(A324,[6]Hoja1!$D$1:$O$781,11,FALSE)</f>
        <v>939.31</v>
      </c>
    </row>
    <row r="325" spans="1:12" x14ac:dyDescent="0.2">
      <c r="A325" t="s">
        <v>718</v>
      </c>
      <c r="B325" t="s">
        <v>719</v>
      </c>
      <c r="C325" t="s">
        <v>386</v>
      </c>
      <c r="D325">
        <f>IFERROR(VLOOKUP(A325,[1]Hoja2!$A$1:$E$430,4,FALSE),0)</f>
        <v>0</v>
      </c>
      <c r="E325">
        <f>IFERROR(VLOOKUP(A325,[2]Hoja3!$A$1:$E$410,4,FALSE),0)</f>
        <v>216.9</v>
      </c>
      <c r="F325">
        <f>IFERROR(VLOOKUP(A325,[3]Hoja2!$A$1:$E$411,4,FALSE),0)</f>
        <v>216.9</v>
      </c>
      <c r="G325">
        <f>VLOOKUP(A325,[4]Hoja1!$D$1:$K$778,7,FALSE)</f>
        <v>216.9</v>
      </c>
      <c r="H325">
        <f>VLOOKUP(A325,[5]Hoja1!$D$1:$K$781,7,FALSE)</f>
        <v>216.9</v>
      </c>
      <c r="I325">
        <f>VLOOKUP(A325,[6]Hoja1!$D$1:$O$781,7,FALSE)</f>
        <v>216.9</v>
      </c>
      <c r="J325">
        <f>VLOOKUP(A325,[6]Hoja1!$D$1:$O$781,8,FALSE)</f>
        <v>216.9</v>
      </c>
      <c r="K325">
        <f>VLOOKUP(A325,[6]Hoja1!$D$1:$O$781,9,FALSE)</f>
        <v>216.9</v>
      </c>
      <c r="L325">
        <f>VLOOKUP(A325,[6]Hoja1!$D$1:$O$781,11,FALSE)</f>
        <v>5.59</v>
      </c>
    </row>
    <row r="326" spans="1:12" x14ac:dyDescent="0.2">
      <c r="A326" t="s">
        <v>720</v>
      </c>
      <c r="B326" t="s">
        <v>721</v>
      </c>
      <c r="C326" t="s">
        <v>386</v>
      </c>
      <c r="D326">
        <f>IFERROR(VLOOKUP(A326,[1]Hoja2!$A$1:$E$430,4,FALSE),0)</f>
        <v>0</v>
      </c>
      <c r="E326">
        <f>IFERROR(VLOOKUP(A326,[2]Hoja3!$A$1:$E$410,4,FALSE),0)</f>
        <v>418</v>
      </c>
      <c r="F326">
        <f>IFERROR(VLOOKUP(A326,[3]Hoja2!$A$1:$E$411,4,FALSE),0)</f>
        <v>418</v>
      </c>
      <c r="G326">
        <f>VLOOKUP(A326,[4]Hoja1!$D$1:$K$778,7,FALSE)</f>
        <v>464.066666666667</v>
      </c>
      <c r="H326">
        <f>VLOOKUP(A326,[5]Hoja1!$D$1:$K$781,7,FALSE)</f>
        <v>464.06666666666666</v>
      </c>
      <c r="I326">
        <f>VLOOKUP(A326,[6]Hoja1!$D$1:$O$781,7,FALSE)</f>
        <v>464.06666666666666</v>
      </c>
      <c r="J326">
        <f>VLOOKUP(A326,[6]Hoja1!$D$1:$O$781,8,FALSE)</f>
        <v>464.06666666666666</v>
      </c>
      <c r="K326">
        <f>VLOOKUP(A326,[6]Hoja1!$D$1:$O$781,9,FALSE)</f>
        <v>666.36</v>
      </c>
      <c r="L326">
        <f>VLOOKUP(A326,[6]Hoja1!$D$1:$O$781,11,FALSE)</f>
        <v>192.25</v>
      </c>
    </row>
    <row r="327" spans="1:12" x14ac:dyDescent="0.2">
      <c r="A327" t="s">
        <v>722</v>
      </c>
      <c r="B327" t="s">
        <v>723</v>
      </c>
      <c r="C327" t="s">
        <v>724</v>
      </c>
      <c r="D327">
        <f>IFERROR(VLOOKUP(A327,[1]Hoja2!$A$1:$E$430,4,FALSE),0)</f>
        <v>0</v>
      </c>
      <c r="E327">
        <f>IFERROR(VLOOKUP(A327,[2]Hoja3!$A$1:$E$410,4,FALSE),0)</f>
        <v>0</v>
      </c>
      <c r="F327">
        <f>IFERROR(VLOOKUP(A327,[3]Hoja2!$A$1:$E$411,4,FALSE),0)</f>
        <v>0</v>
      </c>
      <c r="G327">
        <f>VLOOKUP(A327,[4]Hoja1!$D$1:$K$778,7,FALSE)</f>
        <v>155.095</v>
      </c>
      <c r="H327">
        <f>VLOOKUP(A327,[5]Hoja1!$D$1:$K$781,7,FALSE)</f>
        <v>155.095</v>
      </c>
      <c r="I327">
        <f>VLOOKUP(A327,[6]Hoja1!$D$1:$O$781,7,FALSE)</f>
        <v>155.095</v>
      </c>
      <c r="J327">
        <f>VLOOKUP(A327,[6]Hoja1!$D$1:$O$781,8,FALSE)</f>
        <v>155.095</v>
      </c>
      <c r="K327">
        <f>VLOOKUP(A327,[6]Hoja1!$D$1:$O$781,9,FALSE)</f>
        <v>155.095</v>
      </c>
      <c r="L327">
        <f>VLOOKUP(A327,[6]Hoja1!$D$1:$O$781,11,FALSE)</f>
        <v>155.095</v>
      </c>
    </row>
    <row r="328" spans="1:12" x14ac:dyDescent="0.2">
      <c r="A328" t="s">
        <v>725</v>
      </c>
      <c r="B328" t="s">
        <v>726</v>
      </c>
      <c r="C328" t="s">
        <v>727</v>
      </c>
      <c r="D328">
        <f>IFERROR(VLOOKUP(A328,[1]Hoja2!$A$1:$E$430,4,FALSE),0)</f>
        <v>0</v>
      </c>
      <c r="E328">
        <f>IFERROR(VLOOKUP(A328,[2]Hoja3!$A$1:$E$410,4,FALSE),0)</f>
        <v>0</v>
      </c>
      <c r="F328">
        <f>IFERROR(VLOOKUP(A328,[3]Hoja2!$A$1:$E$411,4,FALSE),0)</f>
        <v>543.24</v>
      </c>
      <c r="G328">
        <f>VLOOKUP(A328,[4]Hoja1!$D$1:$K$778,7,FALSE)</f>
        <v>543.24249999999995</v>
      </c>
      <c r="H328">
        <f>VLOOKUP(A328,[5]Hoja1!$D$1:$K$781,7,FALSE)</f>
        <v>543.24250000000006</v>
      </c>
      <c r="I328">
        <f>VLOOKUP(A328,[6]Hoja1!$D$1:$O$781,7,FALSE)</f>
        <v>543.24250000000006</v>
      </c>
      <c r="J328">
        <f>VLOOKUP(A328,[6]Hoja1!$D$1:$O$781,8,FALSE)</f>
        <v>543.24250000000006</v>
      </c>
      <c r="K328">
        <f>VLOOKUP(A328,[6]Hoja1!$D$1:$O$781,9,FALSE)</f>
        <v>1002.89</v>
      </c>
      <c r="L328">
        <f>VLOOKUP(A328,[6]Hoja1!$D$1:$O$781,11,FALSE)</f>
        <v>1252.44</v>
      </c>
    </row>
    <row r="329" spans="1:12" x14ac:dyDescent="0.2">
      <c r="A329" t="s">
        <v>728</v>
      </c>
      <c r="B329" t="s">
        <v>729</v>
      </c>
      <c r="C329" t="s">
        <v>237</v>
      </c>
      <c r="D329">
        <f>IFERROR(VLOOKUP(A329,[1]Hoja2!$A$1:$E$430,4,FALSE),0)</f>
        <v>0</v>
      </c>
      <c r="E329">
        <f>IFERROR(VLOOKUP(A329,[2]Hoja3!$A$1:$E$410,4,FALSE),0)</f>
        <v>120</v>
      </c>
      <c r="F329">
        <f>IFERROR(VLOOKUP(A329,[3]Hoja2!$A$1:$E$411,4,FALSE),0)</f>
        <v>100</v>
      </c>
      <c r="G329">
        <f>VLOOKUP(A329,[4]Hoja1!$D$1:$K$778,7,FALSE)</f>
        <v>192.916666666667</v>
      </c>
      <c r="H329">
        <f>VLOOKUP(A329,[5]Hoja1!$D$1:$K$781,7,FALSE)</f>
        <v>192.91666666666669</v>
      </c>
      <c r="I329">
        <f>VLOOKUP(A329,[6]Hoja1!$D$1:$O$781,7,FALSE)</f>
        <v>192.91666666666669</v>
      </c>
      <c r="J329">
        <f>VLOOKUP(A329,[6]Hoja1!$D$1:$O$781,8,FALSE)</f>
        <v>192.91666666666669</v>
      </c>
      <c r="K329">
        <f>VLOOKUP(A329,[6]Hoja1!$D$1:$O$781,9,FALSE)</f>
        <v>192.91666666666669</v>
      </c>
      <c r="L329">
        <f>VLOOKUP(A329,[6]Hoja1!$D$1:$O$781,11,FALSE)</f>
        <v>192.91666666666669</v>
      </c>
    </row>
    <row r="330" spans="1:12" x14ac:dyDescent="0.2">
      <c r="A330" t="s">
        <v>730</v>
      </c>
      <c r="B330" t="s">
        <v>731</v>
      </c>
      <c r="C330" t="s">
        <v>732</v>
      </c>
      <c r="D330">
        <f>IFERROR(VLOOKUP(A330,[1]Hoja2!$A$1:$E$430,4,FALSE),0)</f>
        <v>0</v>
      </c>
      <c r="E330">
        <f>IFERROR(VLOOKUP(A330,[2]Hoja3!$A$1:$E$410,4,FALSE),0)</f>
        <v>402.13333299999999</v>
      </c>
      <c r="F330">
        <f>IFERROR(VLOOKUP(A330,[3]Hoja2!$A$1:$E$411,4,FALSE),0)</f>
        <v>420</v>
      </c>
      <c r="G330">
        <f>VLOOKUP(A330,[4]Hoja1!$D$1:$K$778,7,FALSE)</f>
        <v>486.30916666666701</v>
      </c>
      <c r="H330">
        <f>VLOOKUP(A330,[5]Hoja1!$D$1:$K$781,7,FALSE)</f>
        <v>486.30916666666667</v>
      </c>
      <c r="I330">
        <f>VLOOKUP(A330,[6]Hoja1!$D$1:$O$781,7,FALSE)</f>
        <v>486.30916666666667</v>
      </c>
      <c r="J330">
        <f>VLOOKUP(A330,[6]Hoja1!$D$1:$O$781,8,FALSE)</f>
        <v>486.30916666666667</v>
      </c>
      <c r="K330">
        <f>VLOOKUP(A330,[6]Hoja1!$D$1:$O$781,9,FALSE)</f>
        <v>486.30916666666667</v>
      </c>
      <c r="L330">
        <f>VLOOKUP(A330,[6]Hoja1!$D$1:$O$781,11,FALSE)</f>
        <v>486.30916666666667</v>
      </c>
    </row>
    <row r="331" spans="1:12" x14ac:dyDescent="0.2">
      <c r="A331" t="s">
        <v>733</v>
      </c>
      <c r="B331" t="s">
        <v>734</v>
      </c>
      <c r="C331" t="s">
        <v>735</v>
      </c>
      <c r="D331">
        <f>IFERROR(VLOOKUP(A331,[1]Hoja2!$A$1:$E$430,4,FALSE),0)</f>
        <v>0</v>
      </c>
      <c r="E331">
        <f>IFERROR(VLOOKUP(A331,[2]Hoja3!$A$1:$E$410,4,FALSE),0)</f>
        <v>3.2</v>
      </c>
      <c r="F331">
        <f>IFERROR(VLOOKUP(A331,[3]Hoja2!$A$1:$E$411,4,FALSE),0)</f>
        <v>0.89014464609999999</v>
      </c>
      <c r="G331">
        <f>VLOOKUP(A331,[4]Hoja1!$D$1:$K$778,7,FALSE)</f>
        <v>6.68</v>
      </c>
      <c r="H331">
        <f>VLOOKUP(A331,[5]Hoja1!$D$1:$K$781,7,FALSE)</f>
        <v>6.68</v>
      </c>
      <c r="I331">
        <f>VLOOKUP(A331,[6]Hoja1!$D$1:$O$781,7,FALSE)</f>
        <v>6.68</v>
      </c>
      <c r="J331">
        <f>VLOOKUP(A331,[6]Hoja1!$D$1:$O$781,8,FALSE)</f>
        <v>6.68</v>
      </c>
      <c r="K331">
        <f>VLOOKUP(A331,[6]Hoja1!$D$1:$O$781,9,FALSE)</f>
        <v>6.68</v>
      </c>
      <c r="L331">
        <f>VLOOKUP(A331,[6]Hoja1!$D$1:$O$781,11,FALSE)</f>
        <v>12.051255955063734</v>
      </c>
    </row>
    <row r="332" spans="1:12" x14ac:dyDescent="0.2">
      <c r="A332" t="s">
        <v>736</v>
      </c>
      <c r="B332" t="s">
        <v>737</v>
      </c>
      <c r="C332" t="s">
        <v>38</v>
      </c>
      <c r="D332">
        <f>IFERROR(VLOOKUP(A332,[1]Hoja2!$A$1:$E$430,4,FALSE),0)</f>
        <v>0</v>
      </c>
      <c r="E332">
        <f>IFERROR(VLOOKUP(A332,[2]Hoja3!$A$1:$E$410,4,FALSE),0)</f>
        <v>4.8</v>
      </c>
      <c r="F332">
        <f>IFERROR(VLOOKUP(A332,[3]Hoja2!$A$1:$E$411,4,FALSE),0)</f>
        <v>4.8079999999999998</v>
      </c>
      <c r="G332">
        <f>VLOOKUP(A332,[4]Hoja1!$D$1:$K$778,7,FALSE)</f>
        <v>9.7411111111111097</v>
      </c>
      <c r="H332">
        <f>VLOOKUP(A332,[5]Hoja1!$D$1:$K$781,7,FALSE)</f>
        <v>9.7411111111111115</v>
      </c>
      <c r="I332">
        <f>VLOOKUP(A332,[6]Hoja1!$D$1:$O$781,7,FALSE)</f>
        <v>9.7411111111111115</v>
      </c>
      <c r="J332">
        <f>VLOOKUP(A332,[6]Hoja1!$D$1:$O$781,8,FALSE)</f>
        <v>9.7411111111111115</v>
      </c>
      <c r="K332">
        <f>VLOOKUP(A332,[6]Hoja1!$D$1:$O$781,9,FALSE)</f>
        <v>9.7411111111111115</v>
      </c>
      <c r="L332">
        <f>VLOOKUP(A332,[6]Hoja1!$D$1:$O$781,11,FALSE)</f>
        <v>10.419604709423917</v>
      </c>
    </row>
    <row r="333" spans="1:12" x14ac:dyDescent="0.2">
      <c r="A333" t="s">
        <v>738</v>
      </c>
      <c r="B333" t="s">
        <v>739</v>
      </c>
      <c r="C333" t="s">
        <v>740</v>
      </c>
      <c r="D333">
        <f>IFERROR(VLOOKUP(A333,[1]Hoja2!$A$1:$E$430,4,FALSE),0)</f>
        <v>0</v>
      </c>
      <c r="E333">
        <f>IFERROR(VLOOKUP(A333,[2]Hoja3!$A$1:$E$410,4,FALSE),0)</f>
        <v>2.54</v>
      </c>
      <c r="F333">
        <f>IFERROR(VLOOKUP(A333,[3]Hoja2!$A$1:$E$411,4,FALSE),0)</f>
        <v>5.5</v>
      </c>
      <c r="G333">
        <f>VLOOKUP(A333,[4]Hoja1!$D$1:$K$778,7,FALSE)</f>
        <v>2.54</v>
      </c>
      <c r="H333">
        <f>VLOOKUP(A333,[5]Hoja1!$D$1:$K$781,7,FALSE)</f>
        <v>2.54</v>
      </c>
      <c r="I333">
        <f>VLOOKUP(A333,[6]Hoja1!$D$1:$O$781,7,FALSE)</f>
        <v>5.5</v>
      </c>
      <c r="J333">
        <f>VLOOKUP(A333,[6]Hoja1!$D$1:$O$781,8,FALSE)</f>
        <v>5.5</v>
      </c>
      <c r="K333">
        <f>VLOOKUP(A333,[6]Hoja1!$D$1:$O$781,9,FALSE)</f>
        <v>5.5</v>
      </c>
      <c r="L333">
        <f>VLOOKUP(A333,[6]Hoja1!$D$1:$O$781,11,FALSE)</f>
        <v>5.5</v>
      </c>
    </row>
    <row r="334" spans="1:12" x14ac:dyDescent="0.2">
      <c r="A334" t="s">
        <v>741</v>
      </c>
      <c r="B334" t="s">
        <v>602</v>
      </c>
      <c r="C334" t="s">
        <v>446</v>
      </c>
      <c r="D334">
        <f>IFERROR(VLOOKUP(A334,[1]Hoja2!$A$1:$E$430,4,FALSE),0)</f>
        <v>0</v>
      </c>
      <c r="E334">
        <f>IFERROR(VLOOKUP(A334,[2]Hoja3!$A$1:$E$410,4,FALSE),0)</f>
        <v>9.8000000000000007</v>
      </c>
      <c r="F334">
        <f>IFERROR(VLOOKUP(A334,[3]Hoja2!$A$1:$E$411,4,FALSE),0)</f>
        <v>9.8000000000000007</v>
      </c>
      <c r="G334">
        <f>VLOOKUP(A334,[4]Hoja1!$D$1:$K$778,7,FALSE)</f>
        <v>9.81</v>
      </c>
      <c r="H334">
        <f>VLOOKUP(A334,[5]Hoja1!$D$1:$K$781,7,FALSE)</f>
        <v>9.81</v>
      </c>
      <c r="I334">
        <f>VLOOKUP(A334,[6]Hoja1!$D$1:$O$781,7,FALSE)</f>
        <v>9.81</v>
      </c>
      <c r="J334">
        <f>VLOOKUP(A334,[6]Hoja1!$D$1:$O$781,8,FALSE)</f>
        <v>9.81</v>
      </c>
      <c r="K334">
        <f>VLOOKUP(A334,[6]Hoja1!$D$1:$O$781,9,FALSE)</f>
        <v>9.81</v>
      </c>
      <c r="L334">
        <f>VLOOKUP(A334,[6]Hoja1!$D$1:$O$781,11,FALSE)</f>
        <v>14.864775922070422</v>
      </c>
    </row>
    <row r="335" spans="1:12" x14ac:dyDescent="0.2">
      <c r="A335" t="s">
        <v>742</v>
      </c>
      <c r="B335" t="s">
        <v>657</v>
      </c>
      <c r="C335" t="s">
        <v>658</v>
      </c>
      <c r="D335">
        <f>IFERROR(VLOOKUP(A335,[1]Hoja2!$A$1:$E$430,4,FALSE),0)</f>
        <v>0</v>
      </c>
      <c r="E335">
        <f>IFERROR(VLOOKUP(A335,[2]Hoja3!$A$1:$E$410,4,FALSE),0)</f>
        <v>47.762307</v>
      </c>
      <c r="F335">
        <f>IFERROR(VLOOKUP(A335,[3]Hoja2!$A$1:$E$411,4,FALSE),0)</f>
        <v>0</v>
      </c>
      <c r="G335">
        <f>VLOOKUP(A335,[4]Hoja1!$D$1:$K$778,7,FALSE)</f>
        <v>60.376666666666701</v>
      </c>
      <c r="H335">
        <f>VLOOKUP(A335,[5]Hoja1!$D$1:$K$781,7,FALSE)</f>
        <v>60.376666666666665</v>
      </c>
      <c r="I335">
        <f>VLOOKUP(A335,[6]Hoja1!$D$1:$O$781,7,FALSE)</f>
        <v>60.376666666666665</v>
      </c>
      <c r="J335">
        <f>VLOOKUP(A335,[6]Hoja1!$D$1:$O$781,8,FALSE)</f>
        <v>60.376666666666665</v>
      </c>
      <c r="K335">
        <f>VLOOKUP(A335,[6]Hoja1!$D$1:$O$781,9,FALSE)</f>
        <v>60.376666666666665</v>
      </c>
      <c r="L335">
        <f>VLOOKUP(A335,[6]Hoja1!$D$1:$O$781,11,FALSE)</f>
        <v>60.376666666666665</v>
      </c>
    </row>
    <row r="336" spans="1:12" x14ac:dyDescent="0.2">
      <c r="A336" t="s">
        <v>743</v>
      </c>
      <c r="B336" t="s">
        <v>744</v>
      </c>
      <c r="C336" t="s">
        <v>444</v>
      </c>
      <c r="D336">
        <f>IFERROR(VLOOKUP(A336,[1]Hoja2!$A$1:$E$430,4,FALSE),0)</f>
        <v>0</v>
      </c>
      <c r="E336">
        <f>IFERROR(VLOOKUP(A336,[2]Hoja3!$A$1:$E$410,4,FALSE),0)</f>
        <v>64.569999999999993</v>
      </c>
      <c r="F336">
        <f>IFERROR(VLOOKUP(A336,[3]Hoja2!$A$1:$E$411,4,FALSE),0)</f>
        <v>64.569999999999993</v>
      </c>
      <c r="G336">
        <f>VLOOKUP(A336,[4]Hoja1!$D$1:$K$778,7,FALSE)</f>
        <v>64.564999999999998</v>
      </c>
      <c r="H336">
        <f>VLOOKUP(A336,[5]Hoja1!$D$1:$K$781,7,FALSE)</f>
        <v>64.564999999999998</v>
      </c>
      <c r="I336">
        <f>VLOOKUP(A336,[6]Hoja1!$D$1:$O$781,7,FALSE)</f>
        <v>64.564999999999998</v>
      </c>
      <c r="J336">
        <f>VLOOKUP(A336,[6]Hoja1!$D$1:$O$781,8,FALSE)</f>
        <v>64.564999999999998</v>
      </c>
      <c r="K336">
        <f>VLOOKUP(A336,[6]Hoja1!$D$1:$O$781,9,FALSE)</f>
        <v>64.564999999999998</v>
      </c>
      <c r="L336">
        <f>VLOOKUP(A336,[6]Hoja1!$D$1:$O$781,11,FALSE)</f>
        <v>123.3</v>
      </c>
    </row>
    <row r="337" spans="1:12" x14ac:dyDescent="0.2">
      <c r="A337" t="s">
        <v>745</v>
      </c>
      <c r="B337" t="s">
        <v>684</v>
      </c>
      <c r="C337" t="s">
        <v>746</v>
      </c>
      <c r="D337">
        <f>IFERROR(VLOOKUP(A337,[1]Hoja2!$A$1:$E$430,4,FALSE),0)</f>
        <v>0</v>
      </c>
      <c r="E337">
        <f>IFERROR(VLOOKUP(A337,[2]Hoja3!$A$1:$E$410,4,FALSE),0)</f>
        <v>0</v>
      </c>
      <c r="F337">
        <f>IFERROR(VLOOKUP(A337,[3]Hoja2!$A$1:$E$411,4,FALSE),0)</f>
        <v>0</v>
      </c>
      <c r="G337">
        <f>VLOOKUP(A337,[4]Hoja1!$D$1:$K$778,7,FALSE)</f>
        <v>312.26</v>
      </c>
      <c r="H337">
        <f>VLOOKUP(A337,[5]Hoja1!$D$1:$K$781,7,FALSE)</f>
        <v>312.26</v>
      </c>
      <c r="I337">
        <f>VLOOKUP(A337,[6]Hoja1!$D$1:$O$781,7,FALSE)</f>
        <v>312.26</v>
      </c>
      <c r="J337">
        <f>VLOOKUP(A337,[6]Hoja1!$D$1:$O$781,8,FALSE)</f>
        <v>312.26</v>
      </c>
      <c r="K337">
        <f>VLOOKUP(A337,[6]Hoja1!$D$1:$O$781,9,FALSE)</f>
        <v>372.57979267449895</v>
      </c>
      <c r="L337">
        <f>VLOOKUP(A337,[6]Hoja1!$D$1:$O$781,11,FALSE)</f>
        <v>372.57979267449895</v>
      </c>
    </row>
    <row r="338" spans="1:12" x14ac:dyDescent="0.2">
      <c r="A338" t="s">
        <v>747</v>
      </c>
      <c r="B338" t="s">
        <v>40</v>
      </c>
      <c r="C338" t="s">
        <v>41</v>
      </c>
      <c r="D338">
        <f>IFERROR(VLOOKUP(A338,[1]Hoja2!$A$1:$E$430,4,FALSE),0)</f>
        <v>0</v>
      </c>
      <c r="E338">
        <f>IFERROR(VLOOKUP(A338,[2]Hoja3!$A$1:$E$410,4,FALSE),0)</f>
        <v>6.9</v>
      </c>
      <c r="F338">
        <f>IFERROR(VLOOKUP(A338,[3]Hoja2!$A$1:$E$411,4,FALSE),0)</f>
        <v>6.9</v>
      </c>
      <c r="G338">
        <f>VLOOKUP(A338,[4]Hoja1!$D$1:$K$778,7,FALSE)</f>
        <v>9.74</v>
      </c>
      <c r="H338">
        <f>VLOOKUP(A338,[5]Hoja1!$D$1:$K$781,7,FALSE)</f>
        <v>9.7399999999999984</v>
      </c>
      <c r="I338">
        <f>VLOOKUP(A338,[6]Hoja1!$D$1:$O$781,7,FALSE)</f>
        <v>9.7399999999999984</v>
      </c>
      <c r="J338">
        <f>VLOOKUP(A338,[6]Hoja1!$D$1:$O$781,8,FALSE)</f>
        <v>9.7399999999999984</v>
      </c>
      <c r="K338">
        <f>VLOOKUP(A338,[6]Hoja1!$D$1:$O$781,9,FALSE)</f>
        <v>9.7399999999999984</v>
      </c>
      <c r="L338">
        <f>VLOOKUP(A338,[6]Hoja1!$D$1:$O$781,11,FALSE)</f>
        <v>17.53</v>
      </c>
    </row>
    <row r="339" spans="1:12" x14ac:dyDescent="0.2">
      <c r="A339" t="s">
        <v>748</v>
      </c>
      <c r="B339" t="s">
        <v>110</v>
      </c>
      <c r="C339" t="s">
        <v>544</v>
      </c>
      <c r="D339">
        <f>IFERROR(VLOOKUP(A339,[1]Hoja2!$A$1:$E$430,4,FALSE),0)</f>
        <v>0</v>
      </c>
      <c r="E339">
        <f>IFERROR(VLOOKUP(A339,[2]Hoja3!$A$1:$E$410,4,FALSE),0)</f>
        <v>3.04</v>
      </c>
      <c r="F339">
        <f>IFERROR(VLOOKUP(A339,[3]Hoja2!$A$1:$E$411,4,FALSE),0)</f>
        <v>3.04</v>
      </c>
      <c r="G339">
        <f>VLOOKUP(A339,[4]Hoja1!$D$1:$K$778,7,FALSE)</f>
        <v>3.04</v>
      </c>
      <c r="H339">
        <f>VLOOKUP(A339,[5]Hoja1!$D$1:$K$781,7,FALSE)</f>
        <v>3.04</v>
      </c>
      <c r="I339">
        <f>VLOOKUP(A339,[6]Hoja1!$D$1:$O$781,7,FALSE)</f>
        <v>3.04</v>
      </c>
      <c r="J339">
        <f>VLOOKUP(A339,[6]Hoja1!$D$1:$O$781,8,FALSE)</f>
        <v>3.04</v>
      </c>
      <c r="K339">
        <f>VLOOKUP(A339,[6]Hoja1!$D$1:$O$781,9,FALSE)</f>
        <v>3.04</v>
      </c>
      <c r="L339">
        <f>VLOOKUP(A339,[6]Hoja1!$D$1:$O$781,11,FALSE)</f>
        <v>3.04</v>
      </c>
    </row>
    <row r="340" spans="1:12" x14ac:dyDescent="0.2">
      <c r="A340" t="s">
        <v>749</v>
      </c>
      <c r="B340" t="s">
        <v>750</v>
      </c>
      <c r="C340" t="s">
        <v>751</v>
      </c>
      <c r="D340">
        <f>IFERROR(VLOOKUP(A340,[1]Hoja2!$A$1:$E$430,4,FALSE),0)</f>
        <v>0</v>
      </c>
      <c r="E340">
        <f>IFERROR(VLOOKUP(A340,[2]Hoja3!$A$1:$E$410,4,FALSE),0)</f>
        <v>7</v>
      </c>
      <c r="F340">
        <f>IFERROR(VLOOKUP(A340,[3]Hoja2!$A$1:$E$411,4,FALSE),0)</f>
        <v>6.3540821129999996</v>
      </c>
      <c r="G340">
        <f>VLOOKUP(A340,[4]Hoja1!$D$1:$K$778,7,FALSE)</f>
        <v>25.42</v>
      </c>
      <c r="H340">
        <f>VLOOKUP(A340,[5]Hoja1!$D$1:$K$781,7,FALSE)</f>
        <v>25.42</v>
      </c>
      <c r="I340">
        <f>VLOOKUP(A340,[6]Hoja1!$D$1:$O$781,7,FALSE)</f>
        <v>25.42</v>
      </c>
      <c r="J340">
        <f>VLOOKUP(A340,[6]Hoja1!$D$1:$O$781,8,FALSE)</f>
        <v>25.42</v>
      </c>
      <c r="K340">
        <f>VLOOKUP(A340,[6]Hoja1!$D$1:$O$781,9,FALSE)</f>
        <v>25.42</v>
      </c>
      <c r="L340">
        <f>VLOOKUP(A340,[6]Hoja1!$D$1:$O$781,11,FALSE)</f>
        <v>25.42</v>
      </c>
    </row>
    <row r="341" spans="1:12" x14ac:dyDescent="0.2">
      <c r="A341" t="s">
        <v>752</v>
      </c>
      <c r="B341" t="s">
        <v>753</v>
      </c>
      <c r="C341" t="s">
        <v>72</v>
      </c>
      <c r="D341">
        <f>IFERROR(VLOOKUP(A341,[1]Hoja2!$A$1:$E$430,4,FALSE),0)</f>
        <v>0</v>
      </c>
      <c r="E341">
        <f>IFERROR(VLOOKUP(A341,[2]Hoja3!$A$1:$E$410,4,FALSE),0)</f>
        <v>25.819672000000001</v>
      </c>
      <c r="F341">
        <f>IFERROR(VLOOKUP(A341,[3]Hoja2!$A$1:$E$411,4,FALSE),0)</f>
        <v>25.794788592700002</v>
      </c>
      <c r="G341">
        <f>VLOOKUP(A341,[4]Hoja1!$D$1:$K$778,7,FALSE)</f>
        <v>26.574285714285701</v>
      </c>
      <c r="H341">
        <f>VLOOKUP(A341,[5]Hoja1!$D$1:$K$781,7,FALSE)</f>
        <v>26.574285714285715</v>
      </c>
      <c r="I341">
        <f>VLOOKUP(A341,[6]Hoja1!$D$1:$O$781,7,FALSE)</f>
        <v>26.574285714285715</v>
      </c>
      <c r="J341">
        <f>VLOOKUP(A341,[6]Hoja1!$D$1:$O$781,8,FALSE)</f>
        <v>26.574285714285715</v>
      </c>
      <c r="K341">
        <f>VLOOKUP(A341,[6]Hoja1!$D$1:$O$781,9,FALSE)</f>
        <v>31.093789833664701</v>
      </c>
      <c r="L341">
        <f>VLOOKUP(A341,[6]Hoja1!$D$1:$O$781,11,FALSE)</f>
        <v>31.093789833664701</v>
      </c>
    </row>
    <row r="342" spans="1:12" x14ac:dyDescent="0.2">
      <c r="A342" t="s">
        <v>754</v>
      </c>
      <c r="B342" t="s">
        <v>198</v>
      </c>
      <c r="C342">
        <v>8.9999999999999993E-3</v>
      </c>
      <c r="D342">
        <f>IFERROR(VLOOKUP(A342,[1]Hoja2!$A$1:$E$430,4,FALSE),0)</f>
        <v>0</v>
      </c>
      <c r="E342">
        <f>IFERROR(VLOOKUP(A342,[2]Hoja3!$A$1:$E$410,4,FALSE),0)</f>
        <v>7.3</v>
      </c>
      <c r="F342">
        <f>IFERROR(VLOOKUP(A342,[3]Hoja2!$A$1:$E$411,4,FALSE),0)</f>
        <v>0</v>
      </c>
      <c r="G342">
        <f>VLOOKUP(A342,[4]Hoja1!$D$1:$K$778,7,FALSE)</f>
        <v>7.6449999999999996</v>
      </c>
      <c r="H342">
        <f>VLOOKUP(A342,[5]Hoja1!$D$1:$K$781,7,FALSE)</f>
        <v>7.6450000000000005</v>
      </c>
      <c r="I342">
        <f>VLOOKUP(A342,[6]Hoja1!$D$1:$O$781,7,FALSE)</f>
        <v>7.6450000000000005</v>
      </c>
      <c r="J342">
        <f>VLOOKUP(A342,[6]Hoja1!$D$1:$O$781,8,FALSE)</f>
        <v>7.6450000000000005</v>
      </c>
      <c r="K342">
        <f>VLOOKUP(A342,[6]Hoja1!$D$1:$O$781,9,FALSE)</f>
        <v>7.6450000000000005</v>
      </c>
      <c r="L342">
        <f>VLOOKUP(A342,[6]Hoja1!$D$1:$O$781,11,FALSE)</f>
        <v>10.114739845585767</v>
      </c>
    </row>
    <row r="343" spans="1:12" x14ac:dyDescent="0.2">
      <c r="A343" t="s">
        <v>755</v>
      </c>
      <c r="B343" t="s">
        <v>756</v>
      </c>
      <c r="C343" t="s">
        <v>146</v>
      </c>
      <c r="D343">
        <f>IFERROR(VLOOKUP(A343,[1]Hoja2!$A$1:$E$430,4,FALSE),0)</f>
        <v>0</v>
      </c>
      <c r="E343">
        <f>IFERROR(VLOOKUP(A343,[2]Hoja3!$A$1:$E$410,4,FALSE),0)</f>
        <v>13.8</v>
      </c>
      <c r="F343">
        <f>IFERROR(VLOOKUP(A343,[3]Hoja2!$A$1:$E$411,4,FALSE),0)</f>
        <v>13.8</v>
      </c>
      <c r="G343">
        <f>VLOOKUP(A343,[4]Hoja1!$D$1:$K$778,7,FALSE)</f>
        <v>13.8</v>
      </c>
      <c r="H343">
        <f>VLOOKUP(A343,[5]Hoja1!$D$1:$K$781,7,FALSE)</f>
        <v>13.8</v>
      </c>
      <c r="I343">
        <f>VLOOKUP(A343,[6]Hoja1!$D$1:$O$781,7,FALSE)</f>
        <v>13.8</v>
      </c>
      <c r="J343">
        <f>VLOOKUP(A343,[6]Hoja1!$D$1:$O$781,8,FALSE)</f>
        <v>13.8</v>
      </c>
      <c r="K343">
        <f>VLOOKUP(A343,[6]Hoja1!$D$1:$O$781,9,FALSE)</f>
        <v>20.5</v>
      </c>
      <c r="L343">
        <f>VLOOKUP(A343,[6]Hoja1!$D$1:$O$781,11,FALSE)</f>
        <v>20.5</v>
      </c>
    </row>
    <row r="344" spans="1:12" x14ac:dyDescent="0.2">
      <c r="A344" t="s">
        <v>757</v>
      </c>
      <c r="B344" t="s">
        <v>758</v>
      </c>
      <c r="C344" t="s">
        <v>6</v>
      </c>
      <c r="D344">
        <f>IFERROR(VLOOKUP(A344,[1]Hoja2!$A$1:$E$430,4,FALSE),0)</f>
        <v>0</v>
      </c>
      <c r="E344">
        <f>IFERROR(VLOOKUP(A344,[2]Hoja3!$A$1:$E$410,4,FALSE),0)</f>
        <v>1.79</v>
      </c>
      <c r="F344">
        <f>IFERROR(VLOOKUP(A344,[3]Hoja2!$A$1:$E$411,4,FALSE),0)</f>
        <v>2.9591836735000001</v>
      </c>
      <c r="G344">
        <f>VLOOKUP(A344,[4]Hoja1!$D$1:$K$778,7,FALSE)</f>
        <v>12.02</v>
      </c>
      <c r="H344">
        <f>VLOOKUP(A344,[5]Hoja1!$D$1:$K$781,7,FALSE)</f>
        <v>12.02</v>
      </c>
      <c r="I344">
        <f>VLOOKUP(A344,[6]Hoja1!$D$1:$O$781,7,FALSE)</f>
        <v>12.02</v>
      </c>
      <c r="J344">
        <f>VLOOKUP(A344,[6]Hoja1!$D$1:$O$781,8,FALSE)</f>
        <v>12.02</v>
      </c>
      <c r="K344">
        <f>VLOOKUP(A344,[6]Hoja1!$D$1:$O$781,9,FALSE)</f>
        <v>12.02</v>
      </c>
      <c r="L344">
        <f>VLOOKUP(A344,[6]Hoja1!$D$1:$O$781,11,FALSE)</f>
        <v>12.02</v>
      </c>
    </row>
    <row r="345" spans="1:12" x14ac:dyDescent="0.2">
      <c r="A345" t="s">
        <v>759</v>
      </c>
      <c r="B345" t="s">
        <v>760</v>
      </c>
      <c r="C345" t="s">
        <v>52</v>
      </c>
      <c r="D345">
        <f>IFERROR(VLOOKUP(A345,[1]Hoja2!$A$1:$E$430,4,FALSE),0)</f>
        <v>0</v>
      </c>
      <c r="E345">
        <f>IFERROR(VLOOKUP(A345,[2]Hoja3!$A$1:$E$410,4,FALSE),0)</f>
        <v>36</v>
      </c>
      <c r="F345">
        <f>IFERROR(VLOOKUP(A345,[3]Hoja2!$A$1:$E$411,4,FALSE),0)</f>
        <v>35</v>
      </c>
      <c r="G345">
        <f>VLOOKUP(A345,[4]Hoja1!$D$1:$K$778,7,FALSE)</f>
        <v>55.33</v>
      </c>
      <c r="H345">
        <f>VLOOKUP(A345,[5]Hoja1!$D$1:$K$781,7,FALSE)</f>
        <v>55.33</v>
      </c>
      <c r="I345">
        <f>VLOOKUP(A345,[6]Hoja1!$D$1:$O$781,7,FALSE)</f>
        <v>55.33</v>
      </c>
      <c r="J345">
        <f>VLOOKUP(A345,[6]Hoja1!$D$1:$O$781,8,FALSE)</f>
        <v>55.33</v>
      </c>
      <c r="K345">
        <f>VLOOKUP(A345,[6]Hoja1!$D$1:$O$781,9,FALSE)</f>
        <v>55.33</v>
      </c>
      <c r="L345">
        <f>VLOOKUP(A345,[6]Hoja1!$D$1:$O$781,11,FALSE)</f>
        <v>55.33</v>
      </c>
    </row>
    <row r="346" spans="1:12" x14ac:dyDescent="0.2">
      <c r="A346" t="s">
        <v>761</v>
      </c>
      <c r="B346" t="s">
        <v>762</v>
      </c>
      <c r="C346" t="s">
        <v>763</v>
      </c>
      <c r="D346">
        <f>IFERROR(VLOOKUP(A346,[1]Hoja2!$A$1:$E$430,4,FALSE),0)</f>
        <v>0</v>
      </c>
      <c r="E346">
        <f>IFERROR(VLOOKUP(A346,[2]Hoja3!$A$1:$E$410,4,FALSE),0)</f>
        <v>8</v>
      </c>
      <c r="F346">
        <f>IFERROR(VLOOKUP(A346,[3]Hoja2!$A$1:$E$411,4,FALSE),0)</f>
        <v>0</v>
      </c>
      <c r="G346" t="e">
        <f>VLOOKUP(A346,[4]Hoja1!$D$1:$K$778,7,FALSE)</f>
        <v>#N/A</v>
      </c>
      <c r="H346" t="e">
        <f>VLOOKUP(A346,[5]Hoja1!$D$1:$K$781,7,FALSE)</f>
        <v>#N/A</v>
      </c>
      <c r="I346">
        <v>8</v>
      </c>
      <c r="J346" t="e">
        <f>VLOOKUP(A346,[6]Hoja1!$D$1:$O$781,8,FALSE)</f>
        <v>#N/A</v>
      </c>
      <c r="K346" t="e">
        <f>VLOOKUP(A346,[6]Hoja1!$D$1:$O$781,9,FALSE)</f>
        <v>#N/A</v>
      </c>
      <c r="L346" t="e">
        <f>VLOOKUP(A346,[6]Hoja1!$D$1:$O$781,11,FALSE)</f>
        <v>#N/A</v>
      </c>
    </row>
    <row r="347" spans="1:12" x14ac:dyDescent="0.2">
      <c r="A347" t="s">
        <v>764</v>
      </c>
      <c r="B347" t="s">
        <v>765</v>
      </c>
      <c r="C347" t="s">
        <v>38</v>
      </c>
      <c r="D347">
        <f>IFERROR(VLOOKUP(A347,[1]Hoja2!$A$1:$E$430,4,FALSE),0)</f>
        <v>0</v>
      </c>
      <c r="E347">
        <f>IFERROR(VLOOKUP(A347,[2]Hoja3!$A$1:$E$410,4,FALSE),0)</f>
        <v>0</v>
      </c>
      <c r="F347">
        <f>IFERROR(VLOOKUP(A347,[3]Hoja2!$A$1:$E$411,4,FALSE),0)</f>
        <v>160</v>
      </c>
      <c r="G347">
        <f>VLOOKUP(A347,[4]Hoja1!$D$1:$K$778,7,FALSE)</f>
        <v>116.97619047619</v>
      </c>
      <c r="H347">
        <f>VLOOKUP(A347,[5]Hoja1!$D$1:$K$781,7,FALSE)</f>
        <v>116.97619047619048</v>
      </c>
      <c r="I347">
        <f>VLOOKUP(A347,[6]Hoja1!$D$1:$O$781,7,FALSE)</f>
        <v>116.97619047619048</v>
      </c>
      <c r="J347">
        <f>VLOOKUP(A347,[6]Hoja1!$D$1:$O$781,8,FALSE)</f>
        <v>116.97619047619048</v>
      </c>
      <c r="K347">
        <f>VLOOKUP(A347,[6]Hoja1!$D$1:$O$781,9,FALSE)</f>
        <v>116.97619047619048</v>
      </c>
      <c r="L347">
        <f>VLOOKUP(A347,[6]Hoja1!$D$1:$O$781,11,FALSE)</f>
        <v>116.97619047619048</v>
      </c>
    </row>
    <row r="348" spans="1:12" x14ac:dyDescent="0.2">
      <c r="A348" t="s">
        <v>766</v>
      </c>
      <c r="B348" t="s">
        <v>767</v>
      </c>
      <c r="C348" t="s">
        <v>72</v>
      </c>
      <c r="D348">
        <f>IFERROR(VLOOKUP(A348,[1]Hoja2!$A$1:$E$430,4,FALSE),0)</f>
        <v>0</v>
      </c>
      <c r="E348">
        <f>IFERROR(VLOOKUP(A348,[2]Hoja3!$A$1:$E$410,4,FALSE),0)</f>
        <v>52</v>
      </c>
      <c r="F348">
        <f>IFERROR(VLOOKUP(A348,[3]Hoja2!$A$1:$E$411,4,FALSE),0)</f>
        <v>33.284285714299997</v>
      </c>
      <c r="G348">
        <f>VLOOKUP(A348,[4]Hoja1!$D$1:$K$778,7,FALSE)</f>
        <v>106.513597883598</v>
      </c>
      <c r="H348">
        <f>VLOOKUP(A348,[5]Hoja1!$D$1:$K$781,7,FALSE)</f>
        <v>106.51359788359787</v>
      </c>
      <c r="I348">
        <f>VLOOKUP(A348,[6]Hoja1!$D$1:$O$781,7,FALSE)</f>
        <v>106.51359788359787</v>
      </c>
      <c r="J348">
        <f>VLOOKUP(A348,[6]Hoja1!$D$1:$O$781,8,FALSE)</f>
        <v>106.51359788359787</v>
      </c>
      <c r="K348">
        <f>VLOOKUP(A348,[6]Hoja1!$D$1:$O$781,9,FALSE)</f>
        <v>106.51359788359787</v>
      </c>
      <c r="L348">
        <f>VLOOKUP(A348,[6]Hoja1!$D$1:$O$781,11,FALSE)</f>
        <v>106.51359788359787</v>
      </c>
    </row>
    <row r="349" spans="1:12" x14ac:dyDescent="0.2">
      <c r="A349" t="s">
        <v>768</v>
      </c>
      <c r="B349" t="s">
        <v>769</v>
      </c>
      <c r="C349" t="s">
        <v>770</v>
      </c>
      <c r="D349">
        <f>IFERROR(VLOOKUP(A349,[1]Hoja2!$A$1:$E$430,4,FALSE),0)</f>
        <v>0</v>
      </c>
      <c r="E349">
        <f>IFERROR(VLOOKUP(A349,[2]Hoja3!$A$1:$E$410,4,FALSE),0)</f>
        <v>99</v>
      </c>
      <c r="F349">
        <f>IFERROR(VLOOKUP(A349,[3]Hoja2!$A$1:$E$411,4,FALSE),0)</f>
        <v>85.451612410500005</v>
      </c>
      <c r="G349">
        <f>VLOOKUP(A349,[4]Hoja1!$D$1:$K$778,7,FALSE)</f>
        <v>108</v>
      </c>
      <c r="H349">
        <f>VLOOKUP(A349,[5]Hoja1!$D$1:$K$781,7,FALSE)</f>
        <v>108</v>
      </c>
      <c r="I349">
        <f>VLOOKUP(A349,[6]Hoja1!$D$1:$O$781,7,FALSE)</f>
        <v>108</v>
      </c>
      <c r="J349">
        <f>VLOOKUP(A349,[6]Hoja1!$D$1:$O$781,8,FALSE)</f>
        <v>108</v>
      </c>
      <c r="K349">
        <f>VLOOKUP(A349,[6]Hoja1!$D$1:$O$781,9,FALSE)</f>
        <v>108</v>
      </c>
      <c r="L349">
        <f>VLOOKUP(A349,[6]Hoja1!$D$1:$O$781,11,FALSE)</f>
        <v>108</v>
      </c>
    </row>
    <row r="350" spans="1:12" x14ac:dyDescent="0.2">
      <c r="A350" t="s">
        <v>771</v>
      </c>
      <c r="B350" t="s">
        <v>294</v>
      </c>
      <c r="C350" t="s">
        <v>772</v>
      </c>
      <c r="D350">
        <f>IFERROR(VLOOKUP(A350,[1]Hoja2!$A$1:$E$430,4,FALSE),0)</f>
        <v>0</v>
      </c>
      <c r="E350">
        <f>IFERROR(VLOOKUP(A350,[2]Hoja3!$A$1:$E$410,4,FALSE),0)</f>
        <v>2.9</v>
      </c>
      <c r="F350">
        <f>IFERROR(VLOOKUP(A350,[3]Hoja2!$A$1:$E$411,4,FALSE),0)</f>
        <v>2.9</v>
      </c>
      <c r="G350">
        <f>VLOOKUP(A350,[4]Hoja1!$D$1:$K$778,7,FALSE)</f>
        <v>7.75</v>
      </c>
      <c r="H350">
        <f>VLOOKUP(A350,[5]Hoja1!$D$1:$K$781,7,FALSE)</f>
        <v>7.75</v>
      </c>
      <c r="I350">
        <f>VLOOKUP(A350,[6]Hoja1!$D$1:$O$781,7,FALSE)</f>
        <v>7.75</v>
      </c>
      <c r="J350">
        <f>VLOOKUP(A350,[6]Hoja1!$D$1:$O$781,8,FALSE)</f>
        <v>7.75</v>
      </c>
      <c r="K350">
        <f>VLOOKUP(A350,[6]Hoja1!$D$1:$O$781,9,FALSE)</f>
        <v>7.75</v>
      </c>
      <c r="L350">
        <f>VLOOKUP(A350,[6]Hoja1!$D$1:$O$781,11,FALSE)</f>
        <v>7.75</v>
      </c>
    </row>
    <row r="351" spans="1:12" x14ac:dyDescent="0.2">
      <c r="A351" t="s">
        <v>773</v>
      </c>
      <c r="B351" t="s">
        <v>774</v>
      </c>
      <c r="C351" t="s">
        <v>775</v>
      </c>
      <c r="D351">
        <f>IFERROR(VLOOKUP(A351,[1]Hoja2!$A$1:$E$430,4,FALSE),0)</f>
        <v>0</v>
      </c>
      <c r="E351">
        <f>IFERROR(VLOOKUP(A351,[2]Hoja3!$A$1:$E$410,4,FALSE),0)</f>
        <v>41</v>
      </c>
      <c r="F351">
        <f>IFERROR(VLOOKUP(A351,[3]Hoja2!$A$1:$E$411,4,FALSE),0)</f>
        <v>42.16</v>
      </c>
      <c r="G351">
        <f>VLOOKUP(A351,[4]Hoja1!$D$1:$K$778,7,FALSE)</f>
        <v>42.163333333333298</v>
      </c>
      <c r="H351">
        <f>VLOOKUP(A351,[5]Hoja1!$D$1:$K$781,7,FALSE)</f>
        <v>42.163333333333334</v>
      </c>
      <c r="I351">
        <f>VLOOKUP(A351,[6]Hoja1!$D$1:$O$781,7,FALSE)</f>
        <v>42.163333333333334</v>
      </c>
      <c r="J351">
        <f>VLOOKUP(A351,[6]Hoja1!$D$1:$O$781,8,FALSE)</f>
        <v>42.163333333333334</v>
      </c>
      <c r="K351">
        <f>VLOOKUP(A351,[6]Hoja1!$D$1:$O$781,9,FALSE)</f>
        <v>42.163333333333334</v>
      </c>
      <c r="L351">
        <f>VLOOKUP(A351,[6]Hoja1!$D$1:$O$781,11,FALSE)</f>
        <v>84.96</v>
      </c>
    </row>
    <row r="352" spans="1:12" x14ac:dyDescent="0.2">
      <c r="A352" t="s">
        <v>776</v>
      </c>
      <c r="B352" t="s">
        <v>777</v>
      </c>
      <c r="C352" t="s">
        <v>107</v>
      </c>
      <c r="D352">
        <f>IFERROR(VLOOKUP(A352,[1]Hoja2!$A$1:$E$430,4,FALSE),0)</f>
        <v>0</v>
      </c>
      <c r="E352">
        <f>IFERROR(VLOOKUP(A352,[2]Hoja3!$A$1:$E$410,4,FALSE),0)</f>
        <v>0</v>
      </c>
      <c r="F352">
        <f>IFERROR(VLOOKUP(A352,[3]Hoja2!$A$1:$E$411,4,FALSE),0)</f>
        <v>0</v>
      </c>
      <c r="G352">
        <f>VLOOKUP(A352,[4]Hoja1!$D$1:$K$778,7,FALSE)</f>
        <v>1626.2474999999999</v>
      </c>
      <c r="H352">
        <f>VLOOKUP(A352,[5]Hoja1!$D$1:$K$781,7,FALSE)</f>
        <v>1626.2474999999999</v>
      </c>
      <c r="I352">
        <f>VLOOKUP(A352,[6]Hoja1!$D$1:$O$781,7,FALSE)</f>
        <v>1626.2474999999999</v>
      </c>
      <c r="J352">
        <f>VLOOKUP(A352,[6]Hoja1!$D$1:$O$781,8,FALSE)</f>
        <v>1626.2474999999999</v>
      </c>
      <c r="K352">
        <f>VLOOKUP(A352,[6]Hoja1!$D$1:$O$781,9,FALSE)</f>
        <v>1626.2474999999999</v>
      </c>
      <c r="L352">
        <f>VLOOKUP(A352,[6]Hoja1!$D$1:$O$781,11,FALSE)</f>
        <v>1626.2474999999999</v>
      </c>
    </row>
    <row r="353" spans="1:12" x14ac:dyDescent="0.2">
      <c r="A353" t="s">
        <v>778</v>
      </c>
      <c r="B353" t="s">
        <v>779</v>
      </c>
      <c r="C353" t="s">
        <v>16</v>
      </c>
      <c r="D353">
        <f>IFERROR(VLOOKUP(A353,[1]Hoja2!$A$1:$E$430,4,FALSE),0)</f>
        <v>0</v>
      </c>
      <c r="E353">
        <f>IFERROR(VLOOKUP(A353,[2]Hoja3!$A$1:$E$410,4,FALSE),0)</f>
        <v>0</v>
      </c>
      <c r="F353">
        <f>IFERROR(VLOOKUP(A353,[3]Hoja2!$A$1:$E$411,4,FALSE),0)</f>
        <v>0</v>
      </c>
      <c r="G353">
        <f>VLOOKUP(A353,[4]Hoja1!$D$1:$K$778,7,FALSE)</f>
        <v>64.926666666666705</v>
      </c>
      <c r="H353">
        <f>VLOOKUP(A353,[5]Hoja1!$D$1:$K$781,7,FALSE)</f>
        <v>64.926666666666662</v>
      </c>
      <c r="I353">
        <f>VLOOKUP(A353,[6]Hoja1!$D$1:$O$781,7,FALSE)</f>
        <v>64.926666666666662</v>
      </c>
      <c r="J353">
        <f>VLOOKUP(A353,[6]Hoja1!$D$1:$O$781,8,FALSE)</f>
        <v>64.926666666666662</v>
      </c>
      <c r="K353">
        <f>VLOOKUP(A353,[6]Hoja1!$D$1:$O$781,9,FALSE)</f>
        <v>64.926666666666662</v>
      </c>
      <c r="L353">
        <f>VLOOKUP(A353,[6]Hoja1!$D$1:$O$781,11,FALSE)</f>
        <v>150.30000000000001</v>
      </c>
    </row>
    <row r="354" spans="1:12" x14ac:dyDescent="0.2">
      <c r="A354" t="s">
        <v>780</v>
      </c>
      <c r="B354" t="s">
        <v>781</v>
      </c>
      <c r="C354" t="s">
        <v>11</v>
      </c>
      <c r="D354">
        <f>IFERROR(VLOOKUP(A354,[1]Hoja2!$A$1:$E$430,4,FALSE),0)</f>
        <v>0</v>
      </c>
      <c r="E354">
        <f>IFERROR(VLOOKUP(A354,[2]Hoja3!$A$1:$E$410,4,FALSE),0)</f>
        <v>200</v>
      </c>
      <c r="F354">
        <f>IFERROR(VLOOKUP(A354,[3]Hoja2!$A$1:$E$411,4,FALSE),0)</f>
        <v>0</v>
      </c>
      <c r="G354">
        <f>VLOOKUP(A354,[4]Hoja1!$D$1:$K$778,7,FALSE)</f>
        <v>211.69499999999999</v>
      </c>
      <c r="H354">
        <f>VLOOKUP(A354,[5]Hoja1!$D$1:$K$781,7,FALSE)</f>
        <v>211.69499999999999</v>
      </c>
      <c r="I354">
        <f>VLOOKUP(A354,[6]Hoja1!$D$1:$O$781,7,FALSE)</f>
        <v>211.69499999999999</v>
      </c>
      <c r="J354">
        <f>VLOOKUP(A354,[6]Hoja1!$D$1:$O$781,8,FALSE)</f>
        <v>211.69499999999999</v>
      </c>
      <c r="K354">
        <f>VLOOKUP(A354,[6]Hoja1!$D$1:$O$781,9,FALSE)</f>
        <v>211.69499999999999</v>
      </c>
      <c r="L354">
        <f>VLOOKUP(A354,[6]Hoja1!$D$1:$O$781,11,FALSE)</f>
        <v>229.47</v>
      </c>
    </row>
    <row r="355" spans="1:12" x14ac:dyDescent="0.2">
      <c r="A355" t="s">
        <v>782</v>
      </c>
      <c r="B355" t="s">
        <v>781</v>
      </c>
      <c r="C355" t="s">
        <v>38</v>
      </c>
      <c r="D355">
        <f>IFERROR(VLOOKUP(A355,[1]Hoja2!$A$1:$E$430,4,FALSE),0)</f>
        <v>0</v>
      </c>
      <c r="E355">
        <f>IFERROR(VLOOKUP(A355,[2]Hoja3!$A$1:$E$410,4,FALSE),0)</f>
        <v>301.72000000000003</v>
      </c>
      <c r="F355">
        <f>IFERROR(VLOOKUP(A355,[3]Hoja2!$A$1:$E$411,4,FALSE),0)</f>
        <v>0</v>
      </c>
      <c r="G355">
        <f>VLOOKUP(A355,[4]Hoja1!$D$1:$K$778,7,FALSE)</f>
        <v>301.71749999999997</v>
      </c>
      <c r="H355">
        <f>VLOOKUP(A355,[5]Hoja1!$D$1:$K$781,7,FALSE)</f>
        <v>301.71750000000003</v>
      </c>
      <c r="I355">
        <f>VLOOKUP(A355,[6]Hoja1!$D$1:$O$781,7,FALSE)</f>
        <v>301.71750000000003</v>
      </c>
      <c r="J355">
        <f>VLOOKUP(A355,[6]Hoja1!$D$1:$O$781,8,FALSE)</f>
        <v>301.71750000000003</v>
      </c>
      <c r="K355">
        <f>VLOOKUP(A355,[6]Hoja1!$D$1:$O$781,9,FALSE)</f>
        <v>301.71750000000003</v>
      </c>
      <c r="L355">
        <f>VLOOKUP(A355,[6]Hoja1!$D$1:$O$781,11,FALSE)</f>
        <v>342.66</v>
      </c>
    </row>
    <row r="356" spans="1:12" x14ac:dyDescent="0.2">
      <c r="A356" t="s">
        <v>783</v>
      </c>
      <c r="B356" t="s">
        <v>784</v>
      </c>
      <c r="C356" t="s">
        <v>785</v>
      </c>
      <c r="D356">
        <f>IFERROR(VLOOKUP(A356,[1]Hoja2!$A$1:$E$430,4,FALSE),0)</f>
        <v>0</v>
      </c>
      <c r="E356">
        <f>IFERROR(VLOOKUP(A356,[2]Hoja3!$A$1:$E$410,4,FALSE),0)</f>
        <v>1180</v>
      </c>
      <c r="F356">
        <f>IFERROR(VLOOKUP(A356,[3]Hoja2!$A$1:$E$411,4,FALSE),0)</f>
        <v>0</v>
      </c>
      <c r="G356">
        <f>VLOOKUP(A356,[4]Hoja1!$D$1:$K$778,7,FALSE)</f>
        <v>5782.7371249999997</v>
      </c>
      <c r="H356">
        <f>VLOOKUP(A356,[5]Hoja1!$D$1:$K$781,7,FALSE)</f>
        <v>5782.7371250000006</v>
      </c>
      <c r="I356">
        <f>VLOOKUP(A356,[6]Hoja1!$D$1:$O$781,7,FALSE)</f>
        <v>5782.7371250000006</v>
      </c>
      <c r="J356">
        <f>VLOOKUP(A356,[6]Hoja1!$D$1:$O$781,8,FALSE)</f>
        <v>5782.7371250000006</v>
      </c>
      <c r="K356">
        <f>VLOOKUP(A356,[6]Hoja1!$D$1:$O$781,9,FALSE)</f>
        <v>5782.7371250000006</v>
      </c>
      <c r="L356">
        <f>VLOOKUP(A356,[6]Hoja1!$D$1:$O$781,11,FALSE)</f>
        <v>5782.7371250000006</v>
      </c>
    </row>
    <row r="357" spans="1:12" x14ac:dyDescent="0.2">
      <c r="A357" t="s">
        <v>786</v>
      </c>
      <c r="B357" t="s">
        <v>787</v>
      </c>
      <c r="C357" t="s">
        <v>788</v>
      </c>
      <c r="D357">
        <f>IFERROR(VLOOKUP(A357,[1]Hoja2!$A$1:$E$430,4,FALSE),0)</f>
        <v>0</v>
      </c>
      <c r="E357">
        <f>IFERROR(VLOOKUP(A357,[2]Hoja3!$A$1:$E$410,4,FALSE),0)</f>
        <v>0</v>
      </c>
      <c r="F357">
        <f>IFERROR(VLOOKUP(A357,[3]Hoja2!$A$1:$E$411,4,FALSE),0)</f>
        <v>0</v>
      </c>
      <c r="G357">
        <f>VLOOKUP(A357,[4]Hoja1!$D$1:$K$778,7,FALSE)</f>
        <v>718.125</v>
      </c>
      <c r="H357">
        <f>VLOOKUP(A357,[5]Hoja1!$D$1:$K$781,7,FALSE)</f>
        <v>718.125</v>
      </c>
      <c r="I357">
        <f>VLOOKUP(A357,[6]Hoja1!$D$1:$O$781,7,FALSE)</f>
        <v>718.125</v>
      </c>
      <c r="J357">
        <f>VLOOKUP(A357,[6]Hoja1!$D$1:$O$781,8,FALSE)</f>
        <v>718.125</v>
      </c>
      <c r="K357">
        <f>VLOOKUP(A357,[6]Hoja1!$D$1:$O$781,9,FALSE)</f>
        <v>718.125</v>
      </c>
      <c r="L357">
        <f>VLOOKUP(A357,[6]Hoja1!$D$1:$O$781,11,FALSE)</f>
        <v>718.125</v>
      </c>
    </row>
    <row r="358" spans="1:12" x14ac:dyDescent="0.2">
      <c r="A358" t="s">
        <v>789</v>
      </c>
      <c r="B358" t="s">
        <v>790</v>
      </c>
      <c r="C358" t="s">
        <v>38</v>
      </c>
      <c r="D358">
        <f>IFERROR(VLOOKUP(A358,[1]Hoja2!$A$1:$E$430,4,FALSE),0)</f>
        <v>0</v>
      </c>
      <c r="E358">
        <f>IFERROR(VLOOKUP(A358,[2]Hoja3!$A$1:$E$410,4,FALSE),0)</f>
        <v>222.27</v>
      </c>
      <c r="F358">
        <f>IFERROR(VLOOKUP(A358,[3]Hoja2!$A$1:$E$411,4,FALSE),0)</f>
        <v>0</v>
      </c>
      <c r="G358">
        <f>VLOOKUP(A358,[4]Hoja1!$D$1:$K$778,7,FALSE)</f>
        <v>222.26666666666699</v>
      </c>
      <c r="H358">
        <f>VLOOKUP(A358,[5]Hoja1!$D$1:$K$781,7,FALSE)</f>
        <v>222.26666666666668</v>
      </c>
      <c r="I358">
        <f>VLOOKUP(A358,[6]Hoja1!$D$1:$O$781,7,FALSE)</f>
        <v>222.26666666666668</v>
      </c>
      <c r="J358">
        <f>VLOOKUP(A358,[6]Hoja1!$D$1:$O$781,8,FALSE)</f>
        <v>222.26666666666668</v>
      </c>
      <c r="K358">
        <f>VLOOKUP(A358,[6]Hoja1!$D$1:$O$781,9,FALSE)</f>
        <v>276</v>
      </c>
      <c r="L358">
        <f>VLOOKUP(A358,[6]Hoja1!$D$1:$O$781,11,FALSE)</f>
        <v>311.64999999999998</v>
      </c>
    </row>
    <row r="359" spans="1:12" x14ac:dyDescent="0.2">
      <c r="A359" t="s">
        <v>791</v>
      </c>
      <c r="B359" t="s">
        <v>723</v>
      </c>
      <c r="C359" t="s">
        <v>792</v>
      </c>
      <c r="D359">
        <f>IFERROR(VLOOKUP(A359,[1]Hoja2!$A$1:$E$430,4,FALSE),0)</f>
        <v>0</v>
      </c>
      <c r="E359">
        <f>IFERROR(VLOOKUP(A359,[2]Hoja3!$A$1:$E$410,4,FALSE),0)</f>
        <v>0</v>
      </c>
      <c r="F359">
        <f>IFERROR(VLOOKUP(A359,[3]Hoja2!$A$1:$E$411,4,FALSE),0)</f>
        <v>619</v>
      </c>
      <c r="G359">
        <f>VLOOKUP(A359,[4]Hoja1!$D$1:$K$778,7,FALSE)</f>
        <v>621</v>
      </c>
      <c r="H359">
        <f>VLOOKUP(A359,[5]Hoja1!$D$1:$K$781,7,FALSE)</f>
        <v>621</v>
      </c>
      <c r="I359">
        <f>VLOOKUP(A359,[6]Hoja1!$D$1:$O$781,7,FALSE)</f>
        <v>621</v>
      </c>
      <c r="J359">
        <f>VLOOKUP(A359,[6]Hoja1!$D$1:$O$781,8,FALSE)</f>
        <v>621</v>
      </c>
      <c r="K359">
        <f>VLOOKUP(A359,[6]Hoja1!$D$1:$O$781,9,FALSE)</f>
        <v>989.06</v>
      </c>
      <c r="L359">
        <f>VLOOKUP(A359,[6]Hoja1!$D$1:$O$781,11,FALSE)</f>
        <v>1577.28</v>
      </c>
    </row>
    <row r="360" spans="1:12" x14ac:dyDescent="0.2">
      <c r="A360" t="s">
        <v>793</v>
      </c>
      <c r="B360" t="s">
        <v>794</v>
      </c>
      <c r="C360" t="s">
        <v>38</v>
      </c>
      <c r="D360">
        <f>IFERROR(VLOOKUP(A360,[1]Hoja2!$A$1:$E$430,4,FALSE),0)</f>
        <v>0</v>
      </c>
      <c r="E360">
        <f>IFERROR(VLOOKUP(A360,[2]Hoja3!$A$1:$E$410,4,FALSE),0)</f>
        <v>0</v>
      </c>
      <c r="F360">
        <f>IFERROR(VLOOKUP(A360,[3]Hoja2!$A$1:$E$411,4,FALSE),0)</f>
        <v>0</v>
      </c>
      <c r="G360">
        <f>VLOOKUP(A360,[4]Hoja1!$D$1:$K$778,7,FALSE)</f>
        <v>13.268750000000001</v>
      </c>
      <c r="H360">
        <f>VLOOKUP(A360,[5]Hoja1!$D$1:$K$781,7,FALSE)</f>
        <v>13.268750000000001</v>
      </c>
      <c r="I360">
        <f>VLOOKUP(A360,[6]Hoja1!$D$1:$O$781,7,FALSE)</f>
        <v>13.268750000000001</v>
      </c>
      <c r="J360">
        <f>VLOOKUP(A360,[6]Hoja1!$D$1:$O$781,8,FALSE)</f>
        <v>13.268750000000001</v>
      </c>
      <c r="K360">
        <f>VLOOKUP(A360,[6]Hoja1!$D$1:$O$781,9,FALSE)</f>
        <v>13.268750000000001</v>
      </c>
      <c r="L360">
        <f>VLOOKUP(A360,[6]Hoja1!$D$1:$O$781,11,FALSE)</f>
        <v>13.268750000000001</v>
      </c>
    </row>
    <row r="361" spans="1:12" x14ac:dyDescent="0.2">
      <c r="A361" t="s">
        <v>795</v>
      </c>
      <c r="B361" t="s">
        <v>796</v>
      </c>
      <c r="C361" t="s">
        <v>11</v>
      </c>
      <c r="D361">
        <f>IFERROR(VLOOKUP(A361,[1]Hoja2!$A$1:$E$430,4,FALSE),0)</f>
        <v>0</v>
      </c>
      <c r="E361">
        <f>IFERROR(VLOOKUP(A361,[2]Hoja3!$A$1:$E$410,4,FALSE),0)</f>
        <v>40</v>
      </c>
      <c r="F361">
        <f>IFERROR(VLOOKUP(A361,[3]Hoja2!$A$1:$E$411,4,FALSE),0)</f>
        <v>47.45</v>
      </c>
      <c r="G361">
        <f>VLOOKUP(A361,[4]Hoja1!$D$1:$K$778,7,FALSE)</f>
        <v>47.453333333333298</v>
      </c>
      <c r="H361">
        <f>VLOOKUP(A361,[5]Hoja1!$D$1:$K$781,7,FALSE)</f>
        <v>47.453333333333333</v>
      </c>
      <c r="I361">
        <f>VLOOKUP(A361,[6]Hoja1!$D$1:$O$781,7,FALSE)</f>
        <v>47.453333333333333</v>
      </c>
      <c r="J361">
        <f>VLOOKUP(A361,[6]Hoja1!$D$1:$O$781,8,FALSE)</f>
        <v>47.453333333333333</v>
      </c>
      <c r="K361">
        <f>VLOOKUP(A361,[6]Hoja1!$D$1:$O$781,9,FALSE)</f>
        <v>47.453333333333333</v>
      </c>
      <c r="L361">
        <f>VLOOKUP(A361,[6]Hoja1!$D$1:$O$781,11,FALSE)</f>
        <v>130.5</v>
      </c>
    </row>
    <row r="362" spans="1:12" x14ac:dyDescent="0.2">
      <c r="A362" t="s">
        <v>797</v>
      </c>
      <c r="B362" t="s">
        <v>234</v>
      </c>
      <c r="C362" t="s">
        <v>499</v>
      </c>
      <c r="D362">
        <f>IFERROR(VLOOKUP(A362,[1]Hoja2!$A$1:$E$430,4,FALSE),0)</f>
        <v>0</v>
      </c>
      <c r="E362">
        <f>IFERROR(VLOOKUP(A362,[2]Hoja3!$A$1:$E$410,4,FALSE),0)</f>
        <v>0.78</v>
      </c>
      <c r="F362">
        <f>IFERROR(VLOOKUP(A362,[3]Hoja2!$A$1:$E$411,4,FALSE),0)</f>
        <v>0.78</v>
      </c>
      <c r="G362">
        <f>VLOOKUP(A362,[4]Hoja1!$D$1:$K$778,7,FALSE)</f>
        <v>0.81904761904761902</v>
      </c>
      <c r="H362">
        <f>VLOOKUP(A362,[5]Hoja1!$D$1:$K$781,7,FALSE)</f>
        <v>0.81904761904761914</v>
      </c>
      <c r="I362">
        <f>VLOOKUP(A362,[6]Hoja1!$D$1:$O$781,7,FALSE)</f>
        <v>0.81904761904761914</v>
      </c>
      <c r="J362">
        <f>VLOOKUP(A362,[6]Hoja1!$D$1:$O$781,8,FALSE)</f>
        <v>0.81904761904761914</v>
      </c>
      <c r="K362">
        <f>VLOOKUP(A362,[6]Hoja1!$D$1:$O$781,9,FALSE)</f>
        <v>0.81904761904761914</v>
      </c>
      <c r="L362">
        <f>VLOOKUP(A362,[6]Hoja1!$D$1:$O$781,11,FALSE)</f>
        <v>0.81904761904761914</v>
      </c>
    </row>
    <row r="363" spans="1:12" x14ac:dyDescent="0.2">
      <c r="A363" t="s">
        <v>798</v>
      </c>
      <c r="B363" t="s">
        <v>799</v>
      </c>
      <c r="C363" t="s">
        <v>11</v>
      </c>
      <c r="D363">
        <f>IFERROR(VLOOKUP(A363,[1]Hoja2!$A$1:$E$430,4,FALSE),0)</f>
        <v>0</v>
      </c>
      <c r="E363">
        <f>IFERROR(VLOOKUP(A363,[2]Hoja3!$A$1:$E$410,4,FALSE),0)</f>
        <v>2.3963000000000001</v>
      </c>
      <c r="F363">
        <f>IFERROR(VLOOKUP(A363,[3]Hoja2!$A$1:$E$411,4,FALSE),0)</f>
        <v>0</v>
      </c>
      <c r="G363">
        <f>VLOOKUP(A363,[4]Hoja1!$D$1:$K$778,7,FALSE)</f>
        <v>3.77</v>
      </c>
      <c r="H363">
        <f>VLOOKUP(A363,[5]Hoja1!$D$1:$K$781,7,FALSE)</f>
        <v>3.77</v>
      </c>
      <c r="I363">
        <f>VLOOKUP(A363,[6]Hoja1!$D$1:$O$781,7,FALSE)</f>
        <v>3.77</v>
      </c>
      <c r="J363">
        <f>VLOOKUP(A363,[6]Hoja1!$D$1:$O$781,8,FALSE)</f>
        <v>3.77</v>
      </c>
      <c r="K363">
        <f>VLOOKUP(A363,[6]Hoja1!$D$1:$O$781,9,FALSE)</f>
        <v>3.77</v>
      </c>
      <c r="L363">
        <f>VLOOKUP(A363,[6]Hoja1!$D$1:$O$781,11,FALSE)</f>
        <v>3.77</v>
      </c>
    </row>
    <row r="364" spans="1:12" x14ac:dyDescent="0.2">
      <c r="A364" t="s">
        <v>800</v>
      </c>
      <c r="B364" t="s">
        <v>801</v>
      </c>
      <c r="C364" t="s">
        <v>11</v>
      </c>
      <c r="D364">
        <f>IFERROR(VLOOKUP(A364,[1]Hoja2!$A$1:$E$430,4,FALSE),0)</f>
        <v>0</v>
      </c>
      <c r="E364">
        <f>IFERROR(VLOOKUP(A364,[2]Hoja3!$A$1:$E$410,4,FALSE),0)</f>
        <v>1.2623070000000001</v>
      </c>
      <c r="F364">
        <f>IFERROR(VLOOKUP(A364,[3]Hoja2!$A$1:$E$411,4,FALSE),0)</f>
        <v>0</v>
      </c>
      <c r="G364">
        <f>VLOOKUP(A364,[4]Hoja1!$D$1:$K$778,7,FALSE)</f>
        <v>1.2250000000000001</v>
      </c>
      <c r="H364">
        <f>VLOOKUP(A364,[5]Hoja1!$D$1:$K$781,7,FALSE)</f>
        <v>1.2250000000000001</v>
      </c>
      <c r="I364">
        <f>VLOOKUP(A364,[6]Hoja1!$D$1:$O$781,7,FALSE)</f>
        <v>1.2250000000000001</v>
      </c>
      <c r="J364">
        <f>VLOOKUP(A364,[6]Hoja1!$D$1:$O$781,8,FALSE)</f>
        <v>1.2250000000000001</v>
      </c>
      <c r="K364">
        <f>VLOOKUP(A364,[6]Hoja1!$D$1:$O$781,9,FALSE)</f>
        <v>1.2250000000000001</v>
      </c>
      <c r="L364">
        <f>VLOOKUP(A364,[6]Hoja1!$D$1:$O$781,11,FALSE)</f>
        <v>1.2250000000000001</v>
      </c>
    </row>
    <row r="365" spans="1:12" x14ac:dyDescent="0.2">
      <c r="A365" t="s">
        <v>802</v>
      </c>
      <c r="B365" t="s">
        <v>294</v>
      </c>
      <c r="C365" t="s">
        <v>446</v>
      </c>
      <c r="D365">
        <f>IFERROR(VLOOKUP(A365,[1]Hoja2!$A$1:$E$430,4,FALSE),0)</f>
        <v>0</v>
      </c>
      <c r="E365">
        <f>IFERROR(VLOOKUP(A365,[2]Hoja3!$A$1:$E$410,4,FALSE),0)</f>
        <v>59</v>
      </c>
      <c r="F365">
        <f>IFERROR(VLOOKUP(A365,[3]Hoja2!$A$1:$E$411,4,FALSE),0)</f>
        <v>59</v>
      </c>
      <c r="G365">
        <f>VLOOKUP(A365,[4]Hoja1!$D$1:$K$778,7,FALSE)</f>
        <v>70.67</v>
      </c>
      <c r="H365">
        <f>VLOOKUP(A365,[5]Hoja1!$D$1:$K$781,7,FALSE)</f>
        <v>70.67</v>
      </c>
      <c r="I365">
        <f>VLOOKUP(A365,[6]Hoja1!$D$1:$O$781,7,FALSE)</f>
        <v>70.67</v>
      </c>
      <c r="J365">
        <f>VLOOKUP(A365,[6]Hoja1!$D$1:$O$781,8,FALSE)</f>
        <v>70.67</v>
      </c>
      <c r="K365">
        <f>VLOOKUP(A365,[6]Hoja1!$D$1:$O$781,9,FALSE)</f>
        <v>70.67</v>
      </c>
      <c r="L365">
        <f>VLOOKUP(A365,[6]Hoja1!$D$1:$O$781,11,FALSE)</f>
        <v>70.67</v>
      </c>
    </row>
    <row r="366" spans="1:12" x14ac:dyDescent="0.2">
      <c r="A366" t="s">
        <v>803</v>
      </c>
      <c r="B366" t="s">
        <v>804</v>
      </c>
      <c r="C366" t="s">
        <v>11</v>
      </c>
      <c r="D366">
        <f>IFERROR(VLOOKUP(A366,[1]Hoja2!$A$1:$E$430,4,FALSE),0)</f>
        <v>0</v>
      </c>
      <c r="E366">
        <f>IFERROR(VLOOKUP(A366,[2]Hoja3!$A$1:$E$410,4,FALSE),0)</f>
        <v>119</v>
      </c>
      <c r="F366">
        <f>IFERROR(VLOOKUP(A366,[3]Hoja2!$A$1:$E$411,4,FALSE),0)</f>
        <v>119</v>
      </c>
      <c r="G366">
        <f>VLOOKUP(A366,[4]Hoja1!$D$1:$K$778,7,FALSE)</f>
        <v>119.041666666667</v>
      </c>
      <c r="H366">
        <f>VLOOKUP(A366,[5]Hoja1!$D$1:$K$781,7,FALSE)</f>
        <v>119.04166666666666</v>
      </c>
      <c r="I366">
        <f>VLOOKUP(A366,[6]Hoja1!$D$1:$O$781,7,FALSE)</f>
        <v>119.04166666666666</v>
      </c>
      <c r="J366">
        <f>VLOOKUP(A366,[6]Hoja1!$D$1:$O$781,8,FALSE)</f>
        <v>119.04166666666666</v>
      </c>
      <c r="K366">
        <f>VLOOKUP(A366,[6]Hoja1!$D$1:$O$781,9,FALSE)</f>
        <v>119.04166666666666</v>
      </c>
      <c r="L366">
        <f>VLOOKUP(A366,[6]Hoja1!$D$1:$O$781,11,FALSE)</f>
        <v>136.19</v>
      </c>
    </row>
    <row r="367" spans="1:12" x14ac:dyDescent="0.2">
      <c r="A367" t="s">
        <v>805</v>
      </c>
      <c r="B367" t="s">
        <v>806</v>
      </c>
      <c r="C367" t="s">
        <v>72</v>
      </c>
      <c r="D367">
        <f>IFERROR(VLOOKUP(A367,[1]Hoja2!$A$1:$E$430,4,FALSE),0)</f>
        <v>0</v>
      </c>
      <c r="E367">
        <f>IFERROR(VLOOKUP(A367,[2]Hoja3!$A$1:$E$410,4,FALSE),0)</f>
        <v>3.34</v>
      </c>
      <c r="F367">
        <f>IFERROR(VLOOKUP(A367,[3]Hoja2!$A$1:$E$411,4,FALSE),0)</f>
        <v>3.34</v>
      </c>
      <c r="G367">
        <f>VLOOKUP(A367,[4]Hoja1!$D$1:$K$778,7,FALSE)</f>
        <v>3.3391666666666699</v>
      </c>
      <c r="H367">
        <f>VLOOKUP(A367,[5]Hoja1!$D$1:$K$781,7,FALSE)</f>
        <v>3.3391666666666664</v>
      </c>
      <c r="I367">
        <f>VLOOKUP(A367,[6]Hoja1!$D$1:$O$781,7,FALSE)</f>
        <v>3.3391666666666664</v>
      </c>
      <c r="J367">
        <f>VLOOKUP(A367,[6]Hoja1!$D$1:$O$781,8,FALSE)</f>
        <v>3.3391666666666664</v>
      </c>
      <c r="K367">
        <f>VLOOKUP(A367,[6]Hoja1!$D$1:$O$781,9,FALSE)</f>
        <v>3.3391666666666664</v>
      </c>
      <c r="L367">
        <f>VLOOKUP(A367,[6]Hoja1!$D$1:$O$781,11,FALSE)</f>
        <v>6.21</v>
      </c>
    </row>
    <row r="368" spans="1:12" x14ac:dyDescent="0.2">
      <c r="A368" t="s">
        <v>807</v>
      </c>
      <c r="B368" t="s">
        <v>808</v>
      </c>
      <c r="C368" t="s">
        <v>466</v>
      </c>
      <c r="D368">
        <f>IFERROR(VLOOKUP(A368,[1]Hoja2!$A$1:$E$430,4,FALSE),0)</f>
        <v>0</v>
      </c>
      <c r="E368">
        <f>IFERROR(VLOOKUP(A368,[2]Hoja3!$A$1:$E$410,4,FALSE),0)</f>
        <v>6.38</v>
      </c>
      <c r="F368">
        <f>IFERROR(VLOOKUP(A368,[3]Hoja2!$A$1:$E$411,4,FALSE),0)</f>
        <v>6.38</v>
      </c>
      <c r="G368">
        <f>VLOOKUP(A368,[4]Hoja1!$D$1:$K$778,7,FALSE)</f>
        <v>6.3829166666666701</v>
      </c>
      <c r="H368">
        <f>VLOOKUP(A368,[5]Hoja1!$D$1:$K$781,7,FALSE)</f>
        <v>6.3829166666666666</v>
      </c>
      <c r="I368">
        <f>VLOOKUP(A368,[6]Hoja1!$D$1:$O$781,7,FALSE)</f>
        <v>6.3829166666666666</v>
      </c>
      <c r="J368">
        <f>VLOOKUP(A368,[6]Hoja1!$D$1:$O$781,8,FALSE)</f>
        <v>6.3829166666666666</v>
      </c>
      <c r="K368">
        <f>VLOOKUP(A368,[6]Hoja1!$D$1:$O$781,9,FALSE)</f>
        <v>6.3829166666666666</v>
      </c>
      <c r="L368">
        <f>VLOOKUP(A368,[6]Hoja1!$D$1:$O$781,11,FALSE)</f>
        <v>6.3829166666666666</v>
      </c>
    </row>
    <row r="369" spans="1:12" x14ac:dyDescent="0.2">
      <c r="A369" t="s">
        <v>809</v>
      </c>
      <c r="B369" t="s">
        <v>810</v>
      </c>
      <c r="C369" t="s">
        <v>811</v>
      </c>
      <c r="D369">
        <f>IFERROR(VLOOKUP(A369,[1]Hoja2!$A$1:$E$430,4,FALSE),0)</f>
        <v>0</v>
      </c>
      <c r="E369">
        <f>IFERROR(VLOOKUP(A369,[2]Hoja3!$A$1:$E$410,4,FALSE),0)</f>
        <v>8.33</v>
      </c>
      <c r="F369">
        <f>IFERROR(VLOOKUP(A369,[3]Hoja2!$A$1:$E$411,4,FALSE),0)</f>
        <v>8.33</v>
      </c>
      <c r="G369">
        <f>VLOOKUP(A369,[4]Hoja1!$D$1:$K$778,7,FALSE)</f>
        <v>8.33</v>
      </c>
      <c r="H369">
        <f>VLOOKUP(A369,[5]Hoja1!$D$1:$K$781,7,FALSE)</f>
        <v>8.33</v>
      </c>
      <c r="I369">
        <f>VLOOKUP(A369,[6]Hoja1!$D$1:$O$781,7,FALSE)</f>
        <v>8.33</v>
      </c>
      <c r="J369">
        <f>VLOOKUP(A369,[6]Hoja1!$D$1:$O$781,8,FALSE)</f>
        <v>8.33</v>
      </c>
      <c r="K369">
        <f>VLOOKUP(A369,[6]Hoja1!$D$1:$O$781,9,FALSE)</f>
        <v>8.33</v>
      </c>
      <c r="L369">
        <f>VLOOKUP(A369,[6]Hoja1!$D$1:$O$781,11,FALSE)</f>
        <v>8.33</v>
      </c>
    </row>
    <row r="370" spans="1:12" x14ac:dyDescent="0.2">
      <c r="A370" t="s">
        <v>812</v>
      </c>
      <c r="B370" t="s">
        <v>794</v>
      </c>
      <c r="C370" t="s">
        <v>813</v>
      </c>
      <c r="D370">
        <f>IFERROR(VLOOKUP(A370,[1]Hoja2!$A$1:$E$430,4,FALSE),0)</f>
        <v>0</v>
      </c>
      <c r="E370">
        <f>IFERROR(VLOOKUP(A370,[2]Hoja3!$A$1:$E$410,4,FALSE),0)</f>
        <v>11</v>
      </c>
      <c r="F370">
        <f>IFERROR(VLOOKUP(A370,[3]Hoja2!$A$1:$E$411,4,FALSE),0)</f>
        <v>9.4</v>
      </c>
      <c r="G370">
        <f>VLOOKUP(A370,[4]Hoja1!$D$1:$K$778,7,FALSE)</f>
        <v>11.3816666666667</v>
      </c>
      <c r="H370">
        <f>VLOOKUP(A370,[5]Hoja1!$D$1:$K$781,7,FALSE)</f>
        <v>11.381666666666668</v>
      </c>
      <c r="I370">
        <f>VLOOKUP(A370,[6]Hoja1!$D$1:$O$781,7,FALSE)</f>
        <v>11.381666666666668</v>
      </c>
      <c r="J370">
        <f>VLOOKUP(A370,[6]Hoja1!$D$1:$O$781,8,FALSE)</f>
        <v>11.381666666666668</v>
      </c>
      <c r="K370">
        <f>VLOOKUP(A370,[6]Hoja1!$D$1:$O$781,9,FALSE)</f>
        <v>11.381666666666668</v>
      </c>
      <c r="L370">
        <f>VLOOKUP(A370,[6]Hoja1!$D$1:$O$781,11,FALSE)</f>
        <v>11.381666666666668</v>
      </c>
    </row>
    <row r="371" spans="1:12" x14ac:dyDescent="0.2">
      <c r="A371" t="s">
        <v>814</v>
      </c>
      <c r="B371" t="s">
        <v>815</v>
      </c>
      <c r="C371" t="s">
        <v>816</v>
      </c>
      <c r="D371">
        <f>IFERROR(VLOOKUP(A371,[1]Hoja2!$A$1:$E$430,4,FALSE),0)</f>
        <v>0</v>
      </c>
      <c r="E371">
        <f>IFERROR(VLOOKUP(A371,[2]Hoja3!$A$1:$E$410,4,FALSE),0)</f>
        <v>0</v>
      </c>
      <c r="F371">
        <f>IFERROR(VLOOKUP(A371,[3]Hoja2!$A$1:$E$411,4,FALSE),0)</f>
        <v>42.6</v>
      </c>
      <c r="G371">
        <f>VLOOKUP(A371,[4]Hoja1!$D$1:$K$778,7,FALSE)</f>
        <v>42.637500000000003</v>
      </c>
      <c r="H371">
        <f>VLOOKUP(A371,[5]Hoja1!$D$1:$K$781,7,FALSE)</f>
        <v>42.637499999999996</v>
      </c>
      <c r="I371">
        <f>VLOOKUP(A371,[6]Hoja1!$D$1:$O$781,7,FALSE)</f>
        <v>42.637499999999996</v>
      </c>
      <c r="J371">
        <f>VLOOKUP(A371,[6]Hoja1!$D$1:$O$781,8,FALSE)</f>
        <v>42.637499999999996</v>
      </c>
      <c r="K371">
        <f>VLOOKUP(A371,[6]Hoja1!$D$1:$O$781,9,FALSE)</f>
        <v>42.637499999999996</v>
      </c>
      <c r="L371">
        <f>VLOOKUP(A371,[6]Hoja1!$D$1:$O$781,11,FALSE)</f>
        <v>42.637499999999996</v>
      </c>
    </row>
    <row r="372" spans="1:12" x14ac:dyDescent="0.2">
      <c r="A372" t="s">
        <v>817</v>
      </c>
      <c r="B372" t="s">
        <v>389</v>
      </c>
      <c r="C372" t="s">
        <v>818</v>
      </c>
      <c r="D372">
        <f>IFERROR(VLOOKUP(A372,[1]Hoja2!$A$1:$E$430,4,FALSE),0)</f>
        <v>0</v>
      </c>
      <c r="E372">
        <f>IFERROR(VLOOKUP(A372,[2]Hoja3!$A$1:$E$410,4,FALSE),0)</f>
        <v>0</v>
      </c>
      <c r="F372">
        <f>IFERROR(VLOOKUP(A372,[3]Hoja2!$A$1:$E$411,4,FALSE),0)</f>
        <v>24.11</v>
      </c>
      <c r="G372">
        <f>VLOOKUP(A372,[4]Hoja1!$D$1:$K$778,7,FALSE)</f>
        <v>24.11</v>
      </c>
      <c r="H372">
        <f>VLOOKUP(A372,[5]Hoja1!$D$1:$K$781,7,FALSE)</f>
        <v>24.11</v>
      </c>
      <c r="I372">
        <f>VLOOKUP(A372,[6]Hoja1!$D$1:$O$781,7,FALSE)</f>
        <v>24.11</v>
      </c>
      <c r="J372">
        <f>VLOOKUP(A372,[6]Hoja1!$D$1:$O$781,8,FALSE)</f>
        <v>24.11</v>
      </c>
      <c r="K372">
        <f>VLOOKUP(A372,[6]Hoja1!$D$1:$O$781,9,FALSE)</f>
        <v>24.11</v>
      </c>
      <c r="L372">
        <f>VLOOKUP(A372,[6]Hoja1!$D$1:$O$781,11,FALSE)</f>
        <v>48</v>
      </c>
    </row>
    <row r="373" spans="1:12" x14ac:dyDescent="0.2">
      <c r="A373" t="s">
        <v>819</v>
      </c>
      <c r="B373" t="s">
        <v>820</v>
      </c>
      <c r="C373" t="s">
        <v>386</v>
      </c>
      <c r="D373">
        <f>IFERROR(VLOOKUP(A373,[1]Hoja2!$A$1:$E$430,4,FALSE),0)</f>
        <v>0</v>
      </c>
      <c r="E373">
        <f>IFERROR(VLOOKUP(A373,[2]Hoja3!$A$1:$E$410,4,FALSE),0)</f>
        <v>0</v>
      </c>
      <c r="F373">
        <f>IFERROR(VLOOKUP(A373,[3]Hoja2!$A$1:$E$411,4,FALSE),0)</f>
        <v>4.7090014356000003</v>
      </c>
      <c r="G373">
        <f>VLOOKUP(A373,[4]Hoja1!$D$1:$K$778,7,FALSE)</f>
        <v>5</v>
      </c>
      <c r="H373">
        <f>VLOOKUP(A373,[5]Hoja1!$D$1:$K$781,7,FALSE)</f>
        <v>5</v>
      </c>
      <c r="I373">
        <f>VLOOKUP(A373,[6]Hoja1!$D$1:$O$781,7,FALSE)</f>
        <v>5</v>
      </c>
      <c r="J373">
        <f>VLOOKUP(A373,[6]Hoja1!$D$1:$O$781,8,FALSE)</f>
        <v>5</v>
      </c>
      <c r="K373">
        <f>VLOOKUP(A373,[6]Hoja1!$D$1:$O$781,9,FALSE)</f>
        <v>5</v>
      </c>
      <c r="L373">
        <f>VLOOKUP(A373,[6]Hoja1!$D$1:$O$781,11,FALSE)</f>
        <v>5</v>
      </c>
    </row>
    <row r="374" spans="1:12" x14ac:dyDescent="0.2">
      <c r="A374" t="s">
        <v>821</v>
      </c>
      <c r="B374" t="s">
        <v>294</v>
      </c>
      <c r="C374" t="s">
        <v>72</v>
      </c>
      <c r="D374">
        <f>IFERROR(VLOOKUP(A374,[1]Hoja2!$A$1:$E$430,4,FALSE),0)</f>
        <v>0</v>
      </c>
      <c r="E374">
        <f>IFERROR(VLOOKUP(A374,[2]Hoja3!$A$1:$E$410,4,FALSE),0)</f>
        <v>0</v>
      </c>
      <c r="F374">
        <f>IFERROR(VLOOKUP(A374,[3]Hoja2!$A$1:$E$411,4,FALSE),0)</f>
        <v>47.5</v>
      </c>
      <c r="G374">
        <f>VLOOKUP(A374,[4]Hoja1!$D$1:$K$778,7,FALSE)</f>
        <v>47.5</v>
      </c>
      <c r="H374">
        <f>VLOOKUP(A374,[5]Hoja1!$D$1:$K$781,7,FALSE)</f>
        <v>47.5</v>
      </c>
      <c r="I374">
        <f>VLOOKUP(A374,[6]Hoja1!$D$1:$O$781,7,FALSE)</f>
        <v>47.5</v>
      </c>
      <c r="J374">
        <f>VLOOKUP(A374,[6]Hoja1!$D$1:$O$781,8,FALSE)</f>
        <v>47.5</v>
      </c>
      <c r="K374">
        <f>VLOOKUP(A374,[6]Hoja1!$D$1:$O$781,9,FALSE)</f>
        <v>47.5</v>
      </c>
      <c r="L374">
        <f>VLOOKUP(A374,[6]Hoja1!$D$1:$O$781,11,FALSE)</f>
        <v>47.5</v>
      </c>
    </row>
    <row r="375" spans="1:12" x14ac:dyDescent="0.2">
      <c r="A375" t="s">
        <v>822</v>
      </c>
      <c r="B375" t="s">
        <v>823</v>
      </c>
      <c r="C375" t="s">
        <v>824</v>
      </c>
      <c r="D375">
        <f>IFERROR(VLOOKUP(A375,[1]Hoja2!$A$1:$E$430,4,FALSE),0)</f>
        <v>0</v>
      </c>
      <c r="E375">
        <f>IFERROR(VLOOKUP(A375,[2]Hoja3!$A$1:$E$410,4,FALSE),0)</f>
        <v>0</v>
      </c>
      <c r="F375">
        <f>IFERROR(VLOOKUP(A375,[3]Hoja2!$A$1:$E$411,4,FALSE),0)</f>
        <v>480.84</v>
      </c>
      <c r="G375">
        <f>VLOOKUP(A375,[4]Hoja1!$D$1:$K$778,7,FALSE)</f>
        <v>480.83749999999998</v>
      </c>
      <c r="H375">
        <f>VLOOKUP(A375,[5]Hoja1!$D$1:$K$781,7,FALSE)</f>
        <v>480.83749999999998</v>
      </c>
      <c r="I375">
        <f>VLOOKUP(A375,[6]Hoja1!$D$1:$O$781,7,FALSE)</f>
        <v>480.83749999999998</v>
      </c>
      <c r="J375">
        <f>VLOOKUP(A375,[6]Hoja1!$D$1:$O$781,8,FALSE)</f>
        <v>480.83749999999998</v>
      </c>
      <c r="K375">
        <f>VLOOKUP(A375,[6]Hoja1!$D$1:$O$781,9,FALSE)</f>
        <v>480.83749999999998</v>
      </c>
      <c r="L375">
        <f>VLOOKUP(A375,[6]Hoja1!$D$1:$O$781,11,FALSE)</f>
        <v>480.83749999999998</v>
      </c>
    </row>
    <row r="376" spans="1:12" x14ac:dyDescent="0.2">
      <c r="A376" t="s">
        <v>825</v>
      </c>
      <c r="B376" t="s">
        <v>826</v>
      </c>
      <c r="C376" t="s">
        <v>444</v>
      </c>
      <c r="D376">
        <f>IFERROR(VLOOKUP(A376,[1]Hoja2!$A$1:$E$430,4,FALSE),0)</f>
        <v>0</v>
      </c>
      <c r="E376">
        <f>IFERROR(VLOOKUP(A376,[2]Hoja3!$A$1:$E$410,4,FALSE),0)</f>
        <v>0</v>
      </c>
      <c r="F376">
        <f>IFERROR(VLOOKUP(A376,[3]Hoja2!$A$1:$E$411,4,FALSE),0)</f>
        <v>90</v>
      </c>
      <c r="G376">
        <f>VLOOKUP(A376,[4]Hoja1!$D$1:$K$778,7,FALSE)</f>
        <v>314</v>
      </c>
      <c r="H376">
        <f>VLOOKUP(A376,[5]Hoja1!$D$1:$K$781,7,FALSE)</f>
        <v>314</v>
      </c>
      <c r="I376">
        <f>VLOOKUP(A376,[6]Hoja1!$D$1:$O$781,7,FALSE)</f>
        <v>314</v>
      </c>
      <c r="J376">
        <f>VLOOKUP(A376,[6]Hoja1!$D$1:$O$781,8,FALSE)</f>
        <v>314</v>
      </c>
      <c r="K376">
        <f>VLOOKUP(A376,[6]Hoja1!$D$1:$O$781,9,FALSE)</f>
        <v>314</v>
      </c>
      <c r="L376">
        <f>VLOOKUP(A376,[6]Hoja1!$D$1:$O$781,11,FALSE)</f>
        <v>314</v>
      </c>
    </row>
    <row r="377" spans="1:12" x14ac:dyDescent="0.2">
      <c r="A377" t="s">
        <v>827</v>
      </c>
      <c r="B377" t="s">
        <v>828</v>
      </c>
      <c r="C377" t="s">
        <v>829</v>
      </c>
      <c r="D377">
        <f>IFERROR(VLOOKUP(A377,[1]Hoja2!$A$1:$E$430,4,FALSE),0)</f>
        <v>0</v>
      </c>
      <c r="E377">
        <f>IFERROR(VLOOKUP(A377,[2]Hoja3!$A$1:$E$410,4,FALSE),0)</f>
        <v>0</v>
      </c>
      <c r="F377">
        <f>IFERROR(VLOOKUP(A377,[3]Hoja2!$A$1:$E$411,4,FALSE),0)</f>
        <v>133.30000000000001</v>
      </c>
      <c r="G377">
        <f>VLOOKUP(A377,[4]Hoja1!$D$1:$K$778,7,FALSE)</f>
        <v>278.83</v>
      </c>
      <c r="H377">
        <f>VLOOKUP(A377,[5]Hoja1!$D$1:$K$781,7,FALSE)</f>
        <v>278.83</v>
      </c>
      <c r="I377">
        <f>VLOOKUP(A377,[6]Hoja1!$D$1:$O$781,7,FALSE)</f>
        <v>278.83</v>
      </c>
      <c r="J377">
        <f>VLOOKUP(A377,[6]Hoja1!$D$1:$O$781,8,FALSE)</f>
        <v>278.83</v>
      </c>
      <c r="K377">
        <f>VLOOKUP(A377,[6]Hoja1!$D$1:$O$781,9,FALSE)</f>
        <v>278.83</v>
      </c>
      <c r="L377">
        <f>VLOOKUP(A377,[6]Hoja1!$D$1:$O$781,11,FALSE)</f>
        <v>278.83</v>
      </c>
    </row>
    <row r="378" spans="1:12" x14ac:dyDescent="0.2">
      <c r="A378" t="s">
        <v>830</v>
      </c>
      <c r="B378" t="s">
        <v>831</v>
      </c>
      <c r="C378" t="s">
        <v>232</v>
      </c>
      <c r="D378">
        <f>IFERROR(VLOOKUP(A378,[1]Hoja2!$A$1:$E$430,4,FALSE),0)</f>
        <v>0</v>
      </c>
      <c r="E378">
        <f>IFERROR(VLOOKUP(A378,[2]Hoja3!$A$1:$E$410,4,FALSE),0)</f>
        <v>0</v>
      </c>
      <c r="F378">
        <f>IFERROR(VLOOKUP(A378,[3]Hoja2!$A$1:$E$411,4,FALSE),0)</f>
        <v>50</v>
      </c>
      <c r="G378">
        <f>VLOOKUP(A378,[4]Hoja1!$D$1:$K$778,7,FALSE)</f>
        <v>114.22</v>
      </c>
      <c r="H378">
        <f>VLOOKUP(A378,[5]Hoja1!$D$1:$K$781,7,FALSE)</f>
        <v>114.22</v>
      </c>
      <c r="I378">
        <f>VLOOKUP(A378,[6]Hoja1!$D$1:$O$781,7,FALSE)</f>
        <v>114.22</v>
      </c>
      <c r="J378">
        <f>VLOOKUP(A378,[6]Hoja1!$D$1:$O$781,8,FALSE)</f>
        <v>114.22</v>
      </c>
      <c r="K378">
        <f>VLOOKUP(A378,[6]Hoja1!$D$1:$O$781,9,FALSE)</f>
        <v>114.22</v>
      </c>
      <c r="L378">
        <f>VLOOKUP(A378,[6]Hoja1!$D$1:$O$781,11,FALSE)</f>
        <v>114.22</v>
      </c>
    </row>
    <row r="379" spans="1:12" x14ac:dyDescent="0.2">
      <c r="A379" t="s">
        <v>832</v>
      </c>
      <c r="B379" t="s">
        <v>833</v>
      </c>
      <c r="C379" t="s">
        <v>520</v>
      </c>
      <c r="D379">
        <f>IFERROR(VLOOKUP(A379,[1]Hoja2!$A$1:$E$430,4,FALSE),0)</f>
        <v>0</v>
      </c>
      <c r="E379">
        <f>IFERROR(VLOOKUP(A379,[2]Hoja3!$A$1:$E$410,4,FALSE),0)</f>
        <v>0</v>
      </c>
      <c r="F379">
        <f>IFERROR(VLOOKUP(A379,[3]Hoja2!$A$1:$E$411,4,FALSE),0)</f>
        <v>17</v>
      </c>
      <c r="G379">
        <f>VLOOKUP(A379,[4]Hoja1!$D$1:$K$778,7,FALSE)</f>
        <v>18</v>
      </c>
      <c r="H379">
        <f>VLOOKUP(A379,[5]Hoja1!$D$1:$K$781,7,FALSE)</f>
        <v>18</v>
      </c>
      <c r="I379">
        <f>VLOOKUP(A379,[6]Hoja1!$D$1:$O$781,7,FALSE)</f>
        <v>18</v>
      </c>
      <c r="J379">
        <f>VLOOKUP(A379,[6]Hoja1!$D$1:$O$781,8,FALSE)</f>
        <v>18</v>
      </c>
      <c r="K379">
        <f>VLOOKUP(A379,[6]Hoja1!$D$1:$O$781,9,FALSE)</f>
        <v>18</v>
      </c>
      <c r="L379">
        <f>VLOOKUP(A379,[6]Hoja1!$D$1:$O$781,11,FALSE)</f>
        <v>18</v>
      </c>
    </row>
    <row r="380" spans="1:12" x14ac:dyDescent="0.2">
      <c r="A380" t="s">
        <v>834</v>
      </c>
      <c r="B380" t="s">
        <v>835</v>
      </c>
      <c r="C380" t="s">
        <v>836</v>
      </c>
      <c r="D380">
        <f>IFERROR(VLOOKUP(A380,[1]Hoja2!$A$1:$E$430,4,FALSE),0)</f>
        <v>0</v>
      </c>
      <c r="E380">
        <f>IFERROR(VLOOKUP(A380,[2]Hoja3!$A$1:$E$410,4,FALSE),0)</f>
        <v>0</v>
      </c>
      <c r="F380">
        <f>IFERROR(VLOOKUP(A380,[3]Hoja2!$A$1:$E$411,4,FALSE),0)</f>
        <v>1250</v>
      </c>
      <c r="G380">
        <f>VLOOKUP(A380,[4]Hoja1!$D$1:$K$778,7,FALSE)</f>
        <v>1444.05555555556</v>
      </c>
      <c r="H380">
        <f>VLOOKUP(A380,[5]Hoja1!$D$1:$K$781,7,FALSE)</f>
        <v>1444.0555555555554</v>
      </c>
      <c r="I380">
        <f>VLOOKUP(A380,[6]Hoja1!$D$1:$O$781,7,FALSE)</f>
        <v>1444.0555555555554</v>
      </c>
      <c r="J380">
        <f>VLOOKUP(A380,[6]Hoja1!$D$1:$O$781,8,FALSE)</f>
        <v>1444.0555555555554</v>
      </c>
      <c r="K380">
        <f>VLOOKUP(A380,[6]Hoja1!$D$1:$O$781,9,FALSE)</f>
        <v>1872.03</v>
      </c>
      <c r="L380">
        <f>VLOOKUP(A380,[6]Hoja1!$D$1:$O$781,11,FALSE)</f>
        <v>1872.03</v>
      </c>
    </row>
    <row r="381" spans="1:12" x14ac:dyDescent="0.2">
      <c r="A381" t="s">
        <v>837</v>
      </c>
      <c r="B381" t="s">
        <v>838</v>
      </c>
      <c r="C381" t="s">
        <v>839</v>
      </c>
      <c r="D381">
        <f>IFERROR(VLOOKUP(A381,[1]Hoja2!$A$1:$E$430,4,FALSE),0)</f>
        <v>0</v>
      </c>
      <c r="E381">
        <f>IFERROR(VLOOKUP(A381,[2]Hoja3!$A$1:$E$410,4,FALSE),0)</f>
        <v>0</v>
      </c>
      <c r="F381">
        <f>IFERROR(VLOOKUP(A381,[3]Hoja2!$A$1:$E$411,4,FALSE),0)</f>
        <v>445</v>
      </c>
      <c r="G381" t="e">
        <f>VLOOKUP(A381,[4]Hoja1!$D$1:$K$778,7,FALSE)</f>
        <v>#N/A</v>
      </c>
      <c r="H381">
        <f>VLOOKUP(A381,[5]Hoja1!$D$1:$K$781,7,FALSE)</f>
        <v>450</v>
      </c>
      <c r="I381">
        <f>VLOOKUP(A381,[6]Hoja1!$D$1:$O$781,7,FALSE)</f>
        <v>450</v>
      </c>
      <c r="J381">
        <f>VLOOKUP(A381,[6]Hoja1!$D$1:$O$781,8,FALSE)</f>
        <v>450</v>
      </c>
      <c r="K381">
        <f>VLOOKUP(A381,[6]Hoja1!$D$1:$O$781,9,FALSE)</f>
        <v>450</v>
      </c>
      <c r="L381">
        <f>VLOOKUP(A381,[6]Hoja1!$D$1:$O$781,11,FALSE)</f>
        <v>450</v>
      </c>
    </row>
    <row r="382" spans="1:12" x14ac:dyDescent="0.2">
      <c r="A382" t="s">
        <v>850</v>
      </c>
      <c r="B382" t="s">
        <v>851</v>
      </c>
      <c r="C382" t="s">
        <v>852</v>
      </c>
      <c r="D382">
        <f>IFERROR(VLOOKUP(A382,[1]Hoja2!$A$1:$E$430,4,FALSE),0)</f>
        <v>0</v>
      </c>
      <c r="E382">
        <f>IFERROR(VLOOKUP(A382,[2]Hoja3!$A$1:$E$410,4,FALSE),0)</f>
        <v>0</v>
      </c>
      <c r="F382">
        <f>IFERROR(VLOOKUP(A382,[3]Hoja2!$A$1:$E$411,4,FALSE),0)</f>
        <v>0</v>
      </c>
      <c r="G382">
        <f>VLOOKUP(A382,[4]Hoja1!$D$1:$K$778,7,FALSE)</f>
        <v>68.3</v>
      </c>
      <c r="H382">
        <f>VLOOKUP(A382,[5]Hoja1!$D$1:$K$781,7,FALSE)</f>
        <v>68.3</v>
      </c>
      <c r="I382">
        <f>VLOOKUP(A382,[6]Hoja1!$D$1:$O$781,7,FALSE)</f>
        <v>68.3</v>
      </c>
      <c r="J382">
        <f>VLOOKUP(A382,[6]Hoja1!$D$1:$O$781,8,FALSE)</f>
        <v>68.3</v>
      </c>
      <c r="K382">
        <f>VLOOKUP(A382,[6]Hoja1!$D$1:$O$781,9,FALSE)</f>
        <v>68.3</v>
      </c>
      <c r="L382">
        <f>VLOOKUP(A382,[6]Hoja1!$D$1:$O$781,11,FALSE)</f>
        <v>107.29070152040543</v>
      </c>
    </row>
    <row r="383" spans="1:12" x14ac:dyDescent="0.2">
      <c r="A383" t="s">
        <v>853</v>
      </c>
      <c r="B383" t="s">
        <v>854</v>
      </c>
      <c r="C383" t="s">
        <v>855</v>
      </c>
      <c r="D383">
        <f>IFERROR(VLOOKUP(A383,[1]Hoja2!$A$1:$E$430,4,FALSE),0)</f>
        <v>0</v>
      </c>
      <c r="E383">
        <f>IFERROR(VLOOKUP(A383,[2]Hoja3!$A$1:$E$410,4,FALSE),0)</f>
        <v>0</v>
      </c>
      <c r="F383">
        <f>IFERROR(VLOOKUP(A383,[3]Hoja2!$A$1:$E$411,4,FALSE),0)</f>
        <v>0</v>
      </c>
      <c r="G383">
        <f>VLOOKUP(A383,[4]Hoja1!$D$1:$K$778,7,FALSE)</f>
        <v>31.363333333333301</v>
      </c>
      <c r="H383">
        <f>VLOOKUP(A383,[5]Hoja1!$D$1:$K$781,7,FALSE)</f>
        <v>31.36333333333333</v>
      </c>
      <c r="I383">
        <f>VLOOKUP(A383,[6]Hoja1!$D$1:$O$781,7,FALSE)</f>
        <v>31.36333333333333</v>
      </c>
      <c r="J383">
        <f>VLOOKUP(A383,[6]Hoja1!$D$1:$O$781,8,FALSE)</f>
        <v>31.36333333333333</v>
      </c>
      <c r="K383">
        <f>VLOOKUP(A383,[6]Hoja1!$D$1:$O$781,9,FALSE)</f>
        <v>31.36333333333333</v>
      </c>
      <c r="L383">
        <f>VLOOKUP(A383,[6]Hoja1!$D$1:$O$781,11,FALSE)</f>
        <v>31.36333333333333</v>
      </c>
    </row>
    <row r="384" spans="1:12" x14ac:dyDescent="0.2">
      <c r="A384" t="s">
        <v>856</v>
      </c>
      <c r="B384" t="s">
        <v>857</v>
      </c>
      <c r="C384" t="s">
        <v>858</v>
      </c>
      <c r="D384">
        <f>IFERROR(VLOOKUP(A384,[1]Hoja2!$A$1:$E$430,4,FALSE),0)</f>
        <v>0</v>
      </c>
      <c r="E384">
        <f>IFERROR(VLOOKUP(A384,[2]Hoja3!$A$1:$E$410,4,FALSE),0)</f>
        <v>0</v>
      </c>
      <c r="F384">
        <f>IFERROR(VLOOKUP(A384,[3]Hoja2!$A$1:$E$411,4,FALSE),0)</f>
        <v>0</v>
      </c>
      <c r="G384">
        <f>VLOOKUP(A384,[4]Hoja1!$D$1:$K$778,7,FALSE)</f>
        <v>0.6</v>
      </c>
      <c r="H384">
        <f>VLOOKUP(A384,[5]Hoja1!$D$1:$K$781,7,FALSE)</f>
        <v>0.6</v>
      </c>
      <c r="I384">
        <f>VLOOKUP(A384,[6]Hoja1!$D$1:$O$781,7,FALSE)</f>
        <v>0.6</v>
      </c>
      <c r="J384">
        <f>VLOOKUP(A384,[6]Hoja1!$D$1:$O$781,8,FALSE)</f>
        <v>0.6</v>
      </c>
      <c r="K384">
        <f>VLOOKUP(A384,[6]Hoja1!$D$1:$O$781,9,FALSE)</f>
        <v>0.6</v>
      </c>
      <c r="L384">
        <f>VLOOKUP(A384,[6]Hoja1!$D$1:$O$781,11,FALSE)</f>
        <v>0.6</v>
      </c>
    </row>
    <row r="385" spans="1:12" x14ac:dyDescent="0.2">
      <c r="A385" t="s">
        <v>859</v>
      </c>
      <c r="B385" t="s">
        <v>860</v>
      </c>
      <c r="C385" t="s">
        <v>861</v>
      </c>
      <c r="D385">
        <f>IFERROR(VLOOKUP(A385,[1]Hoja2!$A$1:$E$430,4,FALSE),0)</f>
        <v>0</v>
      </c>
      <c r="E385">
        <f>IFERROR(VLOOKUP(A385,[2]Hoja3!$A$1:$E$410,4,FALSE),0)</f>
        <v>0</v>
      </c>
      <c r="F385">
        <f>IFERROR(VLOOKUP(A385,[3]Hoja2!$A$1:$E$411,4,FALSE),0)</f>
        <v>0</v>
      </c>
      <c r="G385">
        <f>VLOOKUP(A385,[4]Hoja1!$D$1:$K$778,7,FALSE)</f>
        <v>22.68</v>
      </c>
      <c r="H385">
        <f>VLOOKUP(A385,[5]Hoja1!$D$1:$K$781,7,FALSE)</f>
        <v>22.68</v>
      </c>
      <c r="I385">
        <f>VLOOKUP(A385,[6]Hoja1!$D$1:$O$781,7,FALSE)</f>
        <v>22.68</v>
      </c>
      <c r="J385">
        <f>VLOOKUP(A385,[6]Hoja1!$D$1:$O$781,8,FALSE)</f>
        <v>22.68</v>
      </c>
      <c r="K385">
        <f>VLOOKUP(A385,[6]Hoja1!$D$1:$O$781,9,FALSE)</f>
        <v>22.68</v>
      </c>
      <c r="L385">
        <f>VLOOKUP(A385,[6]Hoja1!$D$1:$O$781,11,FALSE)</f>
        <v>22.68</v>
      </c>
    </row>
    <row r="386" spans="1:12" x14ac:dyDescent="0.2">
      <c r="A386" t="s">
        <v>862</v>
      </c>
      <c r="B386" t="s">
        <v>863</v>
      </c>
      <c r="C386" t="s">
        <v>864</v>
      </c>
      <c r="D386">
        <f>IFERROR(VLOOKUP(A386,[1]Hoja2!$A$1:$E$430,4,FALSE),0)</f>
        <v>0</v>
      </c>
      <c r="E386">
        <f>IFERROR(VLOOKUP(A386,[2]Hoja3!$A$1:$E$410,4,FALSE),0)</f>
        <v>0</v>
      </c>
      <c r="F386">
        <f>IFERROR(VLOOKUP(A386,[3]Hoja2!$A$1:$E$411,4,FALSE),0)</f>
        <v>0</v>
      </c>
      <c r="G386">
        <f>VLOOKUP(A386,[4]Hoja1!$D$1:$K$778,7,FALSE)</f>
        <v>146.53</v>
      </c>
      <c r="H386">
        <f>VLOOKUP(A386,[5]Hoja1!$D$1:$K$781,7,FALSE)</f>
        <v>146.53</v>
      </c>
      <c r="I386">
        <f>VLOOKUP(A386,[6]Hoja1!$D$1:$O$781,7,FALSE)</f>
        <v>146.53</v>
      </c>
      <c r="J386">
        <f>VLOOKUP(A386,[6]Hoja1!$D$1:$O$781,8,FALSE)</f>
        <v>146.53</v>
      </c>
      <c r="K386">
        <f>VLOOKUP(A386,[6]Hoja1!$D$1:$O$781,9,FALSE)</f>
        <v>146.53</v>
      </c>
      <c r="L386">
        <f>VLOOKUP(A386,[6]Hoja1!$D$1:$O$781,11,FALSE)</f>
        <v>146.53</v>
      </c>
    </row>
    <row r="387" spans="1:12" x14ac:dyDescent="0.2">
      <c r="A387" t="s">
        <v>865</v>
      </c>
      <c r="B387" t="s">
        <v>866</v>
      </c>
      <c r="C387" t="s">
        <v>867</v>
      </c>
      <c r="D387">
        <f>IFERROR(VLOOKUP(A387,[1]Hoja2!$A$1:$E$430,4,FALSE),0)</f>
        <v>0</v>
      </c>
      <c r="E387">
        <f>IFERROR(VLOOKUP(A387,[2]Hoja3!$A$1:$E$410,4,FALSE),0)</f>
        <v>0</v>
      </c>
      <c r="F387">
        <f>IFERROR(VLOOKUP(A387,[3]Hoja2!$A$1:$E$411,4,FALSE),0)</f>
        <v>0</v>
      </c>
      <c r="G387">
        <f>VLOOKUP(A387,[4]Hoja1!$D$1:$K$778,7,FALSE)</f>
        <v>81.16</v>
      </c>
      <c r="H387">
        <f>VLOOKUP(A387,[5]Hoja1!$D$1:$K$781,7,FALSE)</f>
        <v>81.16</v>
      </c>
      <c r="I387">
        <f>VLOOKUP(A387,[6]Hoja1!$D$1:$O$781,7,FALSE)</f>
        <v>81.16</v>
      </c>
      <c r="J387">
        <f>VLOOKUP(A387,[6]Hoja1!$D$1:$O$781,8,FALSE)</f>
        <v>81.16</v>
      </c>
      <c r="K387">
        <f>VLOOKUP(A387,[6]Hoja1!$D$1:$O$781,9,FALSE)</f>
        <v>81.16</v>
      </c>
      <c r="L387">
        <f>VLOOKUP(A387,[6]Hoja1!$D$1:$O$781,11,FALSE)</f>
        <v>81.16</v>
      </c>
    </row>
    <row r="388" spans="1:12" x14ac:dyDescent="0.2">
      <c r="A388" t="s">
        <v>868</v>
      </c>
      <c r="B388" t="s">
        <v>869</v>
      </c>
      <c r="C388" t="s">
        <v>870</v>
      </c>
      <c r="D388">
        <f>IFERROR(VLOOKUP(A388,[1]Hoja2!$A$1:$E$430,4,FALSE),0)</f>
        <v>0</v>
      </c>
      <c r="E388">
        <f>IFERROR(VLOOKUP(A388,[2]Hoja3!$A$1:$E$410,4,FALSE),0)</f>
        <v>0</v>
      </c>
      <c r="F388">
        <f>IFERROR(VLOOKUP(A388,[3]Hoja2!$A$1:$E$411,4,FALSE),0)</f>
        <v>0</v>
      </c>
      <c r="G388">
        <f>VLOOKUP(A388,[4]Hoja1!$D$1:$K$778,7,FALSE)</f>
        <v>13.28</v>
      </c>
      <c r="H388">
        <f>VLOOKUP(A388,[5]Hoja1!$D$1:$K$781,7,FALSE)</f>
        <v>13.28</v>
      </c>
      <c r="I388">
        <f>VLOOKUP(A388,[6]Hoja1!$D$1:$O$781,7,FALSE)</f>
        <v>13.28</v>
      </c>
      <c r="J388">
        <f>VLOOKUP(A388,[6]Hoja1!$D$1:$O$781,8,FALSE)</f>
        <v>13.28</v>
      </c>
      <c r="K388">
        <f>VLOOKUP(A388,[6]Hoja1!$D$1:$O$781,9,FALSE)</f>
        <v>13.28</v>
      </c>
      <c r="L388">
        <f>VLOOKUP(A388,[6]Hoja1!$D$1:$O$781,11,FALSE)</f>
        <v>13.28</v>
      </c>
    </row>
    <row r="389" spans="1:12" x14ac:dyDescent="0.2">
      <c r="A389" t="s">
        <v>871</v>
      </c>
      <c r="B389" t="s">
        <v>872</v>
      </c>
      <c r="C389" t="s">
        <v>873</v>
      </c>
      <c r="D389">
        <f>IFERROR(VLOOKUP(A389,[1]Hoja2!$A$1:$E$430,4,FALSE),0)</f>
        <v>0</v>
      </c>
      <c r="E389">
        <f>IFERROR(VLOOKUP(A389,[2]Hoja3!$A$1:$E$410,4,FALSE),0)</f>
        <v>0</v>
      </c>
      <c r="F389">
        <f>IFERROR(VLOOKUP(A389,[3]Hoja2!$A$1:$E$411,4,FALSE),0)</f>
        <v>0</v>
      </c>
      <c r="G389">
        <f>VLOOKUP(A389,[4]Hoja1!$D$1:$K$778,7,FALSE)</f>
        <v>3.18</v>
      </c>
      <c r="H389">
        <f>VLOOKUP(A389,[5]Hoja1!$D$1:$K$781,7,FALSE)</f>
        <v>3.18</v>
      </c>
      <c r="I389">
        <f>VLOOKUP(A389,[6]Hoja1!$D$1:$O$781,7,FALSE)</f>
        <v>3.18</v>
      </c>
      <c r="J389">
        <f>VLOOKUP(A389,[6]Hoja1!$D$1:$O$781,8,FALSE)</f>
        <v>3.18</v>
      </c>
      <c r="K389">
        <f>VLOOKUP(A389,[6]Hoja1!$D$1:$O$781,9,FALSE)</f>
        <v>3.18</v>
      </c>
      <c r="L389">
        <f>VLOOKUP(A389,[6]Hoja1!$D$1:$O$781,11,FALSE)</f>
        <v>3.18</v>
      </c>
    </row>
    <row r="390" spans="1:12" x14ac:dyDescent="0.2">
      <c r="A390" t="s">
        <v>874</v>
      </c>
      <c r="B390" t="s">
        <v>875</v>
      </c>
      <c r="C390" t="s">
        <v>876</v>
      </c>
      <c r="D390">
        <f>IFERROR(VLOOKUP(A390,[1]Hoja2!$A$1:$E$430,4,FALSE),0)</f>
        <v>0</v>
      </c>
      <c r="E390">
        <f>IFERROR(VLOOKUP(A390,[2]Hoja3!$A$1:$E$410,4,FALSE),0)</f>
        <v>0</v>
      </c>
      <c r="F390">
        <f>IFERROR(VLOOKUP(A390,[3]Hoja2!$A$1:$E$411,4,FALSE),0)</f>
        <v>0</v>
      </c>
      <c r="G390">
        <f>VLOOKUP(A390,[4]Hoja1!$D$1:$K$778,7,FALSE)</f>
        <v>3.3</v>
      </c>
      <c r="H390">
        <f>VLOOKUP(A390,[5]Hoja1!$D$1:$K$781,7,FALSE)</f>
        <v>3.3</v>
      </c>
      <c r="I390">
        <f>VLOOKUP(A390,[6]Hoja1!$D$1:$O$781,7,FALSE)</f>
        <v>3.3</v>
      </c>
      <c r="J390">
        <f>VLOOKUP(A390,[6]Hoja1!$D$1:$O$781,8,FALSE)</f>
        <v>3.3</v>
      </c>
      <c r="K390">
        <f>VLOOKUP(A390,[6]Hoja1!$D$1:$O$781,9,FALSE)</f>
        <v>3.3</v>
      </c>
      <c r="L390">
        <f>VLOOKUP(A390,[6]Hoja1!$D$1:$O$781,11,FALSE)</f>
        <v>3.3</v>
      </c>
    </row>
    <row r="391" spans="1:12" x14ac:dyDescent="0.2">
      <c r="A391" t="s">
        <v>877</v>
      </c>
      <c r="B391" t="s">
        <v>878</v>
      </c>
      <c r="C391" t="s">
        <v>879</v>
      </c>
      <c r="D391">
        <f>IFERROR(VLOOKUP(A391,[1]Hoja2!$A$1:$E$430,4,FALSE),0)</f>
        <v>0</v>
      </c>
      <c r="E391">
        <f>IFERROR(VLOOKUP(A391,[2]Hoja3!$A$1:$E$410,4,FALSE),0)</f>
        <v>0</v>
      </c>
      <c r="F391">
        <f>IFERROR(VLOOKUP(A391,[3]Hoja2!$A$1:$E$411,4,FALSE),0)</f>
        <v>0</v>
      </c>
      <c r="G391">
        <f>VLOOKUP(A391,[4]Hoja1!$D$1:$K$778,7,FALSE)</f>
        <v>8.1245238095238097</v>
      </c>
      <c r="H391">
        <f>VLOOKUP(A391,[5]Hoja1!$D$1:$K$781,7,FALSE)</f>
        <v>8.1245238095238097</v>
      </c>
      <c r="I391">
        <f>VLOOKUP(A391,[6]Hoja1!$D$1:$O$781,7,FALSE)</f>
        <v>8.1245238095238097</v>
      </c>
      <c r="J391">
        <f>VLOOKUP(A391,[6]Hoja1!$D$1:$O$781,8,FALSE)</f>
        <v>8.1245238095238097</v>
      </c>
      <c r="K391">
        <f>VLOOKUP(A391,[6]Hoja1!$D$1:$O$781,9,FALSE)</f>
        <v>8.1245238095238097</v>
      </c>
      <c r="L391">
        <f>VLOOKUP(A391,[6]Hoja1!$D$1:$O$781,11,FALSE)</f>
        <v>8.1245238095238097</v>
      </c>
    </row>
  </sheetData>
  <autoFilter ref="A1:L391" xr:uid="{0B026FCB-73A6-1846-A78E-F738C49A95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Jurado Camacho</dc:creator>
  <cp:lastModifiedBy>Martín Miguel Jurado Camacho</cp:lastModifiedBy>
  <dcterms:created xsi:type="dcterms:W3CDTF">2025-09-08T13:23:16Z</dcterms:created>
  <dcterms:modified xsi:type="dcterms:W3CDTF">2025-10-20T15:45:50Z</dcterms:modified>
</cp:coreProperties>
</file>